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9.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Curso 'Finanzas para emprendedores'\Unidad 4. Aplicación del simulador\"/>
    </mc:Choice>
  </mc:AlternateContent>
  <xr:revisionPtr revIDLastSave="0" documentId="13_ncr:1_{5E21DF11-7699-4BA4-9526-11D4D9815C65}" xr6:coauthVersionLast="47" xr6:coauthVersionMax="47" xr10:uidLastSave="{00000000-0000-0000-0000-000000000000}"/>
  <bookViews>
    <workbookView xWindow="-120" yWindow="-120" windowWidth="20730" windowHeight="11160" tabRatio="889" firstSheet="3" activeTab="4"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ANALISIS_DE_SENSIBILIDAD" sheetId="39" r:id="rId15"/>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3" l="1"/>
  <c r="C8" i="39" l="1"/>
  <c r="F48" i="37"/>
  <c r="F49" i="37"/>
  <c r="F50" i="37"/>
  <c r="F24" i="37"/>
  <c r="F25" i="37"/>
  <c r="F26" i="37"/>
  <c r="F10" i="37"/>
  <c r="H10" i="37"/>
  <c r="F11" i="37"/>
  <c r="H11" i="37"/>
  <c r="F12" i="37"/>
  <c r="H12" i="37"/>
  <c r="R28" i="36"/>
  <c r="R29" i="36"/>
  <c r="R30" i="36"/>
  <c r="R27" i="36"/>
  <c r="O28" i="36"/>
  <c r="O29" i="36"/>
  <c r="O30" i="36"/>
  <c r="O27" i="36"/>
  <c r="L28" i="36"/>
  <c r="L29" i="36"/>
  <c r="L30" i="36"/>
  <c r="L27" i="36"/>
  <c r="I28" i="36"/>
  <c r="I29" i="36"/>
  <c r="I30" i="36"/>
  <c r="I27" i="36"/>
  <c r="F28" i="36"/>
  <c r="F29" i="36"/>
  <c r="F30" i="36"/>
  <c r="F27" i="36"/>
  <c r="E27" i="36"/>
  <c r="E28" i="36"/>
  <c r="E29" i="36"/>
  <c r="N11" i="36"/>
  <c r="O11" i="36" s="1"/>
  <c r="N12" i="36"/>
  <c r="O12" i="36" s="1"/>
  <c r="N13" i="36"/>
  <c r="N10" i="36"/>
  <c r="O10" i="36" s="1"/>
  <c r="L11" i="36"/>
  <c r="M11" i="36" s="1"/>
  <c r="L12" i="36"/>
  <c r="M12" i="36" s="1"/>
  <c r="L13" i="36"/>
  <c r="L10" i="36"/>
  <c r="M10" i="36" s="1"/>
  <c r="J11" i="36"/>
  <c r="K11" i="36" s="1"/>
  <c r="J12" i="36"/>
  <c r="K12" i="36" s="1"/>
  <c r="J13" i="36"/>
  <c r="J10" i="36"/>
  <c r="K10" i="36" s="1"/>
  <c r="H11" i="36"/>
  <c r="I11" i="36" s="1"/>
  <c r="H12" i="36"/>
  <c r="H13" i="36"/>
  <c r="H10" i="36"/>
  <c r="I10" i="36" s="1"/>
  <c r="F11" i="36"/>
  <c r="G11" i="36" s="1"/>
  <c r="G11" i="37" s="1"/>
  <c r="F12" i="36"/>
  <c r="G12" i="36" s="1"/>
  <c r="G12" i="37" s="1"/>
  <c r="F13" i="36"/>
  <c r="F10" i="36"/>
  <c r="G10" i="36" s="1"/>
  <c r="G10" i="37" s="1"/>
  <c r="E10" i="36"/>
  <c r="E11" i="36"/>
  <c r="E12" i="36"/>
  <c r="I12" i="36"/>
  <c r="D203" i="38"/>
  <c r="D204" i="38"/>
  <c r="D205" i="38"/>
  <c r="D174" i="38"/>
  <c r="F174" i="38"/>
  <c r="G174" i="38" s="1"/>
  <c r="Q174" i="38"/>
  <c r="R174" i="38" s="1"/>
  <c r="S174" i="38" s="1"/>
  <c r="T174" i="38" s="1"/>
  <c r="Z174" i="38"/>
  <c r="AA174" i="38" s="1"/>
  <c r="AK174" i="38"/>
  <c r="AL174" i="38" s="1"/>
  <c r="AM174" i="38" s="1"/>
  <c r="AN174" i="38" s="1"/>
  <c r="AT174" i="38"/>
  <c r="AU174" i="38" s="1"/>
  <c r="BE174" i="38"/>
  <c r="BF174" i="38" s="1"/>
  <c r="BG174" i="38" s="1"/>
  <c r="BH174" i="38" s="1"/>
  <c r="BN174" i="38"/>
  <c r="BO174" i="38" s="1"/>
  <c r="BY174" i="38"/>
  <c r="BZ174" i="38" s="1"/>
  <c r="CA174" i="38" s="1"/>
  <c r="CB174" i="38" s="1"/>
  <c r="CH174" i="38"/>
  <c r="CI174" i="38" s="1"/>
  <c r="CS174" i="38"/>
  <c r="CT174" i="38" s="1"/>
  <c r="CU174" i="38" s="1"/>
  <c r="CV174" i="38" s="1"/>
  <c r="DB174" i="38"/>
  <c r="DC174" i="38" s="1"/>
  <c r="DM174" i="38"/>
  <c r="DN174" i="38" s="1"/>
  <c r="DO174" i="38" s="1"/>
  <c r="DP174" i="38" s="1"/>
  <c r="DV174" i="38"/>
  <c r="DW174" i="38" s="1"/>
  <c r="EG174" i="38"/>
  <c r="EH174" i="38" s="1"/>
  <c r="EI174" i="38" s="1"/>
  <c r="EJ174" i="38" s="1"/>
  <c r="EP174" i="38"/>
  <c r="EQ174" i="38" s="1"/>
  <c r="FA174" i="38"/>
  <c r="FB174" i="38" s="1"/>
  <c r="FC174" i="38" s="1"/>
  <c r="FD174" i="38" s="1"/>
  <c r="FJ174" i="38"/>
  <c r="FK174" i="38" s="1"/>
  <c r="FU174" i="38"/>
  <c r="FV174" i="38"/>
  <c r="FW174" i="38" s="1"/>
  <c r="FX174" i="38" s="1"/>
  <c r="GD174" i="38"/>
  <c r="GE174" i="38" s="1"/>
  <c r="GO174" i="38"/>
  <c r="GP174" i="38" s="1"/>
  <c r="GQ174" i="38" s="1"/>
  <c r="GR174" i="38" s="1"/>
  <c r="D175" i="38"/>
  <c r="F175" i="38"/>
  <c r="G175" i="38" s="1"/>
  <c r="Q175" i="38"/>
  <c r="R175" i="38" s="1"/>
  <c r="S175" i="38" s="1"/>
  <c r="Z175" i="38"/>
  <c r="AA175" i="38" s="1"/>
  <c r="AK175" i="38"/>
  <c r="AL175" i="38"/>
  <c r="AM175" i="38" s="1"/>
  <c r="AN175" i="38" s="1"/>
  <c r="AT175" i="38"/>
  <c r="AU175" i="38" s="1"/>
  <c r="BE175" i="38"/>
  <c r="BF175" i="38" s="1"/>
  <c r="BG175" i="38" s="1"/>
  <c r="BH175" i="38" s="1"/>
  <c r="BN175" i="38"/>
  <c r="BO175" i="38" s="1"/>
  <c r="BY175" i="38"/>
  <c r="BZ175" i="38" s="1"/>
  <c r="CA175" i="38" s="1"/>
  <c r="CB175" i="38" s="1"/>
  <c r="CH175" i="38"/>
  <c r="CI175" i="38" s="1"/>
  <c r="CS175" i="38"/>
  <c r="CT175" i="38" s="1"/>
  <c r="CU175" i="38" s="1"/>
  <c r="CV175" i="38" s="1"/>
  <c r="DB175" i="38"/>
  <c r="DC175" i="38" s="1"/>
  <c r="DM175" i="38"/>
  <c r="DN175" i="38" s="1"/>
  <c r="DO175" i="38" s="1"/>
  <c r="DP175" i="38" s="1"/>
  <c r="DV175" i="38"/>
  <c r="DW175" i="38" s="1"/>
  <c r="EG175" i="38"/>
  <c r="EH175" i="38" s="1"/>
  <c r="EI175" i="38" s="1"/>
  <c r="EJ175" i="38" s="1"/>
  <c r="EP175" i="38"/>
  <c r="EQ175" i="38" s="1"/>
  <c r="FA175" i="38"/>
  <c r="FB175" i="38" s="1"/>
  <c r="FC175" i="38" s="1"/>
  <c r="FD175" i="38" s="1"/>
  <c r="FJ175" i="38"/>
  <c r="FK175" i="38" s="1"/>
  <c r="FU175" i="38"/>
  <c r="FV175" i="38" s="1"/>
  <c r="FW175" i="38" s="1"/>
  <c r="FX175" i="38" s="1"/>
  <c r="GD175" i="38"/>
  <c r="GE175" i="38" s="1"/>
  <c r="GO175" i="38"/>
  <c r="GP175" i="38" s="1"/>
  <c r="GQ175" i="38" s="1"/>
  <c r="GR175" i="38" s="1"/>
  <c r="D176" i="38"/>
  <c r="F176" i="38"/>
  <c r="G176" i="38" s="1"/>
  <c r="Q176" i="38"/>
  <c r="R176" i="38" s="1"/>
  <c r="S176" i="38" s="1"/>
  <c r="T176" i="38" s="1"/>
  <c r="Z176" i="38"/>
  <c r="AA176" i="38" s="1"/>
  <c r="AK176" i="38"/>
  <c r="AL176" i="38" s="1"/>
  <c r="AM176" i="38" s="1"/>
  <c r="AN176" i="38" s="1"/>
  <c r="AT176" i="38"/>
  <c r="AU176" i="38" s="1"/>
  <c r="BE176" i="38"/>
  <c r="BF176" i="38" s="1"/>
  <c r="BG176" i="38" s="1"/>
  <c r="BH176" i="38" s="1"/>
  <c r="BN176" i="38"/>
  <c r="BO176" i="38" s="1"/>
  <c r="BY176" i="38"/>
  <c r="BZ176" i="38" s="1"/>
  <c r="CA176" i="38" s="1"/>
  <c r="CB176" i="38" s="1"/>
  <c r="CH176" i="38"/>
  <c r="CI176" i="38" s="1"/>
  <c r="CS176" i="38"/>
  <c r="CT176" i="38" s="1"/>
  <c r="CU176" i="38" s="1"/>
  <c r="CV176" i="38" s="1"/>
  <c r="DB176" i="38"/>
  <c r="DC176" i="38" s="1"/>
  <c r="DM176" i="38"/>
  <c r="DN176" i="38" s="1"/>
  <c r="DO176" i="38" s="1"/>
  <c r="DP176" i="38" s="1"/>
  <c r="DV176" i="38"/>
  <c r="DW176" i="38" s="1"/>
  <c r="EG176" i="38"/>
  <c r="EH176" i="38" s="1"/>
  <c r="EI176" i="38" s="1"/>
  <c r="EJ176" i="38" s="1"/>
  <c r="EP176" i="38"/>
  <c r="EQ176" i="38" s="1"/>
  <c r="FA176" i="38"/>
  <c r="FB176" i="38" s="1"/>
  <c r="FC176" i="38" s="1"/>
  <c r="FD176" i="38" s="1"/>
  <c r="FJ176" i="38"/>
  <c r="FK176" i="38" s="1"/>
  <c r="FU176" i="38"/>
  <c r="FV176" i="38" s="1"/>
  <c r="FW176" i="38" s="1"/>
  <c r="FX176" i="38" s="1"/>
  <c r="GD176" i="38"/>
  <c r="GE176" i="38" s="1"/>
  <c r="GO176" i="38"/>
  <c r="GP176" i="38" s="1"/>
  <c r="GQ176" i="38" s="1"/>
  <c r="GR176" i="38" s="1"/>
  <c r="D152" i="38"/>
  <c r="D153" i="38"/>
  <c r="D154" i="38"/>
  <c r="D113" i="38"/>
  <c r="F113" i="38"/>
  <c r="G113" i="38" s="1"/>
  <c r="Q113" i="38"/>
  <c r="R113" i="38" s="1"/>
  <c r="S113" i="38" s="1"/>
  <c r="T113" i="38" s="1"/>
  <c r="Z113" i="38"/>
  <c r="AA113" i="38" s="1"/>
  <c r="AK113" i="38"/>
  <c r="AL113" i="38" s="1"/>
  <c r="AM113" i="38" s="1"/>
  <c r="AN113" i="38" s="1"/>
  <c r="AT113" i="38"/>
  <c r="AU113" i="38" s="1"/>
  <c r="BE113" i="38"/>
  <c r="BF113" i="38" s="1"/>
  <c r="BG113" i="38" s="1"/>
  <c r="BH113" i="38" s="1"/>
  <c r="BN113" i="38"/>
  <c r="BO113" i="38" s="1"/>
  <c r="BY113" i="38"/>
  <c r="BZ113" i="38" s="1"/>
  <c r="CA113" i="38" s="1"/>
  <c r="CB113" i="38" s="1"/>
  <c r="CH113" i="38"/>
  <c r="CI113" i="38" s="1"/>
  <c r="CS113" i="38"/>
  <c r="CT113" i="38" s="1"/>
  <c r="CU113" i="38" s="1"/>
  <c r="CV113" i="38" s="1"/>
  <c r="DB113" i="38"/>
  <c r="DC113" i="38" s="1"/>
  <c r="DM113" i="38"/>
  <c r="DN113" i="38" s="1"/>
  <c r="DO113" i="38" s="1"/>
  <c r="DP113" i="38" s="1"/>
  <c r="DV113" i="38"/>
  <c r="DW113" i="38" s="1"/>
  <c r="EG113" i="38"/>
  <c r="EH113" i="38" s="1"/>
  <c r="EI113" i="38" s="1"/>
  <c r="EJ113" i="38" s="1"/>
  <c r="EP113" i="38"/>
  <c r="EQ113" i="38" s="1"/>
  <c r="EZ113" i="38" s="1"/>
  <c r="FA113" i="38"/>
  <c r="FB113" i="38" s="1"/>
  <c r="FC113" i="38" s="1"/>
  <c r="FD113" i="38" s="1"/>
  <c r="FJ113" i="38"/>
  <c r="FK113" i="38" s="1"/>
  <c r="FU113" i="38"/>
  <c r="FV113" i="38" s="1"/>
  <c r="FW113" i="38" s="1"/>
  <c r="FX113" i="38" s="1"/>
  <c r="GD113" i="38"/>
  <c r="GE113" i="38" s="1"/>
  <c r="GN113" i="38" s="1"/>
  <c r="GO113" i="38"/>
  <c r="GP113" i="38" s="1"/>
  <c r="GQ113" i="38" s="1"/>
  <c r="GR113" i="38" s="1"/>
  <c r="D114" i="38"/>
  <c r="F114" i="38"/>
  <c r="G114" i="38" s="1"/>
  <c r="Q114" i="38"/>
  <c r="R114" i="38" s="1"/>
  <c r="S114" i="38" s="1"/>
  <c r="T114" i="38" s="1"/>
  <c r="Z114" i="38"/>
  <c r="AA114" i="38" s="1"/>
  <c r="AK114" i="38"/>
  <c r="AL114" i="38" s="1"/>
  <c r="AM114" i="38" s="1"/>
  <c r="AN114" i="38" s="1"/>
  <c r="AT114" i="38"/>
  <c r="AU114" i="38" s="1"/>
  <c r="BE114" i="38"/>
  <c r="BF114" i="38" s="1"/>
  <c r="BG114" i="38" s="1"/>
  <c r="BH114" i="38" s="1"/>
  <c r="BN114" i="38"/>
  <c r="BO114" i="38" s="1"/>
  <c r="BY114" i="38"/>
  <c r="BZ114" i="38" s="1"/>
  <c r="CA114" i="38" s="1"/>
  <c r="CB114" i="38" s="1"/>
  <c r="CH114" i="38"/>
  <c r="CI114" i="38" s="1"/>
  <c r="CS114" i="38"/>
  <c r="CT114" i="38" s="1"/>
  <c r="CU114" i="38" s="1"/>
  <c r="CV114" i="38" s="1"/>
  <c r="DB114" i="38"/>
  <c r="DC114" i="38" s="1"/>
  <c r="DM114" i="38"/>
  <c r="DN114" i="38" s="1"/>
  <c r="DO114" i="38" s="1"/>
  <c r="DP114" i="38" s="1"/>
  <c r="DV114" i="38"/>
  <c r="DW114" i="38" s="1"/>
  <c r="EG114" i="38"/>
  <c r="EH114" i="38" s="1"/>
  <c r="EI114" i="38" s="1"/>
  <c r="EJ114" i="38" s="1"/>
  <c r="EP114" i="38"/>
  <c r="EQ114" i="38" s="1"/>
  <c r="FA114" i="38"/>
  <c r="FB114" i="38" s="1"/>
  <c r="FC114" i="38" s="1"/>
  <c r="FD114" i="38" s="1"/>
  <c r="FJ114" i="38"/>
  <c r="FK114" i="38" s="1"/>
  <c r="FU114" i="38"/>
  <c r="FV114" i="38" s="1"/>
  <c r="FW114" i="38" s="1"/>
  <c r="FX114" i="38" s="1"/>
  <c r="GD114" i="38"/>
  <c r="GE114" i="38" s="1"/>
  <c r="GO114" i="38"/>
  <c r="GP114" i="38" s="1"/>
  <c r="GQ114" i="38" s="1"/>
  <c r="GR114" i="38" s="1"/>
  <c r="D115" i="38"/>
  <c r="F115" i="38"/>
  <c r="G115" i="38" s="1"/>
  <c r="Q115" i="38"/>
  <c r="R115" i="38" s="1"/>
  <c r="S115" i="38" s="1"/>
  <c r="T115" i="38" s="1"/>
  <c r="Z115" i="38"/>
  <c r="AA115" i="38" s="1"/>
  <c r="AK115" i="38"/>
  <c r="AL115" i="38" s="1"/>
  <c r="AM115" i="38" s="1"/>
  <c r="AN115" i="38" s="1"/>
  <c r="AT115" i="38"/>
  <c r="AU115" i="38" s="1"/>
  <c r="BE115" i="38"/>
  <c r="BF115" i="38" s="1"/>
  <c r="BG115" i="38" s="1"/>
  <c r="BH115" i="38" s="1"/>
  <c r="BN115" i="38"/>
  <c r="BO115" i="38" s="1"/>
  <c r="BY115" i="38"/>
  <c r="BZ115" i="38" s="1"/>
  <c r="CA115" i="38" s="1"/>
  <c r="CB115" i="38" s="1"/>
  <c r="CH115" i="38"/>
  <c r="CI115" i="38" s="1"/>
  <c r="CS115" i="38"/>
  <c r="CT115" i="38" s="1"/>
  <c r="CU115" i="38" s="1"/>
  <c r="CV115" i="38" s="1"/>
  <c r="DB115" i="38"/>
  <c r="DC115" i="38" s="1"/>
  <c r="DM115" i="38"/>
  <c r="DN115" i="38" s="1"/>
  <c r="DO115" i="38" s="1"/>
  <c r="DP115" i="38" s="1"/>
  <c r="DV115" i="38"/>
  <c r="DW115" i="38" s="1"/>
  <c r="EG115" i="38"/>
  <c r="EH115" i="38" s="1"/>
  <c r="EI115" i="38" s="1"/>
  <c r="EJ115" i="38" s="1"/>
  <c r="EP115" i="38"/>
  <c r="EQ115" i="38" s="1"/>
  <c r="FA115" i="38"/>
  <c r="FB115" i="38" s="1"/>
  <c r="FC115" i="38" s="1"/>
  <c r="FD115" i="38" s="1"/>
  <c r="FJ115" i="38"/>
  <c r="FK115" i="38" s="1"/>
  <c r="FU115" i="38"/>
  <c r="FV115" i="38" s="1"/>
  <c r="FW115" i="38" s="1"/>
  <c r="FX115" i="38" s="1"/>
  <c r="GD115" i="38"/>
  <c r="GE115" i="38" s="1"/>
  <c r="GO115" i="38"/>
  <c r="GP115" i="38" s="1"/>
  <c r="GQ115" i="38" s="1"/>
  <c r="GR115" i="38" s="1"/>
  <c r="D93" i="38"/>
  <c r="D94" i="38"/>
  <c r="D95" i="38"/>
  <c r="D56" i="38"/>
  <c r="F56" i="38"/>
  <c r="G56" i="38" s="1"/>
  <c r="P56" i="38" s="1"/>
  <c r="Q56" i="38"/>
  <c r="R56" i="38" s="1"/>
  <c r="S56" i="38" s="1"/>
  <c r="T56" i="38" s="1"/>
  <c r="Z56" i="38"/>
  <c r="AA56" i="38" s="1"/>
  <c r="AK56" i="38"/>
  <c r="AL56" i="38" s="1"/>
  <c r="AM56" i="38" s="1"/>
  <c r="AN56" i="38" s="1"/>
  <c r="AT56" i="38"/>
  <c r="AU56" i="38" s="1"/>
  <c r="BD56" i="38" s="1"/>
  <c r="BE56" i="38"/>
  <c r="BF56" i="38" s="1"/>
  <c r="BG56" i="38" s="1"/>
  <c r="BH56" i="38" s="1"/>
  <c r="BN56" i="38"/>
  <c r="BO56" i="38" s="1"/>
  <c r="BY56" i="38"/>
  <c r="BZ56" i="38" s="1"/>
  <c r="CA56" i="38" s="1"/>
  <c r="CB56" i="38" s="1"/>
  <c r="CH56" i="38"/>
  <c r="CI56" i="38" s="1"/>
  <c r="CR56" i="38" s="1"/>
  <c r="CS56" i="38"/>
  <c r="CT56" i="38" s="1"/>
  <c r="CU56" i="38" s="1"/>
  <c r="CV56" i="38" s="1"/>
  <c r="DB56" i="38"/>
  <c r="DC56" i="38" s="1"/>
  <c r="DM56" i="38"/>
  <c r="DN56" i="38" s="1"/>
  <c r="DO56" i="38" s="1"/>
  <c r="DP56" i="38" s="1"/>
  <c r="DV56" i="38"/>
  <c r="DW56" i="38" s="1"/>
  <c r="EF56" i="38" s="1"/>
  <c r="EG56" i="38"/>
  <c r="EH56" i="38" s="1"/>
  <c r="EI56" i="38" s="1"/>
  <c r="EJ56" i="38" s="1"/>
  <c r="EP56" i="38"/>
  <c r="EQ56" i="38" s="1"/>
  <c r="EZ56" i="38" s="1"/>
  <c r="FA56" i="38"/>
  <c r="FB56" i="38" s="1"/>
  <c r="FC56" i="38" s="1"/>
  <c r="FD56" i="38" s="1"/>
  <c r="FJ56" i="38"/>
  <c r="FK56" i="38" s="1"/>
  <c r="FU56" i="38"/>
  <c r="FV56" i="38" s="1"/>
  <c r="FW56" i="38" s="1"/>
  <c r="FX56" i="38" s="1"/>
  <c r="GD56" i="38"/>
  <c r="GE56" i="38" s="1"/>
  <c r="GO56" i="38"/>
  <c r="GP56" i="38" s="1"/>
  <c r="GQ56" i="38" s="1"/>
  <c r="GR56" i="38" s="1"/>
  <c r="GX56" i="38"/>
  <c r="GY56" i="38" s="1"/>
  <c r="HH56" i="38" s="1"/>
  <c r="HI56" i="38"/>
  <c r="HJ56" i="38" s="1"/>
  <c r="HK56" i="38" s="1"/>
  <c r="HL56" i="38" s="1"/>
  <c r="HR56" i="38"/>
  <c r="HS56" i="38" s="1"/>
  <c r="IB56" i="38" s="1"/>
  <c r="IC56" i="38"/>
  <c r="ID56" i="38" s="1"/>
  <c r="IE56" i="38" s="1"/>
  <c r="IF56" i="38" s="1"/>
  <c r="IL56" i="38"/>
  <c r="IM56" i="38" s="1"/>
  <c r="IV56" i="38" s="1"/>
  <c r="IW56" i="38"/>
  <c r="IX56" i="38" s="1"/>
  <c r="IY56" i="38" s="1"/>
  <c r="IZ56" i="38" s="1"/>
  <c r="JF56" i="38"/>
  <c r="JG56" i="38" s="1"/>
  <c r="JQ56" i="38"/>
  <c r="JR56" i="38" s="1"/>
  <c r="JS56" i="38" s="1"/>
  <c r="JT56" i="38" s="1"/>
  <c r="JZ56" i="38"/>
  <c r="KA56" i="38" s="1"/>
  <c r="KK56" i="38"/>
  <c r="KL56" i="38" s="1"/>
  <c r="KM56" i="38" s="1"/>
  <c r="KN56" i="38" s="1"/>
  <c r="KT56" i="38"/>
  <c r="KU56" i="38" s="1"/>
  <c r="LE56" i="38"/>
  <c r="LF56" i="38" s="1"/>
  <c r="LG56" i="38" s="1"/>
  <c r="LH56" i="38" s="1"/>
  <c r="LN56" i="38"/>
  <c r="LO56" i="38" s="1"/>
  <c r="LY56" i="38"/>
  <c r="LZ56" i="38" s="1"/>
  <c r="MA56" i="38" s="1"/>
  <c r="MB56" i="38" s="1"/>
  <c r="MH56" i="38"/>
  <c r="MI56" i="38" s="1"/>
  <c r="MR56" i="38" s="1"/>
  <c r="MS56" i="38"/>
  <c r="MT56" i="38" s="1"/>
  <c r="MU56" i="38" s="1"/>
  <c r="MV56" i="38" s="1"/>
  <c r="NB56" i="38"/>
  <c r="NC56" i="38" s="1"/>
  <c r="NL56" i="38" s="1"/>
  <c r="NM56" i="38"/>
  <c r="NN56" i="38" s="1"/>
  <c r="NO56" i="38" s="1"/>
  <c r="NP56" i="38" s="1"/>
  <c r="NV56" i="38"/>
  <c r="NW56" i="38" s="1"/>
  <c r="OF56" i="38" s="1"/>
  <c r="OG56" i="38"/>
  <c r="OH56" i="38" s="1"/>
  <c r="OI56" i="38" s="1"/>
  <c r="OJ56" i="38" s="1"/>
  <c r="D57" i="38"/>
  <c r="F57" i="38"/>
  <c r="G57" i="38" s="1"/>
  <c r="P57" i="38" s="1"/>
  <c r="Q57" i="38"/>
  <c r="R57" i="38" s="1"/>
  <c r="S57" i="38" s="1"/>
  <c r="T57" i="38" s="1"/>
  <c r="Z57" i="38"/>
  <c r="AA57" i="38" s="1"/>
  <c r="AJ57" i="38" s="1"/>
  <c r="AK57" i="38"/>
  <c r="AL57" i="38" s="1"/>
  <c r="AM57" i="38" s="1"/>
  <c r="AN57" i="38" s="1"/>
  <c r="AT57" i="38"/>
  <c r="AU57" i="38" s="1"/>
  <c r="BD57" i="38" s="1"/>
  <c r="BE57" i="38"/>
  <c r="BF57" i="38" s="1"/>
  <c r="BG57" i="38" s="1"/>
  <c r="BH57" i="38" s="1"/>
  <c r="BN57" i="38"/>
  <c r="BO57" i="38" s="1"/>
  <c r="BX57" i="38" s="1"/>
  <c r="BY57" i="38"/>
  <c r="BZ57" i="38" s="1"/>
  <c r="CA57" i="38" s="1"/>
  <c r="CB57" i="38" s="1"/>
  <c r="CH57" i="38"/>
  <c r="CI57" i="38" s="1"/>
  <c r="CR57" i="38" s="1"/>
  <c r="CS57" i="38"/>
  <c r="CT57" i="38" s="1"/>
  <c r="CU57" i="38" s="1"/>
  <c r="CV57" i="38" s="1"/>
  <c r="DB57" i="38"/>
  <c r="DC57" i="38" s="1"/>
  <c r="DM57" i="38"/>
  <c r="DN57" i="38" s="1"/>
  <c r="DO57" i="38" s="1"/>
  <c r="DP57" i="38" s="1"/>
  <c r="DV57" i="38"/>
  <c r="DW57" i="38" s="1"/>
  <c r="EF57" i="38" s="1"/>
  <c r="EG57" i="38"/>
  <c r="EH57" i="38" s="1"/>
  <c r="EI57" i="38" s="1"/>
  <c r="EJ57" i="38" s="1"/>
  <c r="EP57" i="38"/>
  <c r="EQ57" i="38" s="1"/>
  <c r="FA57" i="38"/>
  <c r="FB57" i="38" s="1"/>
  <c r="FC57" i="38" s="1"/>
  <c r="FD57" i="38" s="1"/>
  <c r="FJ57" i="38"/>
  <c r="FK57" i="38" s="1"/>
  <c r="FT57" i="38" s="1"/>
  <c r="FU57" i="38"/>
  <c r="FV57" i="38" s="1"/>
  <c r="FW57" i="38" s="1"/>
  <c r="FX57" i="38" s="1"/>
  <c r="GD57" i="38"/>
  <c r="GE57" i="38" s="1"/>
  <c r="GO57" i="38"/>
  <c r="GP57" i="38" s="1"/>
  <c r="GQ57" i="38" s="1"/>
  <c r="GR57" i="38" s="1"/>
  <c r="GX57" i="38"/>
  <c r="GY57" i="38" s="1"/>
  <c r="HH57" i="38" s="1"/>
  <c r="HI57" i="38"/>
  <c r="HJ57" i="38" s="1"/>
  <c r="HK57" i="38" s="1"/>
  <c r="HL57" i="38" s="1"/>
  <c r="HR57" i="38"/>
  <c r="HS57" i="38" s="1"/>
  <c r="IB57" i="38" s="1"/>
  <c r="HT57" i="38"/>
  <c r="IC57" i="38"/>
  <c r="ID57" i="38" s="1"/>
  <c r="IE57" i="38" s="1"/>
  <c r="IF57" i="38" s="1"/>
  <c r="IL57" i="38"/>
  <c r="IM57" i="38" s="1"/>
  <c r="IV57" i="38" s="1"/>
  <c r="IW57" i="38"/>
  <c r="IX57" i="38" s="1"/>
  <c r="IY57" i="38" s="1"/>
  <c r="IZ57" i="38" s="1"/>
  <c r="JF57" i="38"/>
  <c r="JG57" i="38" s="1"/>
  <c r="JQ57" i="38"/>
  <c r="JR57" i="38" s="1"/>
  <c r="JS57" i="38" s="1"/>
  <c r="JT57" i="38" s="1"/>
  <c r="JZ57" i="38"/>
  <c r="KA57" i="38" s="1"/>
  <c r="KJ57" i="38" s="1"/>
  <c r="KK57" i="38"/>
  <c r="KL57" i="38" s="1"/>
  <c r="KM57" i="38" s="1"/>
  <c r="KN57" i="38" s="1"/>
  <c r="KT57" i="38"/>
  <c r="KU57" i="38" s="1"/>
  <c r="LD57" i="38" s="1"/>
  <c r="LE57" i="38"/>
  <c r="LF57" i="38" s="1"/>
  <c r="LG57" i="38" s="1"/>
  <c r="LH57" i="38" s="1"/>
  <c r="LN57" i="38"/>
  <c r="LO57" i="38" s="1"/>
  <c r="LX57" i="38" s="1"/>
  <c r="LY57" i="38"/>
  <c r="LZ57" i="38" s="1"/>
  <c r="MA57" i="38" s="1"/>
  <c r="MB57" i="38" s="1"/>
  <c r="MH57" i="38"/>
  <c r="MI57" i="38" s="1"/>
  <c r="MS57" i="38"/>
  <c r="MT57" i="38" s="1"/>
  <c r="MU57" i="38" s="1"/>
  <c r="MV57" i="38" s="1"/>
  <c r="NB57" i="38"/>
  <c r="NC57" i="38" s="1"/>
  <c r="NM57" i="38"/>
  <c r="NN57" i="38" s="1"/>
  <c r="NO57" i="38" s="1"/>
  <c r="NP57" i="38" s="1"/>
  <c r="NV57" i="38"/>
  <c r="NW57" i="38" s="1"/>
  <c r="NX57" i="38"/>
  <c r="OG57" i="38"/>
  <c r="OH57" i="38" s="1"/>
  <c r="OI57" i="38" s="1"/>
  <c r="OJ57" i="38" s="1"/>
  <c r="D40" i="38"/>
  <c r="F24" i="33"/>
  <c r="H24" i="33"/>
  <c r="L24" i="33" s="1"/>
  <c r="J24" i="33"/>
  <c r="N24" i="33"/>
  <c r="R24" i="33"/>
  <c r="V24" i="33"/>
  <c r="F23" i="33"/>
  <c r="J23" i="33"/>
  <c r="H176" i="38" s="1"/>
  <c r="N23" i="33"/>
  <c r="AD176" i="38" s="1"/>
  <c r="R23" i="33"/>
  <c r="L176" i="38" s="1"/>
  <c r="V23" i="33"/>
  <c r="N176" i="38" s="1"/>
  <c r="F22" i="33"/>
  <c r="J22" i="33"/>
  <c r="H175" i="38" s="1"/>
  <c r="N22" i="33"/>
  <c r="DF175" i="38" s="1"/>
  <c r="R22" i="33"/>
  <c r="EV175" i="38" s="1"/>
  <c r="V22" i="33"/>
  <c r="BV175" i="38" s="1"/>
  <c r="F21" i="33"/>
  <c r="J21" i="33"/>
  <c r="AB174" i="38" s="1"/>
  <c r="N21" i="33"/>
  <c r="J174" i="38" s="1"/>
  <c r="R21" i="33"/>
  <c r="L174" i="38" s="1"/>
  <c r="V21" i="33"/>
  <c r="N174" i="38" s="1"/>
  <c r="R68" i="39"/>
  <c r="Q68" i="39" s="1"/>
  <c r="P68" i="39" s="1"/>
  <c r="O68" i="39" s="1"/>
  <c r="N68" i="39" s="1"/>
  <c r="M68" i="39" s="1"/>
  <c r="R55" i="39"/>
  <c r="Q55" i="39" s="1"/>
  <c r="P55" i="39" s="1"/>
  <c r="O55" i="39" s="1"/>
  <c r="N55" i="39" s="1"/>
  <c r="M55" i="39" s="1"/>
  <c r="R42" i="39"/>
  <c r="Q42" i="39" s="1"/>
  <c r="P42" i="39" s="1"/>
  <c r="O42" i="39" s="1"/>
  <c r="N42" i="39" s="1"/>
  <c r="M42" i="39" s="1"/>
  <c r="R23" i="39"/>
  <c r="Q23" i="39" s="1"/>
  <c r="P23" i="39" s="1"/>
  <c r="O23" i="39" s="1"/>
  <c r="N23" i="39" s="1"/>
  <c r="M23" i="39" s="1"/>
  <c r="D70" i="39"/>
  <c r="E70" i="39"/>
  <c r="F70" i="39"/>
  <c r="G70" i="39"/>
  <c r="C70" i="39"/>
  <c r="BB57" i="38" l="1"/>
  <c r="HZ57" i="38"/>
  <c r="HF57" i="38"/>
  <c r="MP57" i="38"/>
  <c r="FR57" i="38"/>
  <c r="LB57" i="38"/>
  <c r="ED57" i="38"/>
  <c r="JN57" i="38"/>
  <c r="CP57" i="38"/>
  <c r="GL115" i="38"/>
  <c r="DJ115" i="38"/>
  <c r="AH115" i="38"/>
  <c r="GL176" i="38"/>
  <c r="DJ176" i="38"/>
  <c r="AH176" i="38"/>
  <c r="ED115" i="38"/>
  <c r="BB115" i="38"/>
  <c r="ED176" i="38"/>
  <c r="BB176" i="38"/>
  <c r="EX115" i="38"/>
  <c r="BV115" i="38"/>
  <c r="EX176" i="38"/>
  <c r="BV176" i="38"/>
  <c r="FR115" i="38"/>
  <c r="CP115" i="38"/>
  <c r="N115" i="38"/>
  <c r="FR176" i="38"/>
  <c r="CP176" i="38"/>
  <c r="N57" i="38"/>
  <c r="ED114" i="38"/>
  <c r="BB114" i="38"/>
  <c r="FR175" i="38"/>
  <c r="CP175" i="38"/>
  <c r="OD57" i="38"/>
  <c r="NJ57" i="38"/>
  <c r="KH57" i="38"/>
  <c r="GL57" i="38"/>
  <c r="DJ57" i="38"/>
  <c r="AH57" i="38"/>
  <c r="EX114" i="38"/>
  <c r="BV114" i="38"/>
  <c r="GL175" i="38"/>
  <c r="DJ175" i="38"/>
  <c r="N175" i="38"/>
  <c r="FR114" i="38"/>
  <c r="CP114" i="38"/>
  <c r="N114" i="38"/>
  <c r="ED175" i="38"/>
  <c r="BB175" i="38"/>
  <c r="AH175" i="38"/>
  <c r="LV57" i="38"/>
  <c r="IT57" i="38"/>
  <c r="EX57" i="38"/>
  <c r="BV57" i="38"/>
  <c r="GL114" i="38"/>
  <c r="DJ114" i="38"/>
  <c r="AH114" i="38"/>
  <c r="EX175" i="38"/>
  <c r="HZ56" i="38"/>
  <c r="EX56" i="38"/>
  <c r="BV56" i="38"/>
  <c r="EX113" i="38"/>
  <c r="BV113" i="38"/>
  <c r="DJ174" i="38"/>
  <c r="AH174" i="38"/>
  <c r="OD56" i="38"/>
  <c r="NJ56" i="38"/>
  <c r="MP56" i="38"/>
  <c r="LV56" i="38"/>
  <c r="LB56" i="38"/>
  <c r="KH56" i="38"/>
  <c r="JN56" i="38"/>
  <c r="IT56" i="38"/>
  <c r="FR56" i="38"/>
  <c r="CP56" i="38"/>
  <c r="N56" i="38"/>
  <c r="FR113" i="38"/>
  <c r="CP113" i="38"/>
  <c r="N113" i="38"/>
  <c r="ED174" i="38"/>
  <c r="BB174" i="38"/>
  <c r="OB56" i="38"/>
  <c r="NH56" i="38"/>
  <c r="MN56" i="38"/>
  <c r="LT56" i="38"/>
  <c r="KZ56" i="38"/>
  <c r="KF56" i="38"/>
  <c r="JL56" i="38"/>
  <c r="GL56" i="38"/>
  <c r="DJ56" i="38"/>
  <c r="AH56" i="38"/>
  <c r="GL113" i="38"/>
  <c r="DJ113" i="38"/>
  <c r="AH113" i="38"/>
  <c r="EX174" i="38"/>
  <c r="BV174" i="38"/>
  <c r="HF56" i="38"/>
  <c r="ED56" i="38"/>
  <c r="BB56" i="38"/>
  <c r="ED113" i="38"/>
  <c r="BB113" i="38"/>
  <c r="GL174" i="38"/>
  <c r="FR174" i="38"/>
  <c r="CP174" i="38"/>
  <c r="GJ115" i="38"/>
  <c r="FP115" i="38"/>
  <c r="EV115" i="38"/>
  <c r="GJ176" i="38"/>
  <c r="FP176" i="38"/>
  <c r="EV176" i="38"/>
  <c r="EB176" i="38"/>
  <c r="ET115" i="38"/>
  <c r="EB115" i="38"/>
  <c r="DH115" i="38"/>
  <c r="CN115" i="38"/>
  <c r="BT115" i="38"/>
  <c r="DZ176" i="38"/>
  <c r="DH176" i="38"/>
  <c r="CN176" i="38"/>
  <c r="BT176" i="38"/>
  <c r="AZ176" i="38"/>
  <c r="BR115" i="38"/>
  <c r="AZ115" i="38"/>
  <c r="AF115" i="38"/>
  <c r="L115" i="38"/>
  <c r="AX176" i="38"/>
  <c r="AF176" i="38"/>
  <c r="JJ57" i="38"/>
  <c r="IR57" i="38"/>
  <c r="HX57" i="38"/>
  <c r="DF114" i="38"/>
  <c r="CN114" i="38"/>
  <c r="BT114" i="38"/>
  <c r="AZ114" i="38"/>
  <c r="AF114" i="38"/>
  <c r="ET175" i="38"/>
  <c r="EB175" i="38"/>
  <c r="DH175" i="38"/>
  <c r="CN175" i="38"/>
  <c r="BT175" i="38"/>
  <c r="OB57" i="38"/>
  <c r="HD57" i="38"/>
  <c r="GJ57" i="38"/>
  <c r="FP57" i="38"/>
  <c r="EV57" i="38"/>
  <c r="AD114" i="38"/>
  <c r="L114" i="38"/>
  <c r="BR175" i="38"/>
  <c r="AZ175" i="38"/>
  <c r="NH57" i="38"/>
  <c r="MN57" i="38"/>
  <c r="LT57" i="38"/>
  <c r="ET57" i="38"/>
  <c r="EB57" i="38"/>
  <c r="DH57" i="38"/>
  <c r="CN57" i="38"/>
  <c r="BT57" i="38"/>
  <c r="GJ114" i="38"/>
  <c r="AF175" i="38"/>
  <c r="L175" i="38"/>
  <c r="LR57" i="38"/>
  <c r="KZ57" i="38"/>
  <c r="KF57" i="38"/>
  <c r="JL57" i="38"/>
  <c r="BR57" i="38"/>
  <c r="AZ57" i="38"/>
  <c r="AF57" i="38"/>
  <c r="L57" i="38"/>
  <c r="GH114" i="38"/>
  <c r="FP114" i="38"/>
  <c r="EV114" i="38"/>
  <c r="EB114" i="38"/>
  <c r="DH114" i="38"/>
  <c r="GJ175" i="38"/>
  <c r="FP175" i="38"/>
  <c r="J175" i="38"/>
  <c r="GJ113" i="38"/>
  <c r="FP113" i="38"/>
  <c r="EV113" i="38"/>
  <c r="EB113" i="38"/>
  <c r="DH113" i="38"/>
  <c r="CN113" i="38"/>
  <c r="BT113" i="38"/>
  <c r="AZ113" i="38"/>
  <c r="AF113" i="38"/>
  <c r="L113" i="38"/>
  <c r="GJ174" i="38"/>
  <c r="IR56" i="38"/>
  <c r="HX56" i="38"/>
  <c r="HD56" i="38"/>
  <c r="GJ56" i="38"/>
  <c r="FP56" i="38"/>
  <c r="EV56" i="38"/>
  <c r="EB56" i="38"/>
  <c r="DH56" i="38"/>
  <c r="CN56" i="38"/>
  <c r="BT56" i="38"/>
  <c r="AZ56" i="38"/>
  <c r="AF56" i="38"/>
  <c r="L56" i="38"/>
  <c r="FP174" i="38"/>
  <c r="EV174" i="38"/>
  <c r="EB174" i="38"/>
  <c r="DH174" i="38"/>
  <c r="CN174" i="38"/>
  <c r="BT174" i="38"/>
  <c r="AZ174" i="38"/>
  <c r="AF174" i="38"/>
  <c r="GH115" i="38"/>
  <c r="DF115" i="38"/>
  <c r="AD115" i="38"/>
  <c r="FN176" i="38"/>
  <c r="CL176" i="38"/>
  <c r="J176" i="38"/>
  <c r="FN115" i="38"/>
  <c r="CL115" i="38"/>
  <c r="J115" i="38"/>
  <c r="ET176" i="38"/>
  <c r="BR176" i="38"/>
  <c r="DZ115" i="38"/>
  <c r="AX115" i="38"/>
  <c r="GH176" i="38"/>
  <c r="DF176" i="38"/>
  <c r="NZ57" i="38"/>
  <c r="MJ57" i="38"/>
  <c r="MK57" i="38" s="1"/>
  <c r="KD57" i="38"/>
  <c r="HV57" i="38"/>
  <c r="FN57" i="38"/>
  <c r="CL57" i="38"/>
  <c r="J57" i="38"/>
  <c r="DZ114" i="38"/>
  <c r="AX114" i="38"/>
  <c r="FN175" i="38"/>
  <c r="CL175" i="38"/>
  <c r="AD175" i="38"/>
  <c r="KX57" i="38"/>
  <c r="JH57" i="38"/>
  <c r="JI57" i="38" s="1"/>
  <c r="HB57" i="38"/>
  <c r="DZ57" i="38"/>
  <c r="AX57" i="38"/>
  <c r="FN114" i="38"/>
  <c r="CL114" i="38"/>
  <c r="J114" i="38"/>
  <c r="DZ175" i="38"/>
  <c r="AX175" i="38"/>
  <c r="NF57" i="38"/>
  <c r="ML57" i="38"/>
  <c r="KV57" i="38"/>
  <c r="KW57" i="38" s="1"/>
  <c r="KY57" i="38" s="1"/>
  <c r="IP57" i="38"/>
  <c r="GH57" i="38"/>
  <c r="DF57" i="38"/>
  <c r="AD57" i="38"/>
  <c r="ET114" i="38"/>
  <c r="BR114" i="38"/>
  <c r="GH175" i="38"/>
  <c r="ML56" i="38"/>
  <c r="JJ56" i="38"/>
  <c r="GH56" i="38"/>
  <c r="DF56" i="38"/>
  <c r="AD56" i="38"/>
  <c r="GH113" i="38"/>
  <c r="DF113" i="38"/>
  <c r="AD113" i="38"/>
  <c r="ET174" i="38"/>
  <c r="BR174" i="38"/>
  <c r="LR56" i="38"/>
  <c r="IP56" i="38"/>
  <c r="FN56" i="38"/>
  <c r="CL56" i="38"/>
  <c r="J56" i="38"/>
  <c r="FN113" i="38"/>
  <c r="CL113" i="38"/>
  <c r="J113" i="38"/>
  <c r="GH174" i="38"/>
  <c r="DZ174" i="38"/>
  <c r="AX174" i="38"/>
  <c r="NZ56" i="38"/>
  <c r="KX56" i="38"/>
  <c r="HV56" i="38"/>
  <c r="ET56" i="38"/>
  <c r="BR56" i="38"/>
  <c r="ET113" i="38"/>
  <c r="BR113" i="38"/>
  <c r="DF174" i="38"/>
  <c r="AD174" i="38"/>
  <c r="NF56" i="38"/>
  <c r="KD56" i="38"/>
  <c r="HB56" i="38"/>
  <c r="DZ56" i="38"/>
  <c r="AX56" i="38"/>
  <c r="DZ113" i="38"/>
  <c r="AX113" i="38"/>
  <c r="FN174" i="38"/>
  <c r="CL174" i="38"/>
  <c r="FL115" i="38"/>
  <c r="FM115" i="38" s="1"/>
  <c r="FO115" i="38" s="1"/>
  <c r="DX115" i="38"/>
  <c r="DY115" i="38" s="1"/>
  <c r="EA115" i="38" s="1"/>
  <c r="CJ115" i="38"/>
  <c r="CK115" i="38" s="1"/>
  <c r="AV115" i="38"/>
  <c r="AW115" i="38" s="1"/>
  <c r="H115" i="38"/>
  <c r="I115" i="38" s="1"/>
  <c r="GF176" i="38"/>
  <c r="GG176" i="38" s="1"/>
  <c r="ER176" i="38"/>
  <c r="ES176" i="38" s="1"/>
  <c r="DD176" i="38"/>
  <c r="DE176" i="38" s="1"/>
  <c r="BP176" i="38"/>
  <c r="BQ176" i="38" s="1"/>
  <c r="BS176" i="38" s="1"/>
  <c r="AB176" i="38"/>
  <c r="AC176" i="38" s="1"/>
  <c r="AE176" i="38" s="1"/>
  <c r="AG176" i="38" s="1"/>
  <c r="AI176" i="38" s="1"/>
  <c r="GF115" i="38"/>
  <c r="GG115" i="38" s="1"/>
  <c r="GI115" i="38" s="1"/>
  <c r="GK115" i="38" s="1"/>
  <c r="GM115" i="38" s="1"/>
  <c r="ER115" i="38"/>
  <c r="ES115" i="38" s="1"/>
  <c r="DD115" i="38"/>
  <c r="DE115" i="38" s="1"/>
  <c r="BP115" i="38"/>
  <c r="BQ115" i="38" s="1"/>
  <c r="AB115" i="38"/>
  <c r="AC115" i="38" s="1"/>
  <c r="FL176" i="38"/>
  <c r="FM176" i="38" s="1"/>
  <c r="DX176" i="38"/>
  <c r="DY176" i="38" s="1"/>
  <c r="CJ176" i="38"/>
  <c r="CK176" i="38" s="1"/>
  <c r="AV176" i="38"/>
  <c r="AW176" i="38" s="1"/>
  <c r="AY176" i="38" s="1"/>
  <c r="BA176" i="38" s="1"/>
  <c r="BC176" i="38" s="1"/>
  <c r="ND57" i="38"/>
  <c r="NE57" i="38" s="1"/>
  <c r="NG57" i="38" s="1"/>
  <c r="NI57" i="38" s="1"/>
  <c r="NK57" i="38" s="1"/>
  <c r="LP57" i="38"/>
  <c r="LQ57" i="38" s="1"/>
  <c r="KB57" i="38"/>
  <c r="KC57" i="38" s="1"/>
  <c r="IN57" i="38"/>
  <c r="IO57" i="38" s="1"/>
  <c r="IQ57" i="38" s="1"/>
  <c r="IS57" i="38" s="1"/>
  <c r="GZ57" i="38"/>
  <c r="HA57" i="38" s="1"/>
  <c r="HC57" i="38" s="1"/>
  <c r="HE57" i="38" s="1"/>
  <c r="HG57" i="38" s="1"/>
  <c r="FL57" i="38"/>
  <c r="FM57" i="38" s="1"/>
  <c r="DX57" i="38"/>
  <c r="DY57" i="38" s="1"/>
  <c r="CJ57" i="38"/>
  <c r="CK57" i="38" s="1"/>
  <c r="CM57" i="38" s="1"/>
  <c r="AV57" i="38"/>
  <c r="AW57" i="38" s="1"/>
  <c r="H57" i="38"/>
  <c r="I57" i="38" s="1"/>
  <c r="GF114" i="38"/>
  <c r="GG114" i="38" s="1"/>
  <c r="ER114" i="38"/>
  <c r="ES114" i="38" s="1"/>
  <c r="EU114" i="38" s="1"/>
  <c r="DD114" i="38"/>
  <c r="DE114" i="38" s="1"/>
  <c r="BP114" i="38"/>
  <c r="BQ114" i="38" s="1"/>
  <c r="AB114" i="38"/>
  <c r="AC114" i="38" s="1"/>
  <c r="GF175" i="38"/>
  <c r="GG175" i="38" s="1"/>
  <c r="GI175" i="38" s="1"/>
  <c r="GK175" i="38" s="1"/>
  <c r="GM175" i="38" s="1"/>
  <c r="ER175" i="38"/>
  <c r="ES175" i="38" s="1"/>
  <c r="DD175" i="38"/>
  <c r="DE175" i="38" s="1"/>
  <c r="DG175" i="38" s="1"/>
  <c r="BP175" i="38"/>
  <c r="BQ175" i="38" s="1"/>
  <c r="BS175" i="38" s="1"/>
  <c r="BU175" i="38" s="1"/>
  <c r="BW175" i="38" s="1"/>
  <c r="AB175" i="38"/>
  <c r="AC175" i="38" s="1"/>
  <c r="GF57" i="38"/>
  <c r="GG57" i="38" s="1"/>
  <c r="GI57" i="38" s="1"/>
  <c r="ER57" i="38"/>
  <c r="ES57" i="38" s="1"/>
  <c r="DD57" i="38"/>
  <c r="DE57" i="38" s="1"/>
  <c r="BP57" i="38"/>
  <c r="BQ57" i="38" s="1"/>
  <c r="BS57" i="38" s="1"/>
  <c r="BU57" i="38" s="1"/>
  <c r="BW57" i="38" s="1"/>
  <c r="AB57" i="38"/>
  <c r="FL114" i="38"/>
  <c r="FM114" i="38" s="1"/>
  <c r="DX114" i="38"/>
  <c r="DY114" i="38" s="1"/>
  <c r="CJ114" i="38"/>
  <c r="CK114" i="38" s="1"/>
  <c r="AV114" i="38"/>
  <c r="AW114" i="38" s="1"/>
  <c r="H114" i="38"/>
  <c r="I114" i="38" s="1"/>
  <c r="K114" i="38" s="1"/>
  <c r="M114" i="38" s="1"/>
  <c r="O114" i="38" s="1"/>
  <c r="FL175" i="38"/>
  <c r="FM175" i="38" s="1"/>
  <c r="DX175" i="38"/>
  <c r="DY175" i="38" s="1"/>
  <c r="CJ175" i="38"/>
  <c r="CK175" i="38" s="1"/>
  <c r="CM175" i="38" s="1"/>
  <c r="AV175" i="38"/>
  <c r="AW175" i="38" s="1"/>
  <c r="NX56" i="38"/>
  <c r="NY56" i="38" s="1"/>
  <c r="MJ56" i="38"/>
  <c r="MK56" i="38" s="1"/>
  <c r="KV56" i="38"/>
  <c r="KW56" i="38" s="1"/>
  <c r="KY56" i="38" s="1"/>
  <c r="LA56" i="38" s="1"/>
  <c r="LC56" i="38" s="1"/>
  <c r="JH56" i="38"/>
  <c r="JI56" i="38" s="1"/>
  <c r="HT56" i="38"/>
  <c r="HU56" i="38" s="1"/>
  <c r="GF56" i="38"/>
  <c r="GG56" i="38" s="1"/>
  <c r="ER56" i="38"/>
  <c r="ES56" i="38" s="1"/>
  <c r="DD56" i="38"/>
  <c r="DE56" i="38" s="1"/>
  <c r="DG56" i="38" s="1"/>
  <c r="DI56" i="38" s="1"/>
  <c r="BP56" i="38"/>
  <c r="BQ56" i="38" s="1"/>
  <c r="AB56" i="38"/>
  <c r="AC56" i="38" s="1"/>
  <c r="FL113" i="38"/>
  <c r="FM113" i="38" s="1"/>
  <c r="DX113" i="38"/>
  <c r="DY113" i="38" s="1"/>
  <c r="EA113" i="38" s="1"/>
  <c r="CJ113" i="38"/>
  <c r="CK113" i="38" s="1"/>
  <c r="CM113" i="38" s="1"/>
  <c r="AV113" i="38"/>
  <c r="AW113" i="38" s="1"/>
  <c r="H113" i="38"/>
  <c r="I113" i="38" s="1"/>
  <c r="FL174" i="38"/>
  <c r="FM174" i="38" s="1"/>
  <c r="DX174" i="38"/>
  <c r="DY174" i="38" s="1"/>
  <c r="CJ174" i="38"/>
  <c r="CK174" i="38" s="1"/>
  <c r="AV174" i="38"/>
  <c r="AW174" i="38" s="1"/>
  <c r="H174" i="38"/>
  <c r="I174" i="38" s="1"/>
  <c r="K174" i="38" s="1"/>
  <c r="M174" i="38" s="1"/>
  <c r="O174" i="38" s="1"/>
  <c r="GF174" i="38"/>
  <c r="GG174" i="38" s="1"/>
  <c r="ND56" i="38"/>
  <c r="NE56" i="38" s="1"/>
  <c r="LP56" i="38"/>
  <c r="LQ56" i="38" s="1"/>
  <c r="LS56" i="38" s="1"/>
  <c r="KB56" i="38"/>
  <c r="KC56" i="38" s="1"/>
  <c r="KE56" i="38" s="1"/>
  <c r="KG56" i="38" s="1"/>
  <c r="KI56" i="38" s="1"/>
  <c r="IN56" i="38"/>
  <c r="IO56" i="38" s="1"/>
  <c r="GZ56" i="38"/>
  <c r="HA56" i="38" s="1"/>
  <c r="FL56" i="38"/>
  <c r="FM56" i="38" s="1"/>
  <c r="DX56" i="38"/>
  <c r="DY56" i="38" s="1"/>
  <c r="CJ56" i="38"/>
  <c r="CK56" i="38" s="1"/>
  <c r="AV56" i="38"/>
  <c r="AW56" i="38" s="1"/>
  <c r="H56" i="38"/>
  <c r="I56" i="38" s="1"/>
  <c r="K56" i="38" s="1"/>
  <c r="GF113" i="38"/>
  <c r="GG113" i="38" s="1"/>
  <c r="ER113" i="38"/>
  <c r="ES113" i="38" s="1"/>
  <c r="DD113" i="38"/>
  <c r="DE113" i="38" s="1"/>
  <c r="BP113" i="38"/>
  <c r="BQ113" i="38" s="1"/>
  <c r="AB113" i="38"/>
  <c r="AC113" i="38" s="1"/>
  <c r="AE113" i="38" s="1"/>
  <c r="ER174" i="38"/>
  <c r="ES174" i="38" s="1"/>
  <c r="EU174" i="38" s="1"/>
  <c r="DD174" i="38"/>
  <c r="DE174" i="38" s="1"/>
  <c r="BP174" i="38"/>
  <c r="BQ174" i="38" s="1"/>
  <c r="BX175" i="38"/>
  <c r="CD175" i="38" s="1"/>
  <c r="I175" i="38"/>
  <c r="K175" i="38" s="1"/>
  <c r="M175" i="38" s="1"/>
  <c r="O175" i="38" s="1"/>
  <c r="P175" i="38"/>
  <c r="U175" i="38" s="1"/>
  <c r="GN174" i="38"/>
  <c r="DL174" i="38"/>
  <c r="FT175" i="38"/>
  <c r="GC175" i="38" s="1"/>
  <c r="CR175" i="38"/>
  <c r="DA175" i="38" s="1"/>
  <c r="EF174" i="38"/>
  <c r="BD174" i="38"/>
  <c r="EZ175" i="38"/>
  <c r="FI175" i="38" s="1"/>
  <c r="AC174" i="38"/>
  <c r="AE174" i="38" s="1"/>
  <c r="AJ174" i="38"/>
  <c r="GN175" i="38"/>
  <c r="GT175" i="38" s="1"/>
  <c r="DL175" i="38"/>
  <c r="DU175" i="38" s="1"/>
  <c r="AJ175" i="38"/>
  <c r="AQ175" i="38" s="1"/>
  <c r="EZ174" i="38"/>
  <c r="BX174" i="38"/>
  <c r="P174" i="38"/>
  <c r="EF175" i="38"/>
  <c r="EO175" i="38" s="1"/>
  <c r="BD175" i="38"/>
  <c r="BK175" i="38" s="1"/>
  <c r="FT174" i="38"/>
  <c r="CR174" i="38"/>
  <c r="T175" i="38"/>
  <c r="EF176" i="38"/>
  <c r="BD176" i="38"/>
  <c r="EZ176" i="38"/>
  <c r="BX176" i="38"/>
  <c r="FT176" i="38"/>
  <c r="CR176" i="38"/>
  <c r="I176" i="38"/>
  <c r="K176" i="38" s="1"/>
  <c r="M176" i="38" s="1"/>
  <c r="O176" i="38" s="1"/>
  <c r="P176" i="38"/>
  <c r="GN176" i="38"/>
  <c r="DL176" i="38"/>
  <c r="AJ176" i="38"/>
  <c r="GV113" i="38"/>
  <c r="FH113" i="38"/>
  <c r="GN114" i="38"/>
  <c r="GU114" i="38" s="1"/>
  <c r="AJ114" i="38"/>
  <c r="AP114" i="38" s="1"/>
  <c r="EF114" i="38"/>
  <c r="EL114" i="38" s="1"/>
  <c r="BD114" i="38"/>
  <c r="GS113" i="38"/>
  <c r="GW113" i="38"/>
  <c r="GT113" i="38"/>
  <c r="GU113" i="38"/>
  <c r="FE113" i="38"/>
  <c r="FI113" i="38"/>
  <c r="FF113" i="38"/>
  <c r="FG113" i="38"/>
  <c r="EF113" i="38"/>
  <c r="BD113" i="38"/>
  <c r="DL113" i="38"/>
  <c r="AJ113" i="38"/>
  <c r="EZ114" i="38"/>
  <c r="FG114" i="38" s="1"/>
  <c r="BX114" i="38"/>
  <c r="CD114" i="38" s="1"/>
  <c r="P114" i="38"/>
  <c r="U114" i="38" s="1"/>
  <c r="BX113" i="38"/>
  <c r="P113" i="38"/>
  <c r="DL114" i="38"/>
  <c r="DS114" i="38" s="1"/>
  <c r="FT114" i="38"/>
  <c r="GC114" i="38" s="1"/>
  <c r="CR114" i="38"/>
  <c r="CX114" i="38" s="1"/>
  <c r="FT113" i="38"/>
  <c r="CR113" i="38"/>
  <c r="HU57" i="38"/>
  <c r="EL57" i="38"/>
  <c r="BD115" i="38"/>
  <c r="EZ115" i="38"/>
  <c r="BX115" i="38"/>
  <c r="EF115" i="38"/>
  <c r="FT115" i="38"/>
  <c r="CR115" i="38"/>
  <c r="P115" i="38"/>
  <c r="GN115" i="38"/>
  <c r="DL115" i="38"/>
  <c r="AJ115" i="38"/>
  <c r="HN56" i="38"/>
  <c r="HN57" i="38"/>
  <c r="IH56" i="38"/>
  <c r="JB56" i="38"/>
  <c r="CF57" i="38"/>
  <c r="ME57" i="38"/>
  <c r="X56" i="38"/>
  <c r="KP57" i="38"/>
  <c r="EL56" i="38"/>
  <c r="BL56" i="38"/>
  <c r="AR57" i="38"/>
  <c r="IJ56" i="38"/>
  <c r="CZ56" i="38"/>
  <c r="GB57" i="38"/>
  <c r="KR57" i="38"/>
  <c r="FF56" i="38"/>
  <c r="FH56" i="38"/>
  <c r="LD56" i="38"/>
  <c r="LM56" i="38" s="1"/>
  <c r="JC57" i="38"/>
  <c r="JA57" i="38"/>
  <c r="MZ56" i="38"/>
  <c r="MY56" i="38"/>
  <c r="MW56" i="38"/>
  <c r="NA56" i="38"/>
  <c r="MX56" i="38"/>
  <c r="ON56" i="38"/>
  <c r="OM56" i="38"/>
  <c r="OK56" i="38"/>
  <c r="OO56" i="38"/>
  <c r="OL56" i="38"/>
  <c r="NT56" i="38"/>
  <c r="NQ56" i="38"/>
  <c r="NU56" i="38"/>
  <c r="NS56" i="38"/>
  <c r="NR56" i="38"/>
  <c r="EK56" i="38"/>
  <c r="EO56" i="38"/>
  <c r="EM56" i="38"/>
  <c r="KO57" i="38"/>
  <c r="FZ57" i="38"/>
  <c r="CZ57" i="38"/>
  <c r="LX56" i="38"/>
  <c r="JD56" i="38"/>
  <c r="IG56" i="38"/>
  <c r="IK56" i="38"/>
  <c r="II56" i="38"/>
  <c r="FE56" i="38"/>
  <c r="FI56" i="38"/>
  <c r="FG56" i="38"/>
  <c r="CW56" i="38"/>
  <c r="DA56" i="38"/>
  <c r="CX56" i="38"/>
  <c r="CY56" i="38"/>
  <c r="BI56" i="38"/>
  <c r="BM56" i="38"/>
  <c r="BJ56" i="38"/>
  <c r="BK56" i="38"/>
  <c r="U56" i="38"/>
  <c r="Y56" i="38"/>
  <c r="V56" i="38"/>
  <c r="W56" i="38"/>
  <c r="HM56" i="38"/>
  <c r="HQ56" i="38"/>
  <c r="HO56" i="38"/>
  <c r="CX57" i="38"/>
  <c r="JA56" i="38"/>
  <c r="JE56" i="38"/>
  <c r="JC56" i="38"/>
  <c r="FT56" i="38"/>
  <c r="KJ56" i="38"/>
  <c r="JP56" i="38"/>
  <c r="HP56" i="38"/>
  <c r="GN56" i="38"/>
  <c r="EN56" i="38"/>
  <c r="DL56" i="38"/>
  <c r="BX56" i="38"/>
  <c r="AJ56" i="38"/>
  <c r="OF57" i="38"/>
  <c r="NY57" i="38"/>
  <c r="LK57" i="38"/>
  <c r="LI57" i="38"/>
  <c r="LJ57" i="38"/>
  <c r="LL57" i="38"/>
  <c r="LM57" i="38"/>
  <c r="II57" i="38"/>
  <c r="IG57" i="38"/>
  <c r="IH57" i="38"/>
  <c r="IK57" i="38"/>
  <c r="IJ57" i="38"/>
  <c r="NL57" i="38"/>
  <c r="MR57" i="38"/>
  <c r="MC57" i="38"/>
  <c r="CC57" i="38"/>
  <c r="CG57" i="38"/>
  <c r="CD57" i="38"/>
  <c r="CE57" i="38"/>
  <c r="AO57" i="38"/>
  <c r="AS57" i="38"/>
  <c r="AP57" i="38"/>
  <c r="AQ57" i="38"/>
  <c r="MG57" i="38"/>
  <c r="JP57" i="38"/>
  <c r="JE57" i="38"/>
  <c r="EZ57" i="38"/>
  <c r="AC57" i="38"/>
  <c r="U57" i="38"/>
  <c r="Y57" i="38"/>
  <c r="V57" i="38"/>
  <c r="W57" i="38"/>
  <c r="MF57" i="38"/>
  <c r="KQ57" i="38"/>
  <c r="JD57" i="38"/>
  <c r="FY57" i="38"/>
  <c r="GC57" i="38"/>
  <c r="GA57" i="38"/>
  <c r="CW57" i="38"/>
  <c r="DA57" i="38"/>
  <c r="CY57" i="38"/>
  <c r="BL57" i="38"/>
  <c r="BI57" i="38"/>
  <c r="BM57" i="38"/>
  <c r="BJ57" i="38"/>
  <c r="BK57" i="38"/>
  <c r="X57" i="38"/>
  <c r="HM57" i="38"/>
  <c r="HQ57" i="38"/>
  <c r="HO57" i="38"/>
  <c r="EK57" i="38"/>
  <c r="EO57" i="38"/>
  <c r="EM57" i="38"/>
  <c r="MD57" i="38"/>
  <c r="KS57" i="38"/>
  <c r="JB57" i="38"/>
  <c r="HP57" i="38"/>
  <c r="GN57" i="38"/>
  <c r="EN57" i="38"/>
  <c r="DL57" i="38"/>
  <c r="M24" i="33"/>
  <c r="P24" i="33"/>
  <c r="I24" i="33"/>
  <c r="S68" i="39"/>
  <c r="T68" i="39" s="1"/>
  <c r="U68" i="39" s="1"/>
  <c r="V68" i="39" s="1"/>
  <c r="W68" i="39" s="1"/>
  <c r="S23" i="39"/>
  <c r="T23" i="39" s="1"/>
  <c r="U23" i="39" s="1"/>
  <c r="V23" i="39" s="1"/>
  <c r="W23" i="39" s="1"/>
  <c r="S42" i="39"/>
  <c r="T42" i="39" s="1"/>
  <c r="U42" i="39" s="1"/>
  <c r="V42" i="39" s="1"/>
  <c r="W42" i="39" s="1"/>
  <c r="S55" i="39"/>
  <c r="T55" i="39" s="1"/>
  <c r="U55" i="39" s="1"/>
  <c r="V55" i="39" s="1"/>
  <c r="W55" i="39" s="1"/>
  <c r="GU175" i="38" l="1"/>
  <c r="CM56" i="38"/>
  <c r="CO56" i="38" s="1"/>
  <c r="CQ56" i="38" s="1"/>
  <c r="BS56" i="38"/>
  <c r="BU56" i="38" s="1"/>
  <c r="BW56" i="38" s="1"/>
  <c r="OA56" i="38"/>
  <c r="OC56" i="38" s="1"/>
  <c r="OE56" i="38" s="1"/>
  <c r="FO175" i="38"/>
  <c r="FQ175" i="38" s="1"/>
  <c r="FS175" i="38" s="1"/>
  <c r="GI114" i="38"/>
  <c r="EC115" i="38"/>
  <c r="EE115" i="38" s="1"/>
  <c r="AG113" i="38"/>
  <c r="AI113" i="38" s="1"/>
  <c r="GI113" i="38"/>
  <c r="GK113" i="38" s="1"/>
  <c r="GM113" i="38" s="1"/>
  <c r="EA56" i="38"/>
  <c r="FO174" i="38"/>
  <c r="FQ174" i="38" s="1"/>
  <c r="FS174" i="38" s="1"/>
  <c r="JK56" i="38"/>
  <c r="JM56" i="38" s="1"/>
  <c r="JO56" i="38" s="1"/>
  <c r="AY175" i="38"/>
  <c r="BA175" i="38" s="1"/>
  <c r="BC175" i="38" s="1"/>
  <c r="FO114" i="38"/>
  <c r="EU57" i="38"/>
  <c r="EW57" i="38" s="1"/>
  <c r="EY57" i="38" s="1"/>
  <c r="LS57" i="38"/>
  <c r="LU57" i="38" s="1"/>
  <c r="LW57" i="38" s="1"/>
  <c r="EA176" i="38"/>
  <c r="EC176" i="38" s="1"/>
  <c r="EE176" i="38" s="1"/>
  <c r="K115" i="38"/>
  <c r="M115" i="38" s="1"/>
  <c r="O115" i="38" s="1"/>
  <c r="CM176" i="38"/>
  <c r="CO176" i="38" s="1"/>
  <c r="CQ176" i="38" s="1"/>
  <c r="BS174" i="38"/>
  <c r="BU174" i="38" s="1"/>
  <c r="BW174" i="38" s="1"/>
  <c r="LU56" i="38"/>
  <c r="LW56" i="38" s="1"/>
  <c r="K113" i="38"/>
  <c r="M113" i="38" s="1"/>
  <c r="O113" i="38" s="1"/>
  <c r="AY115" i="38"/>
  <c r="BA115" i="38" s="1"/>
  <c r="BC115" i="38" s="1"/>
  <c r="IU57" i="38"/>
  <c r="AE114" i="38"/>
  <c r="AG114" i="38" s="1"/>
  <c r="AI114" i="38" s="1"/>
  <c r="GK114" i="38"/>
  <c r="GM114" i="38" s="1"/>
  <c r="BS115" i="38"/>
  <c r="BU115" i="38" s="1"/>
  <c r="BW115" i="38" s="1"/>
  <c r="LA57" i="38"/>
  <c r="LC57" i="38" s="1"/>
  <c r="DK56" i="38"/>
  <c r="FQ114" i="38"/>
  <c r="FS114" i="38" s="1"/>
  <c r="DI175" i="38"/>
  <c r="DK175" i="38" s="1"/>
  <c r="DG115" i="38"/>
  <c r="DI115" i="38" s="1"/>
  <c r="DK115" i="38" s="1"/>
  <c r="FQ115" i="38"/>
  <c r="FS115" i="38" s="1"/>
  <c r="AE57" i="38"/>
  <c r="AG57" i="38" s="1"/>
  <c r="AI57" i="38" s="1"/>
  <c r="EC113" i="38"/>
  <c r="EE113" i="38" s="1"/>
  <c r="BU176" i="38"/>
  <c r="BW176" i="38" s="1"/>
  <c r="JK57" i="38"/>
  <c r="JM57" i="38" s="1"/>
  <c r="JO57" i="38" s="1"/>
  <c r="M56" i="38"/>
  <c r="O56" i="38" s="1"/>
  <c r="EU175" i="38"/>
  <c r="EW175" i="38" s="1"/>
  <c r="EY175" i="38" s="1"/>
  <c r="EU115" i="38"/>
  <c r="EW115" i="38" s="1"/>
  <c r="EY115" i="38" s="1"/>
  <c r="AG174" i="38"/>
  <c r="AI174" i="38" s="1"/>
  <c r="CO57" i="38"/>
  <c r="CQ57" i="38" s="1"/>
  <c r="CO175" i="38"/>
  <c r="CQ175" i="38" s="1"/>
  <c r="GK57" i="38"/>
  <c r="GM57" i="38" s="1"/>
  <c r="DG114" i="38"/>
  <c r="DI114" i="38" s="1"/>
  <c r="DK114" i="38" s="1"/>
  <c r="EW114" i="38"/>
  <c r="EY114" i="38" s="1"/>
  <c r="GI176" i="38"/>
  <c r="GK176" i="38" s="1"/>
  <c r="GM176" i="38" s="1"/>
  <c r="EU176" i="38"/>
  <c r="EW176" i="38" s="1"/>
  <c r="EY176" i="38" s="1"/>
  <c r="EW174" i="38"/>
  <c r="EY174" i="38" s="1"/>
  <c r="CO113" i="38"/>
  <c r="CQ113" i="38" s="1"/>
  <c r="KE57" i="38"/>
  <c r="KG57" i="38" s="1"/>
  <c r="KI57" i="38" s="1"/>
  <c r="EC56" i="38"/>
  <c r="EE56" i="38" s="1"/>
  <c r="BS114" i="38"/>
  <c r="BU114" i="38" s="1"/>
  <c r="BW114" i="38" s="1"/>
  <c r="K57" i="38"/>
  <c r="M57" i="38" s="1"/>
  <c r="O57" i="38" s="1"/>
  <c r="DG113" i="38"/>
  <c r="DI113" i="38" s="1"/>
  <c r="DK113" i="38" s="1"/>
  <c r="HC56" i="38"/>
  <c r="HE56" i="38" s="1"/>
  <c r="HG56" i="38" s="1"/>
  <c r="MM57" i="38"/>
  <c r="MO57" i="38" s="1"/>
  <c r="MQ57" i="38" s="1"/>
  <c r="FO56" i="38"/>
  <c r="FQ56" i="38" s="1"/>
  <c r="FS56" i="38" s="1"/>
  <c r="AY174" i="38"/>
  <c r="BA174" i="38" s="1"/>
  <c r="BC174" i="38" s="1"/>
  <c r="EU56" i="38"/>
  <c r="EW56" i="38" s="1"/>
  <c r="EY56" i="38" s="1"/>
  <c r="AY114" i="38"/>
  <c r="BA114" i="38" s="1"/>
  <c r="BC114" i="38" s="1"/>
  <c r="AY57" i="38"/>
  <c r="BA57" i="38" s="1"/>
  <c r="BC57" i="38" s="1"/>
  <c r="FO176" i="38"/>
  <c r="FQ176" i="38" s="1"/>
  <c r="FS176" i="38" s="1"/>
  <c r="DG176" i="38"/>
  <c r="DI176" i="38" s="1"/>
  <c r="DK176" i="38" s="1"/>
  <c r="FO57" i="38"/>
  <c r="FQ57" i="38" s="1"/>
  <c r="FS57" i="38" s="1"/>
  <c r="OA57" i="38"/>
  <c r="OC57" i="38" s="1"/>
  <c r="OE57" i="38" s="1"/>
  <c r="AE115" i="38"/>
  <c r="AG115" i="38" s="1"/>
  <c r="AI115" i="38" s="1"/>
  <c r="CM115" i="38"/>
  <c r="CO115" i="38" s="1"/>
  <c r="CQ115" i="38" s="1"/>
  <c r="DG174" i="38"/>
  <c r="DI174" i="38" s="1"/>
  <c r="DK174" i="38" s="1"/>
  <c r="AY113" i="38"/>
  <c r="BA113" i="38" s="1"/>
  <c r="BC113" i="38" s="1"/>
  <c r="AE56" i="38"/>
  <c r="AG56" i="38" s="1"/>
  <c r="AI56" i="38" s="1"/>
  <c r="MM56" i="38"/>
  <c r="MO56" i="38" s="1"/>
  <c r="MQ56" i="38" s="1"/>
  <c r="EA175" i="38"/>
  <c r="EC175" i="38" s="1"/>
  <c r="EE175" i="38" s="1"/>
  <c r="EM175" i="38"/>
  <c r="AE175" i="38"/>
  <c r="AG175" i="38" s="1"/>
  <c r="AI175" i="38" s="1"/>
  <c r="AY56" i="38"/>
  <c r="BA56" i="38" s="1"/>
  <c r="BC56" i="38" s="1"/>
  <c r="NG56" i="38"/>
  <c r="NI56" i="38" s="1"/>
  <c r="NK56" i="38" s="1"/>
  <c r="CM174" i="38"/>
  <c r="CO174" i="38" s="1"/>
  <c r="CQ174" i="38" s="1"/>
  <c r="GI56" i="38"/>
  <c r="GK56" i="38" s="1"/>
  <c r="GM56" i="38" s="1"/>
  <c r="CM114" i="38"/>
  <c r="CO114" i="38" s="1"/>
  <c r="CQ114" i="38" s="1"/>
  <c r="IQ56" i="38"/>
  <c r="IS56" i="38" s="1"/>
  <c r="IU56" i="38" s="1"/>
  <c r="DG57" i="38"/>
  <c r="DI57" i="38" s="1"/>
  <c r="DK57" i="38" s="1"/>
  <c r="HW57" i="38"/>
  <c r="HY57" i="38" s="1"/>
  <c r="IA57" i="38" s="1"/>
  <c r="EU113" i="38"/>
  <c r="EW113" i="38" s="1"/>
  <c r="EY113" i="38" s="1"/>
  <c r="GI174" i="38"/>
  <c r="GK174" i="38" s="1"/>
  <c r="GM174" i="38" s="1"/>
  <c r="EA114" i="38"/>
  <c r="EC114" i="38" s="1"/>
  <c r="EE114" i="38" s="1"/>
  <c r="EA57" i="38"/>
  <c r="EC57" i="38" s="1"/>
  <c r="EE57" i="38" s="1"/>
  <c r="BS113" i="38"/>
  <c r="BU113" i="38" s="1"/>
  <c r="BW113" i="38" s="1"/>
  <c r="FO113" i="38"/>
  <c r="FQ113" i="38" s="1"/>
  <c r="FS113" i="38" s="1"/>
  <c r="HW56" i="38"/>
  <c r="HY56" i="38" s="1"/>
  <c r="IA56" i="38" s="1"/>
  <c r="EA174" i="38"/>
  <c r="EC174" i="38" s="1"/>
  <c r="EE174" i="38" s="1"/>
  <c r="GW175" i="38"/>
  <c r="AS175" i="38"/>
  <c r="FG175" i="38"/>
  <c r="FF175" i="38"/>
  <c r="X114" i="38"/>
  <c r="EL175" i="38"/>
  <c r="CG175" i="38"/>
  <c r="GA175" i="38"/>
  <c r="FZ175" i="38"/>
  <c r="AP175" i="38"/>
  <c r="GA114" i="38"/>
  <c r="CE175" i="38"/>
  <c r="Y175" i="38"/>
  <c r="BJ175" i="38"/>
  <c r="W175" i="38"/>
  <c r="CW174" i="38"/>
  <c r="DA174" i="38"/>
  <c r="CX174" i="38"/>
  <c r="CY174" i="38"/>
  <c r="CZ174" i="38"/>
  <c r="U174" i="38"/>
  <c r="Y174" i="38"/>
  <c r="V174" i="38"/>
  <c r="W174" i="38"/>
  <c r="X174" i="38"/>
  <c r="DQ175" i="38"/>
  <c r="DT175" i="38"/>
  <c r="AO174" i="38"/>
  <c r="AS174" i="38"/>
  <c r="AP174" i="38"/>
  <c r="AQ174" i="38"/>
  <c r="AR174" i="38"/>
  <c r="BI174" i="38"/>
  <c r="BM174" i="38"/>
  <c r="BJ174" i="38"/>
  <c r="BK174" i="38"/>
  <c r="BL174" i="38"/>
  <c r="CW175" i="38"/>
  <c r="CZ175" i="38"/>
  <c r="DQ174" i="38"/>
  <c r="DU174" i="38"/>
  <c r="DR174" i="38"/>
  <c r="DS174" i="38"/>
  <c r="DT174" i="38"/>
  <c r="CG114" i="38"/>
  <c r="FZ114" i="38"/>
  <c r="BM175" i="38"/>
  <c r="V175" i="38"/>
  <c r="CX175" i="38"/>
  <c r="CY175" i="38"/>
  <c r="X175" i="38"/>
  <c r="FY174" i="38"/>
  <c r="GC174" i="38"/>
  <c r="FZ174" i="38"/>
  <c r="GB174" i="38"/>
  <c r="GA174" i="38"/>
  <c r="EK175" i="38"/>
  <c r="EN175" i="38"/>
  <c r="CC174" i="38"/>
  <c r="CG174" i="38"/>
  <c r="CD174" i="38"/>
  <c r="CF174" i="38"/>
  <c r="CE174" i="38"/>
  <c r="AO175" i="38"/>
  <c r="AR175" i="38"/>
  <c r="GS175" i="38"/>
  <c r="GV175" i="38"/>
  <c r="FE175" i="38"/>
  <c r="FH175" i="38"/>
  <c r="EK174" i="38"/>
  <c r="EO174" i="38"/>
  <c r="EL174" i="38"/>
  <c r="EN174" i="38"/>
  <c r="EM174" i="38"/>
  <c r="FY175" i="38"/>
  <c r="GB175" i="38"/>
  <c r="GS174" i="38"/>
  <c r="GW174" i="38"/>
  <c r="GV174" i="38"/>
  <c r="GT174" i="38"/>
  <c r="GU174" i="38"/>
  <c r="CC175" i="38"/>
  <c r="CF175" i="38"/>
  <c r="BI175" i="38"/>
  <c r="BL175" i="38"/>
  <c r="FE174" i="38"/>
  <c r="FI174" i="38"/>
  <c r="FF174" i="38"/>
  <c r="FG174" i="38"/>
  <c r="FH174" i="38"/>
  <c r="DR175" i="38"/>
  <c r="DS175" i="38"/>
  <c r="CE114" i="38"/>
  <c r="DR114" i="38"/>
  <c r="AO176" i="38"/>
  <c r="AS176" i="38"/>
  <c r="AP176" i="38"/>
  <c r="AQ176" i="38"/>
  <c r="AR176" i="38"/>
  <c r="GS176" i="38"/>
  <c r="GW176" i="38"/>
  <c r="GT176" i="38"/>
  <c r="GU176" i="38"/>
  <c r="GV176" i="38"/>
  <c r="CW176" i="38"/>
  <c r="DA176" i="38"/>
  <c r="CX176" i="38"/>
  <c r="CY176" i="38"/>
  <c r="CZ176" i="38"/>
  <c r="CC176" i="38"/>
  <c r="CG176" i="38"/>
  <c r="CD176" i="38"/>
  <c r="CE176" i="38"/>
  <c r="CF176" i="38"/>
  <c r="BI176" i="38"/>
  <c r="BM176" i="38"/>
  <c r="BJ176" i="38"/>
  <c r="BK176" i="38"/>
  <c r="BL176" i="38"/>
  <c r="GW114" i="38"/>
  <c r="DQ176" i="38"/>
  <c r="DU176" i="38"/>
  <c r="DR176" i="38"/>
  <c r="DS176" i="38"/>
  <c r="DT176" i="38"/>
  <c r="U176" i="38"/>
  <c r="Y176" i="38"/>
  <c r="V176" i="38"/>
  <c r="W176" i="38"/>
  <c r="X176" i="38"/>
  <c r="FY176" i="38"/>
  <c r="GC176" i="38"/>
  <c r="FZ176" i="38"/>
  <c r="GA176" i="38"/>
  <c r="GB176" i="38"/>
  <c r="FE176" i="38"/>
  <c r="FI176" i="38"/>
  <c r="FF176" i="38"/>
  <c r="FG176" i="38"/>
  <c r="FH176" i="38"/>
  <c r="EK176" i="38"/>
  <c r="EO176" i="38"/>
  <c r="EL176" i="38"/>
  <c r="EM176" i="38"/>
  <c r="EN176" i="38"/>
  <c r="V114" i="38"/>
  <c r="DU114" i="38"/>
  <c r="GT114" i="38"/>
  <c r="CY114" i="38"/>
  <c r="EO114" i="38"/>
  <c r="FI114" i="38"/>
  <c r="FF114" i="38"/>
  <c r="Y114" i="38"/>
  <c r="EM114" i="38"/>
  <c r="LJ56" i="38"/>
  <c r="DA114" i="38"/>
  <c r="W114" i="38"/>
  <c r="FY113" i="38"/>
  <c r="GC113" i="38"/>
  <c r="FZ113" i="38"/>
  <c r="GA113" i="38"/>
  <c r="GB113" i="38"/>
  <c r="BI114" i="38"/>
  <c r="BL114" i="38"/>
  <c r="AO114" i="38"/>
  <c r="AR114" i="38"/>
  <c r="LL56" i="38"/>
  <c r="BJ114" i="38"/>
  <c r="AQ114" i="38"/>
  <c r="CW114" i="38"/>
  <c r="CZ114" i="38"/>
  <c r="DQ114" i="38"/>
  <c r="DT114" i="38"/>
  <c r="CC113" i="38"/>
  <c r="CG113" i="38"/>
  <c r="CD113" i="38"/>
  <c r="CE113" i="38"/>
  <c r="CF113" i="38"/>
  <c r="FE114" i="38"/>
  <c r="FH114" i="38"/>
  <c r="DQ113" i="38"/>
  <c r="DU113" i="38"/>
  <c r="DR113" i="38"/>
  <c r="DS113" i="38"/>
  <c r="DT113" i="38"/>
  <c r="EK113" i="38"/>
  <c r="EO113" i="38"/>
  <c r="EL113" i="38"/>
  <c r="EM113" i="38"/>
  <c r="EN113" i="38"/>
  <c r="AS114" i="38"/>
  <c r="BK114" i="38"/>
  <c r="CW113" i="38"/>
  <c r="DA113" i="38"/>
  <c r="CX113" i="38"/>
  <c r="CY113" i="38"/>
  <c r="CZ113" i="38"/>
  <c r="EK114" i="38"/>
  <c r="EN114" i="38"/>
  <c r="GS114" i="38"/>
  <c r="GV114" i="38"/>
  <c r="BM114" i="38"/>
  <c r="FY114" i="38"/>
  <c r="GB114" i="38"/>
  <c r="U113" i="38"/>
  <c r="Y113" i="38"/>
  <c r="V113" i="38"/>
  <c r="W113" i="38"/>
  <c r="X113" i="38"/>
  <c r="CC114" i="38"/>
  <c r="CF114" i="38"/>
  <c r="AO113" i="38"/>
  <c r="AS113" i="38"/>
  <c r="AP113" i="38"/>
  <c r="AQ113" i="38"/>
  <c r="AR113" i="38"/>
  <c r="BI113" i="38"/>
  <c r="BM113" i="38"/>
  <c r="BJ113" i="38"/>
  <c r="BK113" i="38"/>
  <c r="BL113" i="38"/>
  <c r="AO115" i="38"/>
  <c r="AS115" i="38"/>
  <c r="AP115" i="38"/>
  <c r="AQ115" i="38"/>
  <c r="AR115" i="38"/>
  <c r="GS115" i="38"/>
  <c r="GW115" i="38"/>
  <c r="GV115" i="38"/>
  <c r="GT115" i="38"/>
  <c r="GU115" i="38"/>
  <c r="CW115" i="38"/>
  <c r="DA115" i="38"/>
  <c r="CX115" i="38"/>
  <c r="CY115" i="38"/>
  <c r="CZ115" i="38"/>
  <c r="EK115" i="38"/>
  <c r="EO115" i="38"/>
  <c r="EL115" i="38"/>
  <c r="EM115" i="38"/>
  <c r="EN115" i="38"/>
  <c r="FE115" i="38"/>
  <c r="FI115" i="38"/>
  <c r="FH115" i="38"/>
  <c r="FF115" i="38"/>
  <c r="FG115" i="38"/>
  <c r="DQ115" i="38"/>
  <c r="DU115" i="38"/>
  <c r="DR115" i="38"/>
  <c r="DS115" i="38"/>
  <c r="DT115" i="38"/>
  <c r="U115" i="38"/>
  <c r="Y115" i="38"/>
  <c r="V115" i="38"/>
  <c r="W115" i="38"/>
  <c r="X115" i="38"/>
  <c r="FY115" i="38"/>
  <c r="GC115" i="38"/>
  <c r="FZ115" i="38"/>
  <c r="GA115" i="38"/>
  <c r="GB115" i="38"/>
  <c r="CC115" i="38"/>
  <c r="CG115" i="38"/>
  <c r="CD115" i="38"/>
  <c r="CE115" i="38"/>
  <c r="CF115" i="38"/>
  <c r="BI115" i="38"/>
  <c r="BM115" i="38"/>
  <c r="BJ115" i="38"/>
  <c r="BK115" i="38"/>
  <c r="BL115" i="38"/>
  <c r="LK56" i="38"/>
  <c r="LI56" i="38"/>
  <c r="CC56" i="38"/>
  <c r="CG56" i="38"/>
  <c r="CD56" i="38"/>
  <c r="CE56" i="38"/>
  <c r="CF56" i="38"/>
  <c r="GS56" i="38"/>
  <c r="GW56" i="38"/>
  <c r="GU56" i="38"/>
  <c r="GT56" i="38"/>
  <c r="GV56" i="38"/>
  <c r="KQ56" i="38"/>
  <c r="KO56" i="38"/>
  <c r="KP56" i="38"/>
  <c r="KS56" i="38"/>
  <c r="KR56" i="38"/>
  <c r="AO56" i="38"/>
  <c r="AS56" i="38"/>
  <c r="AP56" i="38"/>
  <c r="AQ56" i="38"/>
  <c r="AR56" i="38"/>
  <c r="JU56" i="38"/>
  <c r="JY56" i="38"/>
  <c r="JW56" i="38"/>
  <c r="JV56" i="38"/>
  <c r="JX56" i="38"/>
  <c r="DQ56" i="38"/>
  <c r="DU56" i="38"/>
  <c r="DS56" i="38"/>
  <c r="DR56" i="38"/>
  <c r="DT56" i="38"/>
  <c r="FY56" i="38"/>
  <c r="GC56" i="38"/>
  <c r="GA56" i="38"/>
  <c r="FZ56" i="38"/>
  <c r="GB56" i="38"/>
  <c r="ME56" i="38"/>
  <c r="MF56" i="38"/>
  <c r="MG56" i="38"/>
  <c r="MD56" i="38"/>
  <c r="MC56" i="38"/>
  <c r="JW57" i="38"/>
  <c r="JX57" i="38"/>
  <c r="JV57" i="38"/>
  <c r="JY57" i="38"/>
  <c r="JU57" i="38"/>
  <c r="FE57" i="38"/>
  <c r="FI57" i="38"/>
  <c r="FG57" i="38"/>
  <c r="FH57" i="38"/>
  <c r="FF57" i="38"/>
  <c r="MY57" i="38"/>
  <c r="MZ57" i="38"/>
  <c r="MX57" i="38"/>
  <c r="MW57" i="38"/>
  <c r="NA57" i="38"/>
  <c r="GS57" i="38"/>
  <c r="GW57" i="38"/>
  <c r="GU57" i="38"/>
  <c r="GT57" i="38"/>
  <c r="GV57" i="38"/>
  <c r="DQ57" i="38"/>
  <c r="DU57" i="38"/>
  <c r="DS57" i="38"/>
  <c r="DR57" i="38"/>
  <c r="DT57" i="38"/>
  <c r="NS57" i="38"/>
  <c r="NT57" i="38"/>
  <c r="NQ57" i="38"/>
  <c r="NU57" i="38"/>
  <c r="NR57" i="38"/>
  <c r="OM57" i="38"/>
  <c r="ON57" i="38"/>
  <c r="OK57" i="38"/>
  <c r="OO57" i="38"/>
  <c r="OL57" i="38"/>
  <c r="Q24" i="33"/>
  <c r="T24" i="33"/>
  <c r="U24" i="33" s="1"/>
  <c r="E68" i="39"/>
  <c r="F68" i="39"/>
  <c r="G68" i="39"/>
  <c r="F67" i="39"/>
  <c r="G67" i="39"/>
  <c r="D66" i="39"/>
  <c r="E66" i="39"/>
  <c r="F66" i="39"/>
  <c r="G66" i="39"/>
  <c r="C66" i="39"/>
  <c r="C74" i="39"/>
  <c r="R9" i="39"/>
  <c r="B26" i="23"/>
  <c r="D29" i="39"/>
  <c r="E29" i="39"/>
  <c r="F29" i="39"/>
  <c r="G29" i="39"/>
  <c r="D28" i="39"/>
  <c r="E28" i="39"/>
  <c r="F28" i="39"/>
  <c r="G28" i="39"/>
  <c r="D26" i="39"/>
  <c r="E26" i="39"/>
  <c r="F26" i="39"/>
  <c r="G26" i="39"/>
  <c r="D27" i="39"/>
  <c r="E27" i="39"/>
  <c r="F27" i="39"/>
  <c r="G27" i="39"/>
  <c r="D25" i="39"/>
  <c r="D30" i="39" s="1"/>
  <c r="E25" i="39"/>
  <c r="E30" i="39" s="1"/>
  <c r="F25" i="39"/>
  <c r="F30" i="39" s="1"/>
  <c r="G25" i="39"/>
  <c r="G30" i="39" s="1"/>
  <c r="C25" i="39"/>
  <c r="C26" i="39"/>
  <c r="C27" i="39"/>
  <c r="C28" i="39"/>
  <c r="C29" i="39"/>
  <c r="D21" i="39"/>
  <c r="E21" i="39"/>
  <c r="F21" i="39"/>
  <c r="G21" i="39"/>
  <c r="C21" i="39"/>
  <c r="D19" i="39"/>
  <c r="E19" i="39"/>
  <c r="F19" i="39"/>
  <c r="G19" i="39"/>
  <c r="C19" i="39"/>
  <c r="GZ175" i="38" l="1"/>
  <c r="R204" i="38" s="1"/>
  <c r="HB175" i="38"/>
  <c r="T204" i="38" s="1"/>
  <c r="GY175" i="38"/>
  <c r="Q204" i="38" s="1"/>
  <c r="HB174" i="38"/>
  <c r="T203" i="38" s="1"/>
  <c r="GX175" i="38"/>
  <c r="P204" i="38" s="1"/>
  <c r="GZ174" i="38"/>
  <c r="R203" i="38" s="1"/>
  <c r="GX174" i="38"/>
  <c r="P203" i="38" s="1"/>
  <c r="GY174" i="38"/>
  <c r="Q203" i="38" s="1"/>
  <c r="HA174" i="38"/>
  <c r="S203" i="38" s="1"/>
  <c r="HA175" i="38"/>
  <c r="S204" i="38" s="1"/>
  <c r="GY176" i="38"/>
  <c r="Q205" i="38" s="1"/>
  <c r="GX113" i="38"/>
  <c r="K203" i="38" s="1"/>
  <c r="HA114" i="38"/>
  <c r="N204" i="38" s="1"/>
  <c r="HB114" i="38"/>
  <c r="O204" i="38" s="1"/>
  <c r="HB176" i="38"/>
  <c r="T205" i="38" s="1"/>
  <c r="HA176" i="38"/>
  <c r="S205" i="38" s="1"/>
  <c r="GX176" i="38"/>
  <c r="P205" i="38" s="1"/>
  <c r="GZ176" i="38"/>
  <c r="R205" i="38" s="1"/>
  <c r="GZ114" i="38"/>
  <c r="M204" i="38" s="1"/>
  <c r="GY114" i="38"/>
  <c r="L204" i="38" s="1"/>
  <c r="GZ113" i="38"/>
  <c r="M203" i="38" s="1"/>
  <c r="GY113" i="38"/>
  <c r="L203" i="38" s="1"/>
  <c r="HB113" i="38"/>
  <c r="O203" i="38" s="1"/>
  <c r="GX114" i="38"/>
  <c r="K204" i="38" s="1"/>
  <c r="HA113" i="38"/>
  <c r="N203" i="38" s="1"/>
  <c r="HA115" i="38"/>
  <c r="N205" i="38" s="1"/>
  <c r="HB115" i="38"/>
  <c r="O205" i="38" s="1"/>
  <c r="OT56" i="38"/>
  <c r="J203" i="38" s="1"/>
  <c r="GZ115" i="38"/>
  <c r="M205" i="38" s="1"/>
  <c r="GX115" i="38"/>
  <c r="K205" i="38" s="1"/>
  <c r="GY115" i="38"/>
  <c r="L205" i="38" s="1"/>
  <c r="OQ56" i="38"/>
  <c r="G203" i="38" s="1"/>
  <c r="OS56" i="38"/>
  <c r="I203" i="38" s="1"/>
  <c r="X203" i="38" s="1"/>
  <c r="S27" i="36" s="1"/>
  <c r="T27" i="36" s="1"/>
  <c r="OP56" i="38"/>
  <c r="F203" i="38" s="1"/>
  <c r="OR56" i="38"/>
  <c r="H203" i="38" s="1"/>
  <c r="OS57" i="38"/>
  <c r="I204" i="38" s="1"/>
  <c r="OQ57" i="38"/>
  <c r="G204" i="38" s="1"/>
  <c r="OR57" i="38"/>
  <c r="H204" i="38" s="1"/>
  <c r="OT57" i="38"/>
  <c r="J204" i="38" s="1"/>
  <c r="OP57" i="38"/>
  <c r="F204" i="38" s="1"/>
  <c r="S9" i="39"/>
  <c r="T9" i="39" s="1"/>
  <c r="U9" i="39" s="1"/>
  <c r="V9" i="39" s="1"/>
  <c r="W9" i="39" s="1"/>
  <c r="Q9" i="39"/>
  <c r="P9" i="39" s="1"/>
  <c r="O9" i="39" s="1"/>
  <c r="N9" i="39" s="1"/>
  <c r="M9" i="39" s="1"/>
  <c r="C30" i="39"/>
  <c r="V203" i="38" l="1"/>
  <c r="M27" i="36" s="1"/>
  <c r="N27" i="36" s="1"/>
  <c r="W203" i="38"/>
  <c r="P27" i="36" s="1"/>
  <c r="Q27" i="36" s="1"/>
  <c r="G29" i="36"/>
  <c r="H29" i="36" s="1"/>
  <c r="I12" i="37"/>
  <c r="J12" i="37" s="1"/>
  <c r="U203" i="38"/>
  <c r="J27" i="36" s="1"/>
  <c r="K27" i="36" s="1"/>
  <c r="G27" i="36"/>
  <c r="H27" i="36" s="1"/>
  <c r="I10" i="37"/>
  <c r="J10" i="37" s="1"/>
  <c r="G28" i="36"/>
  <c r="H28" i="36" s="1"/>
  <c r="I11" i="37"/>
  <c r="J11" i="37" s="1"/>
  <c r="Y203" i="38"/>
  <c r="Y204" i="38"/>
  <c r="U204" i="38"/>
  <c r="J28" i="36" s="1"/>
  <c r="K28" i="36" s="1"/>
  <c r="V204" i="38"/>
  <c r="M28" i="36" s="1"/>
  <c r="N28" i="36" s="1"/>
  <c r="X204" i="38"/>
  <c r="S28" i="36" s="1"/>
  <c r="T28" i="36" s="1"/>
  <c r="V20" i="33"/>
  <c r="R20" i="33"/>
  <c r="N20" i="33"/>
  <c r="J20" i="33"/>
  <c r="F20" i="33"/>
  <c r="F27" i="33" s="1"/>
  <c r="F28" i="33" s="1"/>
  <c r="C28" i="19"/>
  <c r="C27" i="19"/>
  <c r="G24" i="37" l="1"/>
  <c r="G26" i="37"/>
  <c r="G25" i="37"/>
  <c r="W204" i="38"/>
  <c r="P28" i="36" s="1"/>
  <c r="Q28" i="36" s="1"/>
  <c r="D41" i="38"/>
  <c r="T202" i="38" l="1"/>
  <c r="S202" i="38"/>
  <c r="R202" i="38"/>
  <c r="Q202" i="38"/>
  <c r="P202" i="38"/>
  <c r="O202" i="38"/>
  <c r="N202" i="38"/>
  <c r="M202" i="38"/>
  <c r="L202" i="38"/>
  <c r="K202" i="38"/>
  <c r="J202" i="38"/>
  <c r="I202" i="38"/>
  <c r="H202" i="38"/>
  <c r="G202" i="38"/>
  <c r="D206" i="38"/>
  <c r="D202" i="38"/>
  <c r="GO173" i="38"/>
  <c r="GP173" i="38" s="1"/>
  <c r="GQ173" i="38" s="1"/>
  <c r="GR173" i="38" s="1"/>
  <c r="GO177" i="38"/>
  <c r="GP177" i="38" s="1"/>
  <c r="GQ177" i="38" s="1"/>
  <c r="GR177" i="38" s="1"/>
  <c r="GL173" i="38"/>
  <c r="GL177" i="38"/>
  <c r="GJ173" i="38"/>
  <c r="GJ177" i="38"/>
  <c r="GH173" i="38"/>
  <c r="GH177" i="38"/>
  <c r="GF173" i="38"/>
  <c r="GF177" i="38"/>
  <c r="GD173" i="38"/>
  <c r="GE173" i="38" s="1"/>
  <c r="GD177" i="38"/>
  <c r="GE177" i="38" s="1"/>
  <c r="GN177" i="38" s="1"/>
  <c r="GD170" i="38"/>
  <c r="FU173" i="38"/>
  <c r="FV173" i="38" s="1"/>
  <c r="FW173" i="38" s="1"/>
  <c r="FX173" i="38" s="1"/>
  <c r="FU177" i="38"/>
  <c r="FV177" i="38" s="1"/>
  <c r="FW177" i="38" s="1"/>
  <c r="FX177" i="38" s="1"/>
  <c r="FR173" i="38"/>
  <c r="FR177" i="38"/>
  <c r="FP173" i="38"/>
  <c r="FP177" i="38"/>
  <c r="FN173" i="38"/>
  <c r="FN177" i="38"/>
  <c r="FL173" i="38"/>
  <c r="FL177" i="38"/>
  <c r="FJ173" i="38"/>
  <c r="FK173" i="38" s="1"/>
  <c r="FJ177" i="38"/>
  <c r="FK177" i="38" s="1"/>
  <c r="FJ170" i="38"/>
  <c r="FA173" i="38"/>
  <c r="FB173" i="38" s="1"/>
  <c r="FC173" i="38" s="1"/>
  <c r="FD173" i="38" s="1"/>
  <c r="FA177" i="38"/>
  <c r="FB177" i="38" s="1"/>
  <c r="FC177" i="38" s="1"/>
  <c r="FD177" i="38" s="1"/>
  <c r="EX173" i="38"/>
  <c r="EX177" i="38"/>
  <c r="EV173" i="38"/>
  <c r="EV177" i="38"/>
  <c r="ET173" i="38"/>
  <c r="ET177" i="38"/>
  <c r="ER173" i="38"/>
  <c r="ER177" i="38"/>
  <c r="EP173" i="38"/>
  <c r="EQ173" i="38" s="1"/>
  <c r="EP177" i="38"/>
  <c r="EQ177" i="38" s="1"/>
  <c r="EP170" i="38"/>
  <c r="EG173" i="38"/>
  <c r="EH173" i="38" s="1"/>
  <c r="EI173" i="38" s="1"/>
  <c r="EJ173" i="38" s="1"/>
  <c r="EG177" i="38"/>
  <c r="EH177" i="38" s="1"/>
  <c r="EI177" i="38" s="1"/>
  <c r="EJ177" i="38" s="1"/>
  <c r="ED173" i="38"/>
  <c r="ED177" i="38"/>
  <c r="EB173" i="38"/>
  <c r="EB177" i="38"/>
  <c r="DZ173" i="38"/>
  <c r="DZ177" i="38"/>
  <c r="DX173" i="38"/>
  <c r="DX177" i="38"/>
  <c r="DV173" i="38"/>
  <c r="DW173" i="38" s="1"/>
  <c r="DV177" i="38"/>
  <c r="DW177" i="38" s="1"/>
  <c r="DV170" i="38"/>
  <c r="DM173" i="38"/>
  <c r="DN173" i="38" s="1"/>
  <c r="DO173" i="38" s="1"/>
  <c r="DP173" i="38" s="1"/>
  <c r="DM177" i="38"/>
  <c r="DN177" i="38" s="1"/>
  <c r="DO177" i="38" s="1"/>
  <c r="DP177" i="38" s="1"/>
  <c r="DJ173" i="38"/>
  <c r="DJ177" i="38"/>
  <c r="DH173" i="38"/>
  <c r="DH177" i="38"/>
  <c r="DF173" i="38"/>
  <c r="DF177" i="38"/>
  <c r="DD173" i="38"/>
  <c r="DD177" i="38"/>
  <c r="DB173" i="38"/>
  <c r="DC173" i="38" s="1"/>
  <c r="DB177" i="38"/>
  <c r="DC177" i="38" s="1"/>
  <c r="DB170" i="38"/>
  <c r="CS173" i="38"/>
  <c r="CT173" i="38" s="1"/>
  <c r="CU173" i="38" s="1"/>
  <c r="CV173" i="38" s="1"/>
  <c r="CS177" i="38"/>
  <c r="CT177" i="38" s="1"/>
  <c r="CU177" i="38" s="1"/>
  <c r="CV177" i="38" s="1"/>
  <c r="CP173" i="38"/>
  <c r="CP177" i="38"/>
  <c r="CN173" i="38"/>
  <c r="CN177" i="38"/>
  <c r="CL173" i="38"/>
  <c r="CL177" i="38"/>
  <c r="CJ173" i="38"/>
  <c r="CJ177" i="38"/>
  <c r="CH173" i="38"/>
  <c r="CI173" i="38" s="1"/>
  <c r="CH177" i="38"/>
  <c r="CI177" i="38" s="1"/>
  <c r="CH170" i="38"/>
  <c r="BY173" i="38"/>
  <c r="BZ173" i="38" s="1"/>
  <c r="CA173" i="38" s="1"/>
  <c r="CB173" i="38" s="1"/>
  <c r="BY177" i="38"/>
  <c r="BZ177" i="38" s="1"/>
  <c r="CA177" i="38" s="1"/>
  <c r="CB177" i="38" s="1"/>
  <c r="BV173" i="38"/>
  <c r="BV177" i="38"/>
  <c r="BT173" i="38"/>
  <c r="BT177" i="38"/>
  <c r="BR173" i="38"/>
  <c r="BR177" i="38"/>
  <c r="BP173" i="38"/>
  <c r="BP177" i="38"/>
  <c r="BN173" i="38"/>
  <c r="BO173" i="38" s="1"/>
  <c r="BN177" i="38"/>
  <c r="BO177" i="38" s="1"/>
  <c r="BN170" i="38"/>
  <c r="BE173" i="38"/>
  <c r="BF173" i="38" s="1"/>
  <c r="BG173" i="38" s="1"/>
  <c r="BH173" i="38" s="1"/>
  <c r="BE177" i="38"/>
  <c r="BF177" i="38" s="1"/>
  <c r="BG177" i="38" s="1"/>
  <c r="BH177" i="38" s="1"/>
  <c r="BB173" i="38"/>
  <c r="BB177" i="38"/>
  <c r="AZ173" i="38"/>
  <c r="AZ177" i="38"/>
  <c r="AX173" i="38"/>
  <c r="AX177" i="38"/>
  <c r="AV173" i="38"/>
  <c r="AV177" i="38"/>
  <c r="AT173" i="38"/>
  <c r="AU173" i="38" s="1"/>
  <c r="AT177" i="38"/>
  <c r="AU177" i="38" s="1"/>
  <c r="AT170" i="38"/>
  <c r="AK173" i="38"/>
  <c r="AL173" i="38" s="1"/>
  <c r="AM173" i="38" s="1"/>
  <c r="AN173" i="38" s="1"/>
  <c r="AK177" i="38"/>
  <c r="AL177" i="38" s="1"/>
  <c r="AM177" i="38" s="1"/>
  <c r="AN177" i="38" s="1"/>
  <c r="AH173" i="38"/>
  <c r="AH177" i="38"/>
  <c r="AF173" i="38"/>
  <c r="AF177" i="38"/>
  <c r="AD173" i="38"/>
  <c r="AD177" i="38"/>
  <c r="AB173" i="38"/>
  <c r="AB177" i="38"/>
  <c r="Z173" i="38"/>
  <c r="AA173" i="38" s="1"/>
  <c r="Z177" i="38"/>
  <c r="AA177" i="38" s="1"/>
  <c r="Z170" i="38"/>
  <c r="Q173" i="38"/>
  <c r="R173" i="38" s="1"/>
  <c r="S173" i="38" s="1"/>
  <c r="T173" i="38" s="1"/>
  <c r="Q177" i="38"/>
  <c r="R177" i="38" s="1"/>
  <c r="S177" i="38" s="1"/>
  <c r="T177" i="38" s="1"/>
  <c r="N173" i="38"/>
  <c r="N177" i="38"/>
  <c r="L173" i="38"/>
  <c r="L177" i="38"/>
  <c r="J173" i="38"/>
  <c r="J177" i="38"/>
  <c r="H173" i="38"/>
  <c r="H177" i="38"/>
  <c r="F173" i="38"/>
  <c r="G173" i="38" s="1"/>
  <c r="F177" i="38"/>
  <c r="G177" i="38" s="1"/>
  <c r="F170" i="38"/>
  <c r="D173" i="38"/>
  <c r="D177" i="38"/>
  <c r="GO112" i="38"/>
  <c r="GP112" i="38" s="1"/>
  <c r="GQ112" i="38" s="1"/>
  <c r="GR112" i="38" s="1"/>
  <c r="GO116" i="38"/>
  <c r="GP116" i="38" s="1"/>
  <c r="GQ116" i="38" s="1"/>
  <c r="GR116" i="38" s="1"/>
  <c r="GL112" i="38"/>
  <c r="GL116" i="38"/>
  <c r="GJ112" i="38"/>
  <c r="GJ116" i="38"/>
  <c r="GH112" i="38"/>
  <c r="GH116" i="38"/>
  <c r="GF112" i="38"/>
  <c r="GF116" i="38"/>
  <c r="GD112" i="38"/>
  <c r="GE112" i="38" s="1"/>
  <c r="GN112" i="38" s="1"/>
  <c r="GD116" i="38"/>
  <c r="GE116" i="38" s="1"/>
  <c r="GD109" i="38"/>
  <c r="FU112" i="38"/>
  <c r="FV112" i="38" s="1"/>
  <c r="FW112" i="38" s="1"/>
  <c r="FX112" i="38" s="1"/>
  <c r="FU116" i="38"/>
  <c r="FV116" i="38" s="1"/>
  <c r="FW116" i="38" s="1"/>
  <c r="FX116" i="38" s="1"/>
  <c r="FR112" i="38"/>
  <c r="FR116" i="38"/>
  <c r="FP112" i="38"/>
  <c r="FP116" i="38"/>
  <c r="FN112" i="38"/>
  <c r="FN116" i="38"/>
  <c r="FL112" i="38"/>
  <c r="FL116" i="38"/>
  <c r="FJ112" i="38"/>
  <c r="FK112" i="38" s="1"/>
  <c r="FJ116" i="38"/>
  <c r="FK116" i="38" s="1"/>
  <c r="FJ109" i="38"/>
  <c r="FA112" i="38"/>
  <c r="FB112" i="38" s="1"/>
  <c r="FC112" i="38" s="1"/>
  <c r="FD112" i="38" s="1"/>
  <c r="FA116" i="38"/>
  <c r="FB116" i="38" s="1"/>
  <c r="FC116" i="38" s="1"/>
  <c r="FD116" i="38" s="1"/>
  <c r="EX112" i="38"/>
  <c r="EX116" i="38"/>
  <c r="EV112" i="38"/>
  <c r="EV116" i="38"/>
  <c r="ET112" i="38"/>
  <c r="ET116" i="38"/>
  <c r="ER112" i="38"/>
  <c r="ER116" i="38"/>
  <c r="EP109" i="38"/>
  <c r="EP112" i="38"/>
  <c r="EQ112" i="38" s="1"/>
  <c r="EP116" i="38"/>
  <c r="EQ116" i="38" s="1"/>
  <c r="EZ116" i="38" s="1"/>
  <c r="EG112" i="38"/>
  <c r="EH112" i="38" s="1"/>
  <c r="EI112" i="38" s="1"/>
  <c r="EJ112" i="38" s="1"/>
  <c r="EG116" i="38"/>
  <c r="EH116" i="38" s="1"/>
  <c r="EI116" i="38" s="1"/>
  <c r="EJ116" i="38" s="1"/>
  <c r="ED112" i="38"/>
  <c r="ED116" i="38"/>
  <c r="EB112" i="38"/>
  <c r="EB116" i="38"/>
  <c r="DZ112" i="38"/>
  <c r="DZ116" i="38"/>
  <c r="DX112" i="38"/>
  <c r="DX116" i="38"/>
  <c r="DV112" i="38"/>
  <c r="DW112" i="38" s="1"/>
  <c r="EF112" i="38" s="1"/>
  <c r="DV116" i="38"/>
  <c r="DW116" i="38" s="1"/>
  <c r="EF116" i="38" s="1"/>
  <c r="DV109" i="38"/>
  <c r="DM112" i="38"/>
  <c r="DN112" i="38" s="1"/>
  <c r="DO112" i="38" s="1"/>
  <c r="DP112" i="38" s="1"/>
  <c r="DM116" i="38"/>
  <c r="DN116" i="38" s="1"/>
  <c r="DO116" i="38" s="1"/>
  <c r="DP116" i="38" s="1"/>
  <c r="DJ112" i="38"/>
  <c r="DJ116" i="38"/>
  <c r="DH112" i="38"/>
  <c r="DH116" i="38"/>
  <c r="DF112" i="38"/>
  <c r="DF116" i="38"/>
  <c r="DD112" i="38"/>
  <c r="DD116" i="38"/>
  <c r="DB112" i="38"/>
  <c r="DC112" i="38" s="1"/>
  <c r="DL112" i="38" s="1"/>
  <c r="DB116" i="38"/>
  <c r="DC116" i="38" s="1"/>
  <c r="DB109" i="38"/>
  <c r="CS112" i="38"/>
  <c r="CT112" i="38" s="1"/>
  <c r="CU112" i="38" s="1"/>
  <c r="CV112" i="38" s="1"/>
  <c r="CS116" i="38"/>
  <c r="CT116" i="38" s="1"/>
  <c r="CU116" i="38" s="1"/>
  <c r="CV116" i="38" s="1"/>
  <c r="CP112" i="38"/>
  <c r="CP116" i="38"/>
  <c r="CN112" i="38"/>
  <c r="CN116" i="38"/>
  <c r="CL112" i="38"/>
  <c r="CL116" i="38"/>
  <c r="CJ112" i="38"/>
  <c r="CJ116" i="38"/>
  <c r="CH112" i="38"/>
  <c r="CI112" i="38" s="1"/>
  <c r="CH116" i="38"/>
  <c r="CI116" i="38" s="1"/>
  <c r="CH109" i="38"/>
  <c r="BY112" i="38"/>
  <c r="BZ112" i="38" s="1"/>
  <c r="CA112" i="38" s="1"/>
  <c r="CB112" i="38" s="1"/>
  <c r="BY116" i="38"/>
  <c r="BZ116" i="38" s="1"/>
  <c r="CA116" i="38" s="1"/>
  <c r="CB116" i="38" s="1"/>
  <c r="BV112" i="38"/>
  <c r="BV116" i="38"/>
  <c r="BT112" i="38"/>
  <c r="BT116" i="38"/>
  <c r="BR112" i="38"/>
  <c r="BR116" i="38"/>
  <c r="BP112" i="38"/>
  <c r="BP116" i="38"/>
  <c r="BN112" i="38"/>
  <c r="BO112" i="38" s="1"/>
  <c r="BN116" i="38"/>
  <c r="BO116" i="38" s="1"/>
  <c r="BX116" i="38" s="1"/>
  <c r="BN109" i="38"/>
  <c r="AT109" i="38"/>
  <c r="BE112" i="38"/>
  <c r="BF112" i="38" s="1"/>
  <c r="BG112" i="38" s="1"/>
  <c r="BH112" i="38" s="1"/>
  <c r="BE116" i="38"/>
  <c r="BF116" i="38" s="1"/>
  <c r="BG116" i="38" s="1"/>
  <c r="BH116" i="38" s="1"/>
  <c r="BB112" i="38"/>
  <c r="BB116" i="38"/>
  <c r="AZ112" i="38"/>
  <c r="AZ116" i="38"/>
  <c r="AX112" i="38"/>
  <c r="AX116" i="38"/>
  <c r="AV112" i="38"/>
  <c r="AV116" i="38"/>
  <c r="AT112" i="38"/>
  <c r="AU112" i="38" s="1"/>
  <c r="BD112" i="38" s="1"/>
  <c r="AT116" i="38"/>
  <c r="AU116" i="38" s="1"/>
  <c r="AK112" i="38"/>
  <c r="AL112" i="38" s="1"/>
  <c r="AM112" i="38" s="1"/>
  <c r="AN112" i="38" s="1"/>
  <c r="AK116" i="38"/>
  <c r="AL116" i="38" s="1"/>
  <c r="AM116" i="38" s="1"/>
  <c r="AN116" i="38" s="1"/>
  <c r="AH112" i="38"/>
  <c r="AH116" i="38"/>
  <c r="AF112" i="38"/>
  <c r="AF116" i="38"/>
  <c r="AD112" i="38"/>
  <c r="AD116" i="38"/>
  <c r="AB112" i="38"/>
  <c r="AB116" i="38"/>
  <c r="Z112" i="38"/>
  <c r="AA112" i="38" s="1"/>
  <c r="Z116" i="38"/>
  <c r="AA116" i="38" s="1"/>
  <c r="Z109" i="38"/>
  <c r="Q112" i="38"/>
  <c r="R112" i="38" s="1"/>
  <c r="S112" i="38" s="1"/>
  <c r="T112" i="38" s="1"/>
  <c r="Q116" i="38"/>
  <c r="R116" i="38" s="1"/>
  <c r="S116" i="38" s="1"/>
  <c r="T116" i="38" s="1"/>
  <c r="N112" i="38"/>
  <c r="N116" i="38"/>
  <c r="L112" i="38"/>
  <c r="L116" i="38"/>
  <c r="J112" i="38"/>
  <c r="J116" i="38"/>
  <c r="H112" i="38"/>
  <c r="H116" i="38"/>
  <c r="F112" i="38"/>
  <c r="G112" i="38" s="1"/>
  <c r="F116" i="38"/>
  <c r="G116" i="38" s="1"/>
  <c r="D112" i="38"/>
  <c r="D116" i="38"/>
  <c r="F109" i="38"/>
  <c r="D155" i="38"/>
  <c r="D151" i="38"/>
  <c r="F150" i="38" a="1"/>
  <c r="F150" i="38" s="1"/>
  <c r="D96" i="38"/>
  <c r="D92" i="38"/>
  <c r="F91" i="38" a="1"/>
  <c r="F91" i="38" s="1"/>
  <c r="F38" i="38" a="1"/>
  <c r="F38" i="38" s="1"/>
  <c r="OG55" i="38"/>
  <c r="OH55" i="38" s="1"/>
  <c r="OI55" i="38" s="1"/>
  <c r="OJ55" i="38" s="1"/>
  <c r="OG58" i="38"/>
  <c r="OH58" i="38" s="1"/>
  <c r="OI58" i="38" s="1"/>
  <c r="OJ58" i="38" s="1"/>
  <c r="OG59" i="38"/>
  <c r="OH59" i="38" s="1"/>
  <c r="OI59" i="38" s="1"/>
  <c r="OJ59" i="38" s="1"/>
  <c r="OD55" i="38"/>
  <c r="OD58" i="38"/>
  <c r="OD59" i="38"/>
  <c r="OB55" i="38"/>
  <c r="OB58" i="38"/>
  <c r="OB59" i="38"/>
  <c r="NZ55" i="38"/>
  <c r="NZ58" i="38"/>
  <c r="NZ59" i="38"/>
  <c r="NX55" i="38"/>
  <c r="NX58" i="38"/>
  <c r="NX59" i="38"/>
  <c r="NV55" i="38"/>
  <c r="NW55" i="38" s="1"/>
  <c r="NV58" i="38"/>
  <c r="NW58" i="38" s="1"/>
  <c r="OF58" i="38" s="1"/>
  <c r="NV59" i="38"/>
  <c r="NW59" i="38" s="1"/>
  <c r="NV52" i="38"/>
  <c r="NM55" i="38"/>
  <c r="NN55" i="38" s="1"/>
  <c r="NO55" i="38" s="1"/>
  <c r="NP55" i="38" s="1"/>
  <c r="NM58" i="38"/>
  <c r="NN58" i="38" s="1"/>
  <c r="NO58" i="38" s="1"/>
  <c r="NP58" i="38" s="1"/>
  <c r="NM59" i="38"/>
  <c r="NN59" i="38" s="1"/>
  <c r="NO59" i="38" s="1"/>
  <c r="NP59" i="38" s="1"/>
  <c r="NJ55" i="38"/>
  <c r="NJ58" i="38"/>
  <c r="NJ59" i="38"/>
  <c r="NH55" i="38"/>
  <c r="NH58" i="38"/>
  <c r="NH59" i="38"/>
  <c r="NF55" i="38"/>
  <c r="NF58" i="38"/>
  <c r="NF59" i="38"/>
  <c r="ND55" i="38"/>
  <c r="ND58" i="38"/>
  <c r="ND59" i="38"/>
  <c r="NB55" i="38"/>
  <c r="NC55" i="38" s="1"/>
  <c r="NB58" i="38"/>
  <c r="NC58" i="38" s="1"/>
  <c r="NL58" i="38" s="1"/>
  <c r="NB59" i="38"/>
  <c r="NC59" i="38" s="1"/>
  <c r="NB52" i="38"/>
  <c r="MS55" i="38"/>
  <c r="MT55" i="38" s="1"/>
  <c r="MU55" i="38" s="1"/>
  <c r="MV55" i="38" s="1"/>
  <c r="MS58" i="38"/>
  <c r="MT58" i="38" s="1"/>
  <c r="MU58" i="38" s="1"/>
  <c r="MV58" i="38" s="1"/>
  <c r="MS59" i="38"/>
  <c r="MT59" i="38" s="1"/>
  <c r="MU59" i="38" s="1"/>
  <c r="MV59" i="38" s="1"/>
  <c r="MP55" i="38"/>
  <c r="MP58" i="38"/>
  <c r="MP59" i="38"/>
  <c r="MN55" i="38"/>
  <c r="MN58" i="38"/>
  <c r="MN59" i="38"/>
  <c r="ML55" i="38"/>
  <c r="ML58" i="38"/>
  <c r="ML59" i="38"/>
  <c r="MJ55" i="38"/>
  <c r="MJ58" i="38"/>
  <c r="MJ59" i="38"/>
  <c r="MH55" i="38"/>
  <c r="MI55" i="38" s="1"/>
  <c r="MH58" i="38"/>
  <c r="MI58" i="38" s="1"/>
  <c r="MR58" i="38" s="1"/>
  <c r="MH59" i="38"/>
  <c r="MI59" i="38" s="1"/>
  <c r="MH52" i="38"/>
  <c r="LY55" i="38"/>
  <c r="LZ55" i="38" s="1"/>
  <c r="MA55" i="38" s="1"/>
  <c r="MB55" i="38" s="1"/>
  <c r="LY58" i="38"/>
  <c r="LZ58" i="38" s="1"/>
  <c r="MA58" i="38" s="1"/>
  <c r="MB58" i="38" s="1"/>
  <c r="LY59" i="38"/>
  <c r="LZ59" i="38" s="1"/>
  <c r="MA59" i="38" s="1"/>
  <c r="MB59" i="38" s="1"/>
  <c r="LV55" i="38"/>
  <c r="LV58" i="38"/>
  <c r="LV59" i="38"/>
  <c r="LT55" i="38"/>
  <c r="LT58" i="38"/>
  <c r="LT59" i="38"/>
  <c r="LR55" i="38"/>
  <c r="LR58" i="38"/>
  <c r="LR59" i="38"/>
  <c r="LP55" i="38"/>
  <c r="LP58" i="38"/>
  <c r="LP59" i="38"/>
  <c r="LN55" i="38"/>
  <c r="LO55" i="38" s="1"/>
  <c r="LN58" i="38"/>
  <c r="LO58" i="38" s="1"/>
  <c r="LX58" i="38" s="1"/>
  <c r="LN59" i="38"/>
  <c r="LO59" i="38" s="1"/>
  <c r="LN52" i="38"/>
  <c r="LE55" i="38"/>
  <c r="LF55" i="38" s="1"/>
  <c r="LG55" i="38" s="1"/>
  <c r="LH55" i="38" s="1"/>
  <c r="LE58" i="38"/>
  <c r="LF58" i="38" s="1"/>
  <c r="LG58" i="38" s="1"/>
  <c r="LH58" i="38" s="1"/>
  <c r="LE59" i="38"/>
  <c r="LF59" i="38" s="1"/>
  <c r="LG59" i="38" s="1"/>
  <c r="LH59" i="38" s="1"/>
  <c r="LB55" i="38"/>
  <c r="LB58" i="38"/>
  <c r="LB59" i="38"/>
  <c r="KZ55" i="38"/>
  <c r="KZ58" i="38"/>
  <c r="KZ59" i="38"/>
  <c r="KX55" i="38"/>
  <c r="KX58" i="38"/>
  <c r="KX59" i="38"/>
  <c r="KV55" i="38"/>
  <c r="KV58" i="38"/>
  <c r="KV59" i="38"/>
  <c r="KT55" i="38"/>
  <c r="KU55" i="38" s="1"/>
  <c r="KT58" i="38"/>
  <c r="KU58" i="38" s="1"/>
  <c r="LD58" i="38" s="1"/>
  <c r="KT59" i="38"/>
  <c r="KU59" i="38" s="1"/>
  <c r="KT52" i="38"/>
  <c r="KK55" i="38"/>
  <c r="KL55" i="38" s="1"/>
  <c r="KM55" i="38" s="1"/>
  <c r="KN55" i="38" s="1"/>
  <c r="KK58" i="38"/>
  <c r="KL58" i="38" s="1"/>
  <c r="KM58" i="38" s="1"/>
  <c r="KN58" i="38" s="1"/>
  <c r="KK59" i="38"/>
  <c r="KL59" i="38" s="1"/>
  <c r="KM59" i="38" s="1"/>
  <c r="KN59" i="38" s="1"/>
  <c r="KH55" i="38"/>
  <c r="KH58" i="38"/>
  <c r="KH59" i="38"/>
  <c r="KF55" i="38"/>
  <c r="KF58" i="38"/>
  <c r="KF59" i="38"/>
  <c r="KD55" i="38"/>
  <c r="KD58" i="38"/>
  <c r="KD59" i="38"/>
  <c r="KB55" i="38"/>
  <c r="KB58" i="38"/>
  <c r="KB59" i="38"/>
  <c r="JZ55" i="38"/>
  <c r="KA55" i="38" s="1"/>
  <c r="JZ58" i="38"/>
  <c r="KA58" i="38" s="1"/>
  <c r="KJ58" i="38" s="1"/>
  <c r="JZ59" i="38"/>
  <c r="KA59" i="38" s="1"/>
  <c r="JZ52" i="38"/>
  <c r="JQ55" i="38"/>
  <c r="JR55" i="38" s="1"/>
  <c r="JS55" i="38" s="1"/>
  <c r="JT55" i="38" s="1"/>
  <c r="JQ58" i="38"/>
  <c r="JR58" i="38" s="1"/>
  <c r="JS58" i="38" s="1"/>
  <c r="JT58" i="38" s="1"/>
  <c r="JQ59" i="38"/>
  <c r="JR59" i="38" s="1"/>
  <c r="JS59" i="38" s="1"/>
  <c r="JT59" i="38" s="1"/>
  <c r="JN55" i="38"/>
  <c r="JN58" i="38"/>
  <c r="JN59" i="38"/>
  <c r="JL55" i="38"/>
  <c r="JL58" i="38"/>
  <c r="JL59" i="38"/>
  <c r="JJ55" i="38"/>
  <c r="JJ58" i="38"/>
  <c r="JJ59" i="38"/>
  <c r="JH55" i="38"/>
  <c r="JH58" i="38"/>
  <c r="JH59" i="38"/>
  <c r="JF55" i="38"/>
  <c r="JG55" i="38" s="1"/>
  <c r="JF58" i="38"/>
  <c r="JG58" i="38" s="1"/>
  <c r="JP58" i="38" s="1"/>
  <c r="JF59" i="38"/>
  <c r="JG59" i="38" s="1"/>
  <c r="JF52" i="38"/>
  <c r="IW55" i="38"/>
  <c r="IX55" i="38" s="1"/>
  <c r="IY55" i="38" s="1"/>
  <c r="IZ55" i="38" s="1"/>
  <c r="IW58" i="38"/>
  <c r="IX58" i="38" s="1"/>
  <c r="IY58" i="38" s="1"/>
  <c r="IZ58" i="38" s="1"/>
  <c r="IW59" i="38"/>
  <c r="IX59" i="38" s="1"/>
  <c r="IY59" i="38" s="1"/>
  <c r="IZ59" i="38" s="1"/>
  <c r="IT55" i="38"/>
  <c r="IT58" i="38"/>
  <c r="IT59" i="38"/>
  <c r="IR55" i="38"/>
  <c r="IR58" i="38"/>
  <c r="IR59" i="38"/>
  <c r="IP55" i="38"/>
  <c r="IP58" i="38"/>
  <c r="IP59" i="38"/>
  <c r="IN55" i="38"/>
  <c r="IN58" i="38"/>
  <c r="IN59" i="38"/>
  <c r="IL55" i="38"/>
  <c r="IM55" i="38" s="1"/>
  <c r="IL58" i="38"/>
  <c r="IM58" i="38" s="1"/>
  <c r="IL59" i="38"/>
  <c r="IM59" i="38" s="1"/>
  <c r="IL52" i="38"/>
  <c r="IC55" i="38"/>
  <c r="ID55" i="38" s="1"/>
  <c r="IE55" i="38" s="1"/>
  <c r="IF55" i="38" s="1"/>
  <c r="IC58" i="38"/>
  <c r="ID58" i="38" s="1"/>
  <c r="IE58" i="38" s="1"/>
  <c r="IF58" i="38" s="1"/>
  <c r="IC59" i="38"/>
  <c r="ID59" i="38" s="1"/>
  <c r="IE59" i="38" s="1"/>
  <c r="IF59" i="38" s="1"/>
  <c r="HZ55" i="38"/>
  <c r="HZ58" i="38"/>
  <c r="HZ59" i="38"/>
  <c r="HX55" i="38"/>
  <c r="HX58" i="38"/>
  <c r="HX59" i="38"/>
  <c r="HV55" i="38"/>
  <c r="HV58" i="38"/>
  <c r="HV59" i="38"/>
  <c r="HT55" i="38"/>
  <c r="HT58" i="38"/>
  <c r="HT59" i="38"/>
  <c r="HR55" i="38"/>
  <c r="HS55" i="38" s="1"/>
  <c r="HR58" i="38"/>
  <c r="HS58" i="38" s="1"/>
  <c r="HR59" i="38"/>
  <c r="HS59" i="38" s="1"/>
  <c r="IB59" i="38" s="1"/>
  <c r="HR52" i="38"/>
  <c r="HI55" i="38"/>
  <c r="HJ55" i="38" s="1"/>
  <c r="HK55" i="38" s="1"/>
  <c r="HL55" i="38" s="1"/>
  <c r="HI58" i="38"/>
  <c r="HJ58" i="38" s="1"/>
  <c r="HK58" i="38" s="1"/>
  <c r="HL58" i="38" s="1"/>
  <c r="HI59" i="38"/>
  <c r="HJ59" i="38" s="1"/>
  <c r="HK59" i="38" s="1"/>
  <c r="HL59" i="38" s="1"/>
  <c r="HF55" i="38"/>
  <c r="HF58" i="38"/>
  <c r="HF59" i="38"/>
  <c r="HD55" i="38"/>
  <c r="HD58" i="38"/>
  <c r="HD59" i="38"/>
  <c r="HB55" i="38"/>
  <c r="HB58" i="38"/>
  <c r="HB59" i="38"/>
  <c r="GZ55" i="38"/>
  <c r="GZ58" i="38"/>
  <c r="GZ59" i="38"/>
  <c r="GX55" i="38"/>
  <c r="GY55" i="38" s="1"/>
  <c r="GX58" i="38"/>
  <c r="GY58" i="38" s="1"/>
  <c r="HH58" i="38" s="1"/>
  <c r="GX59" i="38"/>
  <c r="GY59" i="38" s="1"/>
  <c r="GX52" i="38"/>
  <c r="GO55" i="38"/>
  <c r="GP55" i="38" s="1"/>
  <c r="GQ55" i="38" s="1"/>
  <c r="GR55" i="38" s="1"/>
  <c r="GO58" i="38"/>
  <c r="GP58" i="38" s="1"/>
  <c r="GQ58" i="38" s="1"/>
  <c r="GR58" i="38" s="1"/>
  <c r="GO59" i="38"/>
  <c r="GP59" i="38" s="1"/>
  <c r="GQ59" i="38" s="1"/>
  <c r="GR59" i="38" s="1"/>
  <c r="GL55" i="38"/>
  <c r="GL58" i="38"/>
  <c r="GL59" i="38"/>
  <c r="GJ55" i="38"/>
  <c r="GJ58" i="38"/>
  <c r="GJ59" i="38"/>
  <c r="GH55" i="38"/>
  <c r="GH58" i="38"/>
  <c r="GH59" i="38"/>
  <c r="GF55" i="38"/>
  <c r="GF58" i="38"/>
  <c r="GF59" i="38"/>
  <c r="GD55" i="38"/>
  <c r="GE55" i="38" s="1"/>
  <c r="GD58" i="38"/>
  <c r="GE58" i="38" s="1"/>
  <c r="GN58" i="38" s="1"/>
  <c r="GD59" i="38"/>
  <c r="GE59" i="38" s="1"/>
  <c r="GD52" i="38"/>
  <c r="FU55" i="38"/>
  <c r="FV55" i="38" s="1"/>
  <c r="FW55" i="38" s="1"/>
  <c r="FX55" i="38" s="1"/>
  <c r="FU58" i="38"/>
  <c r="FV58" i="38" s="1"/>
  <c r="FW58" i="38" s="1"/>
  <c r="FX58" i="38" s="1"/>
  <c r="FU59" i="38"/>
  <c r="FV59" i="38" s="1"/>
  <c r="FW59" i="38" s="1"/>
  <c r="FX59" i="38" s="1"/>
  <c r="FR55" i="38"/>
  <c r="FR58" i="38"/>
  <c r="FR59" i="38"/>
  <c r="FP55" i="38"/>
  <c r="FP58" i="38"/>
  <c r="FP59" i="38"/>
  <c r="FN55" i="38"/>
  <c r="FN58" i="38"/>
  <c r="FN59" i="38"/>
  <c r="FL55" i="38"/>
  <c r="FL58" i="38"/>
  <c r="FL59" i="38"/>
  <c r="FJ55" i="38"/>
  <c r="FK55" i="38" s="1"/>
  <c r="FJ58" i="38"/>
  <c r="FK58" i="38" s="1"/>
  <c r="FJ59" i="38"/>
  <c r="FK59" i="38" s="1"/>
  <c r="FJ52" i="38"/>
  <c r="FA55" i="38"/>
  <c r="FB55" i="38" s="1"/>
  <c r="FC55" i="38" s="1"/>
  <c r="FD55" i="38" s="1"/>
  <c r="FA58" i="38"/>
  <c r="FB58" i="38" s="1"/>
  <c r="FC58" i="38" s="1"/>
  <c r="FD58" i="38" s="1"/>
  <c r="FA59" i="38"/>
  <c r="FB59" i="38" s="1"/>
  <c r="FC59" i="38" s="1"/>
  <c r="FD59" i="38" s="1"/>
  <c r="EG55" i="38"/>
  <c r="EH55" i="38" s="1"/>
  <c r="EI55" i="38" s="1"/>
  <c r="EJ55" i="38" s="1"/>
  <c r="EX55" i="38"/>
  <c r="EX58" i="38"/>
  <c r="EX59" i="38"/>
  <c r="EV55" i="38"/>
  <c r="EV58" i="38"/>
  <c r="EV59" i="38"/>
  <c r="ET55" i="38"/>
  <c r="ET58" i="38"/>
  <c r="ET59" i="38"/>
  <c r="ER55" i="38"/>
  <c r="ER58" i="38"/>
  <c r="ER59" i="38"/>
  <c r="EP55" i="38"/>
  <c r="EQ55" i="38" s="1"/>
  <c r="EP58" i="38"/>
  <c r="EQ58" i="38" s="1"/>
  <c r="EZ58" i="38" s="1"/>
  <c r="EP59" i="38"/>
  <c r="EQ59" i="38" s="1"/>
  <c r="EP52" i="38"/>
  <c r="EG58" i="38"/>
  <c r="EH58" i="38" s="1"/>
  <c r="EI58" i="38" s="1"/>
  <c r="EJ58" i="38" s="1"/>
  <c r="EG59" i="38"/>
  <c r="EH59" i="38" s="1"/>
  <c r="EI59" i="38" s="1"/>
  <c r="EJ59" i="38" s="1"/>
  <c r="ED55" i="38"/>
  <c r="ED58" i="38"/>
  <c r="ED59" i="38"/>
  <c r="EB55" i="38"/>
  <c r="EB58" i="38"/>
  <c r="EB59" i="38"/>
  <c r="DZ55" i="38"/>
  <c r="DZ58" i="38"/>
  <c r="DZ59" i="38"/>
  <c r="DX55" i="38"/>
  <c r="DX58" i="38"/>
  <c r="DX59" i="38"/>
  <c r="DV55" i="38"/>
  <c r="DW55" i="38" s="1"/>
  <c r="DV58" i="38"/>
  <c r="DW58" i="38" s="1"/>
  <c r="EF58" i="38" s="1"/>
  <c r="DV59" i="38"/>
  <c r="DW59" i="38" s="1"/>
  <c r="DV52" i="38"/>
  <c r="DM55" i="38"/>
  <c r="DN55" i="38" s="1"/>
  <c r="DO55" i="38" s="1"/>
  <c r="DP55" i="38" s="1"/>
  <c r="DM58" i="38"/>
  <c r="DN58" i="38" s="1"/>
  <c r="DO58" i="38" s="1"/>
  <c r="DP58" i="38" s="1"/>
  <c r="DM59" i="38"/>
  <c r="DN59" i="38" s="1"/>
  <c r="DO59" i="38" s="1"/>
  <c r="DP59" i="38" s="1"/>
  <c r="DJ55" i="38"/>
  <c r="DJ58" i="38"/>
  <c r="DJ59" i="38"/>
  <c r="DH55" i="38"/>
  <c r="DH58" i="38"/>
  <c r="DH59" i="38"/>
  <c r="DF55" i="38"/>
  <c r="DF58" i="38"/>
  <c r="DF59" i="38"/>
  <c r="DD55" i="38"/>
  <c r="DD58" i="38"/>
  <c r="DD59" i="38"/>
  <c r="DB55" i="38"/>
  <c r="DC55" i="38" s="1"/>
  <c r="DB58" i="38"/>
  <c r="DC58" i="38" s="1"/>
  <c r="DB59" i="38"/>
  <c r="DC59" i="38" s="1"/>
  <c r="DB52" i="38"/>
  <c r="CS55" i="38"/>
  <c r="CT55" i="38" s="1"/>
  <c r="CU55" i="38" s="1"/>
  <c r="CV55" i="38" s="1"/>
  <c r="CS58" i="38"/>
  <c r="CT58" i="38" s="1"/>
  <c r="CU58" i="38" s="1"/>
  <c r="CV58" i="38" s="1"/>
  <c r="CS59" i="38"/>
  <c r="CT59" i="38" s="1"/>
  <c r="CU59" i="38" s="1"/>
  <c r="CV59" i="38" s="1"/>
  <c r="CP55" i="38"/>
  <c r="CP58" i="38"/>
  <c r="CP59" i="38"/>
  <c r="CN55" i="38"/>
  <c r="CN58" i="38"/>
  <c r="CN59" i="38"/>
  <c r="CL55" i="38"/>
  <c r="CL58" i="38"/>
  <c r="CL59" i="38"/>
  <c r="CJ55" i="38"/>
  <c r="CJ58" i="38"/>
  <c r="CJ59" i="38"/>
  <c r="CH55" i="38"/>
  <c r="CI55" i="38" s="1"/>
  <c r="CH58" i="38"/>
  <c r="CI58" i="38" s="1"/>
  <c r="CH59" i="38"/>
  <c r="CI59" i="38" s="1"/>
  <c r="CR59" i="38" s="1"/>
  <c r="CH52" i="38"/>
  <c r="BY55" i="38"/>
  <c r="BZ55" i="38" s="1"/>
  <c r="CA55" i="38" s="1"/>
  <c r="CB55" i="38" s="1"/>
  <c r="BY58" i="38"/>
  <c r="BZ58" i="38" s="1"/>
  <c r="CA58" i="38" s="1"/>
  <c r="CB58" i="38" s="1"/>
  <c r="BY59" i="38"/>
  <c r="BZ59" i="38" s="1"/>
  <c r="CA59" i="38" s="1"/>
  <c r="CB59" i="38" s="1"/>
  <c r="BV55" i="38"/>
  <c r="BV58" i="38"/>
  <c r="BV59" i="38"/>
  <c r="BT55" i="38"/>
  <c r="BT58" i="38"/>
  <c r="BT59" i="38"/>
  <c r="BR55" i="38"/>
  <c r="BR58" i="38"/>
  <c r="BR59" i="38"/>
  <c r="BP55" i="38"/>
  <c r="BP58" i="38"/>
  <c r="BP59" i="38"/>
  <c r="BN55" i="38"/>
  <c r="BO55" i="38" s="1"/>
  <c r="BN58" i="38"/>
  <c r="BO58" i="38" s="1"/>
  <c r="BN59" i="38"/>
  <c r="BO59" i="38" s="1"/>
  <c r="BN52" i="38"/>
  <c r="BE55" i="38"/>
  <c r="BF55" i="38" s="1"/>
  <c r="BG55" i="38" s="1"/>
  <c r="BH55" i="38" s="1"/>
  <c r="BE58" i="38"/>
  <c r="BF58" i="38" s="1"/>
  <c r="BG58" i="38" s="1"/>
  <c r="BH58" i="38" s="1"/>
  <c r="BE59" i="38"/>
  <c r="BF59" i="38" s="1"/>
  <c r="BG59" i="38" s="1"/>
  <c r="BH59" i="38" s="1"/>
  <c r="BB55" i="38"/>
  <c r="BB58" i="38"/>
  <c r="BB59" i="38"/>
  <c r="AZ55" i="38"/>
  <c r="AZ58" i="38"/>
  <c r="AZ59" i="38"/>
  <c r="AX55" i="38"/>
  <c r="AX58" i="38"/>
  <c r="AX59" i="38"/>
  <c r="AV55" i="38"/>
  <c r="AV58" i="38"/>
  <c r="AV59" i="38"/>
  <c r="AT55" i="38"/>
  <c r="AU55" i="38" s="1"/>
  <c r="AT58" i="38"/>
  <c r="AU58" i="38" s="1"/>
  <c r="AT59" i="38"/>
  <c r="AU59" i="38" s="1"/>
  <c r="AT52" i="38"/>
  <c r="AK55" i="38"/>
  <c r="AL55" i="38" s="1"/>
  <c r="AM55" i="38" s="1"/>
  <c r="AN55" i="38" s="1"/>
  <c r="AK58" i="38"/>
  <c r="AL58" i="38" s="1"/>
  <c r="AM58" i="38" s="1"/>
  <c r="AN58" i="38" s="1"/>
  <c r="AK59" i="38"/>
  <c r="AL59" i="38" s="1"/>
  <c r="AM59" i="38" s="1"/>
  <c r="AN59" i="38" s="1"/>
  <c r="AH55" i="38"/>
  <c r="AH58" i="38"/>
  <c r="AH59" i="38"/>
  <c r="AF59" i="38"/>
  <c r="AF55" i="38"/>
  <c r="AF58" i="38"/>
  <c r="AD55" i="38"/>
  <c r="AD58" i="38"/>
  <c r="AD59" i="38"/>
  <c r="AB55" i="38"/>
  <c r="AB58" i="38"/>
  <c r="AB59" i="38"/>
  <c r="Z55" i="38"/>
  <c r="AA55" i="38" s="1"/>
  <c r="Z58" i="38"/>
  <c r="AA58" i="38" s="1"/>
  <c r="Z59" i="38"/>
  <c r="AA59" i="38" s="1"/>
  <c r="Z52" i="38"/>
  <c r="Q55" i="38"/>
  <c r="R55" i="38" s="1"/>
  <c r="S55" i="38" s="1"/>
  <c r="T55" i="38" s="1"/>
  <c r="Q58" i="38"/>
  <c r="R58" i="38" s="1"/>
  <c r="S58" i="38" s="1"/>
  <c r="Q59" i="38"/>
  <c r="F59" i="38"/>
  <c r="D43" i="38"/>
  <c r="D59" i="38"/>
  <c r="H59" i="38"/>
  <c r="J59" i="38"/>
  <c r="L59" i="38"/>
  <c r="N59" i="38"/>
  <c r="R59" i="38"/>
  <c r="S59" i="38" s="1"/>
  <c r="T59" i="38" s="1"/>
  <c r="N55" i="38"/>
  <c r="N58" i="38"/>
  <c r="L55" i="38"/>
  <c r="L58" i="38"/>
  <c r="F52" i="38"/>
  <c r="G59" i="38" l="1"/>
  <c r="V202" i="38"/>
  <c r="M26" i="36" s="1"/>
  <c r="X202" i="38"/>
  <c r="S26" i="36" s="1"/>
  <c r="W202" i="38"/>
  <c r="P26" i="36" s="1"/>
  <c r="Y202" i="38"/>
  <c r="G26" i="36"/>
  <c r="ES112" i="38"/>
  <c r="EU112" i="38" s="1"/>
  <c r="EW112" i="38" s="1"/>
  <c r="EY112" i="38" s="1"/>
  <c r="EZ112" i="38"/>
  <c r="FI112" i="38" s="1"/>
  <c r="DE116" i="38"/>
  <c r="DG116" i="38" s="1"/>
  <c r="DI116" i="38" s="1"/>
  <c r="DK116" i="38" s="1"/>
  <c r="DL116" i="38"/>
  <c r="GV112" i="38"/>
  <c r="GT112" i="38"/>
  <c r="GW112" i="38"/>
  <c r="GU112" i="38"/>
  <c r="GS112" i="38"/>
  <c r="GV177" i="38"/>
  <c r="GT177" i="38"/>
  <c r="GW177" i="38"/>
  <c r="GU177" i="38"/>
  <c r="GS177" i="38"/>
  <c r="EN116" i="38"/>
  <c r="EL116" i="38"/>
  <c r="EO116" i="38"/>
  <c r="EM116" i="38"/>
  <c r="EK116" i="38"/>
  <c r="DT112" i="38"/>
  <c r="DR112" i="38"/>
  <c r="DU112" i="38"/>
  <c r="DS112" i="38"/>
  <c r="DQ112" i="38"/>
  <c r="GG116" i="38"/>
  <c r="GI116" i="38" s="1"/>
  <c r="GK116" i="38" s="1"/>
  <c r="GM116" i="38" s="1"/>
  <c r="GN116" i="38"/>
  <c r="FM112" i="38"/>
  <c r="FO112" i="38" s="1"/>
  <c r="FQ112" i="38" s="1"/>
  <c r="FS112" i="38" s="1"/>
  <c r="FT112" i="38"/>
  <c r="EN112" i="38"/>
  <c r="EL112" i="38"/>
  <c r="EO112" i="38"/>
  <c r="EM112" i="38"/>
  <c r="EK112" i="38"/>
  <c r="FH116" i="38"/>
  <c r="FF116" i="38"/>
  <c r="FI116" i="38"/>
  <c r="FG116" i="38"/>
  <c r="FE116" i="38"/>
  <c r="FM116" i="38"/>
  <c r="FO116" i="38" s="1"/>
  <c r="FQ116" i="38" s="1"/>
  <c r="FS116" i="38" s="1"/>
  <c r="FT116" i="38"/>
  <c r="GG173" i="38"/>
  <c r="GI173" i="38" s="1"/>
  <c r="GK173" i="38" s="1"/>
  <c r="GM173" i="38" s="1"/>
  <c r="GN173" i="38"/>
  <c r="DE112" i="38"/>
  <c r="DG112" i="38" s="1"/>
  <c r="DI112" i="38" s="1"/>
  <c r="DK112" i="38" s="1"/>
  <c r="DY116" i="38"/>
  <c r="EA116" i="38" s="1"/>
  <c r="EC116" i="38" s="1"/>
  <c r="EE116" i="38" s="1"/>
  <c r="GG112" i="38"/>
  <c r="GI112" i="38" s="1"/>
  <c r="GK112" i="38" s="1"/>
  <c r="GM112" i="38" s="1"/>
  <c r="DY112" i="38"/>
  <c r="EA112" i="38" s="1"/>
  <c r="EC112" i="38" s="1"/>
  <c r="EE112" i="38" s="1"/>
  <c r="ES116" i="38"/>
  <c r="EU116" i="38" s="1"/>
  <c r="EW116" i="38" s="1"/>
  <c r="EY116" i="38" s="1"/>
  <c r="GG177" i="38"/>
  <c r="GI177" i="38" s="1"/>
  <c r="GK177" i="38" s="1"/>
  <c r="GM177" i="38" s="1"/>
  <c r="FM177" i="38"/>
  <c r="FO177" i="38" s="1"/>
  <c r="FQ177" i="38" s="1"/>
  <c r="FS177" i="38" s="1"/>
  <c r="FT177" i="38"/>
  <c r="FM173" i="38"/>
  <c r="FO173" i="38" s="1"/>
  <c r="FQ173" i="38" s="1"/>
  <c r="FS173" i="38" s="1"/>
  <c r="FT173" i="38"/>
  <c r="ES177" i="38"/>
  <c r="EU177" i="38" s="1"/>
  <c r="EW177" i="38" s="1"/>
  <c r="EY177" i="38" s="1"/>
  <c r="EZ177" i="38"/>
  <c r="ES173" i="38"/>
  <c r="EU173" i="38" s="1"/>
  <c r="EW173" i="38" s="1"/>
  <c r="EY173" i="38" s="1"/>
  <c r="EZ173" i="38"/>
  <c r="DY177" i="38"/>
  <c r="EA177" i="38" s="1"/>
  <c r="EC177" i="38" s="1"/>
  <c r="EE177" i="38" s="1"/>
  <c r="EF177" i="38"/>
  <c r="DY173" i="38"/>
  <c r="EA173" i="38" s="1"/>
  <c r="EC173" i="38" s="1"/>
  <c r="EE173" i="38" s="1"/>
  <c r="EF173" i="38"/>
  <c r="DE177" i="38"/>
  <c r="DG177" i="38" s="1"/>
  <c r="DI177" i="38" s="1"/>
  <c r="DK177" i="38" s="1"/>
  <c r="DL177" i="38"/>
  <c r="DE173" i="38"/>
  <c r="DG173" i="38" s="1"/>
  <c r="DI173" i="38" s="1"/>
  <c r="DK173" i="38" s="1"/>
  <c r="DL173" i="38"/>
  <c r="CK177" i="38"/>
  <c r="CM177" i="38" s="1"/>
  <c r="CO177" i="38" s="1"/>
  <c r="CQ177" i="38" s="1"/>
  <c r="CR177" i="38"/>
  <c r="CK173" i="38"/>
  <c r="CM173" i="38" s="1"/>
  <c r="CO173" i="38" s="1"/>
  <c r="CQ173" i="38" s="1"/>
  <c r="CR173" i="38"/>
  <c r="BQ177" i="38"/>
  <c r="BS177" i="38" s="1"/>
  <c r="BU177" i="38" s="1"/>
  <c r="BW177" i="38" s="1"/>
  <c r="BX177" i="38"/>
  <c r="BQ173" i="38"/>
  <c r="BS173" i="38" s="1"/>
  <c r="BU173" i="38" s="1"/>
  <c r="BW173" i="38" s="1"/>
  <c r="BX173" i="38"/>
  <c r="AW177" i="38"/>
  <c r="AY177" i="38" s="1"/>
  <c r="BA177" i="38" s="1"/>
  <c r="BC177" i="38" s="1"/>
  <c r="BD177" i="38"/>
  <c r="AW173" i="38"/>
  <c r="AY173" i="38" s="1"/>
  <c r="BA173" i="38" s="1"/>
  <c r="BC173" i="38" s="1"/>
  <c r="BD173" i="38"/>
  <c r="AC177" i="38"/>
  <c r="AE177" i="38" s="1"/>
  <c r="AG177" i="38" s="1"/>
  <c r="AI177" i="38" s="1"/>
  <c r="AJ177" i="38"/>
  <c r="AC173" i="38"/>
  <c r="AE173" i="38" s="1"/>
  <c r="AG173" i="38" s="1"/>
  <c r="AI173" i="38" s="1"/>
  <c r="AJ173" i="38"/>
  <c r="I177" i="38"/>
  <c r="K177" i="38" s="1"/>
  <c r="M177" i="38" s="1"/>
  <c r="O177" i="38" s="1"/>
  <c r="P177" i="38"/>
  <c r="I173" i="38"/>
  <c r="K173" i="38" s="1"/>
  <c r="M173" i="38" s="1"/>
  <c r="O173" i="38" s="1"/>
  <c r="P173" i="38"/>
  <c r="BL112" i="38"/>
  <c r="BJ112" i="38"/>
  <c r="BM112" i="38"/>
  <c r="BK112" i="38"/>
  <c r="BI112" i="38"/>
  <c r="BQ112" i="38"/>
  <c r="BS112" i="38" s="1"/>
  <c r="BU112" i="38" s="1"/>
  <c r="BW112" i="38" s="1"/>
  <c r="BX112" i="38"/>
  <c r="CK116" i="38"/>
  <c r="CM116" i="38" s="1"/>
  <c r="CO116" i="38" s="1"/>
  <c r="CQ116" i="38" s="1"/>
  <c r="CR116" i="38"/>
  <c r="AW116" i="38"/>
  <c r="AY116" i="38" s="1"/>
  <c r="BA116" i="38" s="1"/>
  <c r="BC116" i="38" s="1"/>
  <c r="BD116" i="38"/>
  <c r="CF116" i="38"/>
  <c r="CD116" i="38"/>
  <c r="CG116" i="38"/>
  <c r="CE116" i="38"/>
  <c r="CC116" i="38"/>
  <c r="CK112" i="38"/>
  <c r="CM112" i="38" s="1"/>
  <c r="CO112" i="38" s="1"/>
  <c r="CQ112" i="38" s="1"/>
  <c r="CR112" i="38"/>
  <c r="AW112" i="38"/>
  <c r="AY112" i="38" s="1"/>
  <c r="BA112" i="38" s="1"/>
  <c r="BC112" i="38" s="1"/>
  <c r="BQ116" i="38"/>
  <c r="BS116" i="38" s="1"/>
  <c r="BU116" i="38" s="1"/>
  <c r="BW116" i="38" s="1"/>
  <c r="AC112" i="38"/>
  <c r="AE112" i="38" s="1"/>
  <c r="AG112" i="38" s="1"/>
  <c r="AI112" i="38" s="1"/>
  <c r="AJ112" i="38"/>
  <c r="AC116" i="38"/>
  <c r="AE116" i="38" s="1"/>
  <c r="AG116" i="38" s="1"/>
  <c r="AI116" i="38" s="1"/>
  <c r="AJ116" i="38"/>
  <c r="I116" i="38"/>
  <c r="K116" i="38" s="1"/>
  <c r="M116" i="38" s="1"/>
  <c r="O116" i="38" s="1"/>
  <c r="P116" i="38"/>
  <c r="I112" i="38"/>
  <c r="K112" i="38" s="1"/>
  <c r="M112" i="38" s="1"/>
  <c r="O112" i="38" s="1"/>
  <c r="P112" i="38"/>
  <c r="NY55" i="38"/>
  <c r="OA55" i="38" s="1"/>
  <c r="OC55" i="38" s="1"/>
  <c r="OE55" i="38" s="1"/>
  <c r="OF55" i="38"/>
  <c r="ON58" i="38"/>
  <c r="OO58" i="38"/>
  <c r="OK58" i="38"/>
  <c r="OM58" i="38"/>
  <c r="OL58" i="38"/>
  <c r="OF59" i="38"/>
  <c r="NY59" i="38"/>
  <c r="OA59" i="38" s="1"/>
  <c r="OC59" i="38" s="1"/>
  <c r="OE59" i="38" s="1"/>
  <c r="NY58" i="38"/>
  <c r="OA58" i="38" s="1"/>
  <c r="OC58" i="38" s="1"/>
  <c r="OE58" i="38" s="1"/>
  <c r="NL59" i="38"/>
  <c r="NE59" i="38"/>
  <c r="NG59" i="38" s="1"/>
  <c r="NI59" i="38" s="1"/>
  <c r="NK59" i="38" s="1"/>
  <c r="NT58" i="38"/>
  <c r="NU58" i="38"/>
  <c r="NQ58" i="38"/>
  <c r="NR58" i="38"/>
  <c r="NS58" i="38"/>
  <c r="NE55" i="38"/>
  <c r="NG55" i="38" s="1"/>
  <c r="NI55" i="38" s="1"/>
  <c r="NK55" i="38" s="1"/>
  <c r="NL55" i="38"/>
  <c r="NE58" i="38"/>
  <c r="NG58" i="38" s="1"/>
  <c r="NI58" i="38" s="1"/>
  <c r="NK58" i="38" s="1"/>
  <c r="MK55" i="38"/>
  <c r="MM55" i="38" s="1"/>
  <c r="MO55" i="38" s="1"/>
  <c r="MQ55" i="38" s="1"/>
  <c r="MR55" i="38"/>
  <c r="MZ58" i="38"/>
  <c r="NA58" i="38"/>
  <c r="MW58" i="38"/>
  <c r="MX58" i="38"/>
  <c r="MY58" i="38"/>
  <c r="MR59" i="38"/>
  <c r="MK59" i="38"/>
  <c r="MM59" i="38" s="1"/>
  <c r="MO59" i="38" s="1"/>
  <c r="MQ59" i="38" s="1"/>
  <c r="MK58" i="38"/>
  <c r="MM58" i="38" s="1"/>
  <c r="MO58" i="38" s="1"/>
  <c r="MQ58" i="38" s="1"/>
  <c r="AC55" i="38"/>
  <c r="AE55" i="38" s="1"/>
  <c r="AG55" i="38" s="1"/>
  <c r="AI55" i="38" s="1"/>
  <c r="LQ55" i="38"/>
  <c r="LS55" i="38" s="1"/>
  <c r="LU55" i="38" s="1"/>
  <c r="LW55" i="38" s="1"/>
  <c r="LX55" i="38"/>
  <c r="MF58" i="38"/>
  <c r="MG58" i="38"/>
  <c r="MC58" i="38"/>
  <c r="MD58" i="38"/>
  <c r="ME58" i="38"/>
  <c r="LX59" i="38"/>
  <c r="LQ59" i="38"/>
  <c r="LS59" i="38" s="1"/>
  <c r="LU59" i="38" s="1"/>
  <c r="LW59" i="38" s="1"/>
  <c r="LQ58" i="38"/>
  <c r="LS58" i="38" s="1"/>
  <c r="LU58" i="38" s="1"/>
  <c r="LW58" i="38" s="1"/>
  <c r="KW55" i="38"/>
  <c r="KY55" i="38" s="1"/>
  <c r="LA55" i="38" s="1"/>
  <c r="LC55" i="38" s="1"/>
  <c r="LD55" i="38"/>
  <c r="LM55" i="38" s="1"/>
  <c r="LD59" i="38"/>
  <c r="KW59" i="38"/>
  <c r="KY59" i="38" s="1"/>
  <c r="LA59" i="38" s="1"/>
  <c r="LC59" i="38" s="1"/>
  <c r="LL58" i="38"/>
  <c r="LM58" i="38"/>
  <c r="LI58" i="38"/>
  <c r="LJ58" i="38"/>
  <c r="LK58" i="38"/>
  <c r="KW58" i="38"/>
  <c r="KY58" i="38" s="1"/>
  <c r="LA58" i="38" s="1"/>
  <c r="LC58" i="38" s="1"/>
  <c r="KJ59" i="38"/>
  <c r="KC59" i="38"/>
  <c r="KE59" i="38" s="1"/>
  <c r="KG59" i="38" s="1"/>
  <c r="KI59" i="38" s="1"/>
  <c r="KC55" i="38"/>
  <c r="KE55" i="38" s="1"/>
  <c r="KG55" i="38" s="1"/>
  <c r="KI55" i="38" s="1"/>
  <c r="KJ55" i="38"/>
  <c r="KR58" i="38"/>
  <c r="KS58" i="38"/>
  <c r="KO58" i="38"/>
  <c r="KP58" i="38"/>
  <c r="KQ58" i="38"/>
  <c r="KC58" i="38"/>
  <c r="KE58" i="38" s="1"/>
  <c r="KG58" i="38" s="1"/>
  <c r="KI58" i="38" s="1"/>
  <c r="JX58" i="38"/>
  <c r="JY58" i="38"/>
  <c r="JU58" i="38"/>
  <c r="JV58" i="38"/>
  <c r="JW58" i="38"/>
  <c r="JP59" i="38"/>
  <c r="JI59" i="38"/>
  <c r="JK59" i="38" s="1"/>
  <c r="JM59" i="38" s="1"/>
  <c r="JO59" i="38" s="1"/>
  <c r="JI55" i="38"/>
  <c r="JK55" i="38" s="1"/>
  <c r="JM55" i="38" s="1"/>
  <c r="JO55" i="38" s="1"/>
  <c r="JP55" i="38"/>
  <c r="JI58" i="38"/>
  <c r="JK58" i="38" s="1"/>
  <c r="JM58" i="38" s="1"/>
  <c r="JO58" i="38" s="1"/>
  <c r="IV58" i="38"/>
  <c r="JD58" i="38" s="1"/>
  <c r="IO58" i="38"/>
  <c r="IQ58" i="38" s="1"/>
  <c r="IS58" i="38" s="1"/>
  <c r="IU58" i="38" s="1"/>
  <c r="IV59" i="38"/>
  <c r="IO59" i="38"/>
  <c r="IQ59" i="38" s="1"/>
  <c r="IS59" i="38" s="1"/>
  <c r="IU59" i="38" s="1"/>
  <c r="IV55" i="38"/>
  <c r="IO55" i="38"/>
  <c r="IQ55" i="38" s="1"/>
  <c r="IS55" i="38" s="1"/>
  <c r="IU55" i="38" s="1"/>
  <c r="IB55" i="38"/>
  <c r="IK55" i="38" s="1"/>
  <c r="HU55" i="38"/>
  <c r="HW55" i="38" s="1"/>
  <c r="HY55" i="38" s="1"/>
  <c r="IA55" i="38" s="1"/>
  <c r="IB58" i="38"/>
  <c r="HU58" i="38"/>
  <c r="HW58" i="38" s="1"/>
  <c r="HY58" i="38" s="1"/>
  <c r="IA58" i="38" s="1"/>
  <c r="II59" i="38"/>
  <c r="IJ59" i="38"/>
  <c r="IK59" i="38"/>
  <c r="IG59" i="38"/>
  <c r="IH59" i="38"/>
  <c r="HU59" i="38"/>
  <c r="HW59" i="38" s="1"/>
  <c r="HY59" i="38" s="1"/>
  <c r="IA59" i="38" s="1"/>
  <c r="HH59" i="38"/>
  <c r="HA59" i="38"/>
  <c r="HC59" i="38" s="1"/>
  <c r="HE59" i="38" s="1"/>
  <c r="HG59" i="38" s="1"/>
  <c r="HP58" i="38"/>
  <c r="HQ58" i="38"/>
  <c r="HM58" i="38"/>
  <c r="HN58" i="38"/>
  <c r="HO58" i="38"/>
  <c r="HA55" i="38"/>
  <c r="HC55" i="38" s="1"/>
  <c r="HE55" i="38" s="1"/>
  <c r="HG55" i="38" s="1"/>
  <c r="HH55" i="38"/>
  <c r="HA58" i="38"/>
  <c r="HC58" i="38" s="1"/>
  <c r="HE58" i="38" s="1"/>
  <c r="HG58" i="38" s="1"/>
  <c r="GV58" i="38"/>
  <c r="GW58" i="38"/>
  <c r="GS58" i="38"/>
  <c r="GT58" i="38"/>
  <c r="GU58" i="38"/>
  <c r="GN59" i="38"/>
  <c r="GG59" i="38"/>
  <c r="GI59" i="38" s="1"/>
  <c r="GK59" i="38" s="1"/>
  <c r="GM59" i="38" s="1"/>
  <c r="GG55" i="38"/>
  <c r="GI55" i="38" s="1"/>
  <c r="GK55" i="38" s="1"/>
  <c r="GM55" i="38" s="1"/>
  <c r="GN55" i="38"/>
  <c r="GG58" i="38"/>
  <c r="GI58" i="38" s="1"/>
  <c r="GK58" i="38" s="1"/>
  <c r="GM58" i="38" s="1"/>
  <c r="FM55" i="38"/>
  <c r="FO55" i="38" s="1"/>
  <c r="FQ55" i="38" s="1"/>
  <c r="FS55" i="38" s="1"/>
  <c r="FT55" i="38"/>
  <c r="FT58" i="38"/>
  <c r="FM58" i="38"/>
  <c r="FO58" i="38" s="1"/>
  <c r="FQ58" i="38" s="1"/>
  <c r="FS58" i="38" s="1"/>
  <c r="FT59" i="38"/>
  <c r="FM59" i="38"/>
  <c r="FO59" i="38" s="1"/>
  <c r="FQ59" i="38" s="1"/>
  <c r="FS59" i="38" s="1"/>
  <c r="EZ55" i="38"/>
  <c r="ES55" i="38"/>
  <c r="EU55" i="38" s="1"/>
  <c r="EW55" i="38" s="1"/>
  <c r="EY55" i="38" s="1"/>
  <c r="EZ59" i="38"/>
  <c r="ES59" i="38"/>
  <c r="EU59" i="38" s="1"/>
  <c r="EW59" i="38" s="1"/>
  <c r="EY59" i="38" s="1"/>
  <c r="FH58" i="38"/>
  <c r="FI58" i="38"/>
  <c r="FE58" i="38"/>
  <c r="FF58" i="38"/>
  <c r="FG58" i="38"/>
  <c r="ES58" i="38"/>
  <c r="EU58" i="38" s="1"/>
  <c r="EW58" i="38" s="1"/>
  <c r="EY58" i="38" s="1"/>
  <c r="DY55" i="38"/>
  <c r="EA55" i="38" s="1"/>
  <c r="EC55" i="38" s="1"/>
  <c r="EE55" i="38" s="1"/>
  <c r="EF55" i="38"/>
  <c r="EN58" i="38"/>
  <c r="EO58" i="38"/>
  <c r="EK58" i="38"/>
  <c r="EL58" i="38"/>
  <c r="EM58" i="38"/>
  <c r="EF59" i="38"/>
  <c r="DY59" i="38"/>
  <c r="EA59" i="38" s="1"/>
  <c r="EC59" i="38" s="1"/>
  <c r="EE59" i="38" s="1"/>
  <c r="DY58" i="38"/>
  <c r="EA58" i="38" s="1"/>
  <c r="EC58" i="38" s="1"/>
  <c r="EE58" i="38" s="1"/>
  <c r="DE55" i="38"/>
  <c r="DG55" i="38" s="1"/>
  <c r="DI55" i="38" s="1"/>
  <c r="DK55" i="38" s="1"/>
  <c r="DL59" i="38"/>
  <c r="DE59" i="38"/>
  <c r="DG59" i="38" s="1"/>
  <c r="DI59" i="38" s="1"/>
  <c r="DK59" i="38" s="1"/>
  <c r="DL58" i="38"/>
  <c r="DE58" i="38"/>
  <c r="DG58" i="38" s="1"/>
  <c r="DI58" i="38" s="1"/>
  <c r="DK58" i="38" s="1"/>
  <c r="DL55" i="38"/>
  <c r="CK58" i="38"/>
  <c r="CM58" i="38" s="1"/>
  <c r="CO58" i="38" s="1"/>
  <c r="CQ58" i="38" s="1"/>
  <c r="CR58" i="38"/>
  <c r="DA58" i="38" s="1"/>
  <c r="CZ59" i="38"/>
  <c r="DA59" i="38"/>
  <c r="CW59" i="38"/>
  <c r="CX59" i="38"/>
  <c r="CY59" i="38"/>
  <c r="CK55" i="38"/>
  <c r="CM55" i="38" s="1"/>
  <c r="CO55" i="38" s="1"/>
  <c r="CQ55" i="38" s="1"/>
  <c r="CR55" i="38"/>
  <c r="CK59" i="38"/>
  <c r="CM59" i="38" s="1"/>
  <c r="CO59" i="38" s="1"/>
  <c r="CQ59" i="38" s="1"/>
  <c r="BX58" i="38"/>
  <c r="CC58" i="38" s="1"/>
  <c r="BQ58" i="38"/>
  <c r="BS58" i="38" s="1"/>
  <c r="BU58" i="38" s="1"/>
  <c r="BW58" i="38" s="1"/>
  <c r="BQ55" i="38"/>
  <c r="BS55" i="38" s="1"/>
  <c r="BU55" i="38" s="1"/>
  <c r="BW55" i="38" s="1"/>
  <c r="BX55" i="38"/>
  <c r="BX59" i="38"/>
  <c r="BQ59" i="38"/>
  <c r="BS59" i="38" s="1"/>
  <c r="BU59" i="38" s="1"/>
  <c r="BW59" i="38" s="1"/>
  <c r="AW55" i="38"/>
  <c r="AY55" i="38" s="1"/>
  <c r="BA55" i="38" s="1"/>
  <c r="BC55" i="38" s="1"/>
  <c r="BD55" i="38"/>
  <c r="BD59" i="38"/>
  <c r="AW59" i="38"/>
  <c r="AY59" i="38" s="1"/>
  <c r="BA59" i="38" s="1"/>
  <c r="BC59" i="38" s="1"/>
  <c r="BD58" i="38"/>
  <c r="AW58" i="38"/>
  <c r="AY58" i="38" s="1"/>
  <c r="BA58" i="38" s="1"/>
  <c r="BC58" i="38" s="1"/>
  <c r="AJ59" i="38"/>
  <c r="AC59" i="38"/>
  <c r="AE59" i="38" s="1"/>
  <c r="AG59" i="38" s="1"/>
  <c r="AI59" i="38" s="1"/>
  <c r="AC58" i="38"/>
  <c r="AE58" i="38" s="1"/>
  <c r="AG58" i="38" s="1"/>
  <c r="AI58" i="38" s="1"/>
  <c r="AJ58" i="38"/>
  <c r="AJ55" i="38"/>
  <c r="I59" i="38"/>
  <c r="K59" i="38" s="1"/>
  <c r="M59" i="38" s="1"/>
  <c r="O59" i="38" s="1"/>
  <c r="P59" i="38"/>
  <c r="T58" i="38"/>
  <c r="FG112" i="38" l="1"/>
  <c r="FG125" i="38" s="1"/>
  <c r="EM125" i="38"/>
  <c r="FE112" i="38"/>
  <c r="FE125" i="38" s="1"/>
  <c r="EO125" i="38"/>
  <c r="FH112" i="38"/>
  <c r="FH125" i="38" s="1"/>
  <c r="EL125" i="38"/>
  <c r="FI125" i="38"/>
  <c r="FF112" i="38"/>
  <c r="FF125" i="38" s="1"/>
  <c r="EK125" i="38"/>
  <c r="EN125" i="38"/>
  <c r="GW173" i="38"/>
  <c r="GU173" i="38"/>
  <c r="GS173" i="38"/>
  <c r="GV173" i="38"/>
  <c r="GT173" i="38"/>
  <c r="GW116" i="38"/>
  <c r="GU116" i="38"/>
  <c r="GS116" i="38"/>
  <c r="GV116" i="38"/>
  <c r="GT116" i="38"/>
  <c r="GC116" i="38"/>
  <c r="GA116" i="38"/>
  <c r="FY116" i="38"/>
  <c r="GB116" i="38"/>
  <c r="FZ116" i="38"/>
  <c r="GC112" i="38"/>
  <c r="GA112" i="38"/>
  <c r="FY112" i="38"/>
  <c r="GB112" i="38"/>
  <c r="FZ112" i="38"/>
  <c r="DU116" i="38"/>
  <c r="DU125" i="38" s="1"/>
  <c r="DS116" i="38"/>
  <c r="DS125" i="38" s="1"/>
  <c r="DQ116" i="38"/>
  <c r="DQ125" i="38" s="1"/>
  <c r="DT116" i="38"/>
  <c r="DT125" i="38" s="1"/>
  <c r="DR116" i="38"/>
  <c r="DR125" i="38" s="1"/>
  <c r="GC173" i="38"/>
  <c r="GA173" i="38"/>
  <c r="FY173" i="38"/>
  <c r="GB173" i="38"/>
  <c r="FZ173" i="38"/>
  <c r="GC177" i="38"/>
  <c r="GA177" i="38"/>
  <c r="FY177" i="38"/>
  <c r="FZ177" i="38"/>
  <c r="GB177" i="38"/>
  <c r="FI173" i="38"/>
  <c r="FG173" i="38"/>
  <c r="FE173" i="38"/>
  <c r="FH173" i="38"/>
  <c r="FF173" i="38"/>
  <c r="FI177" i="38"/>
  <c r="FG177" i="38"/>
  <c r="FE177" i="38"/>
  <c r="FH177" i="38"/>
  <c r="FF177" i="38"/>
  <c r="EO173" i="38"/>
  <c r="EM173" i="38"/>
  <c r="EK173" i="38"/>
  <c r="EN173" i="38"/>
  <c r="EL173" i="38"/>
  <c r="EO177" i="38"/>
  <c r="EM177" i="38"/>
  <c r="EK177" i="38"/>
  <c r="EN177" i="38"/>
  <c r="EL177" i="38"/>
  <c r="DU173" i="38"/>
  <c r="DS173" i="38"/>
  <c r="DQ173" i="38"/>
  <c r="DT173" i="38"/>
  <c r="DR173" i="38"/>
  <c r="DU177" i="38"/>
  <c r="DS177" i="38"/>
  <c r="DQ177" i="38"/>
  <c r="DT177" i="38"/>
  <c r="DR177" i="38"/>
  <c r="DA173" i="38"/>
  <c r="CY173" i="38"/>
  <c r="CW173" i="38"/>
  <c r="CZ173" i="38"/>
  <c r="CX173" i="38"/>
  <c r="DA177" i="38"/>
  <c r="CY177" i="38"/>
  <c r="CW177" i="38"/>
  <c r="CX177" i="38"/>
  <c r="CZ177" i="38"/>
  <c r="CG177" i="38"/>
  <c r="CE177" i="38"/>
  <c r="CC177" i="38"/>
  <c r="CF177" i="38"/>
  <c r="CD177" i="38"/>
  <c r="CG173" i="38"/>
  <c r="CE173" i="38"/>
  <c r="CC173" i="38"/>
  <c r="CF173" i="38"/>
  <c r="CD173" i="38"/>
  <c r="BM177" i="38"/>
  <c r="BK177" i="38"/>
  <c r="BI177" i="38"/>
  <c r="BL177" i="38"/>
  <c r="BJ177" i="38"/>
  <c r="BM173" i="38"/>
  <c r="BK173" i="38"/>
  <c r="BI173" i="38"/>
  <c r="BL173" i="38"/>
  <c r="BJ173" i="38"/>
  <c r="AS177" i="38"/>
  <c r="AQ177" i="38"/>
  <c r="AO177" i="38"/>
  <c r="AR177" i="38"/>
  <c r="AP177" i="38"/>
  <c r="AS173" i="38"/>
  <c r="AQ173" i="38"/>
  <c r="AO173" i="38"/>
  <c r="AR173" i="38"/>
  <c r="AP173" i="38"/>
  <c r="Y173" i="38"/>
  <c r="W173" i="38"/>
  <c r="U173" i="38"/>
  <c r="X173" i="38"/>
  <c r="V173" i="38"/>
  <c r="Y177" i="38"/>
  <c r="W177" i="38"/>
  <c r="U177" i="38"/>
  <c r="V177" i="38"/>
  <c r="X177" i="38"/>
  <c r="BM116" i="38"/>
  <c r="BM125" i="38" s="1"/>
  <c r="BK116" i="38"/>
  <c r="BK125" i="38" s="1"/>
  <c r="BI116" i="38"/>
  <c r="BI125" i="38" s="1"/>
  <c r="BL116" i="38"/>
  <c r="BL125" i="38" s="1"/>
  <c r="BJ116" i="38"/>
  <c r="BJ125" i="38" s="1"/>
  <c r="CG112" i="38"/>
  <c r="CG125" i="38" s="1"/>
  <c r="CE112" i="38"/>
  <c r="CE125" i="38" s="1"/>
  <c r="CC112" i="38"/>
  <c r="CC125" i="38" s="1"/>
  <c r="CF112" i="38"/>
  <c r="CF125" i="38" s="1"/>
  <c r="CD112" i="38"/>
  <c r="CD125" i="38" s="1"/>
  <c r="DA112" i="38"/>
  <c r="CY112" i="38"/>
  <c r="CW112" i="38"/>
  <c r="CZ112" i="38"/>
  <c r="CX112" i="38"/>
  <c r="DA116" i="38"/>
  <c r="CY116" i="38"/>
  <c r="CW116" i="38"/>
  <c r="CZ116" i="38"/>
  <c r="CX116" i="38"/>
  <c r="AS116" i="38"/>
  <c r="AQ116" i="38"/>
  <c r="AO116" i="38"/>
  <c r="AR116" i="38"/>
  <c r="AP116" i="38"/>
  <c r="AS112" i="38"/>
  <c r="AQ112" i="38"/>
  <c r="AO112" i="38"/>
  <c r="AR112" i="38"/>
  <c r="AP112" i="38"/>
  <c r="Y112" i="38"/>
  <c r="W112" i="38"/>
  <c r="U112" i="38"/>
  <c r="V112" i="38"/>
  <c r="X112" i="38"/>
  <c r="Y116" i="38"/>
  <c r="W116" i="38"/>
  <c r="U116" i="38"/>
  <c r="X116" i="38"/>
  <c r="V116" i="38"/>
  <c r="OM59" i="38"/>
  <c r="ON59" i="38"/>
  <c r="OO59" i="38"/>
  <c r="OK59" i="38"/>
  <c r="OL59" i="38"/>
  <c r="OO55" i="38"/>
  <c r="OK55" i="38"/>
  <c r="OL55" i="38"/>
  <c r="OM55" i="38"/>
  <c r="ON55" i="38"/>
  <c r="NU55" i="38"/>
  <c r="NQ55" i="38"/>
  <c r="NR55" i="38"/>
  <c r="NS55" i="38"/>
  <c r="NT55" i="38"/>
  <c r="NS59" i="38"/>
  <c r="NT59" i="38"/>
  <c r="NU59" i="38"/>
  <c r="NQ59" i="38"/>
  <c r="NR59" i="38"/>
  <c r="MY59" i="38"/>
  <c r="MZ59" i="38"/>
  <c r="NA59" i="38"/>
  <c r="MW59" i="38"/>
  <c r="MX59" i="38"/>
  <c r="NA55" i="38"/>
  <c r="MW55" i="38"/>
  <c r="MX55" i="38"/>
  <c r="MY55" i="38"/>
  <c r="MY69" i="38" s="1"/>
  <c r="MZ55" i="38"/>
  <c r="MZ69" i="38" s="1"/>
  <c r="LI55" i="38"/>
  <c r="LJ55" i="38"/>
  <c r="LL55" i="38"/>
  <c r="MG55" i="38"/>
  <c r="MC55" i="38"/>
  <c r="MD55" i="38"/>
  <c r="MF55" i="38"/>
  <c r="ME55" i="38"/>
  <c r="ME59" i="38"/>
  <c r="MF59" i="38"/>
  <c r="MD59" i="38"/>
  <c r="MG59" i="38"/>
  <c r="MC59" i="38"/>
  <c r="LK55" i="38"/>
  <c r="LK59" i="38"/>
  <c r="LL59" i="38"/>
  <c r="LM59" i="38"/>
  <c r="LM69" i="38" s="1"/>
  <c r="LI59" i="38"/>
  <c r="LJ59" i="38"/>
  <c r="KS55" i="38"/>
  <c r="KO55" i="38"/>
  <c r="KP55" i="38"/>
  <c r="KQ55" i="38"/>
  <c r="KR55" i="38"/>
  <c r="KQ59" i="38"/>
  <c r="KR59" i="38"/>
  <c r="KS59" i="38"/>
  <c r="KO59" i="38"/>
  <c r="KP59" i="38"/>
  <c r="JC58" i="38"/>
  <c r="JB58" i="38"/>
  <c r="JA58" i="38"/>
  <c r="JE58" i="38"/>
  <c r="CY58" i="38"/>
  <c r="JW59" i="38"/>
  <c r="JX59" i="38"/>
  <c r="JY59" i="38"/>
  <c r="JU59" i="38"/>
  <c r="JV59" i="38"/>
  <c r="JY55" i="38"/>
  <c r="JU55" i="38"/>
  <c r="JV55" i="38"/>
  <c r="JW55" i="38"/>
  <c r="JX55" i="38"/>
  <c r="II55" i="38"/>
  <c r="IG55" i="38"/>
  <c r="IH55" i="38"/>
  <c r="IJ55" i="38"/>
  <c r="JE55" i="38"/>
  <c r="JA55" i="38"/>
  <c r="JB55" i="38"/>
  <c r="JC55" i="38"/>
  <c r="JD55" i="38"/>
  <c r="JC59" i="38"/>
  <c r="JD59" i="38"/>
  <c r="JE59" i="38"/>
  <c r="JA59" i="38"/>
  <c r="JB59" i="38"/>
  <c r="IJ58" i="38"/>
  <c r="IK58" i="38"/>
  <c r="IK69" i="38" s="1"/>
  <c r="IG58" i="38"/>
  <c r="IH58" i="38"/>
  <c r="II58" i="38"/>
  <c r="HQ55" i="38"/>
  <c r="HM55" i="38"/>
  <c r="HN55" i="38"/>
  <c r="HO55" i="38"/>
  <c r="HP55" i="38"/>
  <c r="HO59" i="38"/>
  <c r="HP59" i="38"/>
  <c r="HQ59" i="38"/>
  <c r="HM59" i="38"/>
  <c r="HN59" i="38"/>
  <c r="GU59" i="38"/>
  <c r="GV59" i="38"/>
  <c r="GW59" i="38"/>
  <c r="GS59" i="38"/>
  <c r="GT59" i="38"/>
  <c r="GW55" i="38"/>
  <c r="GS55" i="38"/>
  <c r="GT55" i="38"/>
  <c r="GU55" i="38"/>
  <c r="GU69" i="38" s="1"/>
  <c r="GV55" i="38"/>
  <c r="GB58" i="38"/>
  <c r="FY58" i="38"/>
  <c r="GC58" i="38"/>
  <c r="FZ58" i="38"/>
  <c r="GA58" i="38"/>
  <c r="GC55" i="38"/>
  <c r="FY55" i="38"/>
  <c r="FZ55" i="38"/>
  <c r="GA55" i="38"/>
  <c r="GB55" i="38"/>
  <c r="GA59" i="38"/>
  <c r="GB59" i="38"/>
  <c r="GC59" i="38"/>
  <c r="FY59" i="38"/>
  <c r="FZ59" i="38"/>
  <c r="FG59" i="38"/>
  <c r="FH59" i="38"/>
  <c r="FI59" i="38"/>
  <c r="FE59" i="38"/>
  <c r="FF59" i="38"/>
  <c r="FI55" i="38"/>
  <c r="FE55" i="38"/>
  <c r="FF55" i="38"/>
  <c r="FG55" i="38"/>
  <c r="FH55" i="38"/>
  <c r="CF58" i="38"/>
  <c r="EM59" i="38"/>
  <c r="EN59" i="38"/>
  <c r="EO59" i="38"/>
  <c r="EK59" i="38"/>
  <c r="EL59" i="38"/>
  <c r="EO55" i="38"/>
  <c r="EK55" i="38"/>
  <c r="EL55" i="38"/>
  <c r="EM55" i="38"/>
  <c r="EN55" i="38"/>
  <c r="CW58" i="38"/>
  <c r="DT58" i="38"/>
  <c r="DU58" i="38"/>
  <c r="DQ58" i="38"/>
  <c r="DR58" i="38"/>
  <c r="DS58" i="38"/>
  <c r="DU55" i="38"/>
  <c r="DQ55" i="38"/>
  <c r="DR55" i="38"/>
  <c r="DS55" i="38"/>
  <c r="DT55" i="38"/>
  <c r="DS59" i="38"/>
  <c r="DT59" i="38"/>
  <c r="DU59" i="38"/>
  <c r="DQ59" i="38"/>
  <c r="DR59" i="38"/>
  <c r="CG58" i="38"/>
  <c r="CZ58" i="38"/>
  <c r="CX58" i="38"/>
  <c r="CE58" i="38"/>
  <c r="CD58" i="38"/>
  <c r="DA55" i="38"/>
  <c r="DA69" i="38" s="1"/>
  <c r="CX55" i="38"/>
  <c r="CY55" i="38"/>
  <c r="CW55" i="38"/>
  <c r="CW69" i="38" s="1"/>
  <c r="CZ55" i="38"/>
  <c r="CG55" i="38"/>
  <c r="CC55" i="38"/>
  <c r="CD55" i="38"/>
  <c r="CE55" i="38"/>
  <c r="CF55" i="38"/>
  <c r="CE59" i="38"/>
  <c r="CF59" i="38"/>
  <c r="CG59" i="38"/>
  <c r="CC59" i="38"/>
  <c r="CD59" i="38"/>
  <c r="BK59" i="38"/>
  <c r="BL59" i="38"/>
  <c r="BM59" i="38"/>
  <c r="BI59" i="38"/>
  <c r="BJ59" i="38"/>
  <c r="BM55" i="38"/>
  <c r="BI55" i="38"/>
  <c r="BJ55" i="38"/>
  <c r="BK55" i="38"/>
  <c r="BL55" i="38"/>
  <c r="BL58" i="38"/>
  <c r="BM58" i="38"/>
  <c r="BI58" i="38"/>
  <c r="BJ58" i="38"/>
  <c r="BK58" i="38"/>
  <c r="AR58" i="38"/>
  <c r="AS58" i="38"/>
  <c r="AO58" i="38"/>
  <c r="AP58" i="38"/>
  <c r="AQ58" i="38"/>
  <c r="AS55" i="38"/>
  <c r="AO55" i="38"/>
  <c r="AP55" i="38"/>
  <c r="AQ55" i="38"/>
  <c r="AR55" i="38"/>
  <c r="AQ59" i="38"/>
  <c r="AR59" i="38"/>
  <c r="AS59" i="38"/>
  <c r="AO59" i="38"/>
  <c r="AP59" i="38"/>
  <c r="W59" i="38"/>
  <c r="X59" i="38"/>
  <c r="Y59" i="38"/>
  <c r="U59" i="38"/>
  <c r="V59" i="38"/>
  <c r="JX69" i="38" l="1"/>
  <c r="FG69" i="38"/>
  <c r="EN69" i="38"/>
  <c r="GV69" i="38"/>
  <c r="EM69" i="38"/>
  <c r="CX69" i="38"/>
  <c r="FH69" i="38"/>
  <c r="JW69" i="38"/>
  <c r="GZ112" i="38"/>
  <c r="FY125" i="38"/>
  <c r="CZ69" i="38"/>
  <c r="GY177" i="38"/>
  <c r="Q206" i="38" s="1"/>
  <c r="GX112" i="38"/>
  <c r="GX177" i="38"/>
  <c r="P206" i="38" s="1"/>
  <c r="GZ177" i="38"/>
  <c r="R206" i="38" s="1"/>
  <c r="GY112" i="38"/>
  <c r="HB112" i="38"/>
  <c r="HA177" i="38"/>
  <c r="S206" i="38" s="1"/>
  <c r="HB177" i="38"/>
  <c r="T206" i="38" s="1"/>
  <c r="I13" i="37" s="1"/>
  <c r="OR59" i="38"/>
  <c r="H206" i="38" s="1"/>
  <c r="GS125" i="38"/>
  <c r="GX116" i="38"/>
  <c r="K206" i="38" s="1"/>
  <c r="GV185" i="38"/>
  <c r="HA173" i="38"/>
  <c r="HA112" i="38"/>
  <c r="OQ59" i="38"/>
  <c r="G206" i="38" s="1"/>
  <c r="OP59" i="38"/>
  <c r="F206" i="38" s="1"/>
  <c r="GU125" i="38"/>
  <c r="GZ116" i="38"/>
  <c r="M206" i="38" s="1"/>
  <c r="GS185" i="38"/>
  <c r="GX173" i="38"/>
  <c r="OM69" i="38"/>
  <c r="OT59" i="38"/>
  <c r="J206" i="38" s="1"/>
  <c r="GT125" i="38"/>
  <c r="GY116" i="38"/>
  <c r="L206" i="38" s="1"/>
  <c r="GW125" i="38"/>
  <c r="HB116" i="38"/>
  <c r="O206" i="38" s="1"/>
  <c r="GU185" i="38"/>
  <c r="GZ173" i="38"/>
  <c r="ON69" i="38"/>
  <c r="OS59" i="38"/>
  <c r="I206" i="38" s="1"/>
  <c r="GV125" i="38"/>
  <c r="HA116" i="38"/>
  <c r="N206" i="38" s="1"/>
  <c r="GT185" i="38"/>
  <c r="GY173" i="38"/>
  <c r="GW185" i="38"/>
  <c r="HB173" i="38"/>
  <c r="CY185" i="38"/>
  <c r="DT185" i="38"/>
  <c r="FH185" i="38"/>
  <c r="W185" i="38"/>
  <c r="EM185" i="38"/>
  <c r="AO185" i="38"/>
  <c r="BJ185" i="38"/>
  <c r="BM185" i="38"/>
  <c r="CC185" i="38"/>
  <c r="GA185" i="38"/>
  <c r="AP185" i="38"/>
  <c r="AS185" i="38"/>
  <c r="BI185" i="38"/>
  <c r="CD185" i="38"/>
  <c r="CG185" i="38"/>
  <c r="DS185" i="38"/>
  <c r="EN185" i="38"/>
  <c r="FG185" i="38"/>
  <c r="V185" i="38"/>
  <c r="Y185" i="38"/>
  <c r="AQ185" i="38"/>
  <c r="BL185" i="38"/>
  <c r="CE185" i="38"/>
  <c r="CX185" i="38"/>
  <c r="DA185" i="38"/>
  <c r="DQ185" i="38"/>
  <c r="EL185" i="38"/>
  <c r="EO185" i="38"/>
  <c r="FE185" i="38"/>
  <c r="FZ185" i="38"/>
  <c r="GC185" i="38"/>
  <c r="X185" i="38"/>
  <c r="CZ185" i="38"/>
  <c r="GB185" i="38"/>
  <c r="CY69" i="38"/>
  <c r="U125" i="38"/>
  <c r="AR125" i="38"/>
  <c r="U185" i="38"/>
  <c r="AR185" i="38"/>
  <c r="BK185" i="38"/>
  <c r="CF185" i="38"/>
  <c r="CW185" i="38"/>
  <c r="DR185" i="38"/>
  <c r="DU185" i="38"/>
  <c r="EK185" i="38"/>
  <c r="FF185" i="38"/>
  <c r="FI185" i="38"/>
  <c r="FY185" i="38"/>
  <c r="FZ125" i="38"/>
  <c r="GC125" i="38"/>
  <c r="AO125" i="38"/>
  <c r="GB125" i="38"/>
  <c r="V125" i="38"/>
  <c r="CZ125" i="38"/>
  <c r="CW125" i="38"/>
  <c r="MX69" i="38"/>
  <c r="OL69" i="38"/>
  <c r="W125" i="38"/>
  <c r="CY125" i="38"/>
  <c r="AO69" i="38"/>
  <c r="KO69" i="38"/>
  <c r="NU69" i="38"/>
  <c r="X125" i="38"/>
  <c r="Y125" i="38"/>
  <c r="AQ125" i="38"/>
  <c r="CX125" i="38"/>
  <c r="DA125" i="38"/>
  <c r="AP125" i="38"/>
  <c r="AS125" i="38"/>
  <c r="GA125" i="38"/>
  <c r="FF69" i="38"/>
  <c r="JV69" i="38"/>
  <c r="LK69" i="38"/>
  <c r="BL69" i="38"/>
  <c r="BM69" i="38"/>
  <c r="CE69" i="38"/>
  <c r="DS69" i="38"/>
  <c r="EL69" i="38"/>
  <c r="FE69" i="38"/>
  <c r="GB69" i="38"/>
  <c r="GC69" i="38"/>
  <c r="GT69" i="38"/>
  <c r="HM69" i="38"/>
  <c r="JD69" i="38"/>
  <c r="II69" i="38"/>
  <c r="JU69" i="38"/>
  <c r="LI69" i="38"/>
  <c r="MW69" i="38"/>
  <c r="NT69" i="38"/>
  <c r="OK69" i="38"/>
  <c r="AR69" i="38"/>
  <c r="AS69" i="38"/>
  <c r="BK69" i="38"/>
  <c r="CD69" i="38"/>
  <c r="DR69" i="38"/>
  <c r="GA69" i="38"/>
  <c r="HP69" i="38"/>
  <c r="HQ69" i="38"/>
  <c r="JC69" i="38"/>
  <c r="IJ69" i="38"/>
  <c r="KR69" i="38"/>
  <c r="KS69" i="38"/>
  <c r="NS69" i="38"/>
  <c r="JE69" i="38"/>
  <c r="MC69" i="38"/>
  <c r="FI69" i="38"/>
  <c r="GS69" i="38"/>
  <c r="MG69" i="38"/>
  <c r="NA69" i="38"/>
  <c r="AQ69" i="38"/>
  <c r="BJ69" i="38"/>
  <c r="CC69" i="38"/>
  <c r="DQ69" i="38"/>
  <c r="EO69" i="38"/>
  <c r="FZ69" i="38"/>
  <c r="GW69" i="38"/>
  <c r="HO69" i="38"/>
  <c r="JB69" i="38"/>
  <c r="IH69" i="38"/>
  <c r="KQ69" i="38"/>
  <c r="MF69" i="38"/>
  <c r="LL69" i="38"/>
  <c r="NR69" i="38"/>
  <c r="EK69" i="38"/>
  <c r="JY69" i="38"/>
  <c r="ME69" i="38"/>
  <c r="OO69" i="38"/>
  <c r="AP69" i="38"/>
  <c r="BI69" i="38"/>
  <c r="CF69" i="38"/>
  <c r="CG69" i="38"/>
  <c r="DT69" i="38"/>
  <c r="DU69" i="38"/>
  <c r="FY69" i="38"/>
  <c r="HN69" i="38"/>
  <c r="JA69" i="38"/>
  <c r="IG69" i="38"/>
  <c r="KP69" i="38"/>
  <c r="MD69" i="38"/>
  <c r="LJ69" i="38"/>
  <c r="NQ69" i="38"/>
  <c r="D42" i="38"/>
  <c r="J55" i="38"/>
  <c r="H55" i="38"/>
  <c r="F55" i="38"/>
  <c r="G55" i="38" s="1"/>
  <c r="F58" i="38"/>
  <c r="D58" i="38"/>
  <c r="D55" i="38"/>
  <c r="D16" i="25"/>
  <c r="D74" i="39" s="1"/>
  <c r="C16" i="25"/>
  <c r="B6" i="24"/>
  <c r="C40" i="39" s="1"/>
  <c r="B3" i="23"/>
  <c r="C7" i="39" s="1"/>
  <c r="C7" i="22"/>
  <c r="W206" i="38" l="1"/>
  <c r="P30" i="36" s="1"/>
  <c r="X206" i="38"/>
  <c r="S30" i="36" s="1"/>
  <c r="V206" i="38"/>
  <c r="M30" i="36" s="1"/>
  <c r="G30" i="36"/>
  <c r="Y206" i="38"/>
  <c r="B16" i="24"/>
  <c r="C48" i="39" s="1"/>
  <c r="I55" i="38"/>
  <c r="K55" i="38" s="1"/>
  <c r="M55" i="38" s="1"/>
  <c r="O55" i="38" s="1"/>
  <c r="F202" i="38"/>
  <c r="U202" i="38" s="1"/>
  <c r="J26" i="36" s="1"/>
  <c r="G58" i="38"/>
  <c r="P58" i="38" s="1"/>
  <c r="W58" i="38" s="1"/>
  <c r="OR58" i="38" s="1"/>
  <c r="H205" i="38" s="1"/>
  <c r="W205" i="38" s="1"/>
  <c r="P29" i="36" s="1"/>
  <c r="Q29" i="36" s="1"/>
  <c r="D190" i="38"/>
  <c r="C11" i="19" s="1"/>
  <c r="E11" i="19" s="1"/>
  <c r="G191" i="38"/>
  <c r="H191" i="38"/>
  <c r="E190" i="38"/>
  <c r="I191" i="38"/>
  <c r="F191" i="38"/>
  <c r="E191" i="38"/>
  <c r="D191" i="38"/>
  <c r="C17" i="19" s="1"/>
  <c r="H190" i="38"/>
  <c r="G190" i="38"/>
  <c r="F190" i="38"/>
  <c r="I190" i="38"/>
  <c r="D39" i="38"/>
  <c r="H58" i="38"/>
  <c r="J58" i="38"/>
  <c r="C2" i="38"/>
  <c r="B55" i="22"/>
  <c r="C3" i="20"/>
  <c r="D7" i="22"/>
  <c r="C20" i="22" s="1"/>
  <c r="B20" i="22"/>
  <c r="F422" i="36"/>
  <c r="G422" i="36" s="1"/>
  <c r="C21" i="24"/>
  <c r="D53" i="39" s="1"/>
  <c r="D21" i="24"/>
  <c r="E53" i="39" s="1"/>
  <c r="E21" i="24"/>
  <c r="F53" i="39" s="1"/>
  <c r="F21" i="24"/>
  <c r="G53" i="39" s="1"/>
  <c r="B21" i="24"/>
  <c r="F377" i="36"/>
  <c r="F382" i="36" s="1"/>
  <c r="F387" i="36" s="1"/>
  <c r="F392" i="36" s="1"/>
  <c r="F397" i="36" s="1"/>
  <c r="F402" i="36" s="1"/>
  <c r="F407" i="36" s="1"/>
  <c r="F412" i="36" s="1"/>
  <c r="F421" i="36" s="1"/>
  <c r="G372" i="36"/>
  <c r="G377" i="36" s="1"/>
  <c r="G382" i="36" s="1"/>
  <c r="G387" i="36" s="1"/>
  <c r="G392" i="36" s="1"/>
  <c r="G397" i="36" s="1"/>
  <c r="G402" i="36" s="1"/>
  <c r="G407" i="36" s="1"/>
  <c r="G412" i="36" s="1"/>
  <c r="F285" i="36"/>
  <c r="H263" i="36"/>
  <c r="F51" i="37"/>
  <c r="F47" i="37"/>
  <c r="F27" i="37"/>
  <c r="F23" i="37"/>
  <c r="H13" i="37"/>
  <c r="J13" i="37" s="1"/>
  <c r="G27" i="37" s="1"/>
  <c r="F13" i="37"/>
  <c r="F9" i="37"/>
  <c r="W253" i="36"/>
  <c r="W254" i="36"/>
  <c r="W252" i="36"/>
  <c r="T253" i="36"/>
  <c r="T254" i="36"/>
  <c r="T252" i="36"/>
  <c r="Q253" i="36"/>
  <c r="Q254" i="36"/>
  <c r="Q252" i="36"/>
  <c r="N253" i="36"/>
  <c r="N254" i="36"/>
  <c r="N252" i="36"/>
  <c r="K253" i="36"/>
  <c r="K254" i="36"/>
  <c r="K252" i="36"/>
  <c r="H253" i="36"/>
  <c r="H254" i="36"/>
  <c r="H252" i="36"/>
  <c r="X240" i="36"/>
  <c r="G344" i="36" s="1"/>
  <c r="W241" i="36"/>
  <c r="W242" i="36"/>
  <c r="W243" i="36"/>
  <c r="W244" i="36"/>
  <c r="W245" i="36"/>
  <c r="W246" i="36"/>
  <c r="W240" i="36"/>
  <c r="T241" i="36"/>
  <c r="T242" i="36"/>
  <c r="T243" i="36"/>
  <c r="T244" i="36"/>
  <c r="T245" i="36"/>
  <c r="T246" i="36"/>
  <c r="T240" i="36"/>
  <c r="Q241" i="36"/>
  <c r="Q242" i="36"/>
  <c r="Q243" i="36"/>
  <c r="Q244" i="36"/>
  <c r="Q245" i="36"/>
  <c r="Q246" i="36"/>
  <c r="Q240" i="36"/>
  <c r="N241" i="36"/>
  <c r="N242" i="36"/>
  <c r="N243" i="36"/>
  <c r="N244" i="36"/>
  <c r="N245" i="36"/>
  <c r="N246" i="36"/>
  <c r="N240" i="36"/>
  <c r="K241" i="36"/>
  <c r="K242" i="36"/>
  <c r="K243" i="36"/>
  <c r="K244" i="36"/>
  <c r="K245" i="36"/>
  <c r="K246" i="36"/>
  <c r="K240" i="36"/>
  <c r="H241" i="36"/>
  <c r="H242" i="36"/>
  <c r="H243" i="36"/>
  <c r="H244" i="36"/>
  <c r="H245" i="36"/>
  <c r="H246" i="36"/>
  <c r="H240" i="36"/>
  <c r="X221" i="36"/>
  <c r="W222" i="36"/>
  <c r="W223" i="36"/>
  <c r="W224" i="36"/>
  <c r="W225" i="36"/>
  <c r="W226" i="36"/>
  <c r="W227" i="36"/>
  <c r="W228" i="36"/>
  <c r="W229" i="36"/>
  <c r="W230" i="36"/>
  <c r="W231" i="36"/>
  <c r="W232" i="36"/>
  <c r="W233" i="36"/>
  <c r="W234" i="36"/>
  <c r="W235" i="36"/>
  <c r="W236" i="36"/>
  <c r="W221" i="36"/>
  <c r="T222" i="36"/>
  <c r="T223" i="36"/>
  <c r="T224" i="36"/>
  <c r="T225" i="36"/>
  <c r="T226" i="36"/>
  <c r="T227" i="36"/>
  <c r="T228" i="36"/>
  <c r="T229" i="36"/>
  <c r="T230" i="36"/>
  <c r="T231" i="36"/>
  <c r="T232" i="36"/>
  <c r="T233" i="36"/>
  <c r="T234" i="36"/>
  <c r="T235" i="36"/>
  <c r="T236" i="36"/>
  <c r="T221" i="36"/>
  <c r="Q222" i="36"/>
  <c r="Q223" i="36"/>
  <c r="Q224" i="36"/>
  <c r="Q225" i="36"/>
  <c r="Q226" i="36"/>
  <c r="Q227" i="36"/>
  <c r="Q228" i="36"/>
  <c r="Q229" i="36"/>
  <c r="Q230" i="36"/>
  <c r="Q231" i="36"/>
  <c r="Q232" i="36"/>
  <c r="Q233" i="36"/>
  <c r="Q234" i="36"/>
  <c r="Q235" i="36"/>
  <c r="Q236" i="36"/>
  <c r="Q221" i="36"/>
  <c r="N222" i="36"/>
  <c r="N223" i="36"/>
  <c r="N224" i="36"/>
  <c r="N225" i="36"/>
  <c r="N226" i="36"/>
  <c r="N227" i="36"/>
  <c r="N228" i="36"/>
  <c r="N229" i="36"/>
  <c r="N230" i="36"/>
  <c r="N231" i="36"/>
  <c r="N232" i="36"/>
  <c r="N233" i="36"/>
  <c r="N234" i="36"/>
  <c r="N235" i="36"/>
  <c r="N236" i="36"/>
  <c r="N221" i="36"/>
  <c r="K222" i="36"/>
  <c r="K223" i="36"/>
  <c r="K224" i="36"/>
  <c r="K225" i="36"/>
  <c r="K226" i="36"/>
  <c r="K227" i="36"/>
  <c r="K228" i="36"/>
  <c r="K229" i="36"/>
  <c r="K230" i="36"/>
  <c r="K231" i="36"/>
  <c r="K232" i="36"/>
  <c r="K233" i="36"/>
  <c r="K234" i="36"/>
  <c r="K235" i="36"/>
  <c r="K236" i="36"/>
  <c r="K221" i="36"/>
  <c r="H222" i="36"/>
  <c r="H223" i="36"/>
  <c r="H224" i="36"/>
  <c r="H225" i="36"/>
  <c r="H226" i="36"/>
  <c r="H227" i="36"/>
  <c r="H228" i="36"/>
  <c r="H229" i="36"/>
  <c r="H230" i="36"/>
  <c r="H231" i="36"/>
  <c r="H232" i="36"/>
  <c r="H233" i="36"/>
  <c r="H234" i="36"/>
  <c r="H235" i="36"/>
  <c r="H236" i="36"/>
  <c r="H221" i="36"/>
  <c r="X202" i="36"/>
  <c r="G319" i="36" s="1"/>
  <c r="W203" i="36"/>
  <c r="W204" i="36"/>
  <c r="W205" i="36"/>
  <c r="W206" i="36"/>
  <c r="W207" i="36"/>
  <c r="W208" i="36"/>
  <c r="W209" i="36"/>
  <c r="W210" i="36"/>
  <c r="W211" i="36"/>
  <c r="W212" i="36"/>
  <c r="W213" i="36"/>
  <c r="W214" i="36"/>
  <c r="W215" i="36"/>
  <c r="W216" i="36"/>
  <c r="W217" i="36"/>
  <c r="W202" i="36"/>
  <c r="T203" i="36"/>
  <c r="T204" i="36"/>
  <c r="T205" i="36"/>
  <c r="T206" i="36"/>
  <c r="T207" i="36"/>
  <c r="T208" i="36"/>
  <c r="T209" i="36"/>
  <c r="T210" i="36"/>
  <c r="T211" i="36"/>
  <c r="T212" i="36"/>
  <c r="T213" i="36"/>
  <c r="T214" i="36"/>
  <c r="T215" i="36"/>
  <c r="T216" i="36"/>
  <c r="T217" i="36"/>
  <c r="T202" i="36"/>
  <c r="Q203" i="36"/>
  <c r="Q204" i="36"/>
  <c r="Q205" i="36"/>
  <c r="Q206" i="36"/>
  <c r="Q207" i="36"/>
  <c r="Q208" i="36"/>
  <c r="Q209" i="36"/>
  <c r="Q210" i="36"/>
  <c r="Q211" i="36"/>
  <c r="Q212" i="36"/>
  <c r="Q213" i="36"/>
  <c r="Q214" i="36"/>
  <c r="Q215" i="36"/>
  <c r="Q216" i="36"/>
  <c r="Q217" i="36"/>
  <c r="Q202" i="36"/>
  <c r="N203" i="36"/>
  <c r="N204" i="36"/>
  <c r="N205" i="36"/>
  <c r="N206" i="36"/>
  <c r="N207" i="36"/>
  <c r="N208" i="36"/>
  <c r="N209" i="36"/>
  <c r="N210" i="36"/>
  <c r="N211" i="36"/>
  <c r="N212" i="36"/>
  <c r="N213" i="36"/>
  <c r="N214" i="36"/>
  <c r="N215" i="36"/>
  <c r="N216" i="36"/>
  <c r="N217" i="36"/>
  <c r="N202" i="36"/>
  <c r="K203" i="36"/>
  <c r="K204" i="36"/>
  <c r="K205" i="36"/>
  <c r="K206" i="36"/>
  <c r="K207" i="36"/>
  <c r="K208" i="36"/>
  <c r="K209" i="36"/>
  <c r="K210" i="36"/>
  <c r="K211" i="36"/>
  <c r="K212" i="36"/>
  <c r="K213" i="36"/>
  <c r="K214" i="36"/>
  <c r="K215" i="36"/>
  <c r="K216" i="36"/>
  <c r="K217" i="36"/>
  <c r="K202" i="36"/>
  <c r="H203" i="36"/>
  <c r="H204" i="36"/>
  <c r="H205" i="36"/>
  <c r="H206" i="36"/>
  <c r="H207" i="36"/>
  <c r="H208" i="36"/>
  <c r="H209" i="36"/>
  <c r="H210" i="36"/>
  <c r="H211" i="36"/>
  <c r="H212" i="36"/>
  <c r="H213" i="36"/>
  <c r="H214" i="36"/>
  <c r="H215" i="36"/>
  <c r="H216" i="36"/>
  <c r="H217" i="36"/>
  <c r="H202" i="36"/>
  <c r="X163" i="36"/>
  <c r="G360" i="36" s="1"/>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63" i="36"/>
  <c r="T164" i="36"/>
  <c r="T165" i="36"/>
  <c r="T166" i="36"/>
  <c r="T167" i="36"/>
  <c r="T168" i="36"/>
  <c r="T169" i="36"/>
  <c r="T170" i="36"/>
  <c r="T171" i="36"/>
  <c r="T172" i="36"/>
  <c r="T173" i="36"/>
  <c r="T174" i="36"/>
  <c r="T175" i="36"/>
  <c r="T176" i="36"/>
  <c r="T177" i="36"/>
  <c r="T178" i="36"/>
  <c r="T179" i="36"/>
  <c r="T180" i="36"/>
  <c r="T181" i="36"/>
  <c r="T182" i="36"/>
  <c r="T183" i="36"/>
  <c r="T184" i="36"/>
  <c r="T185" i="36"/>
  <c r="T186" i="36"/>
  <c r="T187" i="36"/>
  <c r="T163" i="36"/>
  <c r="Q164" i="36"/>
  <c r="Q165" i="36"/>
  <c r="Q166" i="36"/>
  <c r="Q167" i="36"/>
  <c r="Q168" i="36"/>
  <c r="Q169" i="36"/>
  <c r="Q170" i="36"/>
  <c r="Q171" i="36"/>
  <c r="Q172" i="36"/>
  <c r="Q173" i="36"/>
  <c r="Q174" i="36"/>
  <c r="Q175" i="36"/>
  <c r="Q176" i="36"/>
  <c r="Q177" i="36"/>
  <c r="Q178" i="36"/>
  <c r="Q179" i="36"/>
  <c r="Q180" i="36"/>
  <c r="Q181" i="36"/>
  <c r="Q182" i="36"/>
  <c r="Q183" i="36"/>
  <c r="Q184" i="36"/>
  <c r="Q185" i="36"/>
  <c r="Q186" i="36"/>
  <c r="Q187" i="36"/>
  <c r="Q163" i="36"/>
  <c r="N164" i="36"/>
  <c r="N165" i="36"/>
  <c r="N166" i="36"/>
  <c r="N167" i="36"/>
  <c r="N168" i="36"/>
  <c r="N169" i="36"/>
  <c r="N170" i="36"/>
  <c r="N171" i="36"/>
  <c r="N172" i="36"/>
  <c r="N173" i="36"/>
  <c r="N174" i="36"/>
  <c r="N175" i="36"/>
  <c r="N176" i="36"/>
  <c r="N177" i="36"/>
  <c r="N178" i="36"/>
  <c r="N179" i="36"/>
  <c r="N180" i="36"/>
  <c r="N181" i="36"/>
  <c r="N182" i="36"/>
  <c r="N183" i="36"/>
  <c r="N184" i="36"/>
  <c r="N185" i="36"/>
  <c r="N186" i="36"/>
  <c r="N187" i="36"/>
  <c r="N163" i="36"/>
  <c r="K164" i="36"/>
  <c r="K165" i="36"/>
  <c r="K166" i="36"/>
  <c r="K167" i="36"/>
  <c r="K168" i="36"/>
  <c r="K169" i="36"/>
  <c r="K170" i="36"/>
  <c r="K171" i="36"/>
  <c r="K172" i="36"/>
  <c r="K173" i="36"/>
  <c r="K174" i="36"/>
  <c r="K175" i="36"/>
  <c r="K176" i="36"/>
  <c r="K177" i="36"/>
  <c r="K178" i="36"/>
  <c r="K179" i="36"/>
  <c r="K180" i="36"/>
  <c r="K181" i="36"/>
  <c r="K182" i="36"/>
  <c r="K183" i="36"/>
  <c r="K184" i="36"/>
  <c r="K185" i="36"/>
  <c r="K186" i="36"/>
  <c r="K187" i="36"/>
  <c r="K163" i="36"/>
  <c r="H164" i="36"/>
  <c r="H165" i="36"/>
  <c r="H166" i="36"/>
  <c r="H167" i="36"/>
  <c r="H168" i="36"/>
  <c r="H169" i="36"/>
  <c r="H170" i="36"/>
  <c r="H171" i="36"/>
  <c r="H172" i="36"/>
  <c r="H173" i="36"/>
  <c r="H174" i="36"/>
  <c r="H175" i="36"/>
  <c r="H176" i="36"/>
  <c r="H177" i="36"/>
  <c r="H178" i="36"/>
  <c r="H179" i="36"/>
  <c r="H180" i="36"/>
  <c r="H181" i="36"/>
  <c r="H182" i="36"/>
  <c r="H183" i="36"/>
  <c r="H184" i="36"/>
  <c r="H185" i="36"/>
  <c r="H186" i="36"/>
  <c r="H187" i="36"/>
  <c r="H163" i="36"/>
  <c r="X153" i="36"/>
  <c r="G314" i="36" s="1"/>
  <c r="W154" i="36"/>
  <c r="W155" i="36"/>
  <c r="W156" i="36"/>
  <c r="W157" i="36"/>
  <c r="W158" i="36"/>
  <c r="W159" i="36"/>
  <c r="W153" i="36"/>
  <c r="T154" i="36"/>
  <c r="T155" i="36"/>
  <c r="T156" i="36"/>
  <c r="T157" i="36"/>
  <c r="T158" i="36"/>
  <c r="T159" i="36"/>
  <c r="T153" i="36"/>
  <c r="Q154" i="36"/>
  <c r="Q155" i="36"/>
  <c r="Q156" i="36"/>
  <c r="Q157" i="36"/>
  <c r="Q158" i="36"/>
  <c r="Q159" i="36"/>
  <c r="Q153" i="36"/>
  <c r="N154" i="36"/>
  <c r="N155" i="36"/>
  <c r="N156" i="36"/>
  <c r="N157" i="36"/>
  <c r="N158" i="36"/>
  <c r="N159" i="36"/>
  <c r="N153" i="36"/>
  <c r="K154" i="36"/>
  <c r="K155" i="36"/>
  <c r="K156" i="36"/>
  <c r="K157" i="36"/>
  <c r="K158" i="36"/>
  <c r="K159" i="36"/>
  <c r="K153" i="36"/>
  <c r="H154" i="36"/>
  <c r="H155" i="36"/>
  <c r="H156" i="36"/>
  <c r="H157" i="36"/>
  <c r="H158" i="36"/>
  <c r="H159" i="36"/>
  <c r="H153" i="36"/>
  <c r="X100" i="36"/>
  <c r="G334" i="36" s="1"/>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144" i="36"/>
  <c r="T145" i="36"/>
  <c r="T146" i="36"/>
  <c r="T147" i="36"/>
  <c r="T148" i="36"/>
  <c r="T149" i="36"/>
  <c r="T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144" i="36"/>
  <c r="Q145" i="36"/>
  <c r="Q146" i="36"/>
  <c r="Q147" i="36"/>
  <c r="Q148" i="36"/>
  <c r="Q149" i="36"/>
  <c r="Q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144" i="36"/>
  <c r="N145" i="36"/>
  <c r="N146" i="36"/>
  <c r="N147" i="36"/>
  <c r="N148" i="36"/>
  <c r="N149" i="36"/>
  <c r="N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144" i="36"/>
  <c r="K145" i="36"/>
  <c r="K146" i="36"/>
  <c r="K147" i="36"/>
  <c r="K148" i="36"/>
  <c r="K149" i="36"/>
  <c r="K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144" i="36"/>
  <c r="H145" i="36"/>
  <c r="H146" i="36"/>
  <c r="H147" i="36"/>
  <c r="H148" i="36"/>
  <c r="H149" i="36"/>
  <c r="H100" i="36"/>
  <c r="X57" i="36"/>
  <c r="X47" i="36"/>
  <c r="G264" i="36" s="1"/>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91" i="36"/>
  <c r="T92" i="36"/>
  <c r="T93" i="36"/>
  <c r="T94" i="36"/>
  <c r="T95" i="36"/>
  <c r="T96" i="36"/>
  <c r="T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91" i="36"/>
  <c r="Q92" i="36"/>
  <c r="Q93" i="36"/>
  <c r="Q94" i="36"/>
  <c r="Q95" i="36"/>
  <c r="Q96" i="36"/>
  <c r="Q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91" i="36"/>
  <c r="N92" i="36"/>
  <c r="N93" i="36"/>
  <c r="N94" i="36"/>
  <c r="N95" i="36"/>
  <c r="N96" i="36"/>
  <c r="N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91" i="36"/>
  <c r="K92" i="36"/>
  <c r="K93" i="36"/>
  <c r="K94" i="36"/>
  <c r="K95" i="36"/>
  <c r="K96" i="36"/>
  <c r="K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91" i="36"/>
  <c r="H92" i="36"/>
  <c r="H93" i="36"/>
  <c r="H94" i="36"/>
  <c r="H95" i="36"/>
  <c r="H96" i="36"/>
  <c r="H57" i="36"/>
  <c r="W48" i="36"/>
  <c r="W49" i="36"/>
  <c r="W50" i="36"/>
  <c r="W51" i="36"/>
  <c r="W52" i="36"/>
  <c r="W53" i="36"/>
  <c r="W47" i="36"/>
  <c r="T48" i="36"/>
  <c r="T49" i="36"/>
  <c r="T50" i="36"/>
  <c r="T51" i="36"/>
  <c r="T52" i="36"/>
  <c r="T53" i="36"/>
  <c r="T47" i="36"/>
  <c r="Q48" i="36"/>
  <c r="Q49" i="36"/>
  <c r="Q50" i="36"/>
  <c r="Q51" i="36"/>
  <c r="Q52" i="36"/>
  <c r="Q53" i="36"/>
  <c r="Q47" i="36"/>
  <c r="N48" i="36"/>
  <c r="N49" i="36"/>
  <c r="N50" i="36"/>
  <c r="N51" i="36"/>
  <c r="N52" i="36"/>
  <c r="N53" i="36"/>
  <c r="N47" i="36"/>
  <c r="K48" i="36"/>
  <c r="K49" i="36"/>
  <c r="K50" i="36"/>
  <c r="K51" i="36"/>
  <c r="K52" i="36"/>
  <c r="K53" i="36"/>
  <c r="K47" i="36"/>
  <c r="H48" i="36"/>
  <c r="H49" i="36"/>
  <c r="H50" i="36"/>
  <c r="H51" i="36"/>
  <c r="H52" i="36"/>
  <c r="H53" i="36"/>
  <c r="H47" i="36"/>
  <c r="I45" i="36"/>
  <c r="G41" i="36"/>
  <c r="E30" i="36"/>
  <c r="E26" i="36"/>
  <c r="F24" i="36"/>
  <c r="G13" i="36"/>
  <c r="G15" i="36" s="1"/>
  <c r="E13" i="36"/>
  <c r="E9" i="36"/>
  <c r="F7" i="36"/>
  <c r="C53" i="39" l="1"/>
  <c r="P55" i="38"/>
  <c r="Y55" i="38" s="1"/>
  <c r="OT55" i="38" s="1"/>
  <c r="Y58" i="38"/>
  <c r="OT58" i="38" s="1"/>
  <c r="J205" i="38" s="1"/>
  <c r="Y205" i="38" s="1"/>
  <c r="X58" i="38"/>
  <c r="OS58" i="38" s="1"/>
  <c r="I205" i="38" s="1"/>
  <c r="X205" i="38" s="1"/>
  <c r="S29" i="36" s="1"/>
  <c r="T29" i="36" s="1"/>
  <c r="V58" i="38"/>
  <c r="OQ58" i="38" s="1"/>
  <c r="G205" i="38" s="1"/>
  <c r="V205" i="38" s="1"/>
  <c r="M29" i="36" s="1"/>
  <c r="N29" i="36" s="1"/>
  <c r="I58" i="38"/>
  <c r="K58" i="38" s="1"/>
  <c r="M58" i="38" s="1"/>
  <c r="O58" i="38" s="1"/>
  <c r="U58" i="38"/>
  <c r="OP58" i="38" s="1"/>
  <c r="Q255" i="36"/>
  <c r="F346" i="36" s="1"/>
  <c r="W97" i="36"/>
  <c r="F23" i="24" s="1"/>
  <c r="G55" i="39" s="1"/>
  <c r="K150" i="36"/>
  <c r="B24" i="24" s="1"/>
  <c r="C56" i="39" s="1"/>
  <c r="Q150" i="36"/>
  <c r="F334" i="36" s="1"/>
  <c r="W150" i="36"/>
  <c r="F24" i="24" s="1"/>
  <c r="G56" i="39" s="1"/>
  <c r="X101" i="36"/>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X144" i="36" s="1"/>
  <c r="X145" i="36" s="1"/>
  <c r="X146" i="36" s="1"/>
  <c r="X147" i="36" s="1"/>
  <c r="X148" i="36" s="1"/>
  <c r="X149" i="36" s="1"/>
  <c r="H237" i="36"/>
  <c r="F276" i="36" s="1"/>
  <c r="F403" i="36" s="1"/>
  <c r="B49" i="22" s="1"/>
  <c r="B51" i="22" s="1"/>
  <c r="N237" i="36"/>
  <c r="C28" i="24" s="1"/>
  <c r="D60" i="39" s="1"/>
  <c r="T237" i="36"/>
  <c r="E28" i="24" s="1"/>
  <c r="F60" i="39" s="1"/>
  <c r="W237" i="36"/>
  <c r="F28" i="24" s="1"/>
  <c r="G60" i="39" s="1"/>
  <c r="K247" i="36"/>
  <c r="T97" i="36"/>
  <c r="E23" i="24" s="1"/>
  <c r="F55" i="39" s="1"/>
  <c r="K160" i="36"/>
  <c r="B25" i="24" s="1"/>
  <c r="C57" i="39" s="1"/>
  <c r="W160" i="36"/>
  <c r="F25" i="24" s="1"/>
  <c r="G57" i="39" s="1"/>
  <c r="Q188" i="36"/>
  <c r="D26" i="24" s="1"/>
  <c r="E58" i="39" s="1"/>
  <c r="K218" i="36"/>
  <c r="B27" i="24" s="1"/>
  <c r="C59" i="39" s="1"/>
  <c r="Q218" i="36"/>
  <c r="D27" i="24" s="1"/>
  <c r="E59" i="39" s="1"/>
  <c r="W218" i="36"/>
  <c r="F27" i="24" s="1"/>
  <c r="G59" i="39" s="1"/>
  <c r="N247" i="36"/>
  <c r="F322" i="36" s="1"/>
  <c r="H150" i="36"/>
  <c r="F268" i="36" s="1"/>
  <c r="F383" i="36" s="1"/>
  <c r="B37" i="22" s="1"/>
  <c r="K188" i="36"/>
  <c r="B26" i="24" s="1"/>
  <c r="C58" i="39" s="1"/>
  <c r="N188" i="36"/>
  <c r="C26" i="24" s="1"/>
  <c r="D58" i="39" s="1"/>
  <c r="Q54" i="36"/>
  <c r="D22" i="24" s="1"/>
  <c r="E54" i="39" s="1"/>
  <c r="W188" i="36"/>
  <c r="F26" i="24" s="1"/>
  <c r="G58" i="39" s="1"/>
  <c r="K97" i="36"/>
  <c r="B23" i="24" s="1"/>
  <c r="C55" i="39" s="1"/>
  <c r="Q97" i="36"/>
  <c r="F332" i="36" s="1"/>
  <c r="N160" i="36"/>
  <c r="F314" i="36" s="1"/>
  <c r="H188" i="36"/>
  <c r="F272" i="36" s="1"/>
  <c r="F393" i="36" s="1"/>
  <c r="B43" i="22" s="1"/>
  <c r="T188" i="36"/>
  <c r="F360" i="36" s="1"/>
  <c r="H360" i="36" s="1"/>
  <c r="H361" i="36" s="1"/>
  <c r="X164" i="36"/>
  <c r="X165" i="36" s="1"/>
  <c r="X166" i="36" s="1"/>
  <c r="X167" i="36" s="1"/>
  <c r="X168" i="36" s="1"/>
  <c r="X169" i="36" s="1"/>
  <c r="X170" i="36" s="1"/>
  <c r="X171" i="36" s="1"/>
  <c r="X172" i="36" s="1"/>
  <c r="X173" i="36" s="1"/>
  <c r="X174" i="36" s="1"/>
  <c r="X175" i="36" s="1"/>
  <c r="X176" i="36" s="1"/>
  <c r="X177" i="36" s="1"/>
  <c r="X178" i="36" s="1"/>
  <c r="X179" i="36" s="1"/>
  <c r="X180" i="36" s="1"/>
  <c r="X181" i="36" s="1"/>
  <c r="X182" i="36" s="1"/>
  <c r="X183" i="36" s="1"/>
  <c r="X184" i="36" s="1"/>
  <c r="X185" i="36" s="1"/>
  <c r="X186" i="36" s="1"/>
  <c r="X187" i="36" s="1"/>
  <c r="N255" i="36"/>
  <c r="F324" i="36" s="1"/>
  <c r="G354" i="36"/>
  <c r="X58" i="36"/>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X91" i="36" s="1"/>
  <c r="X92" i="36" s="1"/>
  <c r="X93" i="36" s="1"/>
  <c r="X94" i="36" s="1"/>
  <c r="X95" i="36" s="1"/>
  <c r="X96" i="36" s="1"/>
  <c r="T150" i="36"/>
  <c r="G342" i="36"/>
  <c r="X222" i="36"/>
  <c r="X223" i="36" s="1"/>
  <c r="X224" i="36" s="1"/>
  <c r="X225" i="36" s="1"/>
  <c r="X226" i="36" s="1"/>
  <c r="X227" i="36" s="1"/>
  <c r="X228" i="36" s="1"/>
  <c r="X229" i="36" s="1"/>
  <c r="X230" i="36" s="1"/>
  <c r="X231" i="36" s="1"/>
  <c r="X232" i="36" s="1"/>
  <c r="X233" i="36" s="1"/>
  <c r="X234" i="36" s="1"/>
  <c r="X235" i="36" s="1"/>
  <c r="X236" i="36" s="1"/>
  <c r="H97" i="36"/>
  <c r="F266" i="36" s="1"/>
  <c r="F378" i="36" s="1"/>
  <c r="H160" i="36"/>
  <c r="F270" i="36" s="1"/>
  <c r="F388" i="36" s="1"/>
  <c r="B40" i="22" s="1"/>
  <c r="T160" i="36"/>
  <c r="H218" i="36"/>
  <c r="H247" i="36"/>
  <c r="W247" i="36"/>
  <c r="K255" i="36"/>
  <c r="W255" i="36"/>
  <c r="N150" i="36"/>
  <c r="K54" i="36"/>
  <c r="W54" i="36"/>
  <c r="N97" i="36"/>
  <c r="Q160" i="36"/>
  <c r="N218" i="36"/>
  <c r="K237" i="36"/>
  <c r="Q247" i="36"/>
  <c r="F344" i="36" s="1"/>
  <c r="H344" i="36" s="1"/>
  <c r="H255" i="36"/>
  <c r="H257" i="36" s="1"/>
  <c r="F280" i="36" s="1"/>
  <c r="F413" i="36" s="1"/>
  <c r="T255" i="36"/>
  <c r="T218" i="36"/>
  <c r="Q237" i="36"/>
  <c r="D29" i="24"/>
  <c r="E61" i="39" s="1"/>
  <c r="H422" i="36"/>
  <c r="I422" i="36" s="1"/>
  <c r="C30" i="22"/>
  <c r="B30" i="22"/>
  <c r="H54" i="36"/>
  <c r="N54" i="36"/>
  <c r="T54" i="36"/>
  <c r="X48" i="36"/>
  <c r="X49" i="36" s="1"/>
  <c r="X50" i="36" s="1"/>
  <c r="X51" i="36" s="1"/>
  <c r="X52" i="36" s="1"/>
  <c r="X53" i="36" s="1"/>
  <c r="X203" i="36"/>
  <c r="X204" i="36" s="1"/>
  <c r="X205" i="36" s="1"/>
  <c r="X206" i="36" s="1"/>
  <c r="X207" i="36" s="1"/>
  <c r="X208" i="36" s="1"/>
  <c r="X209" i="36" s="1"/>
  <c r="X210" i="36" s="1"/>
  <c r="X211" i="36" s="1"/>
  <c r="X212" i="36" s="1"/>
  <c r="X213" i="36" s="1"/>
  <c r="X214" i="36" s="1"/>
  <c r="X215" i="36" s="1"/>
  <c r="X216" i="36" s="1"/>
  <c r="X217" i="36" s="1"/>
  <c r="G268" i="36"/>
  <c r="G276" i="36"/>
  <c r="G286" i="36"/>
  <c r="G294" i="36"/>
  <c r="G336" i="36"/>
  <c r="G356" i="36"/>
  <c r="G358" i="36"/>
  <c r="G266" i="36"/>
  <c r="G275" i="36"/>
  <c r="G288" i="36"/>
  <c r="G297" i="36"/>
  <c r="G308" i="36"/>
  <c r="G312" i="36"/>
  <c r="G316" i="36"/>
  <c r="G320" i="36"/>
  <c r="G330" i="36"/>
  <c r="G332" i="36"/>
  <c r="G338" i="36"/>
  <c r="G352" i="36"/>
  <c r="G363" i="36"/>
  <c r="G364" i="36"/>
  <c r="G278" i="36"/>
  <c r="G290" i="36"/>
  <c r="G298" i="36"/>
  <c r="G341" i="36"/>
  <c r="G366" i="36"/>
  <c r="X154" i="36"/>
  <c r="X155" i="36" s="1"/>
  <c r="X156" i="36" s="1"/>
  <c r="X157" i="36" s="1"/>
  <c r="X158" i="36" s="1"/>
  <c r="X159" i="36" s="1"/>
  <c r="X241" i="36"/>
  <c r="X242" i="36" s="1"/>
  <c r="X243" i="36" s="1"/>
  <c r="X244" i="36" s="1"/>
  <c r="X245" i="36" s="1"/>
  <c r="X246" i="36" s="1"/>
  <c r="X252" i="36" s="1"/>
  <c r="G13" i="37"/>
  <c r="G15" i="37" s="1"/>
  <c r="K10" i="37" s="1"/>
  <c r="H24" i="37" s="1"/>
  <c r="I24" i="37" s="1"/>
  <c r="G270" i="36"/>
  <c r="G272" i="36"/>
  <c r="G292" i="36"/>
  <c r="G300" i="36"/>
  <c r="G310" i="36"/>
  <c r="G322" i="36"/>
  <c r="G421" i="36"/>
  <c r="G417" i="36"/>
  <c r="T247" i="36"/>
  <c r="F366" i="36" s="1"/>
  <c r="H30" i="36"/>
  <c r="U206" i="38" l="1"/>
  <c r="J30" i="36" s="1"/>
  <c r="F205" i="38"/>
  <c r="U205" i="38" s="1"/>
  <c r="J29" i="36" s="1"/>
  <c r="K29" i="36" s="1"/>
  <c r="H26" i="37"/>
  <c r="I26" i="37" s="1"/>
  <c r="H25" i="37"/>
  <c r="I25" i="37" s="1"/>
  <c r="K12" i="37"/>
  <c r="K11" i="37"/>
  <c r="V55" i="38"/>
  <c r="V69" i="38" s="1"/>
  <c r="E189" i="38" s="1"/>
  <c r="E192" i="38" s="1"/>
  <c r="X55" i="38"/>
  <c r="OS55" i="38" s="1"/>
  <c r="U55" i="38"/>
  <c r="W55" i="38"/>
  <c r="W69" i="38" s="1"/>
  <c r="G189" i="38" s="1"/>
  <c r="Y69" i="38"/>
  <c r="I189" i="38" s="1"/>
  <c r="I192" i="38" s="1"/>
  <c r="K13" i="37"/>
  <c r="H27" i="37" s="1"/>
  <c r="I27" i="37" s="1"/>
  <c r="F290" i="36"/>
  <c r="I290" i="36" s="1"/>
  <c r="E26" i="24"/>
  <c r="F58" i="39" s="1"/>
  <c r="F294" i="36"/>
  <c r="I294" i="36" s="1"/>
  <c r="W249" i="36"/>
  <c r="Q257" i="36"/>
  <c r="F341" i="36"/>
  <c r="I341" i="36" s="1"/>
  <c r="F330" i="36"/>
  <c r="I330" i="36" s="1"/>
  <c r="C29" i="24"/>
  <c r="D61" i="39" s="1"/>
  <c r="F338" i="36"/>
  <c r="I338" i="36" s="1"/>
  <c r="H334" i="36"/>
  <c r="I334" i="36"/>
  <c r="D24" i="24"/>
  <c r="E56" i="39" s="1"/>
  <c r="F320" i="36"/>
  <c r="J320" i="36" s="1"/>
  <c r="F354" i="36"/>
  <c r="H354" i="36" s="1"/>
  <c r="H355" i="36" s="1"/>
  <c r="D30" i="22"/>
  <c r="F297" i="36"/>
  <c r="K297" i="36" s="1"/>
  <c r="I344" i="36"/>
  <c r="J344" i="36" s="1"/>
  <c r="F316" i="36"/>
  <c r="J316" i="36" s="1"/>
  <c r="Q249" i="36"/>
  <c r="F292" i="36"/>
  <c r="G388" i="36" s="1"/>
  <c r="H388" i="36" s="1"/>
  <c r="F364" i="36"/>
  <c r="H364" i="36" s="1"/>
  <c r="H365" i="36" s="1"/>
  <c r="D23" i="24"/>
  <c r="E55" i="39" s="1"/>
  <c r="F288" i="36"/>
  <c r="I288" i="36" s="1"/>
  <c r="J314" i="36"/>
  <c r="I314" i="36"/>
  <c r="N257" i="36"/>
  <c r="C25" i="24"/>
  <c r="D57" i="39" s="1"/>
  <c r="Q190" i="36"/>
  <c r="H314" i="36"/>
  <c r="H315" i="36" s="1"/>
  <c r="C22" i="24"/>
  <c r="D54" i="39" s="1"/>
  <c r="N190" i="36"/>
  <c r="F308" i="36"/>
  <c r="J308" i="36" s="1"/>
  <c r="F363" i="36"/>
  <c r="H363" i="36" s="1"/>
  <c r="I363" i="36" s="1"/>
  <c r="E27" i="24"/>
  <c r="F59" i="39" s="1"/>
  <c r="T249" i="36"/>
  <c r="F310" i="36"/>
  <c r="J310" i="36" s="1"/>
  <c r="C23" i="24"/>
  <c r="D55" i="39" s="1"/>
  <c r="F29" i="24"/>
  <c r="G61" i="39" s="1"/>
  <c r="W257" i="36"/>
  <c r="F275" i="36"/>
  <c r="F398" i="36" s="1"/>
  <c r="H249" i="36"/>
  <c r="E24" i="24"/>
  <c r="F56" i="39" s="1"/>
  <c r="F356" i="36"/>
  <c r="H356" i="36" s="1"/>
  <c r="H357" i="36" s="1"/>
  <c r="B54" i="22"/>
  <c r="B56" i="22" s="1"/>
  <c r="B34" i="22"/>
  <c r="B36" i="22" s="1"/>
  <c r="F264" i="36"/>
  <c r="H190" i="36"/>
  <c r="B28" i="24"/>
  <c r="C60" i="39" s="1"/>
  <c r="F298" i="36"/>
  <c r="G403" i="36" s="1"/>
  <c r="C49" i="22" s="1"/>
  <c r="F22" i="24"/>
  <c r="G54" i="39" s="1"/>
  <c r="G62" i="39" s="1"/>
  <c r="W190" i="36"/>
  <c r="C24" i="24"/>
  <c r="D56" i="39" s="1"/>
  <c r="F312" i="36"/>
  <c r="I312" i="36" s="1"/>
  <c r="B29" i="24"/>
  <c r="C61" i="39" s="1"/>
  <c r="K257" i="36"/>
  <c r="F302" i="36"/>
  <c r="G413" i="36" s="1"/>
  <c r="E25" i="24"/>
  <c r="F57" i="39" s="1"/>
  <c r="F358" i="36"/>
  <c r="H358" i="36" s="1"/>
  <c r="E22" i="24"/>
  <c r="F54" i="39" s="1"/>
  <c r="F352" i="36"/>
  <c r="T190" i="36"/>
  <c r="D28" i="24"/>
  <c r="E60" i="39" s="1"/>
  <c r="F342" i="36"/>
  <c r="D25" i="24"/>
  <c r="E57" i="39" s="1"/>
  <c r="F336" i="36"/>
  <c r="D8" i="19"/>
  <c r="F278" i="36"/>
  <c r="F408" i="36" s="1"/>
  <c r="H366" i="36"/>
  <c r="H367" i="36" s="1"/>
  <c r="I360" i="36"/>
  <c r="E29" i="24"/>
  <c r="F61" i="39" s="1"/>
  <c r="F368" i="36"/>
  <c r="T257" i="36"/>
  <c r="F319" i="36"/>
  <c r="C27" i="24"/>
  <c r="D59" i="39" s="1"/>
  <c r="N249" i="36"/>
  <c r="B22" i="24"/>
  <c r="F286" i="36"/>
  <c r="K286" i="36" s="1"/>
  <c r="K190" i="36"/>
  <c r="K249" i="36"/>
  <c r="F300" i="36" s="1"/>
  <c r="K300" i="36" s="1"/>
  <c r="B4" i="23"/>
  <c r="B13" i="23" s="1"/>
  <c r="I332" i="36"/>
  <c r="H332" i="36"/>
  <c r="H345" i="36"/>
  <c r="K292" i="36"/>
  <c r="G368" i="36"/>
  <c r="G346" i="36"/>
  <c r="G324" i="36"/>
  <c r="G280" i="36"/>
  <c r="G302" i="36"/>
  <c r="X253" i="36"/>
  <c r="X254" i="36" s="1"/>
  <c r="L266" i="36"/>
  <c r="I266" i="36"/>
  <c r="H266" i="36"/>
  <c r="J266" i="36"/>
  <c r="K266" i="36"/>
  <c r="I322" i="36"/>
  <c r="J322" i="36"/>
  <c r="H322" i="36"/>
  <c r="H323" i="36" s="1"/>
  <c r="J272" i="36"/>
  <c r="K272" i="36"/>
  <c r="L272" i="36"/>
  <c r="I272" i="36"/>
  <c r="H272" i="36"/>
  <c r="K268" i="36"/>
  <c r="L268" i="36"/>
  <c r="I268" i="36"/>
  <c r="H268" i="36"/>
  <c r="J268" i="36"/>
  <c r="J270" i="36"/>
  <c r="K270" i="36"/>
  <c r="L270" i="36"/>
  <c r="I270" i="36"/>
  <c r="H270" i="36"/>
  <c r="K276" i="36"/>
  <c r="L276" i="36"/>
  <c r="I276" i="36"/>
  <c r="H276" i="36"/>
  <c r="J276" i="36"/>
  <c r="E30" i="22"/>
  <c r="J422" i="36"/>
  <c r="X69" i="38" l="1"/>
  <c r="H189" i="38" s="1"/>
  <c r="E62" i="39"/>
  <c r="D62" i="39"/>
  <c r="C54" i="39"/>
  <c r="C62" i="39" s="1"/>
  <c r="B30" i="24"/>
  <c r="F62" i="39"/>
  <c r="U69" i="38"/>
  <c r="D189" i="38" s="1"/>
  <c r="C14" i="19" s="1"/>
  <c r="OP55" i="38"/>
  <c r="OQ55" i="38"/>
  <c r="OR55" i="38"/>
  <c r="H9" i="22"/>
  <c r="H15" i="22"/>
  <c r="L10" i="39"/>
  <c r="B5" i="23"/>
  <c r="C9" i="39" s="1"/>
  <c r="F189" i="38"/>
  <c r="F192" i="38" s="1"/>
  <c r="G192" i="38"/>
  <c r="F9" i="22"/>
  <c r="F15" i="22"/>
  <c r="H192" i="38"/>
  <c r="G15" i="22"/>
  <c r="G9" i="22"/>
  <c r="O16" i="36"/>
  <c r="F6" i="23"/>
  <c r="G10" i="39" s="1"/>
  <c r="H290" i="36"/>
  <c r="H385" i="36" s="1"/>
  <c r="J290" i="36"/>
  <c r="J385" i="36" s="1"/>
  <c r="G383" i="36"/>
  <c r="C37" i="22" s="1"/>
  <c r="K290" i="36"/>
  <c r="I35" i="37"/>
  <c r="C40" i="22"/>
  <c r="H341" i="36"/>
  <c r="J341" i="36" s="1"/>
  <c r="H294" i="36"/>
  <c r="H395" i="36" s="1"/>
  <c r="K294" i="36"/>
  <c r="K395" i="36" s="1"/>
  <c r="J294" i="36"/>
  <c r="H316" i="36"/>
  <c r="G393" i="36"/>
  <c r="C43" i="22" s="1"/>
  <c r="J297" i="36"/>
  <c r="G378" i="36"/>
  <c r="C34" i="22" s="1"/>
  <c r="J334" i="36"/>
  <c r="I316" i="36"/>
  <c r="H330" i="36"/>
  <c r="J330" i="36" s="1"/>
  <c r="H310" i="36"/>
  <c r="H311" i="36" s="1"/>
  <c r="I292" i="36"/>
  <c r="I390" i="36" s="1"/>
  <c r="H335" i="36"/>
  <c r="I335" i="36" s="1"/>
  <c r="L278" i="36"/>
  <c r="K410" i="36" s="1"/>
  <c r="J292" i="36"/>
  <c r="K278" i="36"/>
  <c r="I310" i="36"/>
  <c r="H308" i="36"/>
  <c r="H309" i="36" s="1"/>
  <c r="K298" i="36"/>
  <c r="H292" i="36"/>
  <c r="H293" i="36" s="1"/>
  <c r="I345" i="36"/>
  <c r="I354" i="36"/>
  <c r="H275" i="36"/>
  <c r="I308" i="36"/>
  <c r="I297" i="36"/>
  <c r="H338" i="36"/>
  <c r="H339" i="36" s="1"/>
  <c r="I339" i="36" s="1"/>
  <c r="I278" i="36"/>
  <c r="H288" i="36"/>
  <c r="I320" i="36"/>
  <c r="F340" i="36"/>
  <c r="K288" i="36"/>
  <c r="K380" i="36" s="1"/>
  <c r="H320" i="36"/>
  <c r="J288" i="36"/>
  <c r="J278" i="36"/>
  <c r="H297" i="36"/>
  <c r="J300" i="36"/>
  <c r="F296" i="36"/>
  <c r="Q259" i="36"/>
  <c r="I366" i="36"/>
  <c r="H278" i="36"/>
  <c r="H279" i="36" s="1"/>
  <c r="G409" i="36" s="1"/>
  <c r="C27" i="22" s="1"/>
  <c r="I356" i="36"/>
  <c r="H403" i="36"/>
  <c r="D49" i="22" s="1"/>
  <c r="J298" i="36"/>
  <c r="I336" i="36"/>
  <c r="K390" i="36" s="1"/>
  <c r="I315" i="36"/>
  <c r="J315" i="36" s="1"/>
  <c r="I298" i="36"/>
  <c r="H312" i="36"/>
  <c r="H313" i="36" s="1"/>
  <c r="I313" i="36" s="1"/>
  <c r="I364" i="36"/>
  <c r="W259" i="36"/>
  <c r="K314" i="36"/>
  <c r="H298" i="36"/>
  <c r="H405" i="36" s="1"/>
  <c r="J286" i="36"/>
  <c r="I286" i="36"/>
  <c r="I323" i="36"/>
  <c r="J323" i="36" s="1"/>
  <c r="J312" i="36"/>
  <c r="F362" i="36"/>
  <c r="H286" i="36"/>
  <c r="H287" i="36" s="1"/>
  <c r="H336" i="36"/>
  <c r="H259" i="36"/>
  <c r="D7" i="19" s="1"/>
  <c r="C54" i="22"/>
  <c r="H413" i="36"/>
  <c r="I358" i="36"/>
  <c r="H359" i="36"/>
  <c r="H352" i="36"/>
  <c r="I352" i="36" s="1"/>
  <c r="N259" i="36"/>
  <c r="I300" i="36"/>
  <c r="K259" i="36"/>
  <c r="B26" i="22"/>
  <c r="G408" i="36"/>
  <c r="H342" i="36"/>
  <c r="I342" i="36"/>
  <c r="H300" i="36"/>
  <c r="H301" i="36" s="1"/>
  <c r="I319" i="36"/>
  <c r="J319" i="36"/>
  <c r="K400" i="36" s="1"/>
  <c r="H319" i="36"/>
  <c r="F274" i="36"/>
  <c r="F373" i="36"/>
  <c r="J264" i="36"/>
  <c r="J274" i="36" s="1"/>
  <c r="K264" i="36"/>
  <c r="K274" i="36" s="1"/>
  <c r="H264" i="36"/>
  <c r="H274" i="36" s="1"/>
  <c r="I264" i="36"/>
  <c r="L264" i="36"/>
  <c r="B46" i="22"/>
  <c r="B48" i="22" s="1"/>
  <c r="G398" i="36"/>
  <c r="H368" i="36"/>
  <c r="H369" i="36" s="1"/>
  <c r="T259" i="36"/>
  <c r="F318" i="36"/>
  <c r="I324" i="36"/>
  <c r="J324" i="36"/>
  <c r="H324" i="36"/>
  <c r="H333" i="36"/>
  <c r="I333" i="36" s="1"/>
  <c r="J332" i="36"/>
  <c r="G380" i="36"/>
  <c r="M266" i="36"/>
  <c r="H267" i="36"/>
  <c r="I346" i="36"/>
  <c r="H346" i="36"/>
  <c r="M276" i="36"/>
  <c r="H277" i="36"/>
  <c r="G405" i="36"/>
  <c r="G399" i="36"/>
  <c r="C47" i="22" s="1"/>
  <c r="G395" i="36"/>
  <c r="M272" i="36"/>
  <c r="H273" i="36"/>
  <c r="G394" i="36" s="1"/>
  <c r="C44" i="22" s="1"/>
  <c r="G390" i="36"/>
  <c r="H271" i="36"/>
  <c r="G389" i="36" s="1"/>
  <c r="C41" i="22" s="1"/>
  <c r="M270" i="36"/>
  <c r="I302" i="36"/>
  <c r="J302" i="36"/>
  <c r="K302" i="36"/>
  <c r="H302" i="36"/>
  <c r="G385" i="36"/>
  <c r="M268" i="36"/>
  <c r="H269" i="36"/>
  <c r="K322" i="36"/>
  <c r="L280" i="36"/>
  <c r="I280" i="36"/>
  <c r="H280" i="36"/>
  <c r="J280" i="36"/>
  <c r="K280" i="36"/>
  <c r="K422" i="36"/>
  <c r="G30" i="22" s="1"/>
  <c r="F30" i="22"/>
  <c r="D40" i="22"/>
  <c r="I388" i="36"/>
  <c r="D17" i="33"/>
  <c r="D192" i="38" l="1"/>
  <c r="B6" i="23" s="1"/>
  <c r="D9" i="22"/>
  <c r="D15" i="22"/>
  <c r="E9" i="22"/>
  <c r="E15" i="22"/>
  <c r="K16" i="36"/>
  <c r="D6" i="23"/>
  <c r="E10" i="39" s="1"/>
  <c r="M16" i="36"/>
  <c r="E6" i="23"/>
  <c r="F10" i="39" s="1"/>
  <c r="I16" i="36"/>
  <c r="C6" i="23"/>
  <c r="D10" i="39" s="1"/>
  <c r="H291" i="36"/>
  <c r="I291" i="36" s="1"/>
  <c r="J291" i="36" s="1"/>
  <c r="K291" i="36" s="1"/>
  <c r="L290" i="36"/>
  <c r="H383" i="36"/>
  <c r="I383" i="36" s="1"/>
  <c r="J383" i="36" s="1"/>
  <c r="H331" i="36"/>
  <c r="I331" i="36" s="1"/>
  <c r="K385" i="36"/>
  <c r="L294" i="36"/>
  <c r="J400" i="36"/>
  <c r="K316" i="36"/>
  <c r="H295" i="36"/>
  <c r="I295" i="36" s="1"/>
  <c r="J295" i="36" s="1"/>
  <c r="K295" i="36" s="1"/>
  <c r="I395" i="36"/>
  <c r="H393" i="36"/>
  <c r="I393" i="36" s="1"/>
  <c r="J393" i="36" s="1"/>
  <c r="H317" i="36"/>
  <c r="I317" i="36" s="1"/>
  <c r="J317" i="36" s="1"/>
  <c r="H378" i="36"/>
  <c r="I378" i="36" s="1"/>
  <c r="J296" i="36"/>
  <c r="I380" i="36"/>
  <c r="K310" i="36"/>
  <c r="I293" i="36"/>
  <c r="J293" i="36" s="1"/>
  <c r="K293" i="36" s="1"/>
  <c r="K296" i="36"/>
  <c r="I296" i="36"/>
  <c r="I385" i="36"/>
  <c r="I311" i="36"/>
  <c r="J311" i="36" s="1"/>
  <c r="I301" i="36"/>
  <c r="J301" i="36" s="1"/>
  <c r="K301" i="36" s="1"/>
  <c r="I318" i="36"/>
  <c r="J380" i="36"/>
  <c r="H410" i="36"/>
  <c r="I403" i="36"/>
  <c r="E49" i="22" s="1"/>
  <c r="K375" i="36"/>
  <c r="K405" i="36"/>
  <c r="I309" i="36"/>
  <c r="J309" i="36" s="1"/>
  <c r="J390" i="36"/>
  <c r="J405" i="36"/>
  <c r="J395" i="36"/>
  <c r="K308" i="36"/>
  <c r="M275" i="36"/>
  <c r="G400" i="36"/>
  <c r="J338" i="36"/>
  <c r="L292" i="36"/>
  <c r="I410" i="36"/>
  <c r="J410" i="36"/>
  <c r="K320" i="36"/>
  <c r="H296" i="36"/>
  <c r="H340" i="36"/>
  <c r="H390" i="36"/>
  <c r="I400" i="36"/>
  <c r="L297" i="36"/>
  <c r="J318" i="36"/>
  <c r="J313" i="36"/>
  <c r="K312" i="36"/>
  <c r="J336" i="36"/>
  <c r="H299" i="36"/>
  <c r="I299" i="36" s="1"/>
  <c r="J299" i="36" s="1"/>
  <c r="K299" i="36" s="1"/>
  <c r="H380" i="36"/>
  <c r="K399" i="36"/>
  <c r="G47" i="22" s="1"/>
  <c r="H318" i="36"/>
  <c r="H400" i="36"/>
  <c r="M278" i="36"/>
  <c r="L298" i="36"/>
  <c r="H289" i="36"/>
  <c r="I289" i="36" s="1"/>
  <c r="J289" i="36" s="1"/>
  <c r="K289" i="36" s="1"/>
  <c r="H399" i="36"/>
  <c r="D47" i="22" s="1"/>
  <c r="I362" i="36"/>
  <c r="I340" i="36"/>
  <c r="J375" i="36"/>
  <c r="I399" i="36"/>
  <c r="E47" i="22" s="1"/>
  <c r="H321" i="36"/>
  <c r="I321" i="36" s="1"/>
  <c r="J321" i="36" s="1"/>
  <c r="L288" i="36"/>
  <c r="I405" i="36"/>
  <c r="G410" i="36"/>
  <c r="H337" i="36"/>
  <c r="I337" i="36" s="1"/>
  <c r="I415" i="36"/>
  <c r="E55" i="22" s="1"/>
  <c r="L286" i="36"/>
  <c r="L274" i="36"/>
  <c r="I287" i="36"/>
  <c r="J287" i="36" s="1"/>
  <c r="K287" i="36" s="1"/>
  <c r="I271" i="36"/>
  <c r="H389" i="36" s="1"/>
  <c r="D41" i="22" s="1"/>
  <c r="I279" i="36"/>
  <c r="J279" i="36" s="1"/>
  <c r="H343" i="36"/>
  <c r="I343" i="36" s="1"/>
  <c r="J342" i="36"/>
  <c r="L300" i="36"/>
  <c r="I375" i="36"/>
  <c r="J399" i="36"/>
  <c r="F47" i="22" s="1"/>
  <c r="I274" i="36"/>
  <c r="C46" i="22"/>
  <c r="H398" i="36"/>
  <c r="M264" i="36"/>
  <c r="M274" i="36" s="1"/>
  <c r="G373" i="36"/>
  <c r="B31" i="22"/>
  <c r="H408" i="36"/>
  <c r="C26" i="22"/>
  <c r="H362" i="36"/>
  <c r="H353" i="36"/>
  <c r="I368" i="36"/>
  <c r="G375" i="36"/>
  <c r="G418" i="36" s="1"/>
  <c r="H265" i="36"/>
  <c r="G374" i="36" s="1"/>
  <c r="C32" i="22" s="1"/>
  <c r="D54" i="22"/>
  <c r="I413" i="36"/>
  <c r="K415" i="36"/>
  <c r="G55" i="22" s="1"/>
  <c r="H375" i="36"/>
  <c r="K319" i="36"/>
  <c r="M280" i="36"/>
  <c r="H281" i="36"/>
  <c r="G414" i="36" s="1"/>
  <c r="G415" i="36"/>
  <c r="C55" i="22" s="1"/>
  <c r="H415" i="36"/>
  <c r="D55" i="22" s="1"/>
  <c r="I269" i="36"/>
  <c r="G384" i="36"/>
  <c r="C38" i="22" s="1"/>
  <c r="L302" i="36"/>
  <c r="H303" i="36"/>
  <c r="I303" i="36" s="1"/>
  <c r="J303" i="36" s="1"/>
  <c r="K303" i="36" s="1"/>
  <c r="H347" i="36"/>
  <c r="I347" i="36" s="1"/>
  <c r="J346" i="36"/>
  <c r="J415" i="36"/>
  <c r="F55" i="22" s="1"/>
  <c r="I273" i="36"/>
  <c r="G404" i="36"/>
  <c r="C50" i="22" s="1"/>
  <c r="I277" i="36"/>
  <c r="G379" i="36"/>
  <c r="C35" i="22" s="1"/>
  <c r="I267" i="36"/>
  <c r="H325" i="36"/>
  <c r="I325" i="36" s="1"/>
  <c r="J325" i="36" s="1"/>
  <c r="K324" i="36"/>
  <c r="J388" i="36"/>
  <c r="E40" i="22"/>
  <c r="G16" i="36" l="1"/>
  <c r="G17" i="36" s="1"/>
  <c r="C4" i="20" s="1"/>
  <c r="B7" i="23"/>
  <c r="C11" i="39" s="1"/>
  <c r="B9" i="24"/>
  <c r="C42" i="39" s="1"/>
  <c r="C10" i="39"/>
  <c r="E37" i="22"/>
  <c r="K418" i="36"/>
  <c r="D37" i="22"/>
  <c r="E43" i="22"/>
  <c r="D34" i="22"/>
  <c r="D43" i="22"/>
  <c r="I418" i="36"/>
  <c r="H409" i="36"/>
  <c r="D27" i="22" s="1"/>
  <c r="J403" i="36"/>
  <c r="F49" i="22" s="1"/>
  <c r="J271" i="36"/>
  <c r="K271" i="36" s="1"/>
  <c r="I419" i="36"/>
  <c r="J340" i="36"/>
  <c r="J418" i="36"/>
  <c r="K318" i="36"/>
  <c r="L296" i="36"/>
  <c r="H418" i="36"/>
  <c r="H419" i="36"/>
  <c r="K419" i="36"/>
  <c r="I398" i="36"/>
  <c r="D46" i="22"/>
  <c r="J413" i="36"/>
  <c r="E54" i="22"/>
  <c r="J378" i="36"/>
  <c r="E34" i="22"/>
  <c r="D26" i="22"/>
  <c r="I408" i="36"/>
  <c r="I281" i="36"/>
  <c r="J281" i="36" s="1"/>
  <c r="J419" i="36"/>
  <c r="G419" i="36"/>
  <c r="H373" i="36"/>
  <c r="C31" i="22"/>
  <c r="I265" i="36"/>
  <c r="H404" i="36"/>
  <c r="D50" i="22" s="1"/>
  <c r="J277" i="36"/>
  <c r="K279" i="36"/>
  <c r="I409" i="36"/>
  <c r="E27" i="22" s="1"/>
  <c r="H384" i="36"/>
  <c r="D38" i="22" s="1"/>
  <c r="J269" i="36"/>
  <c r="H379" i="36"/>
  <c r="D35" i="22" s="1"/>
  <c r="J267" i="36"/>
  <c r="H394" i="36"/>
  <c r="D44" i="22" s="1"/>
  <c r="J273" i="36"/>
  <c r="F37" i="22"/>
  <c r="K383" i="36"/>
  <c r="G37" i="22" s="1"/>
  <c r="F43" i="22"/>
  <c r="K393" i="36"/>
  <c r="G43" i="22" s="1"/>
  <c r="F40" i="22"/>
  <c r="K388" i="36"/>
  <c r="G40" i="22" s="1"/>
  <c r="G11" i="33"/>
  <c r="G10" i="33"/>
  <c r="G9" i="33"/>
  <c r="G8" i="33"/>
  <c r="H23" i="33" s="1"/>
  <c r="F7" i="33"/>
  <c r="F8" i="23" l="1"/>
  <c r="G12" i="39" s="1"/>
  <c r="F10" i="24"/>
  <c r="G43" i="39" s="1"/>
  <c r="F7" i="23"/>
  <c r="G11" i="39" s="1"/>
  <c r="F9" i="24"/>
  <c r="G42" i="39" s="1"/>
  <c r="B8" i="23"/>
  <c r="B10" i="24"/>
  <c r="C43" i="39" s="1"/>
  <c r="C8" i="23"/>
  <c r="D12" i="39" s="1"/>
  <c r="C10" i="24"/>
  <c r="D43" i="39" s="1"/>
  <c r="E7" i="23"/>
  <c r="F11" i="39" s="1"/>
  <c r="E9" i="24"/>
  <c r="F42" i="39" s="1"/>
  <c r="E8" i="23"/>
  <c r="F12" i="39" s="1"/>
  <c r="E10" i="24"/>
  <c r="F43" i="39" s="1"/>
  <c r="C7" i="23"/>
  <c r="D11" i="39" s="1"/>
  <c r="C9" i="24"/>
  <c r="D42" i="39" s="1"/>
  <c r="D8" i="23"/>
  <c r="E12" i="39" s="1"/>
  <c r="D10" i="24"/>
  <c r="E43" i="39" s="1"/>
  <c r="D7" i="23"/>
  <c r="E11" i="39" s="1"/>
  <c r="D9" i="24"/>
  <c r="E42" i="39" s="1"/>
  <c r="L23" i="33"/>
  <c r="I23" i="33"/>
  <c r="H21" i="33"/>
  <c r="L21" i="33" s="1"/>
  <c r="H22" i="33"/>
  <c r="H20" i="33"/>
  <c r="L20" i="33" s="1"/>
  <c r="K403" i="36"/>
  <c r="G49" i="22" s="1"/>
  <c r="I389" i="36"/>
  <c r="E41" i="22" s="1"/>
  <c r="H414" i="36"/>
  <c r="J408" i="36"/>
  <c r="E26" i="22"/>
  <c r="F54" i="22"/>
  <c r="K413" i="36"/>
  <c r="G54" i="22" s="1"/>
  <c r="H374" i="36"/>
  <c r="D32" i="22" s="1"/>
  <c r="J265" i="36"/>
  <c r="I373" i="36"/>
  <c r="D31" i="22"/>
  <c r="F34" i="22"/>
  <c r="K378" i="36"/>
  <c r="G34" i="22" s="1"/>
  <c r="E46" i="22"/>
  <c r="J398" i="36"/>
  <c r="K281" i="36"/>
  <c r="I414" i="36"/>
  <c r="J409" i="36"/>
  <c r="F27" i="22" s="1"/>
  <c r="L279" i="36"/>
  <c r="K409" i="36" s="1"/>
  <c r="G27" i="22" s="1"/>
  <c r="L271" i="36"/>
  <c r="K389" i="36" s="1"/>
  <c r="G41" i="22" s="1"/>
  <c r="J389" i="36"/>
  <c r="F41" i="22" s="1"/>
  <c r="K273" i="36"/>
  <c r="I394" i="36"/>
  <c r="E44" i="22" s="1"/>
  <c r="I384" i="36"/>
  <c r="E38" i="22" s="1"/>
  <c r="K269" i="36"/>
  <c r="K277" i="36"/>
  <c r="I404" i="36"/>
  <c r="E50" i="22" s="1"/>
  <c r="I379" i="36"/>
  <c r="E35" i="22" s="1"/>
  <c r="K267" i="36"/>
  <c r="F29" i="33"/>
  <c r="C7" i="33"/>
  <c r="C12" i="39" l="1"/>
  <c r="C13" i="39" s="1"/>
  <c r="L11" i="39" s="1"/>
  <c r="B9" i="23"/>
  <c r="M23" i="33"/>
  <c r="P23" i="33"/>
  <c r="I21" i="33"/>
  <c r="L22" i="33"/>
  <c r="I22" i="33"/>
  <c r="M21" i="33"/>
  <c r="P21" i="33"/>
  <c r="I20" i="33"/>
  <c r="M20" i="33"/>
  <c r="P20" i="33"/>
  <c r="F46" i="22"/>
  <c r="K398" i="36"/>
  <c r="G46" i="22" s="1"/>
  <c r="I374" i="36"/>
  <c r="E32" i="22" s="1"/>
  <c r="K265" i="36"/>
  <c r="E31" i="22"/>
  <c r="J373" i="36"/>
  <c r="F26" i="22"/>
  <c r="K408" i="36"/>
  <c r="G26" i="22" s="1"/>
  <c r="L281" i="36"/>
  <c r="K414" i="36" s="1"/>
  <c r="J414" i="36"/>
  <c r="L277" i="36"/>
  <c r="K404" i="36" s="1"/>
  <c r="G50" i="22" s="1"/>
  <c r="J404" i="36"/>
  <c r="F50" i="22" s="1"/>
  <c r="L273" i="36"/>
  <c r="K394" i="36" s="1"/>
  <c r="G44" i="22" s="1"/>
  <c r="J394" i="36"/>
  <c r="F44" i="22" s="1"/>
  <c r="J379" i="36"/>
  <c r="F35" i="22" s="1"/>
  <c r="L267" i="36"/>
  <c r="K379" i="36" s="1"/>
  <c r="G35" i="22" s="1"/>
  <c r="L269" i="36"/>
  <c r="K384" i="36" s="1"/>
  <c r="G38" i="22" s="1"/>
  <c r="J384" i="36"/>
  <c r="F38" i="22" s="1"/>
  <c r="C2" i="33"/>
  <c r="Q23" i="33" l="1"/>
  <c r="T23" i="33"/>
  <c r="U23" i="33" s="1"/>
  <c r="M22" i="33"/>
  <c r="P22" i="33"/>
  <c r="Q21" i="33"/>
  <c r="T21" i="33"/>
  <c r="U21" i="33" s="1"/>
  <c r="Q20" i="33"/>
  <c r="T20" i="33"/>
  <c r="U20" i="33" s="1"/>
  <c r="K373" i="36"/>
  <c r="G31" i="22" s="1"/>
  <c r="F31" i="22"/>
  <c r="J374" i="36"/>
  <c r="F32" i="22" s="1"/>
  <c r="L265" i="36"/>
  <c r="K374" i="36" s="1"/>
  <c r="G32" i="22" s="1"/>
  <c r="I13" i="36"/>
  <c r="I15" i="36" s="1"/>
  <c r="K30" i="36"/>
  <c r="I27" i="33"/>
  <c r="I28" i="33" s="1"/>
  <c r="I29" i="33" s="1"/>
  <c r="C25" i="2"/>
  <c r="C20" i="2"/>
  <c r="Q22" i="33" l="1"/>
  <c r="T22" i="33"/>
  <c r="U22" i="33" s="1"/>
  <c r="K13" i="36"/>
  <c r="K15" i="36" s="1"/>
  <c r="N30" i="36"/>
  <c r="I17" i="36"/>
  <c r="D4" i="20" s="1"/>
  <c r="C4" i="23"/>
  <c r="D8" i="39" s="1"/>
  <c r="L24" i="39" s="1"/>
  <c r="M27" i="33"/>
  <c r="M13" i="36" l="1"/>
  <c r="M15" i="36" s="1"/>
  <c r="Q30" i="36"/>
  <c r="K17" i="36"/>
  <c r="E4" i="20" s="1"/>
  <c r="D4" i="23"/>
  <c r="E8" i="39" s="1"/>
  <c r="L43" i="39" s="1"/>
  <c r="M28" i="33"/>
  <c r="M29" i="33" s="1"/>
  <c r="Q27" i="33"/>
  <c r="F46" i="25"/>
  <c r="C46" i="25"/>
  <c r="H9" i="25"/>
  <c r="E46" i="25" s="1"/>
  <c r="D37" i="24"/>
  <c r="E37" i="24"/>
  <c r="F37" i="24"/>
  <c r="E36" i="24"/>
  <c r="F36" i="24"/>
  <c r="U27" i="33" l="1"/>
  <c r="U28" i="33" s="1"/>
  <c r="U29" i="33" s="1"/>
  <c r="O13" i="36"/>
  <c r="O15" i="36" s="1"/>
  <c r="T30" i="36"/>
  <c r="M17" i="36"/>
  <c r="F4" i="20" s="1"/>
  <c r="E4" i="23"/>
  <c r="F8" i="39" s="1"/>
  <c r="L56" i="39" s="1"/>
  <c r="Q28" i="33"/>
  <c r="Q29" i="33" s="1"/>
  <c r="D29" i="25"/>
  <c r="D26" i="25"/>
  <c r="D30" i="24"/>
  <c r="C30" i="24"/>
  <c r="F30" i="24"/>
  <c r="O17" i="36" l="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8" i="39" s="1"/>
  <c r="L69" i="39" s="1"/>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G64" i="18" l="1"/>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15" i="39" s="1"/>
  <c r="C37" i="25"/>
  <c r="G9" i="20"/>
  <c r="C28" i="22"/>
  <c r="C11" i="20"/>
  <c r="B33" i="22"/>
  <c r="B52" i="22" s="1"/>
  <c r="C42" i="22"/>
  <c r="C36" i="22"/>
  <c r="D42" i="22"/>
  <c r="C45" i="22"/>
  <c r="C39" i="22"/>
  <c r="D28" i="22"/>
  <c r="G118" i="18"/>
  <c r="G119" i="18" s="1"/>
  <c r="O108" i="18"/>
  <c r="P60" i="18"/>
  <c r="P70" i="18" s="1"/>
  <c r="O70" i="18"/>
  <c r="O71" i="18" s="1"/>
  <c r="C6" i="20" s="1"/>
  <c r="D12" i="20" l="1"/>
  <c r="E5" i="20"/>
  <c r="C11" i="23"/>
  <c r="D15" i="39" s="1"/>
  <c r="G11" i="20"/>
  <c r="E11" i="20"/>
  <c r="D6" i="20"/>
  <c r="B10" i="23"/>
  <c r="C14" i="39" s="1"/>
  <c r="C51" i="22"/>
  <c r="C12" i="20"/>
  <c r="E42" i="22"/>
  <c r="C33" i="22"/>
  <c r="C48" i="22"/>
  <c r="D39" i="22"/>
  <c r="C56" i="22"/>
  <c r="D45" i="22"/>
  <c r="E45" i="22"/>
  <c r="E28" i="22"/>
  <c r="P108" i="18"/>
  <c r="P118" i="18" s="1"/>
  <c r="O118" i="18"/>
  <c r="O119" i="18" s="1"/>
  <c r="C7" i="20" s="1"/>
  <c r="F5" i="20" l="1"/>
  <c r="D11" i="23"/>
  <c r="E15" i="39" s="1"/>
  <c r="B12" i="23"/>
  <c r="C16" i="39" s="1"/>
  <c r="D7" i="20"/>
  <c r="F11" i="20"/>
  <c r="D11" i="20"/>
  <c r="C52" i="22"/>
  <c r="E6" i="20"/>
  <c r="C10" i="23"/>
  <c r="D14" i="39" s="1"/>
  <c r="D36" i="22"/>
  <c r="D51" i="22"/>
  <c r="D33" i="22"/>
  <c r="G12" i="20"/>
  <c r="F12" i="20"/>
  <c r="F42" i="22"/>
  <c r="G42" i="22"/>
  <c r="D48" i="22"/>
  <c r="E12" i="20"/>
  <c r="E36" i="22"/>
  <c r="D56" i="22"/>
  <c r="G45" i="22"/>
  <c r="F45" i="22"/>
  <c r="E39" i="22"/>
  <c r="F28" i="22"/>
  <c r="G28" i="22"/>
  <c r="G5" i="20" l="1"/>
  <c r="F11" i="23" s="1"/>
  <c r="G15" i="39" s="1"/>
  <c r="E11" i="23"/>
  <c r="F15" i="39" s="1"/>
  <c r="E7" i="20"/>
  <c r="C12" i="23"/>
  <c r="D16" i="39" s="1"/>
  <c r="D52" i="22"/>
  <c r="F6" i="20"/>
  <c r="D10" i="23"/>
  <c r="E14" i="39" s="1"/>
  <c r="E51" i="22"/>
  <c r="E33" i="22"/>
  <c r="E48" i="22"/>
  <c r="G36" i="22"/>
  <c r="F36" i="22"/>
  <c r="E56" i="22"/>
  <c r="G39" i="22"/>
  <c r="F39" i="22"/>
  <c r="F7" i="20" l="1"/>
  <c r="D12" i="23"/>
  <c r="E16" i="39" s="1"/>
  <c r="G6" i="20"/>
  <c r="F10" i="23" s="1"/>
  <c r="G14" i="39" s="1"/>
  <c r="E10" i="23"/>
  <c r="F14" i="39" s="1"/>
  <c r="E52" i="22"/>
  <c r="G48" i="22"/>
  <c r="F48" i="22"/>
  <c r="G33" i="22"/>
  <c r="F33" i="22"/>
  <c r="G51" i="22"/>
  <c r="F51" i="22"/>
  <c r="G56" i="22"/>
  <c r="F56" i="22"/>
  <c r="G52" i="22" l="1"/>
  <c r="E12" i="23"/>
  <c r="F16" i="39" s="1"/>
  <c r="G7" i="20"/>
  <c r="F12" i="23" s="1"/>
  <c r="G16" i="39" s="1"/>
  <c r="F52" i="22"/>
  <c r="E7" i="2" l="1"/>
  <c r="C29" i="19" l="1"/>
  <c r="E16" i="25"/>
  <c r="E74" i="39" s="1"/>
  <c r="C6" i="24"/>
  <c r="D40" i="39" s="1"/>
  <c r="C3" i="23"/>
  <c r="D7" i="39" s="1"/>
  <c r="H285" i="36"/>
  <c r="D3" i="20"/>
  <c r="L45" i="36"/>
  <c r="H7" i="36"/>
  <c r="E7" i="22"/>
  <c r="D20" i="22" s="1"/>
  <c r="I263" i="36"/>
  <c r="H372" i="36"/>
  <c r="H377" i="36" s="1"/>
  <c r="H382" i="36" s="1"/>
  <c r="H387" i="36" s="1"/>
  <c r="H392" i="36" s="1"/>
  <c r="H397" i="36" s="1"/>
  <c r="H402" i="36" s="1"/>
  <c r="H407" i="36" s="1"/>
  <c r="H412" i="36" s="1"/>
  <c r="F307" i="36"/>
  <c r="I24" i="36"/>
  <c r="H41" i="36"/>
  <c r="G17" i="33"/>
  <c r="F8" i="33"/>
  <c r="C8" i="33"/>
  <c r="I146" i="18"/>
  <c r="F7" i="2"/>
  <c r="D23" i="25"/>
  <c r="C30" i="19" l="1"/>
  <c r="D6" i="24"/>
  <c r="E40" i="39" s="1"/>
  <c r="F16" i="25"/>
  <c r="F74" i="39" s="1"/>
  <c r="D3" i="23"/>
  <c r="E7" i="39" s="1"/>
  <c r="E3" i="20"/>
  <c r="O45" i="36"/>
  <c r="J7" i="36"/>
  <c r="F7" i="22"/>
  <c r="E20" i="22" s="1"/>
  <c r="J263" i="36"/>
  <c r="I41" i="36"/>
  <c r="I372" i="36"/>
  <c r="I377" i="36" s="1"/>
  <c r="I382" i="36" s="1"/>
  <c r="I387" i="36" s="1"/>
  <c r="I392" i="36" s="1"/>
  <c r="I397" i="36" s="1"/>
  <c r="I402" i="36" s="1"/>
  <c r="I407" i="36" s="1"/>
  <c r="I412" i="36" s="1"/>
  <c r="F329" i="36"/>
  <c r="H307" i="36"/>
  <c r="I285" i="36"/>
  <c r="L24" i="36"/>
  <c r="K17" i="33"/>
  <c r="F9" i="33"/>
  <c r="C9" i="33"/>
  <c r="H421" i="36"/>
  <c r="H417" i="36"/>
  <c r="J146" i="18"/>
  <c r="G7" i="2"/>
  <c r="C31" i="19" l="1"/>
  <c r="E6" i="24"/>
  <c r="F40" i="39" s="1"/>
  <c r="G16" i="25"/>
  <c r="G74" i="39" s="1"/>
  <c r="E3" i="23"/>
  <c r="F7" i="39" s="1"/>
  <c r="I417" i="36"/>
  <c r="I421" i="36"/>
  <c r="H7" i="2"/>
  <c r="G7" i="22"/>
  <c r="F20" i="22" s="1"/>
  <c r="K263" i="36"/>
  <c r="J41" i="36"/>
  <c r="L7" i="36"/>
  <c r="J372" i="36"/>
  <c r="J377" i="36" s="1"/>
  <c r="J382" i="36" s="1"/>
  <c r="J387" i="36" s="1"/>
  <c r="J392" i="36" s="1"/>
  <c r="J397" i="36" s="1"/>
  <c r="J402" i="36" s="1"/>
  <c r="J407" i="36" s="1"/>
  <c r="J412" i="36" s="1"/>
  <c r="H329" i="36"/>
  <c r="I307" i="36"/>
  <c r="O24" i="36"/>
  <c r="J285" i="36"/>
  <c r="F3" i="20"/>
  <c r="R45" i="36"/>
  <c r="O17" i="33"/>
  <c r="F10" i="33"/>
  <c r="C10" i="33"/>
  <c r="K146" i="18"/>
  <c r="L146" i="18" l="1"/>
  <c r="C32" i="19"/>
  <c r="H16" i="25"/>
  <c r="H74" i="39" s="1"/>
  <c r="F3" i="23"/>
  <c r="G7" i="39" s="1"/>
  <c r="F6" i="24"/>
  <c r="G40" i="39" s="1"/>
  <c r="K372" i="36"/>
  <c r="K377" i="36" s="1"/>
  <c r="K382" i="36" s="1"/>
  <c r="K387" i="36" s="1"/>
  <c r="K392" i="36" s="1"/>
  <c r="K397" i="36" s="1"/>
  <c r="K402" i="36" s="1"/>
  <c r="K407" i="36" s="1"/>
  <c r="K412" i="36" s="1"/>
  <c r="I329" i="36"/>
  <c r="J307" i="36"/>
  <c r="R24" i="36"/>
  <c r="K285" i="36"/>
  <c r="U45" i="36"/>
  <c r="G3" i="20"/>
  <c r="H7" i="22"/>
  <c r="G20" i="22" s="1"/>
  <c r="L263" i="36"/>
  <c r="K41" i="36"/>
  <c r="N7" i="36"/>
  <c r="S17" i="33"/>
  <c r="F11" i="33"/>
  <c r="C11" i="33"/>
  <c r="J421" i="36"/>
  <c r="J417" i="36"/>
  <c r="C32" i="25"/>
  <c r="B34" i="24"/>
  <c r="C65" i="39" s="1"/>
  <c r="K421" i="36" l="1"/>
  <c r="K417" i="36"/>
  <c r="D32" i="25"/>
  <c r="C34" i="24"/>
  <c r="D65" i="39" s="1"/>
  <c r="C16" i="24"/>
  <c r="D48" i="39" s="1"/>
  <c r="D34" i="24" l="1"/>
  <c r="E65" i="39" s="1"/>
  <c r="E32" i="25"/>
  <c r="D16" i="24"/>
  <c r="E48" i="39" s="1"/>
  <c r="C30" i="2"/>
  <c r="F12" i="22" l="1"/>
  <c r="E24" i="22" s="1"/>
  <c r="D5" i="23"/>
  <c r="E9" i="39" s="1"/>
  <c r="E13" i="39" s="1"/>
  <c r="L44" i="39" s="1"/>
  <c r="D14" i="23"/>
  <c r="D13" i="23"/>
  <c r="E17" i="39" s="1"/>
  <c r="E16" i="24"/>
  <c r="F48" i="39" s="1"/>
  <c r="F32" i="25"/>
  <c r="E34" i="24"/>
  <c r="F65" i="39" s="1"/>
  <c r="C31" i="2"/>
  <c r="D11" i="24" l="1"/>
  <c r="E18" i="39"/>
  <c r="E44" i="39" s="1"/>
  <c r="G12" i="22"/>
  <c r="F24" i="22" s="1"/>
  <c r="E5" i="23"/>
  <c r="F9" i="39" s="1"/>
  <c r="F13" i="39" s="1"/>
  <c r="L57" i="39" s="1"/>
  <c r="E13" i="23"/>
  <c r="F17" i="39" s="1"/>
  <c r="E14" i="23"/>
  <c r="C14" i="23"/>
  <c r="E12" i="22"/>
  <c r="C5" i="23"/>
  <c r="D9" i="39" s="1"/>
  <c r="D13" i="39" s="1"/>
  <c r="L31" i="39" s="1"/>
  <c r="C13" i="23"/>
  <c r="D17" i="39" s="1"/>
  <c r="F16" i="24"/>
  <c r="G48" i="39" s="1"/>
  <c r="G32" i="25"/>
  <c r="F34" i="24"/>
  <c r="G65" i="39" s="1"/>
  <c r="D12" i="22"/>
  <c r="C17" i="39"/>
  <c r="B14" i="23"/>
  <c r="C11" i="24" l="1"/>
  <c r="D18" i="39"/>
  <c r="D44" i="39" s="1"/>
  <c r="E11" i="24"/>
  <c r="F18" i="39"/>
  <c r="F44" i="39" s="1"/>
  <c r="B11" i="24"/>
  <c r="C18" i="39"/>
  <c r="E20" i="39"/>
  <c r="L45" i="39" s="1"/>
  <c r="G13" i="22"/>
  <c r="E18" i="24" s="1"/>
  <c r="F50" i="39" s="1"/>
  <c r="G23" i="22"/>
  <c r="E17" i="19"/>
  <c r="F13" i="22"/>
  <c r="D18" i="24" s="1"/>
  <c r="E50" i="39" s="1"/>
  <c r="D24" i="22"/>
  <c r="E14" i="19"/>
  <c r="C24" i="22"/>
  <c r="D13" i="22"/>
  <c r="B18" i="24" s="1"/>
  <c r="E13" i="22"/>
  <c r="C18" i="24" s="1"/>
  <c r="D50" i="39" s="1"/>
  <c r="F20" i="39" l="1"/>
  <c r="L58" i="39" s="1"/>
  <c r="D20" i="39"/>
  <c r="L32" i="39" s="1"/>
  <c r="C44" i="39"/>
  <c r="C20" i="39"/>
  <c r="L12" i="39" s="1"/>
  <c r="E41" i="39"/>
  <c r="C50" i="39"/>
  <c r="F16" i="22"/>
  <c r="D19" i="24" s="1"/>
  <c r="E51" i="39" s="1"/>
  <c r="H12" i="22"/>
  <c r="F5" i="23"/>
  <c r="G9" i="39" s="1"/>
  <c r="G13" i="39" s="1"/>
  <c r="L70" i="39" s="1"/>
  <c r="F13" i="23"/>
  <c r="G17" i="39" s="1"/>
  <c r="F14" i="23"/>
  <c r="E19" i="19"/>
  <c r="E21" i="19" s="1"/>
  <c r="C47" i="25" s="1"/>
  <c r="D16" i="22"/>
  <c r="B19" i="24" s="1"/>
  <c r="C51" i="39" s="1"/>
  <c r="C9" i="22"/>
  <c r="B23" i="22" s="1"/>
  <c r="D9" i="23"/>
  <c r="D16" i="23" s="1"/>
  <c r="E35" i="25" s="1"/>
  <c r="C9" i="23"/>
  <c r="C16" i="23" s="1"/>
  <c r="D35" i="25" s="1"/>
  <c r="G61" i="22"/>
  <c r="G63" i="22" s="1"/>
  <c r="F61" i="22"/>
  <c r="H10" i="22"/>
  <c r="F17" i="24" s="1"/>
  <c r="G49" i="39" s="1"/>
  <c r="F23" i="22"/>
  <c r="E61" i="22"/>
  <c r="C23" i="22"/>
  <c r="E10" i="22"/>
  <c r="C17" i="24" s="1"/>
  <c r="D49" i="39" s="1"/>
  <c r="D23" i="22"/>
  <c r="F10" i="22"/>
  <c r="D17" i="24" s="1"/>
  <c r="E49" i="39" s="1"/>
  <c r="E23" i="22"/>
  <c r="G10" i="22"/>
  <c r="E17" i="24" s="1"/>
  <c r="F49" i="39" s="1"/>
  <c r="D61" i="22"/>
  <c r="E52" i="39" l="1"/>
  <c r="E63" i="39" s="1"/>
  <c r="F41" i="39"/>
  <c r="D41" i="39"/>
  <c r="F11" i="24"/>
  <c r="G18" i="39"/>
  <c r="G44" i="39" s="1"/>
  <c r="C41" i="39"/>
  <c r="C46" i="39" s="1"/>
  <c r="L15" i="39" s="1"/>
  <c r="C35" i="25"/>
  <c r="G24" i="22"/>
  <c r="H13" i="22"/>
  <c r="F18" i="24" s="1"/>
  <c r="G50" i="39" s="1"/>
  <c r="C61" i="22"/>
  <c r="E16" i="22"/>
  <c r="C19" i="24" s="1"/>
  <c r="D10" i="22"/>
  <c r="B17" i="24" s="1"/>
  <c r="F9" i="23"/>
  <c r="F16" i="23" s="1"/>
  <c r="G35" i="25" s="1"/>
  <c r="E9" i="23"/>
  <c r="E16" i="23" s="1"/>
  <c r="F35" i="25" s="1"/>
  <c r="G16" i="22"/>
  <c r="E19" i="24" s="1"/>
  <c r="H11" i="25"/>
  <c r="H16" i="22"/>
  <c r="F19" i="24" s="1"/>
  <c r="G51" i="39" s="1"/>
  <c r="C8" i="24"/>
  <c r="D20" i="24"/>
  <c r="D31" i="24" s="1"/>
  <c r="G27" i="19"/>
  <c r="B64" i="22"/>
  <c r="D8" i="24"/>
  <c r="C49" i="39" l="1"/>
  <c r="C52" i="39" s="1"/>
  <c r="C63" i="39" s="1"/>
  <c r="B20" i="24"/>
  <c r="B31" i="24" s="1"/>
  <c r="E20" i="24"/>
  <c r="E31" i="24" s="1"/>
  <c r="F51" i="39"/>
  <c r="F52" i="39" s="1"/>
  <c r="F63" i="39" s="1"/>
  <c r="C20" i="24"/>
  <c r="C31" i="24" s="1"/>
  <c r="D51" i="39"/>
  <c r="D52" i="39" s="1"/>
  <c r="D63" i="39" s="1"/>
  <c r="G52" i="39"/>
  <c r="G63" i="39" s="1"/>
  <c r="C77" i="39"/>
  <c r="C17" i="25"/>
  <c r="G20" i="39"/>
  <c r="L71" i="39" s="1"/>
  <c r="F20" i="24"/>
  <c r="F31" i="24" s="1"/>
  <c r="B8" i="24"/>
  <c r="B13" i="24" s="1"/>
  <c r="F8" i="24"/>
  <c r="E8" i="24"/>
  <c r="E29" i="19"/>
  <c r="F28" i="19"/>
  <c r="E30" i="19"/>
  <c r="E28" i="19"/>
  <c r="G28" i="19" s="1"/>
  <c r="E31" i="19"/>
  <c r="E32" i="19"/>
  <c r="C45" i="25" l="1"/>
  <c r="D47" i="25" s="1"/>
  <c r="G41" i="39"/>
  <c r="D46" i="25"/>
  <c r="D36" i="24"/>
  <c r="E67" i="39" s="1"/>
  <c r="C37" i="24"/>
  <c r="D68" i="39" s="1"/>
  <c r="F29" i="19"/>
  <c r="C18" i="23" s="1"/>
  <c r="D22" i="39" s="1"/>
  <c r="G29" i="19"/>
  <c r="C64" i="22"/>
  <c r="D28" i="19"/>
  <c r="C10" i="20" s="1"/>
  <c r="C13" i="20" s="1"/>
  <c r="G37" i="37" s="1"/>
  <c r="B37" i="24"/>
  <c r="C68" i="39" s="1"/>
  <c r="C36" i="24"/>
  <c r="D67" i="39" s="1"/>
  <c r="B18" i="23"/>
  <c r="B36" i="24"/>
  <c r="C67" i="39" s="1"/>
  <c r="B19" i="23"/>
  <c r="K52" i="37" l="1"/>
  <c r="L52" i="37" s="1"/>
  <c r="G39" i="37"/>
  <c r="C19" i="23"/>
  <c r="C20" i="23" s="1"/>
  <c r="C27" i="23" s="1"/>
  <c r="C29" i="23" s="1"/>
  <c r="C23" i="39"/>
  <c r="B20" i="23"/>
  <c r="B27" i="23" s="1"/>
  <c r="B29" i="23" s="1"/>
  <c r="C22" i="39"/>
  <c r="B50" i="25"/>
  <c r="C14" i="20"/>
  <c r="D29" i="19"/>
  <c r="D10" i="20" s="1"/>
  <c r="D13" i="20" s="1"/>
  <c r="D14" i="20" s="1"/>
  <c r="F30" i="19"/>
  <c r="D64" i="22"/>
  <c r="G30" i="19"/>
  <c r="K54" i="37" l="1"/>
  <c r="K55" i="37" s="1"/>
  <c r="G49" i="37"/>
  <c r="G48" i="37"/>
  <c r="G51" i="37"/>
  <c r="G50" i="37"/>
  <c r="C24" i="39"/>
  <c r="C31" i="39" s="1"/>
  <c r="L13" i="39" s="1"/>
  <c r="B28" i="23"/>
  <c r="B30" i="23"/>
  <c r="D19" i="23"/>
  <c r="D23" i="39"/>
  <c r="D24" i="39" s="1"/>
  <c r="D31" i="39" s="1"/>
  <c r="M52" i="37"/>
  <c r="E64" i="22"/>
  <c r="G31" i="19"/>
  <c r="G32" i="19" s="1"/>
  <c r="F31" i="19"/>
  <c r="C30" i="23"/>
  <c r="C28" i="23"/>
  <c r="D30" i="19"/>
  <c r="E10" i="20" s="1"/>
  <c r="E13" i="20" s="1"/>
  <c r="E14" i="20" s="1"/>
  <c r="D18" i="23"/>
  <c r="G54" i="37" l="1"/>
  <c r="L47" i="37" s="1"/>
  <c r="M47" i="37" s="1"/>
  <c r="H49" i="37" s="1"/>
  <c r="H54" i="37" s="1"/>
  <c r="H48" i="37"/>
  <c r="L53" i="37"/>
  <c r="L54" i="37" s="1"/>
  <c r="L51" i="37"/>
  <c r="H51" i="37"/>
  <c r="H50" i="37"/>
  <c r="C34" i="39"/>
  <c r="C32" i="39"/>
  <c r="D45" i="39" s="1"/>
  <c r="D46" i="39" s="1"/>
  <c r="L35" i="39" s="1"/>
  <c r="C33" i="39"/>
  <c r="B31" i="23"/>
  <c r="L33" i="39"/>
  <c r="D32" i="39"/>
  <c r="E45" i="39" s="1"/>
  <c r="E46" i="39" s="1"/>
  <c r="L48" i="39" s="1"/>
  <c r="D33" i="39"/>
  <c r="D34" i="39"/>
  <c r="E19" i="23"/>
  <c r="E23" i="39"/>
  <c r="D20" i="23"/>
  <c r="D27" i="23" s="1"/>
  <c r="D29" i="23" s="1"/>
  <c r="E22" i="39"/>
  <c r="C68" i="22"/>
  <c r="D68" i="22"/>
  <c r="B62" i="22"/>
  <c r="B63" i="22" s="1"/>
  <c r="B65" i="22" s="1"/>
  <c r="B74" i="22" s="1"/>
  <c r="C12" i="24"/>
  <c r="C13" i="24" s="1"/>
  <c r="C62" i="22"/>
  <c r="C63" i="22" s="1"/>
  <c r="D12" i="24"/>
  <c r="D13" i="24" s="1"/>
  <c r="D31" i="19"/>
  <c r="F10" i="20" s="1"/>
  <c r="F13" i="20" s="1"/>
  <c r="F14" i="20" s="1"/>
  <c r="E18" i="23"/>
  <c r="F64" i="22"/>
  <c r="G64" i="22"/>
  <c r="G65" i="22" s="1"/>
  <c r="F32" i="19"/>
  <c r="B36" i="23" l="1"/>
  <c r="C69" i="39" s="1"/>
  <c r="C71" i="39" s="1"/>
  <c r="D75" i="39" s="1"/>
  <c r="L55" i="37"/>
  <c r="M51" i="37"/>
  <c r="M53" i="37"/>
  <c r="M54" i="37" s="1"/>
  <c r="C35" i="39"/>
  <c r="L14" i="39" s="1"/>
  <c r="D28" i="23"/>
  <c r="E68" i="22" s="1"/>
  <c r="E20" i="23"/>
  <c r="E27" i="23" s="1"/>
  <c r="E29" i="23" s="1"/>
  <c r="F22" i="39"/>
  <c r="F19" i="23"/>
  <c r="G23" i="39" s="1"/>
  <c r="F23" i="39"/>
  <c r="D30" i="23"/>
  <c r="E24" i="39"/>
  <c r="E31" i="39" s="1"/>
  <c r="D35" i="39"/>
  <c r="L34" i="39" s="1"/>
  <c r="B22" i="22"/>
  <c r="B25" i="22" s="1"/>
  <c r="B57" i="22" s="1"/>
  <c r="C65" i="22"/>
  <c r="C31" i="23"/>
  <c r="D32" i="19"/>
  <c r="G10" i="20" s="1"/>
  <c r="G13" i="20" s="1"/>
  <c r="G14" i="20" s="1"/>
  <c r="F18" i="23"/>
  <c r="C35" i="23" l="1"/>
  <c r="M55" i="37"/>
  <c r="E12" i="24"/>
  <c r="E13" i="24" s="1"/>
  <c r="E30" i="23"/>
  <c r="D31" i="23"/>
  <c r="E70" i="22" s="1"/>
  <c r="D62" i="22"/>
  <c r="D63" i="22" s="1"/>
  <c r="D65" i="22" s="1"/>
  <c r="E28" i="23"/>
  <c r="F68" i="22" s="1"/>
  <c r="F20" i="23"/>
  <c r="F27" i="23" s="1"/>
  <c r="F29" i="23" s="1"/>
  <c r="G22" i="39"/>
  <c r="G24" i="39" s="1"/>
  <c r="G31" i="39" s="1"/>
  <c r="L46" i="39"/>
  <c r="E32" i="39"/>
  <c r="F45" i="39" s="1"/>
  <c r="F46" i="39" s="1"/>
  <c r="L61" i="39" s="1"/>
  <c r="E33" i="39"/>
  <c r="E34" i="39"/>
  <c r="F24" i="39"/>
  <c r="F31" i="39" s="1"/>
  <c r="B43" i="24"/>
  <c r="D76" i="39" s="1"/>
  <c r="D77" i="39" s="1"/>
  <c r="C38" i="25"/>
  <c r="B76" i="22"/>
  <c r="C34" i="25"/>
  <c r="C70" i="22"/>
  <c r="C72" i="22" s="1"/>
  <c r="C36" i="25"/>
  <c r="E36" i="25"/>
  <c r="C36" i="23"/>
  <c r="D36" i="25"/>
  <c r="D69" i="22"/>
  <c r="D70" i="22"/>
  <c r="D36" i="23" l="1"/>
  <c r="E69" i="39" s="1"/>
  <c r="E71" i="39" s="1"/>
  <c r="F75" i="39" s="1"/>
  <c r="E31" i="23"/>
  <c r="E36" i="23" s="1"/>
  <c r="E62" i="22"/>
  <c r="E63" i="22" s="1"/>
  <c r="E65" i="22" s="1"/>
  <c r="F12" i="24"/>
  <c r="F13" i="24" s="1"/>
  <c r="F28" i="23"/>
  <c r="F62" i="22" s="1"/>
  <c r="F63" i="22" s="1"/>
  <c r="F65" i="22" s="1"/>
  <c r="E35" i="39"/>
  <c r="L47" i="39" s="1"/>
  <c r="F30" i="23"/>
  <c r="L59" i="39"/>
  <c r="F33" i="39"/>
  <c r="F34" i="39"/>
  <c r="F32" i="39"/>
  <c r="G45" i="39" s="1"/>
  <c r="G46" i="39" s="1"/>
  <c r="L74" i="39" s="1"/>
  <c r="L72" i="39"/>
  <c r="G33" i="39"/>
  <c r="G34" i="39"/>
  <c r="G32" i="39"/>
  <c r="L16" i="39"/>
  <c r="D35" i="23"/>
  <c r="E69" i="22" s="1"/>
  <c r="E72" i="22" s="1"/>
  <c r="D69" i="39"/>
  <c r="D71" i="39" s="1"/>
  <c r="E75" i="39" s="1"/>
  <c r="G68" i="22"/>
  <c r="C38" i="24"/>
  <c r="C40" i="24" s="1"/>
  <c r="C42" i="24" s="1"/>
  <c r="C74" i="22"/>
  <c r="C22" i="22" s="1"/>
  <c r="D37" i="25"/>
  <c r="B38" i="24"/>
  <c r="B40" i="24" s="1"/>
  <c r="B42" i="24" s="1"/>
  <c r="B44" i="24" s="1"/>
  <c r="D72" i="22"/>
  <c r="F36" i="25" l="1"/>
  <c r="E35" i="23"/>
  <c r="F69" i="22" s="1"/>
  <c r="F70" i="22"/>
  <c r="D38" i="24"/>
  <c r="D40" i="24" s="1"/>
  <c r="D42" i="24" s="1"/>
  <c r="G35" i="39"/>
  <c r="L73" i="39" s="1"/>
  <c r="F35" i="39"/>
  <c r="L60" i="39" s="1"/>
  <c r="F35" i="23"/>
  <c r="G69" i="22" s="1"/>
  <c r="F69" i="39"/>
  <c r="F71" i="39" s="1"/>
  <c r="G75" i="39" s="1"/>
  <c r="F31" i="23"/>
  <c r="G70" i="22" s="1"/>
  <c r="D17" i="25"/>
  <c r="C25" i="22"/>
  <c r="C43" i="24"/>
  <c r="D74" i="22"/>
  <c r="D22" i="22" s="1"/>
  <c r="D25" i="22" s="1"/>
  <c r="E37" i="25"/>
  <c r="E74" i="22"/>
  <c r="E22" i="22" s="1"/>
  <c r="E25" i="22" s="1"/>
  <c r="F37" i="25"/>
  <c r="E38" i="24"/>
  <c r="E40" i="24" s="1"/>
  <c r="E42" i="24" s="1"/>
  <c r="G36" i="25" l="1"/>
  <c r="F72" i="22"/>
  <c r="F74" i="22" s="1"/>
  <c r="F22" i="22" s="1"/>
  <c r="F43" i="24" s="1"/>
  <c r="H76" i="39" s="1"/>
  <c r="F36" i="23"/>
  <c r="F38" i="24" s="1"/>
  <c r="F40" i="24" s="1"/>
  <c r="F42" i="24" s="1"/>
  <c r="G72" i="22"/>
  <c r="G74" i="22" s="1"/>
  <c r="G22" i="22" s="1"/>
  <c r="G25" i="22" s="1"/>
  <c r="C44" i="24"/>
  <c r="E17" i="25" s="1"/>
  <c r="E76" i="39"/>
  <c r="E77" i="39" s="1"/>
  <c r="L36" i="39" s="1"/>
  <c r="C57" i="22"/>
  <c r="C33" i="25"/>
  <c r="D43" i="24"/>
  <c r="E57" i="22"/>
  <c r="E33" i="25"/>
  <c r="E43" i="24"/>
  <c r="D57" i="22"/>
  <c r="D33" i="25"/>
  <c r="G57" i="22" l="1"/>
  <c r="G76" i="22" s="1"/>
  <c r="G33" i="25"/>
  <c r="F25" i="22"/>
  <c r="F57" i="22" s="1"/>
  <c r="G38" i="25" s="1"/>
  <c r="G37" i="25"/>
  <c r="F44" i="24"/>
  <c r="H17" i="25" s="1"/>
  <c r="G69" i="39"/>
  <c r="G71" i="39" s="1"/>
  <c r="H75" i="39" s="1"/>
  <c r="H77" i="39" s="1"/>
  <c r="L75" i="39" s="1"/>
  <c r="D44" i="24"/>
  <c r="F17" i="25" s="1"/>
  <c r="E20" i="25" s="1"/>
  <c r="F76" i="39"/>
  <c r="F77" i="39" s="1"/>
  <c r="L49" i="39" s="1"/>
  <c r="E44" i="24"/>
  <c r="G17" i="25" s="1"/>
  <c r="G76" i="39"/>
  <c r="G77" i="39" s="1"/>
  <c r="C76" i="22"/>
  <c r="D34" i="25"/>
  <c r="D38" i="25"/>
  <c r="D76" i="22"/>
  <c r="E38" i="25"/>
  <c r="E34" i="25"/>
  <c r="E76" i="22"/>
  <c r="F34" i="25"/>
  <c r="F38" i="25"/>
  <c r="E19" i="25" l="1"/>
  <c r="F33" i="25"/>
  <c r="F76" i="22"/>
  <c r="G34" i="25"/>
  <c r="B23" i="25"/>
  <c r="C39" i="25"/>
  <c r="C80" i="39"/>
  <c r="L62" i="39"/>
  <c r="B26" i="25" l="1"/>
  <c r="B29" i="25"/>
  <c r="L17" i="39"/>
  <c r="L76" i="39"/>
  <c r="L63" i="39"/>
  <c r="L50" i="39"/>
  <c r="L37"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República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 ref="E33" authorId="1" shapeId="0" xr:uid="{67849DA4-7881-4D06-BF0D-48088BBDEB34}">
      <text>
        <r>
          <rPr>
            <b/>
            <sz val="9"/>
            <color indexed="81"/>
            <rFont val="Tahoma"/>
            <family val="2"/>
          </rPr>
          <t>Usuario:</t>
        </r>
        <r>
          <rPr>
            <sz val="9"/>
            <color indexed="81"/>
            <rFont val="Tahoma"/>
            <family val="2"/>
          </rPr>
          <t xml:space="preserve">
Actividad productora y ganadera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1"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cuantos meses de efectivo  requieren para cubrir sus necesidades de compra de materia prima, mano de obra y CIF, hasta que se recuperen las primeras ventas. Luego el negocio debe ser autosuficiente por si mismo.</t>
        </r>
      </text>
    </comment>
    <comment ref="C19" authorId="1" shapeId="0" xr:uid="{8829AFFC-A15E-4213-9437-C97AC3C340B7}">
      <text>
        <r>
          <rPr>
            <b/>
            <sz val="9"/>
            <color indexed="81"/>
            <rFont val="Tahoma"/>
            <family val="2"/>
          </rPr>
          <t>Usuario:</t>
        </r>
        <r>
          <rPr>
            <sz val="9"/>
            <color indexed="81"/>
            <rFont val="Tahoma"/>
            <family val="2"/>
          </rPr>
          <t xml:space="preserve">
Inyección para que se lleve a cabo el plan de negocio.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 ref="A67" authorId="1" shapeId="0" xr:uid="{FC6F2003-C750-4860-B6E8-72B8D8291664}">
      <text>
        <r>
          <rPr>
            <b/>
            <sz val="9"/>
            <color indexed="81"/>
            <rFont val="Tahoma"/>
            <family val="2"/>
          </rPr>
          <t>Usuario:</t>
        </r>
        <r>
          <rPr>
            <sz val="9"/>
            <color indexed="81"/>
            <rFont val="Tahoma"/>
            <family val="2"/>
          </rPr>
          <t xml:space="preserve">
Capital que los socios aportanpara desarrollar su actividad comercial.</t>
        </r>
      </text>
    </comment>
    <comment ref="A68" authorId="1" shapeId="0" xr:uid="{06FFA61C-CE12-44C8-8F12-3AC1F649DBC0}">
      <text>
        <r>
          <rPr>
            <b/>
            <sz val="9"/>
            <color indexed="81"/>
            <rFont val="Tahoma"/>
            <family val="2"/>
          </rPr>
          <t>Usuario:</t>
        </r>
        <r>
          <rPr>
            <sz val="9"/>
            <color indexed="81"/>
            <rFont val="Tahoma"/>
            <family val="2"/>
          </rPr>
          <t xml:space="preserve">
Se pide por ley que se tenga una reserva para una autofinanciación o posible perdida.
10%</t>
        </r>
      </text>
    </comment>
    <comment ref="A69" authorId="1" shapeId="0" xr:uid="{720F1306-7B30-4353-939B-2B58495DEB7D}">
      <text>
        <r>
          <rPr>
            <b/>
            <sz val="9"/>
            <color indexed="81"/>
            <rFont val="Tahoma"/>
            <family val="2"/>
          </rPr>
          <t>Usuario:</t>
        </r>
        <r>
          <rPr>
            <sz val="9"/>
            <color indexed="81"/>
            <rFont val="Tahoma"/>
            <family val="2"/>
          </rPr>
          <t xml:space="preserve">
No se reparten con los socios sino quedan retenidas para decidir si reinvertir.</t>
        </r>
      </text>
    </comment>
    <comment ref="A70" authorId="1" shapeId="0" xr:uid="{8FF22EC0-916A-4FD6-B182-EC2FE87A2158}">
      <text>
        <r>
          <rPr>
            <b/>
            <sz val="9"/>
            <color indexed="81"/>
            <rFont val="Tahoma"/>
            <family val="2"/>
          </rPr>
          <t>Usuario:</t>
        </r>
        <r>
          <rPr>
            <sz val="9"/>
            <color indexed="81"/>
            <rFont val="Tahoma"/>
            <family val="2"/>
          </rPr>
          <t xml:space="preserve">
Cantidad de dinero que realmente gana la empresa.</t>
        </r>
      </text>
    </comment>
    <comment ref="A71" authorId="1" shapeId="0" xr:uid="{71E2F7E5-DF11-483E-9D61-C06430FB488A}">
      <text>
        <r>
          <rPr>
            <b/>
            <sz val="9"/>
            <color indexed="81"/>
            <rFont val="Tahoma"/>
            <family val="2"/>
          </rPr>
          <t>Usuario:</t>
        </r>
        <r>
          <rPr>
            <sz val="9"/>
            <color indexed="81"/>
            <rFont val="Tahoma"/>
            <family val="2"/>
          </rPr>
          <t xml:space="preserve">
Saldo que no se puede distribuir hasta que se liquide la empresa.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16" authorId="0" shapeId="0" xr:uid="{7CD0A8DF-947C-4AEA-B887-EDB3F2939CB4}">
      <text>
        <r>
          <rPr>
            <b/>
            <sz val="9"/>
            <color indexed="81"/>
            <rFont val="Tahoma"/>
            <family val="2"/>
          </rPr>
          <t>Usuario:</t>
        </r>
        <r>
          <rPr>
            <sz val="9"/>
            <color indexed="81"/>
            <rFont val="Tahoma"/>
            <family val="2"/>
          </rPr>
          <t xml:space="preserve">
Mide la ganancia obtenida por la empresa a través de sus principales operaciones comerciales, excluyendo deducciones por los intereses e impuestos.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505E595C-8685-4E50-B54D-DF7A283F5793}">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A35E2FC8-3584-4D35-8FFA-77922A5DA173}">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9EFDE00B-61B2-4DC9-9AB2-19E1DE00E2A5}">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<sst xmlns="http://schemas.openxmlformats.org/spreadsheetml/2006/main" count="1979" uniqueCount="1260">
  <si>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</si>
  <si>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</si>
  <si>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</si>
  <si>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</si>
  <si>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</si>
  <si>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</si>
  <si>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</si>
  <si>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</si>
  <si>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</si>
  <si>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</si>
  <si>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</si>
  <si>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</si>
  <si>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</si>
  <si>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</si>
  <si>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</si>
  <si>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</si>
  <si>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</si>
  <si>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</si>
  <si>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</si>
  <si>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</si>
  <si>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</si>
  <si>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</si>
  <si>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</si>
  <si>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</si>
  <si>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</si>
  <si>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</si>
  <si>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</si>
  <si>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</si>
  <si>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</si>
  <si>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</si>
  <si>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</si>
  <si>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</si>
  <si>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</si>
  <si>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</si>
  <si>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</si>
  <si>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</si>
  <si>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</si>
  <si>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</si>
  <si>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</si>
  <si>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</si>
  <si>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</si>
  <si>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</si>
  <si>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</si>
  <si>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</si>
  <si>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</si>
  <si>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</si>
  <si>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</si>
  <si>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</si>
  <si>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</si>
  <si>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</si>
  <si>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</si>
  <si>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</si>
  <si>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</si>
  <si>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</si>
  <si>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</si>
  <si>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</si>
  <si>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</si>
  <si>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</si>
  <si>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</si>
  <si>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</si>
  <si>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</si>
  <si>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</si>
  <si>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</si>
  <si>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</si>
  <si>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</si>
  <si>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</si>
  <si>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</si>
  <si>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</si>
  <si>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</si>
  <si>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</si>
  <si>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</si>
  <si>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</si>
  <si>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</si>
  <si>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</si>
  <si>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</si>
  <si>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</si>
  <si>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</si>
  <si>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</si>
  <si>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</si>
  <si>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</si>
  <si>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</si>
  <si>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</si>
  <si>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</si>
  <si>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</si>
  <si>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</si>
  <si>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</si>
  <si>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</si>
  <si>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</si>
  <si>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</si>
  <si>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</si>
  <si>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</si>
  <si>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</si>
  <si>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</si>
  <si>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</si>
  <si>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</si>
  <si>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</si>
  <si>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</si>
  <si>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</si>
  <si>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</si>
  <si>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</si>
  <si>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</si>
  <si>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</si>
  <si>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</si>
  <si>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</si>
  <si>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</si>
  <si>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</si>
  <si>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</si>
  <si>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</si>
  <si>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</si>
  <si>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</si>
  <si>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</si>
  <si>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</si>
  <si>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</si>
  <si>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</si>
  <si>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</si>
  <si>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</si>
  <si>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</si>
  <si>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</si>
  <si>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</si>
  <si>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</si>
  <si>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</si>
  <si>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</si>
  <si>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</si>
  <si>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</si>
  <si>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</si>
  <si>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</si>
  <si>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</si>
  <si>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</si>
  <si>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</si>
  <si>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</si>
  <si>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</si>
  <si>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</si>
  <si>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</si>
  <si>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</si>
  <si>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</si>
  <si>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</si>
  <si>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</si>
  <si>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</si>
  <si>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</si>
  <si>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</si>
  <si>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</si>
  <si>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</si>
  <si>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</si>
  <si>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</si>
  <si>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</si>
  <si>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</si>
  <si>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</si>
  <si>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</si>
  <si>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</si>
  <si>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</si>
  <si>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</si>
  <si>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</si>
  <si>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</si>
  <si>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</si>
  <si>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</si>
  <si>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</si>
  <si>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</si>
  <si>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</si>
  <si>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</si>
  <si>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</si>
  <si>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</si>
  <si>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</si>
  <si>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</si>
  <si>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</si>
  <si>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</si>
  <si>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</si>
  <si>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</si>
  <si>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</si>
  <si>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</si>
  <si>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</si>
  <si>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</si>
  <si>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</si>
  <si>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</si>
  <si>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</si>
  <si>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</si>
  <si>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</si>
  <si>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</si>
  <si>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</si>
  <si>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</si>
  <si>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</si>
  <si>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</si>
  <si>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</si>
  <si>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</si>
  <si>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</si>
  <si>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</si>
  <si>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</si>
  <si>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</si>
  <si>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</si>
  <si>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</si>
  <si>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</si>
  <si>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</si>
  <si>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</si>
  <si>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</si>
  <si>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</si>
  <si>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</si>
  <si>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</si>
  <si>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</si>
  <si>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</si>
  <si>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</si>
  <si>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</si>
  <si>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</si>
  <si>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</si>
  <si>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</si>
  <si>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</si>
  <si>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</si>
  <si>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</si>
  <si>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</si>
  <si>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</si>
  <si>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</si>
  <si>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</si>
  <si>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</si>
  <si>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</si>
  <si>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</si>
  <si>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</si>
  <si>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</si>
  <si>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</si>
  <si>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</si>
  <si>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</si>
  <si>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</si>
  <si>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</si>
  <si>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</si>
  <si>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</si>
  <si>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</si>
  <si>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</si>
  <si>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</si>
  <si>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</si>
  <si>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</si>
  <si>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</si>
  <si>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</si>
  <si>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</si>
  <si>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</si>
  <si>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</si>
  <si>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</si>
  <si>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</si>
  <si>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</si>
  <si>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</si>
  <si>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</si>
  <si>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</si>
  <si>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</si>
  <si>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</si>
  <si>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</si>
  <si>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</si>
  <si>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</si>
  <si>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</si>
  <si>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</si>
  <si>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</si>
  <si>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</si>
  <si>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</si>
  <si>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</si>
  <si>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</si>
  <si>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</si>
  <si>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</si>
  <si>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</si>
  <si>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</si>
  <si>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</si>
  <si>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</si>
  <si>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</si>
  <si>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</si>
  <si>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</si>
  <si>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</si>
  <si>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</si>
  <si>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</si>
  <si>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</si>
  <si>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</si>
  <si>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</si>
  <si>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</si>
  <si>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</si>
  <si>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</si>
  <si>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</si>
  <si>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</si>
  <si>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</si>
  <si>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</si>
  <si>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</si>
  <si>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</si>
  <si>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</si>
  <si>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</si>
  <si>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</si>
  <si>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</si>
  <si>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</si>
  <si>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</si>
  <si>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</si>
  <si>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</si>
  <si>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</si>
  <si>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</si>
  <si>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</si>
  <si>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</si>
  <si>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</si>
  <si>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</si>
  <si>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</si>
  <si>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</si>
  <si>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</si>
  <si>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</si>
  <si>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</si>
  <si>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</si>
  <si>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</si>
  <si>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</si>
  <si>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</si>
  <si>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</si>
  <si>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</si>
  <si>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</si>
  <si>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</si>
  <si>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</si>
  <si>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</si>
  <si>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</si>
  <si>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</si>
  <si>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</si>
  <si>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</si>
  <si>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</si>
  <si>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</si>
  <si>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</si>
  <si>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</si>
  <si>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</si>
  <si>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</si>
  <si>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</si>
  <si>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</si>
  <si>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</si>
  <si>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</si>
  <si>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</si>
  <si>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</si>
  <si>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</si>
  <si>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</si>
  <si>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</si>
  <si>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</si>
  <si>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</si>
  <si>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</si>
  <si>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</si>
  <si>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</si>
  <si>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</si>
  <si>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</si>
  <si>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</si>
  <si>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</si>
  <si>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</si>
  <si>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</si>
  <si>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</si>
  <si>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</si>
  <si>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</si>
  <si>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</si>
  <si>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</si>
  <si>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</si>
  <si>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</si>
  <si>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</si>
  <si>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</si>
  <si>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</si>
  <si>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</si>
  <si>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</si>
  <si>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</si>
  <si>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</si>
  <si>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</si>
  <si>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</si>
  <si>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</si>
  <si>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</si>
  <si>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</si>
  <si>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</si>
  <si>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</si>
  <si>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</si>
  <si>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</si>
  <si>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</si>
  <si>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Unidades vendidas año 1</t>
  </si>
  <si>
    <t xml:space="preserve">Producto y/o servicio </t>
  </si>
  <si>
    <t>Ingresos totales año 1</t>
  </si>
  <si>
    <t>Unidades vendidas año 2</t>
  </si>
  <si>
    <t xml:space="preserve">Ingresos totales año 2 </t>
  </si>
  <si>
    <t>Unidades vendidas año 3</t>
  </si>
  <si>
    <t xml:space="preserve">Ingresos totales año 3 </t>
  </si>
  <si>
    <t>Unidades vendidas año 4</t>
  </si>
  <si>
    <t>Ingresos totales año 4</t>
  </si>
  <si>
    <t>Unidades vendidas año 5</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</si>
  <si>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</si>
  <si>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</si>
  <si>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</si>
  <si>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</si>
  <si>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</si>
  <si>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</si>
  <si>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</si>
  <si>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</si>
  <si>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</si>
  <si>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</si>
  <si>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</si>
  <si>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</si>
  <si>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</si>
  <si>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</si>
  <si>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</si>
  <si>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</si>
  <si>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</si>
  <si>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</si>
  <si>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</si>
  <si>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</si>
  <si>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</si>
  <si>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</si>
  <si>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</si>
  <si>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</si>
  <si>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</si>
  <si>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</si>
  <si>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</si>
  <si>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</si>
  <si>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</si>
  <si>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</si>
  <si>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</si>
  <si>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</si>
  <si>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</si>
  <si>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</si>
  <si>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</si>
  <si>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</si>
  <si>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</si>
  <si>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</si>
  <si>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</si>
  <si>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</si>
  <si>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</si>
  <si>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</si>
  <si>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</si>
  <si>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</si>
  <si>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</si>
  <si>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VENTAS TOTALES</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</si>
  <si>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</si>
  <si>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</si>
  <si>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</si>
  <si>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</si>
  <si>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</si>
  <si>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</si>
  <si>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</si>
  <si>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</si>
  <si>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</si>
  <si>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</si>
  <si>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</si>
  <si>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</si>
  <si>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</si>
  <si>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</si>
  <si>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</si>
  <si>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</si>
  <si>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</si>
  <si>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</si>
  <si>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</si>
  <si>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</si>
  <si>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</si>
  <si>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</si>
  <si>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</si>
  <si>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</si>
  <si>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</si>
  <si>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</si>
  <si>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</si>
  <si>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</si>
  <si>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</si>
  <si>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</si>
  <si>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</si>
  <si>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</si>
  <si>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</si>
  <si>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</si>
  <si>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</si>
  <si>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</si>
  <si>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</si>
  <si>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</si>
  <si>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</si>
  <si>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</si>
  <si>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</si>
  <si>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</si>
  <si>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</si>
  <si>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</si>
  <si>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</si>
  <si>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</si>
  <si>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</si>
  <si>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</si>
  <si>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</si>
  <si>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</si>
  <si>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</si>
  <si>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</si>
  <si>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</si>
  <si>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</si>
  <si>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</si>
  <si>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</si>
  <si>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</si>
  <si>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</si>
  <si>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</si>
  <si>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</si>
  <si>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</si>
  <si>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</si>
  <si>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</si>
  <si>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</si>
  <si>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</si>
  <si>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</si>
  <si>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</si>
  <si>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</si>
  <si>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</si>
  <si>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</si>
  <si>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</si>
  <si>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</si>
  <si>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</si>
  <si>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</si>
  <si>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</si>
  <si>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</si>
  <si>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</si>
  <si>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</si>
  <si>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</si>
  <si>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</si>
  <si>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</si>
  <si>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</si>
  <si>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</si>
  <si>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</si>
  <si>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UNIDAS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</si>
  <si>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</si>
  <si>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</si>
  <si>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</si>
  <si>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</si>
  <si>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</si>
  <si>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</si>
  <si>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</si>
  <si>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</si>
  <si>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</si>
  <si>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</si>
  <si>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</si>
  <si>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</si>
  <si>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</si>
  <si>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</si>
  <si>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</si>
  <si>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</si>
  <si>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</si>
  <si>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</si>
  <si>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</si>
  <si>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</si>
  <si>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</si>
  <si>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</si>
  <si>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</si>
  <si>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</si>
  <si>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</si>
  <si>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</si>
  <si>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</si>
  <si>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</si>
  <si>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</si>
  <si>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</si>
  <si>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</si>
  <si>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</si>
  <si>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</si>
  <si>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</si>
  <si>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</si>
  <si>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</si>
  <si>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</si>
  <si>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</si>
  <si>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</si>
  <si>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</si>
  <si>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</si>
  <si>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</si>
  <si>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</si>
  <si>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</si>
  <si>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</si>
  <si>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</si>
  <si>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</si>
  <si>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</si>
  <si>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</si>
  <si>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</si>
  <si>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</si>
  <si>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</si>
  <si>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</si>
  <si>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</si>
  <si>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</si>
  <si>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</si>
  <si>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</si>
  <si>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</si>
  <si>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</si>
  <si>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</si>
  <si>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</si>
  <si>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</si>
  <si>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</si>
  <si>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</si>
  <si>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</si>
  <si>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</si>
  <si>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</si>
  <si>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</si>
  <si>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</si>
  <si>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</si>
  <si>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</si>
  <si>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</si>
  <si>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</si>
  <si>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</si>
  <si>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</si>
  <si>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</si>
  <si>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</si>
  <si>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</si>
  <si>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</si>
  <si>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</si>
  <si>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</si>
  <si>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</si>
  <si>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</si>
  <si>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</si>
  <si>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</si>
  <si>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</si>
  <si>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</si>
  <si>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</si>
  <si>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</si>
  <si>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</si>
  <si>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</si>
  <si>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</si>
  <si>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</si>
  <si>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</si>
  <si>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</si>
  <si>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</si>
  <si>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</si>
  <si>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</si>
  <si>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</si>
  <si>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</si>
  <si>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</si>
  <si>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</si>
  <si>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</si>
  <si>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</si>
  <si>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</si>
  <si>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</si>
  <si>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</si>
  <si>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</si>
  <si>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</si>
  <si>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</si>
  <si>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</si>
  <si>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</si>
  <si>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</si>
  <si>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</si>
  <si>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</si>
  <si>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</si>
  <si>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</si>
  <si>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</si>
  <si>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</si>
  <si>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</si>
  <si>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</si>
  <si>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</si>
  <si>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</si>
  <si>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</si>
  <si>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</si>
  <si>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</si>
  <si>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</si>
  <si>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</si>
  <si>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</si>
  <si>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</si>
  <si>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</si>
  <si>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</si>
  <si>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</si>
  <si>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</si>
  <si>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</si>
  <si>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</si>
  <si>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</si>
  <si>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</si>
  <si>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</si>
  <si>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</si>
  <si>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</si>
  <si>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</si>
  <si>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</si>
  <si>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</si>
  <si>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</si>
  <si>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</si>
  <si>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</si>
  <si>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</si>
  <si>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</si>
  <si>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</si>
  <si>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</si>
  <si>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</si>
  <si>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</si>
  <si>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</si>
  <si>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</si>
  <si>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</si>
  <si>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</si>
  <si>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</si>
  <si>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</si>
  <si>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</si>
  <si>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</si>
  <si>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</si>
  <si>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</si>
  <si>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</si>
  <si>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</si>
  <si>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</si>
  <si>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</si>
  <si>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</si>
  <si>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</si>
  <si>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</si>
  <si>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</si>
  <si>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</si>
  <si>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</si>
  <si>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</si>
  <si>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</si>
  <si>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</si>
  <si>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</si>
  <si>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</si>
  <si>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</si>
  <si>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</si>
  <si>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</si>
  <si>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</si>
  <si>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</si>
  <si>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</si>
  <si>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</si>
  <si>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</si>
  <si>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</si>
  <si>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</si>
  <si>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</si>
  <si>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</si>
  <si>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</si>
  <si>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</si>
  <si>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</si>
  <si>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</si>
  <si>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</si>
  <si>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</si>
  <si>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</si>
  <si>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</si>
  <si>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</si>
  <si>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</si>
  <si>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</si>
  <si>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</si>
  <si>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</si>
  <si>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</si>
  <si>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</si>
  <si>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</si>
  <si>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</si>
  <si>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</si>
  <si>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</si>
  <si>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</si>
  <si>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</si>
  <si>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</si>
  <si>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</si>
  <si>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</si>
  <si>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</si>
  <si>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</si>
  <si>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</si>
  <si>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</si>
  <si>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</si>
  <si>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</si>
  <si>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</si>
  <si>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</si>
  <si>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</si>
  <si>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</si>
  <si>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</si>
  <si>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</si>
  <si>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</si>
  <si>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</si>
  <si>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</si>
  <si>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</si>
  <si>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</si>
  <si>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</si>
  <si>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</si>
  <si>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</si>
  <si>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</si>
  <si>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</si>
  <si>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</si>
  <si>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</si>
  <si>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</si>
  <si>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</si>
  <si>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</si>
  <si>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</si>
  <si>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</si>
  <si>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</si>
  <si>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</si>
  <si>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</si>
  <si>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</si>
  <si>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</si>
  <si>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</si>
  <si>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</si>
  <si>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</si>
  <si>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</si>
  <si>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</si>
  <si>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</si>
  <si>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</si>
  <si>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</si>
  <si>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</si>
  <si>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</si>
  <si>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</si>
  <si>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</si>
  <si>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</si>
  <si>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</si>
  <si>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</si>
  <si>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</si>
  <si>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</si>
  <si>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</si>
  <si>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</si>
  <si>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</si>
  <si>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</si>
  <si>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</si>
  <si>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</si>
  <si>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</si>
  <si>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</si>
  <si>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</si>
  <si>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</si>
  <si>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</si>
  <si>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</si>
  <si>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</si>
  <si>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</si>
  <si>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</si>
  <si>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</si>
  <si>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</si>
  <si>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</si>
  <si>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</si>
  <si>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</si>
  <si>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</si>
  <si>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</si>
  <si>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</si>
  <si>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</si>
  <si>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</si>
  <si>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</si>
  <si>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</si>
  <si>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</si>
  <si>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</si>
  <si>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</si>
  <si>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</si>
  <si>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</si>
  <si>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</si>
  <si>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</si>
  <si>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</si>
  <si>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</si>
  <si>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</si>
  <si>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</si>
  <si>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</si>
  <si>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</si>
  <si>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</si>
  <si>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</si>
  <si>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</si>
  <si>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</si>
  <si>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</si>
  <si>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</si>
  <si>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</si>
  <si>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</si>
  <si>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</si>
  <si>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</si>
  <si>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</si>
  <si>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</si>
  <si>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</si>
  <si>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</si>
  <si>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</si>
  <si>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</si>
  <si>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</si>
  <si>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</si>
  <si>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</si>
  <si>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</si>
  <si>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</si>
  <si>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</si>
  <si>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</si>
  <si>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</si>
  <si>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</si>
  <si>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</si>
  <si>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</si>
  <si>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</si>
  <si>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</si>
  <si>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</si>
  <si>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</si>
  <si>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</si>
  <si>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</si>
  <si>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</si>
  <si>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</si>
  <si>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</si>
  <si>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</si>
  <si>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</si>
  <si>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</si>
  <si>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</si>
  <si>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</si>
  <si>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</si>
  <si>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</si>
  <si>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</si>
  <si>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</si>
  <si>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</si>
  <si>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</si>
  <si>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</si>
  <si>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</si>
  <si>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</si>
  <si>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</si>
  <si>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</si>
  <si>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</si>
  <si>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</si>
  <si>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</si>
  <si>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</si>
  <si>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</si>
  <si>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</si>
  <si>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</si>
  <si>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</si>
  <si>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</si>
  <si>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</si>
  <si>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</si>
  <si>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</si>
  <si>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</si>
  <si>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</si>
  <si>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</si>
  <si>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</si>
  <si>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</si>
  <si>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</si>
  <si>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</si>
  <si>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</si>
  <si>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</si>
  <si>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</si>
  <si>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</si>
  <si>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</si>
  <si>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</si>
  <si>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</si>
  <si>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</si>
  <si>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</si>
  <si>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</si>
  <si>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</si>
  <si>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</si>
  <si>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</si>
  <si>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</si>
  <si>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</si>
  <si>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</si>
  <si>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</si>
  <si>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</si>
  <si>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</si>
  <si>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</si>
  <si>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</si>
  <si>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</si>
  <si>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</si>
  <si>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</si>
  <si>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</si>
  <si>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</si>
  <si>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</si>
  <si>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</si>
  <si>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</si>
  <si>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</si>
  <si>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</si>
  <si>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</si>
  <si>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</si>
  <si>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</si>
  <si>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</si>
  <si>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</si>
  <si>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</si>
  <si>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</si>
  <si>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</si>
  <si>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</si>
  <si>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</si>
  <si>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</si>
  <si>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</si>
  <si>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</si>
  <si>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</si>
  <si>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</si>
  <si>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</si>
  <si>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</si>
  <si>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</si>
  <si>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</si>
  <si>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</si>
  <si>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</si>
  <si>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</si>
  <si>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</si>
  <si>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</si>
  <si>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</si>
  <si>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</si>
  <si>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</si>
  <si>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</si>
  <si>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</si>
  <si>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</si>
  <si>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</si>
  <si>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</si>
  <si>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</si>
  <si>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</si>
  <si>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</si>
  <si>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</si>
  <si>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</si>
  <si>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</si>
  <si>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</si>
  <si>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</si>
  <si>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</si>
  <si>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</si>
  <si>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</si>
  <si>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</si>
  <si>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</si>
  <si>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</si>
  <si>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</si>
  <si>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</si>
  <si>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</si>
  <si>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</si>
  <si>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</si>
  <si>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</si>
  <si>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</si>
  <si>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</si>
  <si>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</si>
  <si>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</si>
  <si>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</si>
  <si>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</si>
  <si>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</si>
  <si>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</si>
  <si>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</si>
  <si>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</si>
  <si>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</si>
  <si>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</si>
  <si>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</si>
  <si>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</si>
  <si>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</si>
  <si>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</si>
  <si>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</si>
  <si>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</si>
  <si>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</si>
  <si>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</si>
  <si>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</si>
  <si>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</si>
  <si>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</si>
  <si>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</si>
  <si>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</si>
  <si>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</si>
  <si>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</si>
  <si>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</si>
  <si>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</si>
  <si>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</si>
  <si>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</si>
  <si>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</si>
  <si>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</si>
  <si>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</si>
  <si>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</si>
  <si>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</si>
  <si>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</si>
  <si>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</si>
  <si>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</si>
  <si>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</si>
  <si>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</si>
  <si>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</si>
  <si>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</si>
  <si>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</si>
  <si>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</si>
  <si>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</si>
  <si>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</si>
  <si>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</si>
  <si>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</si>
  <si>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</si>
  <si>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</si>
  <si>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</si>
  <si>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</si>
  <si>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</si>
  <si>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</si>
  <si>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</si>
  <si>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</si>
  <si>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</si>
  <si>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</si>
  <si>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</si>
  <si>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</si>
  <si>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</si>
  <si>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</si>
  <si>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</si>
  <si>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</si>
  <si>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</si>
  <si>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</si>
  <si>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</si>
  <si>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</si>
  <si>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</si>
  <si>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</si>
  <si>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</si>
  <si>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</si>
  <si>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</si>
  <si>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</si>
  <si>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</si>
  <si>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</si>
  <si>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</si>
  <si>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</si>
  <si>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</si>
  <si>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</si>
  <si>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</si>
  <si>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</si>
  <si>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</si>
  <si>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</si>
  <si>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</si>
  <si>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</si>
  <si>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</si>
  <si>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</si>
  <si>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</si>
  <si>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</si>
  <si>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</si>
  <si>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</si>
  <si>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</si>
  <si>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</si>
  <si>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</si>
  <si>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</si>
  <si>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</si>
  <si>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</si>
  <si>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</si>
  <si>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</si>
  <si>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</si>
  <si>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</si>
  <si>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</si>
  <si>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</si>
  <si>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</si>
  <si>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</si>
  <si>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</si>
  <si>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</si>
  <si>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</si>
  <si>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</si>
  <si>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</si>
  <si>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</si>
  <si>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</si>
  <si>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</si>
  <si>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</si>
  <si>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</si>
  <si>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</si>
  <si>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</si>
  <si>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</si>
  <si>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</si>
  <si>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</si>
  <si>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</si>
  <si>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</si>
  <si>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</si>
  <si>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</si>
  <si>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</si>
  <si>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</si>
  <si>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</si>
  <si>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</si>
  <si>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</si>
  <si>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</si>
  <si>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</si>
  <si>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</si>
  <si>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</si>
  <si>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</si>
  <si>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</si>
  <si>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</si>
  <si>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</si>
  <si>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</si>
  <si>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</si>
  <si>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</si>
  <si>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</si>
  <si>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</si>
  <si>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</si>
  <si>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</si>
  <si>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</si>
  <si>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</si>
  <si>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</si>
  <si>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</si>
  <si>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</si>
  <si>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</si>
  <si>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</si>
  <si>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</si>
  <si>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</si>
  <si>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</si>
  <si>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</si>
  <si>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</si>
  <si>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</si>
  <si>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</si>
  <si>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</si>
  <si>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</si>
  <si>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</si>
  <si>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</si>
  <si>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</si>
  <si>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</si>
  <si>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</si>
  <si>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</si>
  <si>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</si>
  <si>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</si>
  <si>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</si>
  <si>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</si>
  <si>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</si>
  <si>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</si>
  <si>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</si>
  <si>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</si>
  <si>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</si>
  <si>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</si>
  <si>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</si>
  <si>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</si>
  <si>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</si>
  <si>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</si>
  <si>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</si>
  <si>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</si>
  <si>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</si>
  <si>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</si>
  <si>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</si>
  <si>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</si>
  <si>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</si>
  <si>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</si>
  <si>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</si>
  <si>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</si>
  <si>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</si>
  <si>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</si>
  <si>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</si>
  <si>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</si>
  <si>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</si>
  <si>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</si>
  <si>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</si>
  <si>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</si>
  <si>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</si>
  <si>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</si>
  <si>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</si>
  <si>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</si>
  <si>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</si>
  <si>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</si>
  <si>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</si>
  <si>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</si>
  <si>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</si>
  <si>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</si>
  <si>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</si>
  <si>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</si>
  <si>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</si>
  <si>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</si>
  <si>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</si>
  <si>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</si>
  <si>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</si>
  <si>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Incremento en ventas </t>
  </si>
  <si>
    <t xml:space="preserve">Variación en el incremento de las ventas </t>
  </si>
  <si>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</si>
  <si>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</si>
  <si>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</si>
  <si>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</si>
  <si>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</si>
  <si>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</si>
  <si>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</si>
  <si>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</si>
  <si>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</si>
  <si>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</si>
  <si>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</si>
  <si>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</si>
  <si>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</si>
  <si>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</si>
  <si>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ANÁLISIS DE SENSIBILIDAD AÑO 2 </t>
  </si>
  <si>
    <t xml:space="preserve">ANÁLISIS DE SENSIBILIDAD AÑO 3 </t>
  </si>
  <si>
    <t xml:space="preserve">ANÁLISIS DE SENSIBILIDAD AÑO 4 </t>
  </si>
  <si>
    <t xml:space="preserve">ANÁLISIS DE SENSIBILIDAD AÑO 5 </t>
  </si>
  <si>
    <t xml:space="preserve">Variación del incremento de ventas </t>
  </si>
  <si>
    <t xml:space="preserve">ESCENARIO ACTUAL </t>
  </si>
  <si>
    <t>ANÁLISIS DE SENSIBILIDAD</t>
  </si>
  <si>
    <t xml:space="preserve">TASA DE EMPRENDIMIENTO ESPERADA POR LOS EMPRENDIMIENTOS </t>
  </si>
  <si>
    <t xml:space="preserve">TASA DE EMPRENDIMIENTO ESPERADA POR LOS EMPRENDEDORES </t>
  </si>
  <si>
    <t>VIABLE</t>
  </si>
  <si>
    <t>INVIABLE</t>
  </si>
  <si>
    <t>INDIFERENCIA FINANCIERA</t>
  </si>
  <si>
    <t>Arreglos florales</t>
  </si>
  <si>
    <t>Amor Amor</t>
  </si>
  <si>
    <t>Tierno Corazón</t>
  </si>
  <si>
    <t>Caja de Rosas</t>
  </si>
  <si>
    <t>Pureza Amor</t>
  </si>
  <si>
    <t>Rosas</t>
  </si>
  <si>
    <t>Paquete (flores)</t>
  </si>
  <si>
    <t>Tarjeta</t>
  </si>
  <si>
    <t>Bolsa</t>
  </si>
  <si>
    <t>Caucho</t>
  </si>
  <si>
    <t>Cuadrado de 50 cms de fique</t>
  </si>
  <si>
    <t xml:space="preserve">Globo </t>
  </si>
  <si>
    <t xml:space="preserve">Soporte mensaje </t>
  </si>
  <si>
    <t xml:space="preserve">Moño spider </t>
  </si>
  <si>
    <t xml:space="preserve">Caja cartón rectangular roja </t>
  </si>
  <si>
    <t>Cinta tela satinada</t>
  </si>
  <si>
    <t>Chocolates ferrero</t>
  </si>
  <si>
    <t>Sticker</t>
  </si>
  <si>
    <t>Aluminio</t>
  </si>
  <si>
    <t>Caja cartón corazón</t>
  </si>
  <si>
    <t>Espuma floral</t>
  </si>
  <si>
    <t>Moño brillante</t>
  </si>
  <si>
    <t>Acuapic</t>
  </si>
  <si>
    <t>Caja alargada de rosas</t>
  </si>
  <si>
    <t>Tornasol</t>
  </si>
  <si>
    <t>Paquete (2000)</t>
  </si>
  <si>
    <t>Paquete (100)</t>
  </si>
  <si>
    <t>Metro (4)</t>
  </si>
  <si>
    <t>Unidad</t>
  </si>
  <si>
    <t>Rollo (20 metros)</t>
  </si>
  <si>
    <t>Rollo (45 metros)</t>
  </si>
  <si>
    <t>Gypsophilia (follaje)</t>
  </si>
  <si>
    <t>Paquete (10)</t>
  </si>
  <si>
    <t>Unidad (2)</t>
  </si>
  <si>
    <t>Rollo (50 metros)</t>
  </si>
  <si>
    <t>Caja (40)</t>
  </si>
  <si>
    <t>Rollo (25 metros)</t>
  </si>
  <si>
    <t>Caja (50)</t>
  </si>
  <si>
    <t xml:space="preserve">Pliego </t>
  </si>
  <si>
    <t xml:space="preserve">Operario </t>
  </si>
  <si>
    <t>Tijeras de florísteria</t>
  </si>
  <si>
    <t xml:space="preserve">Computador </t>
  </si>
  <si>
    <t>Mesa para arreglos florales</t>
  </si>
  <si>
    <t xml:space="preserve">Escritorio </t>
  </si>
  <si>
    <t xml:space="preserve">Estantería </t>
  </si>
  <si>
    <t>Impresora</t>
  </si>
  <si>
    <t xml:space="preserve">Cuchillo de floristeria </t>
  </si>
  <si>
    <t xml:space="preserve">Tijeras de florísteria </t>
  </si>
  <si>
    <t xml:space="preserve">Cuchillo de florísteria </t>
  </si>
  <si>
    <t xml:space="preserve">Guantes de nitrilo </t>
  </si>
  <si>
    <t xml:space="preserve">Cámara </t>
  </si>
  <si>
    <t xml:space="preserve">Administrador </t>
  </si>
  <si>
    <t xml:space="preserve">ARRIENDO </t>
  </si>
  <si>
    <t xml:space="preserve">TRANSPORTE </t>
  </si>
  <si>
    <t>TELEFONÍA E INTERNET</t>
  </si>
  <si>
    <t>ENERGÍA</t>
  </si>
  <si>
    <t>AGUA</t>
  </si>
  <si>
    <t xml:space="preserve">MANTENIMIENTO HERRAMIENTAS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</si>
</sst>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0.0%"/>
    <numFmt numFmtId="169" formatCode="0.00000"/>
    <numFmt numFmtId="170" formatCode="#,##0.0"/>
  </numFmts>
  <fonts count="64"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20"/>
      <color theme="1"/>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81">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8"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8"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7" fontId="30" fillId="28" borderId="14" xfId="0" applyNumberFormat="1" applyFont="1" applyFill="1" applyBorder="1" applyProtection="1">
      <protection hidden="1"/>
    </xf>
    <xf numFmtId="10" fontId="30" fillId="28" borderId="3" xfId="0" applyNumberFormat="1" applyFont="1" applyFill="1" applyBorder="1" applyProtection="1">
      <protection hidden="1"/>
    </xf>
    <xf numFmtId="10" fontId="30" fillId="28" borderId="11" xfId="0" applyNumberFormat="1" applyFont="1" applyFill="1" applyBorder="1" applyProtection="1">
      <protection hidden="1"/>
    </xf>
    <xf numFmtId="10" fontId="30" fillId="28" borderId="15" xfId="0" applyNumberFormat="1" applyFont="1" applyFill="1" applyBorder="1" applyProtection="1">
      <protection hidden="1"/>
    </xf>
    <xf numFmtId="0" fontId="30" fillId="28" borderId="13" xfId="0" applyFont="1" applyFill="1" applyBorder="1" applyProtection="1">
      <protection hidden="1"/>
    </xf>
    <xf numFmtId="9" fontId="30" fillId="28" borderId="29" xfId="0"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0" fillId="0" borderId="3" xfId="0" applyBorder="1" applyAlignment="1" applyProtection="1">
      <alignment horizont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20" fillId="5" borderId="0" xfId="0" applyFont="1" applyFill="1" applyAlignment="1" applyProtection="1">
      <alignment horizontal="center"/>
      <protection hidden="1"/>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34" fillId="18" borderId="3" xfId="0" applyNumberFormat="1" applyFont="1" applyFill="1" applyBorder="1" applyAlignment="1">
      <alignment horizontal="center" wrapText="1"/>
    </xf>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8"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1" borderId="3" xfId="0" applyFont="1" applyFill="1" applyBorder="1" applyAlignment="1" applyProtection="1">
      <alignment horizontal="center"/>
      <protection locked="0"/>
    </xf>
    <xf numFmtId="9" fontId="12" fillId="21" borderId="3" xfId="0" applyNumberFormat="1" applyFont="1" applyFill="1" applyBorder="1" applyAlignment="1" applyProtection="1">
      <alignment horizontal="center"/>
      <protection locked="0"/>
    </xf>
    <xf numFmtId="0" fontId="12" fillId="0" borderId="0" xfId="0" applyFont="1" applyFill="1" applyProtection="1">
      <protection locked="0"/>
    </xf>
    <xf numFmtId="6" fontId="12" fillId="26" borderId="3" xfId="0" applyNumberFormat="1" applyFont="1" applyFill="1" applyBorder="1" applyAlignment="1" applyProtection="1">
      <alignment horizontal="center"/>
      <protection locked="0"/>
    </xf>
    <xf numFmtId="6" fontId="0" fillId="0" borderId="0" xfId="0" applyNumberFormat="1" applyProtection="1">
      <protection locked="0"/>
    </xf>
    <xf numFmtId="6" fontId="0" fillId="26" borderId="0" xfId="0" applyNumberFormat="1" applyFill="1" applyProtection="1">
      <protection locked="0"/>
    </xf>
    <xf numFmtId="0" fontId="62" fillId="0" borderId="0" xfId="6" applyProtection="1">
      <protection locked="0"/>
    </xf>
    <xf numFmtId="9" fontId="12" fillId="0" borderId="3" xfId="0" applyNumberFormat="1" applyFont="1" applyBorder="1" applyAlignment="1" applyProtection="1">
      <alignment horizontal="center"/>
      <protection hidden="1"/>
    </xf>
    <xf numFmtId="0" fontId="13" fillId="23" borderId="3" xfId="6"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vertical="center"/>
      <protection hidden="1"/>
    </xf>
    <xf numFmtId="0" fontId="30" fillId="26" borderId="10" xfId="0" applyFont="1" applyFill="1" applyBorder="1" applyProtection="1">
      <protection hidden="1"/>
    </xf>
    <xf numFmtId="0" fontId="30" fillId="19" borderId="10" xfId="0" applyFont="1" applyFill="1" applyBorder="1" applyProtection="1">
      <protection hidden="1"/>
    </xf>
    <xf numFmtId="6" fontId="11" fillId="19" borderId="3" xfId="0" applyNumberFormat="1" applyFont="1" applyFill="1" applyBorder="1" applyAlignment="1" applyProtection="1">
      <alignment horizontal="center"/>
      <protection hidden="1"/>
    </xf>
    <xf numFmtId="0" fontId="34" fillId="10" borderId="10" xfId="0" applyFont="1" applyFill="1" applyBorder="1" applyProtection="1">
      <protection hidden="1"/>
    </xf>
    <xf numFmtId="0" fontId="28" fillId="26" borderId="10" xfId="0" applyFont="1" applyFill="1" applyBorder="1" applyProtection="1">
      <protection hidden="1"/>
    </xf>
    <xf numFmtId="0" fontId="34" fillId="10" borderId="10" xfId="0" applyFont="1" applyFill="1" applyBorder="1" applyAlignment="1" applyProtection="1">
      <alignment horizontal="left" indent="1"/>
      <protection hidden="1"/>
    </xf>
    <xf numFmtId="0" fontId="38" fillId="10" borderId="10" xfId="0" applyFont="1" applyFill="1" applyBorder="1" applyProtection="1">
      <protection hidden="1"/>
    </xf>
    <xf numFmtId="0" fontId="30" fillId="19" borderId="12" xfId="0" applyFont="1" applyFill="1" applyBorder="1" applyAlignment="1" applyProtection="1">
      <alignment horizontal="center"/>
      <protection hidden="1"/>
    </xf>
    <xf numFmtId="0" fontId="13" fillId="23" borderId="3" xfId="0" applyFont="1" applyFill="1" applyBorder="1" applyAlignment="1" applyProtection="1">
      <alignment horizontal="center" vertical="center" wrapText="1"/>
      <protection hidden="1"/>
    </xf>
    <xf numFmtId="12" fontId="20" fillId="25" borderId="3" xfId="0" applyNumberFormat="1" applyFont="1" applyFill="1" applyBorder="1" applyAlignment="1" applyProtection="1">
      <alignment horizontal="right" vertical="center"/>
      <protection hidden="1"/>
    </xf>
    <xf numFmtId="0" fontId="30" fillId="26" borderId="10" xfId="0" applyFont="1" applyFill="1" applyBorder="1" applyAlignment="1" applyProtection="1">
      <alignment horizontal="left" indent="1"/>
      <protection hidden="1"/>
    </xf>
    <xf numFmtId="0" fontId="12" fillId="26" borderId="3" xfId="0" applyFont="1" applyFill="1" applyBorder="1" applyProtection="1">
      <protection hidden="1"/>
    </xf>
    <xf numFmtId="0" fontId="30" fillId="18" borderId="12" xfId="0" applyFont="1" applyFill="1" applyBorder="1" applyProtection="1">
      <protection hidden="1"/>
    </xf>
    <xf numFmtId="6" fontId="12" fillId="18" borderId="3" xfId="0" applyNumberFormat="1" applyFont="1" applyFill="1" applyBorder="1" applyAlignment="1" applyProtection="1">
      <alignment horizontal="center"/>
      <protection hidden="1"/>
    </xf>
    <xf numFmtId="0" fontId="20" fillId="23" borderId="3" xfId="0" applyFont="1" applyFill="1" applyBorder="1" applyAlignment="1" applyProtection="1">
      <alignment horizontal="center"/>
      <protection hidden="1"/>
    </xf>
    <xf numFmtId="12" fontId="20" fillId="25" borderId="6" xfId="0" applyNumberFormat="1" applyFont="1" applyFill="1" applyBorder="1" applyAlignment="1" applyProtection="1">
      <alignment horizontal="right"/>
      <protection hidden="1"/>
    </xf>
    <xf numFmtId="12" fontId="20" fillId="25" borderId="3" xfId="0" applyNumberFormat="1" applyFont="1" applyFill="1" applyBorder="1" applyAlignment="1" applyProtection="1">
      <alignment horizontal="right"/>
      <protection hidden="1"/>
    </xf>
    <xf numFmtId="0" fontId="28" fillId="26" borderId="58" xfId="0" applyFont="1" applyFill="1" applyBorder="1" applyAlignment="1" applyProtection="1">
      <alignment horizontal="left" indent="1"/>
      <protection hidden="1"/>
    </xf>
    <xf numFmtId="0" fontId="28" fillId="16" borderId="58" xfId="0" applyFont="1" applyFill="1" applyBorder="1" applyProtection="1">
      <protection hidden="1"/>
    </xf>
    <xf numFmtId="6" fontId="12" fillId="16" borderId="3" xfId="0" applyNumberFormat="1" applyFont="1" applyFill="1" applyBorder="1" applyAlignment="1" applyProtection="1">
      <alignment horizontal="center"/>
      <protection hidden="1"/>
    </xf>
    <xf numFmtId="0" fontId="28" fillId="18" borderId="12" xfId="0" applyFont="1" applyFill="1" applyBorder="1" applyProtection="1">
      <protection hidden="1"/>
    </xf>
    <xf numFmtId="6" fontId="12" fillId="18" borderId="59" xfId="0" applyNumberFormat="1" applyFont="1" applyFill="1" applyBorder="1" applyAlignment="1" applyProtection="1">
      <alignment horizontal="center"/>
      <protection hidden="1"/>
    </xf>
    <xf numFmtId="0" fontId="28" fillId="26" borderId="3" xfId="0" applyFont="1" applyFill="1" applyBorder="1" applyAlignment="1" applyProtection="1">
      <alignment horizontal="left"/>
      <protection hidden="1"/>
    </xf>
    <xf numFmtId="0" fontId="30" fillId="26" borderId="3" xfId="0" applyFont="1" applyFill="1" applyBorder="1" applyAlignment="1" applyProtection="1">
      <alignment horizontal="left"/>
      <protection hidden="1"/>
    </xf>
    <xf numFmtId="0" fontId="41" fillId="19" borderId="3" xfId="0" applyFont="1" applyFill="1" applyBorder="1" applyAlignment="1" applyProtection="1">
      <alignment horizontal="left"/>
      <protection hidden="1"/>
    </xf>
    <xf numFmtId="6" fontId="22" fillId="19" borderId="3" xfId="0" applyNumberFormat="1" applyFont="1" applyFill="1" applyBorder="1" applyAlignment="1" applyProtection="1">
      <alignment horizontal="center"/>
      <protection hidden="1"/>
    </xf>
    <xf numFmtId="0" fontId="13" fillId="23" borderId="6" xfId="0" applyFont="1" applyFill="1" applyBorder="1" applyAlignment="1" applyProtection="1">
      <alignment horizontal="center" vertical="center"/>
      <protection hidden="1"/>
    </xf>
    <xf numFmtId="0" fontId="20" fillId="25" borderId="6" xfId="0" applyFont="1" applyFill="1" applyBorder="1" applyAlignment="1" applyProtection="1">
      <alignment horizontal="center" vertical="center"/>
      <protection hidden="1"/>
    </xf>
    <xf numFmtId="12" fontId="20" fillId="25" borderId="6" xfId="0" applyNumberFormat="1" applyFont="1" applyFill="1" applyBorder="1" applyAlignment="1" applyProtection="1">
      <alignment horizontal="right" vertical="center"/>
      <protection hidden="1"/>
    </xf>
    <xf numFmtId="0" fontId="28" fillId="26" borderId="3" xfId="0" applyFont="1" applyFill="1" applyBorder="1" applyAlignment="1" applyProtection="1">
      <alignment horizontal="left" indent="1"/>
      <protection hidden="1"/>
    </xf>
    <xf numFmtId="6" fontId="12" fillId="26" borderId="3" xfId="0" applyNumberFormat="1" applyFont="1" applyFill="1" applyBorder="1" applyProtection="1">
      <protection hidden="1"/>
    </xf>
    <xf numFmtId="0" fontId="12" fillId="19" borderId="3" xfId="0" applyFont="1" applyFill="1" applyBorder="1" applyProtection="1">
      <protection hidden="1"/>
    </xf>
    <xf numFmtId="6" fontId="12" fillId="19" borderId="3" xfId="0" applyNumberFormat="1" applyFont="1" applyFill="1" applyBorder="1" applyAlignment="1" applyProtection="1">
      <alignment horizontal="center"/>
      <protection hidden="1"/>
    </xf>
    <xf numFmtId="0" fontId="12" fillId="16" borderId="29" xfId="0" applyFont="1" applyFill="1" applyBorder="1" applyAlignment="1" applyProtection="1">
      <alignment horizontal="center"/>
      <protection hidden="1"/>
    </xf>
    <xf numFmtId="8" fontId="12" fillId="16" borderId="29" xfId="0" applyNumberFormat="1" applyFont="1" applyFill="1" applyBorder="1" applyAlignment="1" applyProtection="1">
      <alignment horizontal="center"/>
      <protection hidden="1"/>
    </xf>
    <xf numFmtId="0" fontId="12" fillId="7" borderId="29" xfId="0" applyFont="1" applyFill="1" applyBorder="1" applyAlignment="1" applyProtection="1">
      <alignment horizontal="center"/>
    </xf>
    <xf numFmtId="9" fontId="12" fillId="32" borderId="3" xfId="0" applyNumberFormat="1" applyFont="1" applyFill="1" applyBorder="1" applyAlignment="1" applyProtection="1">
      <alignment horizontal="center"/>
      <protection hidden="1"/>
    </xf>
    <xf numFmtId="0" fontId="12" fillId="32" borderId="3" xfId="0" applyFont="1" applyFill="1" applyBorder="1" applyAlignment="1" applyProtection="1">
      <alignment horizontal="center"/>
      <protection hidden="1"/>
    </xf>
    <xf numFmtId="0" fontId="12" fillId="26" borderId="3" xfId="0" applyFont="1" applyFill="1" applyBorder="1" applyAlignment="1" applyProtection="1">
      <alignment horizontal="left"/>
      <protection hidden="1"/>
    </xf>
    <xf numFmtId="0" fontId="0" fillId="26" borderId="0" xfId="0" applyFill="1" applyProtection="1">
      <protection hidden="1"/>
    </xf>
    <xf numFmtId="0" fontId="0" fillId="26" borderId="0" xfId="0" applyFill="1" applyAlignment="1" applyProtection="1">
      <alignment horizontal="center"/>
      <protection hidden="1"/>
    </xf>
    <xf numFmtId="0" fontId="11" fillId="24" borderId="3" xfId="0" applyFont="1" applyFill="1" applyBorder="1" applyAlignment="1">
      <alignment horizontal="center"/>
    </xf>
    <xf numFmtId="170" fontId="11" fillId="24" borderId="29"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locked="0"/>
    </xf>
    <xf numFmtId="6" fontId="12" fillId="15" borderId="0" xfId="0" applyNumberFormat="1" applyFont="1" applyFill="1" applyAlignment="1" applyProtection="1">
      <alignment horizontal="center"/>
      <protection locked="0"/>
    </xf>
    <xf numFmtId="0" fontId="12" fillId="0" borderId="3" xfId="0" applyFont="1" applyFill="1" applyBorder="1" applyAlignment="1" applyProtection="1">
      <alignment horizontal="center"/>
      <protection locked="0"/>
    </xf>
    <xf numFmtId="0" fontId="12" fillId="26" borderId="0" xfId="0" applyNumberFormat="1" applyFont="1" applyFill="1" applyAlignment="1" applyProtection="1">
      <alignment horizontal="center" vertical="center"/>
      <protection hidden="1"/>
    </xf>
    <xf numFmtId="6" fontId="30" fillId="8" borderId="3" xfId="0" applyNumberFormat="1" applyFont="1" applyFill="1" applyBorder="1" applyAlignment="1" applyProtection="1">
      <alignment horizontal="center"/>
      <protection locked="0"/>
    </xf>
    <xf numFmtId="6" fontId="30" fillId="8" borderId="3" xfId="0" applyNumberFormat="1" applyFont="1" applyFill="1" applyBorder="1" applyProtection="1">
      <protection locked="0"/>
    </xf>
    <xf numFmtId="6" fontId="30" fillId="8" borderId="4" xfId="0" applyNumberFormat="1" applyFont="1" applyFill="1" applyBorder="1" applyProtection="1">
      <protection locked="0"/>
    </xf>
    <xf numFmtId="0" fontId="28" fillId="28" borderId="8" xfId="0" applyFont="1" applyFill="1" applyBorder="1"/>
    <xf numFmtId="0" fontId="28" fillId="28" borderId="12" xfId="0" applyFont="1" applyFill="1" applyBorder="1"/>
    <xf numFmtId="6" fontId="30" fillId="28" borderId="3" xfId="0" applyNumberFormat="1" applyFont="1" applyFill="1" applyBorder="1" applyAlignment="1" applyProtection="1">
      <alignment horizontal="center"/>
      <protection hidden="1"/>
    </xf>
    <xf numFmtId="6" fontId="30" fillId="28" borderId="15" xfId="0" applyNumberFormat="1" applyFont="1" applyFill="1" applyBorder="1" applyAlignment="1" applyProtection="1">
      <alignment horizontal="center"/>
      <protection hidden="1"/>
    </xf>
    <xf numFmtId="43" fontId="33" fillId="28" borderId="3" xfId="4" applyNumberFormat="1" applyFont="1" applyFill="1" applyBorder="1" applyAlignment="1" applyProtection="1">
      <alignment horizontal="right" vertical="center"/>
      <protection hidden="1"/>
    </xf>
    <xf numFmtId="43" fontId="33" fillId="28" borderId="15" xfId="4" applyNumberFormat="1" applyFont="1" applyFill="1" applyBorder="1" applyAlignment="1" applyProtection="1">
      <alignment horizontal="right" vertical="center"/>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23" xfId="0" applyFont="1" applyFill="1" applyBorder="1" applyAlignment="1" applyProtection="1">
      <alignment horizontal="center"/>
      <protection hidden="1"/>
    </xf>
    <xf numFmtId="0" fontId="16" fillId="9" borderId="48"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53" fillId="9" borderId="23"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vertical="center" wrapText="1"/>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13" fillId="5" borderId="0" xfId="0" applyFont="1" applyFill="1" applyAlignment="1" applyProtection="1">
      <alignment horizontal="center"/>
    </xf>
    <xf numFmtId="0" fontId="13" fillId="5" borderId="3"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4" xfId="0" applyFont="1" applyFill="1" applyBorder="1" applyAlignment="1" applyProtection="1">
      <alignment horizontal="center"/>
    </xf>
    <xf numFmtId="0" fontId="13" fillId="5" borderId="3" xfId="0" applyFont="1" applyFill="1" applyBorder="1" applyAlignment="1" applyProtection="1">
      <alignment horizontal="center"/>
      <protection hidden="1"/>
    </xf>
    <xf numFmtId="0" fontId="20" fillId="5" borderId="3" xfId="0" applyFont="1" applyFill="1" applyBorder="1" applyAlignment="1" applyProtection="1">
      <alignment horizont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25" fillId="0" borderId="3" xfId="0" applyFont="1" applyBorder="1" applyAlignment="1" applyProtection="1">
      <alignment horizontal="center"/>
      <protection hidden="1"/>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12" fillId="26" borderId="3" xfId="0" applyFont="1" applyFill="1" applyBorder="1" applyAlignment="1" applyProtection="1">
      <alignment horizontal="center" vertical="center"/>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12" fillId="26" borderId="3" xfId="0" applyFont="1" applyFill="1" applyBorder="1" applyAlignment="1" applyProtection="1">
      <alignment horizontal="center"/>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wrapText="1"/>
    </xf>
    <xf numFmtId="0" fontId="28" fillId="0" borderId="38" xfId="0" applyFont="1" applyBorder="1" applyAlignment="1">
      <alignment horizont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30" fillId="0" borderId="10" xfId="0" applyFont="1" applyBorder="1" applyAlignment="1">
      <alignment horizontal="left" indent="1"/>
    </xf>
    <xf numFmtId="0" fontId="30" fillId="0" borderId="3" xfId="0" applyFont="1" applyBorder="1" applyAlignment="1">
      <alignment horizontal="left" inden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69" fontId="44" fillId="28" borderId="14" xfId="0" applyNumberFormat="1" applyFont="1" applyFill="1" applyBorder="1" applyAlignment="1" applyProtection="1">
      <alignment horizontal="center"/>
      <protection hidden="1"/>
    </xf>
    <xf numFmtId="169" fontId="44" fillId="28" borderId="15" xfId="0" applyNumberFormat="1" applyFont="1" applyFill="1" applyBorder="1" applyAlignment="1" applyProtection="1">
      <alignment horizontal="center"/>
      <protection hidden="1"/>
    </xf>
    <xf numFmtId="0" fontId="30" fillId="0" borderId="8" xfId="0" applyFont="1" applyBorder="1" applyAlignment="1">
      <alignment horizontal="center"/>
    </xf>
    <xf numFmtId="0" fontId="30" fillId="0" borderId="14" xfId="0" applyFont="1" applyBorder="1" applyAlignment="1">
      <alignment horizontal="center"/>
    </xf>
    <xf numFmtId="0" fontId="63" fillId="0" borderId="16" xfId="0" applyFont="1" applyBorder="1" applyAlignment="1" applyProtection="1">
      <alignment horizontal="center" vertical="center"/>
    </xf>
    <xf numFmtId="0" fontId="63" fillId="0" borderId="17" xfId="0" applyFont="1" applyBorder="1" applyAlignment="1" applyProtection="1">
      <alignment horizontal="center" vertical="center"/>
    </xf>
    <xf numFmtId="0" fontId="63" fillId="0" borderId="18" xfId="0" applyFont="1" applyBorder="1" applyAlignment="1" applyProtection="1">
      <alignment horizontal="center" vertical="center"/>
    </xf>
    <xf numFmtId="0" fontId="12" fillId="17" borderId="6" xfId="0" applyFont="1" applyFill="1" applyBorder="1" applyAlignment="1" applyProtection="1">
      <alignment horizontal="center"/>
      <protection hidden="1"/>
    </xf>
    <xf numFmtId="0" fontId="11" fillId="17" borderId="3" xfId="0" applyFont="1" applyFill="1" applyBorder="1" applyAlignment="1" applyProtection="1">
      <alignment horizontal="center" vertical="center"/>
      <protection hidden="1"/>
    </xf>
    <xf numFmtId="0" fontId="12" fillId="33" borderId="16" xfId="0" applyFont="1" applyFill="1" applyBorder="1" applyAlignment="1" applyProtection="1">
      <alignment horizontal="center"/>
    </xf>
    <xf numFmtId="0" fontId="12" fillId="33" borderId="17" xfId="0" applyFont="1" applyFill="1" applyBorder="1" applyAlignment="1" applyProtection="1">
      <alignment horizontal="center"/>
    </xf>
    <xf numFmtId="0" fontId="12" fillId="33" borderId="18" xfId="0" applyFont="1" applyFill="1" applyBorder="1" applyAlignment="1" applyProtection="1">
      <alignment horizontal="center"/>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8"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8"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120040300</c:v>
                </c:pt>
                <c:pt idx="1">
                  <c:v>375094485.95199996</c:v>
                </c:pt>
                <c:pt idx="2">
                  <c:v>677817622.78686714</c:v>
                </c:pt>
                <c:pt idx="3">
                  <c:v>882947950.12196374</c:v>
                </c:pt>
                <c:pt idx="4">
                  <c:v>1456949327.6838145</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-61597860.293433577</c:v>
                </c:pt>
                <c:pt idx="1">
                  <c:v>210036768.60740942</c:v>
                </c:pt>
                <c:pt idx="2">
                  <c:v>526508794.59461677</c:v>
                </c:pt>
                <c:pt idx="3">
                  <c:v>747754751.78651905</c:v>
                </c:pt>
                <c:pt idx="4">
                  <c:v>1337236129.8458779</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181638160.29343358</c:v>
                </c:pt>
                <c:pt idx="1">
                  <c:v>165057717.34459054</c:v>
                </c:pt>
                <c:pt idx="2">
                  <c:v>151308828.19225034</c:v>
                </c:pt>
                <c:pt idx="3">
                  <c:v>135193198.33544475</c:v>
                </c:pt>
                <c:pt idx="4">
                  <c:v>119713197.8379367</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PUNTO_DE_EQUILIBRIO!$J$51</c:f>
              <c:strCache>
                <c:ptCount val="1"/>
                <c:pt idx="0">
                  <c:v>Ingresos totales </c:v>
                </c:pt>
              </c:strCache>
            </c:strRef>
          </c:tx>
          <c:spPr>
            <a:ln w="28575" cap="rnd">
              <a:solidFill>
                <a:schemeClr val="accent4"/>
              </a:solidFill>
              <a:round/>
            </a:ln>
            <a:effectLst/>
          </c:spPr>
          <c:marker>
            <c:symbol val="none"/>
          </c:marker>
          <c:cat>
            <c:numRef>
              <c:f>PUNTO_DE_EQUILIBRIO!$K$47:$M$47</c:f>
              <c:numCache>
                <c:formatCode>#,##0</c:formatCode>
                <c:ptCount val="3"/>
                <c:pt idx="0">
                  <c:v>0</c:v>
                </c:pt>
                <c:pt idx="1">
                  <c:v>17069.56756033963</c:v>
                </c:pt>
                <c:pt idx="2">
                  <c:v>34139.135120679261</c:v>
                </c:pt>
              </c:numCache>
            </c:numRef>
          </c:cat>
          <c:val>
            <c:numRef>
              <c:f>PUNTO_DE_EQUILIBRIO!$K$51:$M$51</c:f>
              <c:numCache>
                <c:formatCode>"$"#,##0_);[Red]\("$"#,##0\)</c:formatCode>
                <c:ptCount val="3"/>
                <c:pt idx="0">
                  <c:v>0</c:v>
                </c:pt>
                <c:pt idx="1">
                  <c:v>1576902907.9551845</c:v>
                </c:pt>
                <c:pt idx="2">
                  <c:v>2121243057.6763699</c:v>
                </c:pt>
              </c:numCache>
            </c:numRef>
          </c:val>
          <c:smooth val="0"/>
          <c:extLst>
            <c:ext xmlns:c16="http://schemas.microsoft.com/office/drawing/2014/chart" uri="{C3380CC4-5D6E-409C-BE32-E72D297353CC}">
              <c16:uniqueId val="{00000004-4F24-4A81-93F7-ADAF29F06A96}"/>
            </c:ext>
          </c:extLst>
        </c:ser>
        <c:ser>
          <c:idx val="0"/>
          <c:order val="1"/>
          <c:tx>
            <c:strRef>
              <c:f>PUNTO_DE_EQUILIBRIO!$J$54</c:f>
              <c:strCache>
                <c:ptCount val="1"/>
                <c:pt idx="0">
                  <c:v>Costo total </c:v>
                </c:pt>
              </c:strCache>
            </c:strRef>
          </c:tx>
          <c:spPr>
            <a:ln w="28575" cap="rnd">
              <a:solidFill>
                <a:schemeClr val="accent1"/>
              </a:solidFill>
              <a:round/>
            </a:ln>
            <a:effectLst/>
          </c:spPr>
          <c:marker>
            <c:symbol val="none"/>
          </c:marker>
          <c:cat>
            <c:numRef>
              <c:f>PUNTO_DE_EQUILIBRIO!$K$47:$M$47</c:f>
              <c:numCache>
                <c:formatCode>#,##0</c:formatCode>
                <c:ptCount val="3"/>
                <c:pt idx="0">
                  <c:v>0</c:v>
                </c:pt>
                <c:pt idx="1">
                  <c:v>17069.56756033963</c:v>
                </c:pt>
                <c:pt idx="2">
                  <c:v>34139.135120679261</c:v>
                </c:pt>
              </c:numCache>
            </c:numRef>
          </c:cat>
          <c:val>
            <c:numRef>
              <c:f>PUNTO_DE_EQUILIBRIO!$K$54:$M$54</c:f>
              <c:numCache>
                <c:formatCode>"$"#,##0_);[Red]\("$"#,##0\)</c:formatCode>
                <c:ptCount val="3"/>
                <c:pt idx="0">
                  <c:v>181638160.29343358</c:v>
                </c:pt>
                <c:pt idx="1">
                  <c:v>1609416369.9748793</c:v>
                </c:pt>
                <c:pt idx="2">
                  <c:v>2102279310.6834211</c:v>
                </c:pt>
              </c:numCache>
            </c:numRef>
          </c:val>
          <c:smooth val="0"/>
          <c:extLst>
            <c:ext xmlns:c16="http://schemas.microsoft.com/office/drawing/2014/chart" uri="{C3380CC4-5D6E-409C-BE32-E72D297353CC}">
              <c16:uniqueId val="{00000005-4F24-4A81-93F7-ADAF29F06A96}"/>
            </c:ext>
          </c:extLst>
        </c:ser>
        <c:ser>
          <c:idx val="1"/>
          <c:order val="2"/>
          <c:tx>
            <c:strRef>
              <c:f>PUNTO_DE_EQUILIBRIO!$J$52</c:f>
              <c:strCache>
                <c:ptCount val="1"/>
                <c:pt idx="0">
                  <c:v>Costos fijos totales</c:v>
                </c:pt>
              </c:strCache>
            </c:strRef>
          </c:tx>
          <c:spPr>
            <a:ln w="28575" cap="rnd">
              <a:solidFill>
                <a:schemeClr val="accent2"/>
              </a:solidFill>
              <a:round/>
            </a:ln>
            <a:effectLst/>
          </c:spPr>
          <c:marker>
            <c:symbol val="none"/>
          </c:marker>
          <c:cat>
            <c:numRef>
              <c:f>PUNTO_DE_EQUILIBRIO!$K$47:$M$47</c:f>
              <c:numCache>
                <c:formatCode>#,##0</c:formatCode>
                <c:ptCount val="3"/>
                <c:pt idx="0">
                  <c:v>0</c:v>
                </c:pt>
                <c:pt idx="1">
                  <c:v>17069.56756033963</c:v>
                </c:pt>
                <c:pt idx="2">
                  <c:v>34139.135120679261</c:v>
                </c:pt>
              </c:numCache>
            </c:numRef>
          </c:cat>
          <c:val>
            <c:numRef>
              <c:f>PUNTO_DE_EQUILIBRIO!$K$52:$M$52</c:f>
              <c:numCache>
                <c:formatCode>"$"#,##0_);[Red]\("$"#,##0\)</c:formatCode>
                <c:ptCount val="3"/>
                <c:pt idx="0">
                  <c:v>181638160.29343358</c:v>
                </c:pt>
                <c:pt idx="1">
                  <c:v>181638160.29343358</c:v>
                </c:pt>
                <c:pt idx="2">
                  <c:v>181638160.29343358</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#,##0.00_);_(* \(#,##0.00\);_(* "-"??_);_(@_)</c:formatCode>
                <c:ptCount val="5"/>
                <c:pt idx="0">
                  <c:v>1.9596641332542915</c:v>
                </c:pt>
                <c:pt idx="1">
                  <c:v>1.4001716929301602</c:v>
                </c:pt>
                <c:pt idx="2">
                  <c:v>3.0375837835173916</c:v>
                </c:pt>
                <c:pt idx="3">
                  <c:v>2.6979513918657694</c:v>
                </c:pt>
                <c:pt idx="4">
                  <c:v>3057.3254735274309</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_(* #,##0.00_);_(* \(#,##0.00\);_(* "-"??_);_(@_)</c:formatCode>
                <c:ptCount val="5"/>
                <c:pt idx="0">
                  <c:v>0.7453574849875505</c:v>
                </c:pt>
                <c:pt idx="1">
                  <c:v>3.1169746013195101</c:v>
                </c:pt>
                <c:pt idx="2">
                  <c:v>1.3078142367624077</c:v>
                </c:pt>
                <c:pt idx="3">
                  <c:v>0.45008202775890815</c:v>
                </c:pt>
                <c:pt idx="4">
                  <c:v>0.405415700883477</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_(* #,##0.00_);_(* \(#,##0.00\);_(* "-"??_);_(@_)</c:formatCode>
                <c:ptCount val="5"/>
                <c:pt idx="0">
                  <c:v>-9.7840339074448446E-2</c:v>
                </c:pt>
                <c:pt idx="1">
                  <c:v>0.24210492145087129</c:v>
                </c:pt>
                <c:pt idx="2">
                  <c:v>0.37138566991187599</c:v>
                </c:pt>
                <c:pt idx="3">
                  <c:v>0.42123850253020578</c:v>
                </c:pt>
                <c:pt idx="4">
                  <c:v>0.50341187196318948</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_(* #,##0.00_);_(* \(#,##0.00\);_(* "-"??_);_(@_)</c:formatCode>
                <c:ptCount val="5"/>
                <c:pt idx="0">
                  <c:v>-0.41450655031042799</c:v>
                </c:pt>
                <c:pt idx="1">
                  <c:v>4.7217176377145641E-2</c:v>
                </c:pt>
                <c:pt idx="2">
                  <c:v>0.1592602594306749</c:v>
                </c:pt>
                <c:pt idx="3">
                  <c:v>0.20304323129191637</c:v>
                </c:pt>
                <c:pt idx="4">
                  <c:v>0.26309634459956194</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_(* #,##0.00_);_(* \(#,##0.00\);_(* "-"??_);_(@_)</c:formatCode>
                <c:ptCount val="5"/>
                <c:pt idx="0">
                  <c:v>6.0000000000000001E-3</c:v>
                </c:pt>
                <c:pt idx="1">
                  <c:v>-7.18422538623038E-3</c:v>
                </c:pt>
                <c:pt idx="2">
                  <c:v>-2.4829379969658404E-2</c:v>
                </c:pt>
                <c:pt idx="3">
                  <c:v>6.0817558908571791E-3</c:v>
                </c:pt>
                <c:pt idx="4">
                  <c:v>4.4430060453338185E-3</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_(* #,##0.00_);_(* \(#,##0.00\);_(* "-"??_);_(@_)</c:formatCode>
                <c:ptCount val="5"/>
                <c:pt idx="0">
                  <c:v>1.5278550900746969E-3</c:v>
                </c:pt>
                <c:pt idx="1">
                  <c:v>1.5208822672804561E-2</c:v>
                </c:pt>
                <c:pt idx="2">
                  <c:v>7.6428366446442183E-3</c:v>
                </c:pt>
                <c:pt idx="3">
                  <c:v>3.3444668671654952E-3</c:v>
                </c:pt>
                <c:pt idx="4">
                  <c:v>2.6417416354352829E-3</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8</xdr:row>
          <xdr:rowOff>9525</xdr:rowOff>
        </xdr:from>
        <xdr:to>
          <xdr:col>17</xdr:col>
          <xdr:colOff>171450</xdr:colOff>
          <xdr:row>60</xdr:row>
          <xdr:rowOff>9525</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17</xdr:row>
      <xdr:rowOff>47626</xdr:rowOff>
    </xdr:from>
    <xdr:to>
      <xdr:col>7</xdr:col>
      <xdr:colOff>762000</xdr:colOff>
      <xdr:row>22</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36</xdr:row>
          <xdr:rowOff>180975</xdr:rowOff>
        </xdr:from>
        <xdr:to>
          <xdr:col>1</xdr:col>
          <xdr:colOff>2066925</xdr:colOff>
          <xdr:row>38</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114300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36</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5</xdr:row>
      <xdr:rowOff>133351</xdr:rowOff>
    </xdr:from>
    <xdr:to>
      <xdr:col>3</xdr:col>
      <xdr:colOff>3371851</xdr:colOff>
      <xdr:row>8</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36</xdr:row>
      <xdr:rowOff>0</xdr:rowOff>
    </xdr:from>
    <xdr:to>
      <xdr:col>2</xdr:col>
      <xdr:colOff>1657350</xdr:colOff>
      <xdr:row>36</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49</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67</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963275"/>
          <a:ext cx="2324100" cy="19812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1</xdr:row>
      <xdr:rowOff>9526</xdr:rowOff>
    </xdr:from>
    <xdr:to>
      <xdr:col>6</xdr:col>
      <xdr:colOff>1943099</xdr:colOff>
      <xdr:row>3</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69</xdr:row>
      <xdr:rowOff>19050</xdr:rowOff>
    </xdr:from>
    <xdr:to>
      <xdr:col>3</xdr:col>
      <xdr:colOff>3267075</xdr:colOff>
      <xdr:row>71</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75</xdr:row>
      <xdr:rowOff>190500</xdr:rowOff>
    </xdr:from>
    <xdr:to>
      <xdr:col>5</xdr:col>
      <xdr:colOff>1181100</xdr:colOff>
      <xdr:row>81</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85</xdr:row>
      <xdr:rowOff>171450</xdr:rowOff>
    </xdr:from>
    <xdr:to>
      <xdr:col>3</xdr:col>
      <xdr:colOff>3438525</xdr:colOff>
      <xdr:row>88</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88</xdr:row>
      <xdr:rowOff>180975</xdr:rowOff>
    </xdr:from>
    <xdr:to>
      <xdr:col>2</xdr:col>
      <xdr:colOff>1743075</xdr:colOff>
      <xdr:row>89</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28575</xdr:colOff>
      <xdr:row>92</xdr:row>
      <xdr:rowOff>85724</xdr:rowOff>
    </xdr:from>
    <xdr:to>
      <xdr:col>1</xdr:col>
      <xdr:colOff>2352675</xdr:colOff>
      <xdr:row>102</xdr:row>
      <xdr:rowOff>95249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790575" y="183260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90</xdr:row>
          <xdr:rowOff>0</xdr:rowOff>
        </xdr:from>
        <xdr:to>
          <xdr:col>1</xdr:col>
          <xdr:colOff>2095500</xdr:colOff>
          <xdr:row>91</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106</xdr:row>
      <xdr:rowOff>9525</xdr:rowOff>
    </xdr:from>
    <xdr:to>
      <xdr:col>3</xdr:col>
      <xdr:colOff>3438525</xdr:colOff>
      <xdr:row>108</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109</xdr:row>
      <xdr:rowOff>9525</xdr:rowOff>
    </xdr:from>
    <xdr:to>
      <xdr:col>2</xdr:col>
      <xdr:colOff>1762125</xdr:colOff>
      <xdr:row>110</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111</xdr:row>
      <xdr:rowOff>76200</xdr:rowOff>
    </xdr:from>
    <xdr:to>
      <xdr:col>1</xdr:col>
      <xdr:colOff>2447925</xdr:colOff>
      <xdr:row>121</xdr:row>
      <xdr:rowOff>133350</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2402800"/>
          <a:ext cx="2324100" cy="20097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110</xdr:row>
          <xdr:rowOff>28575</xdr:rowOff>
        </xdr:from>
        <xdr:to>
          <xdr:col>1</xdr:col>
          <xdr:colOff>2085975</xdr:colOff>
          <xdr:row>110</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128</xdr:row>
      <xdr:rowOff>0</xdr:rowOff>
    </xdr:from>
    <xdr:to>
      <xdr:col>3</xdr:col>
      <xdr:colOff>3200400</xdr:colOff>
      <xdr:row>130</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135</xdr:row>
      <xdr:rowOff>47625</xdr:rowOff>
    </xdr:from>
    <xdr:to>
      <xdr:col>5</xdr:col>
      <xdr:colOff>1085850</xdr:colOff>
      <xdr:row>140</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145</xdr:row>
      <xdr:rowOff>9525</xdr:rowOff>
    </xdr:from>
    <xdr:to>
      <xdr:col>3</xdr:col>
      <xdr:colOff>3438525</xdr:colOff>
      <xdr:row>148</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148</xdr:row>
      <xdr:rowOff>19050</xdr:rowOff>
    </xdr:from>
    <xdr:to>
      <xdr:col>2</xdr:col>
      <xdr:colOff>1752600</xdr:colOff>
      <xdr:row>149</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142875</xdr:colOff>
      <xdr:row>151</xdr:row>
      <xdr:rowOff>133350</xdr:rowOff>
    </xdr:from>
    <xdr:to>
      <xdr:col>1</xdr:col>
      <xdr:colOff>2466975</xdr:colOff>
      <xdr:row>162</xdr:row>
      <xdr:rowOff>38100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904875" y="300799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148</xdr:row>
          <xdr:rowOff>171450</xdr:rowOff>
        </xdr:from>
        <xdr:to>
          <xdr:col>1</xdr:col>
          <xdr:colOff>2114550</xdr:colOff>
          <xdr:row>150</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167</xdr:row>
      <xdr:rowOff>0</xdr:rowOff>
    </xdr:from>
    <xdr:to>
      <xdr:col>3</xdr:col>
      <xdr:colOff>3438525</xdr:colOff>
      <xdr:row>169</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170</xdr:row>
      <xdr:rowOff>0</xdr:rowOff>
    </xdr:from>
    <xdr:to>
      <xdr:col>2</xdr:col>
      <xdr:colOff>1714500</xdr:colOff>
      <xdr:row>171</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172</xdr:row>
      <xdr:rowOff>76201</xdr:rowOff>
    </xdr:from>
    <xdr:to>
      <xdr:col>1</xdr:col>
      <xdr:colOff>2428875</xdr:colOff>
      <xdr:row>182</xdr:row>
      <xdr:rowOff>161926</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4480501"/>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171</xdr:row>
          <xdr:rowOff>66675</xdr:rowOff>
        </xdr:from>
        <xdr:to>
          <xdr:col>1</xdr:col>
          <xdr:colOff>1981200</xdr:colOff>
          <xdr:row>171</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194</xdr:row>
      <xdr:rowOff>0</xdr:rowOff>
    </xdr:from>
    <xdr:to>
      <xdr:col>3</xdr:col>
      <xdr:colOff>3448050</xdr:colOff>
      <xdr:row>197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197</xdr:row>
      <xdr:rowOff>9525</xdr:rowOff>
    </xdr:from>
    <xdr:to>
      <xdr:col>2</xdr:col>
      <xdr:colOff>1647825</xdr:colOff>
      <xdr:row>200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66675</xdr:colOff>
      <xdr:row>202</xdr:row>
      <xdr:rowOff>85725</xdr:rowOff>
    </xdr:from>
    <xdr:to>
      <xdr:col>1</xdr:col>
      <xdr:colOff>2390775</xdr:colOff>
      <xdr:row>213</xdr:row>
      <xdr:rowOff>9525</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28675" y="40166925"/>
          <a:ext cx="2324100" cy="2057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199</xdr:row>
          <xdr:rowOff>114300</xdr:rowOff>
        </xdr:from>
        <xdr:to>
          <xdr:col>1</xdr:col>
          <xdr:colOff>2000250</xdr:colOff>
          <xdr:row>201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xdr:row>
          <xdr:rowOff>19050</xdr:rowOff>
        </xdr:from>
        <xdr:to>
          <xdr:col>7</xdr:col>
          <xdr:colOff>1866900</xdr:colOff>
          <xdr:row>4</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18</xdr:row>
      <xdr:rowOff>76200</xdr:rowOff>
    </xdr:from>
    <xdr:to>
      <xdr:col>5</xdr:col>
      <xdr:colOff>2307167</xdr:colOff>
      <xdr:row>20</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34</xdr:row>
      <xdr:rowOff>190499</xdr:rowOff>
    </xdr:from>
    <xdr:to>
      <xdr:col>7</xdr:col>
      <xdr:colOff>2714624</xdr:colOff>
      <xdr:row>39</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20</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20</xdr:row>
      <xdr:rowOff>152400</xdr:rowOff>
    </xdr:from>
    <xdr:to>
      <xdr:col>3</xdr:col>
      <xdr:colOff>514350</xdr:colOff>
      <xdr:row>23</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23</xdr:row>
          <xdr:rowOff>123825</xdr:rowOff>
        </xdr:from>
        <xdr:to>
          <xdr:col>2</xdr:col>
          <xdr:colOff>400050</xdr:colOff>
          <xdr:row>25</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22</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25</xdr:row>
      <xdr:rowOff>198966</xdr:rowOff>
    </xdr:from>
    <xdr:to>
      <xdr:col>2</xdr:col>
      <xdr:colOff>595842</xdr:colOff>
      <xdr:row>41</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14</xdr:row>
      <xdr:rowOff>14287</xdr:rowOff>
    </xdr:from>
    <xdr:to>
      <xdr:col>11</xdr:col>
      <xdr:colOff>752475</xdr:colOff>
      <xdr:row>43</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20</xdr:row>
          <xdr:rowOff>85725</xdr:rowOff>
        </xdr:from>
        <xdr:to>
          <xdr:col>2</xdr:col>
          <xdr:colOff>676275</xdr:colOff>
          <xdr:row>22</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19</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22</xdr:row>
      <xdr:rowOff>114299</xdr:rowOff>
    </xdr:from>
    <xdr:to>
      <xdr:col>3</xdr:col>
      <xdr:colOff>600075</xdr:colOff>
      <xdr:row>34</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16</xdr:row>
      <xdr:rowOff>47626</xdr:rowOff>
    </xdr:from>
    <xdr:to>
      <xdr:col>7</xdr:col>
      <xdr:colOff>209550</xdr:colOff>
      <xdr:row>18</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18</xdr:row>
      <xdr:rowOff>142875</xdr:rowOff>
    </xdr:from>
    <xdr:to>
      <xdr:col>4</xdr:col>
      <xdr:colOff>542925</xdr:colOff>
      <xdr:row>20</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44</xdr:row>
          <xdr:rowOff>28575</xdr:rowOff>
        </xdr:from>
        <xdr:to>
          <xdr:col>2</xdr:col>
          <xdr:colOff>685800</xdr:colOff>
          <xdr:row>45</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46</xdr:row>
      <xdr:rowOff>57149</xdr:rowOff>
    </xdr:from>
    <xdr:to>
      <xdr:col>3</xdr:col>
      <xdr:colOff>609600</xdr:colOff>
      <xdr:row>57</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40</xdr:row>
      <xdr:rowOff>47626</xdr:rowOff>
    </xdr:from>
    <xdr:to>
      <xdr:col>7</xdr:col>
      <xdr:colOff>219075</xdr:colOff>
      <xdr:row>42</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42</xdr:row>
      <xdr:rowOff>161925</xdr:rowOff>
    </xdr:from>
    <xdr:to>
      <xdr:col>4</xdr:col>
      <xdr:colOff>523875</xdr:colOff>
      <xdr:row>44</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250440</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419098</xdr:colOff>
      <xdr:row>3</xdr:row>
      <xdr:rowOff>38100</xdr:rowOff>
    </xdr:from>
    <xdr:to>
      <xdr:col>11</xdr:col>
      <xdr:colOff>1142999</xdr:colOff>
      <xdr:row>6</xdr:row>
      <xdr:rowOff>352425</xdr:rowOff>
    </xdr:to>
    <xdr:sp macro="" textlink="">
      <xdr:nvSpPr>
        <xdr:cNvPr id="2" name="CuadroTexto 1">
          <a:extLst>
            <a:ext uri="{FF2B5EF4-FFF2-40B4-BE49-F238E27FC236}">
              <a16:creationId xmlns:a16="http://schemas.microsoft.com/office/drawing/2014/main" id="{00000000-0008-0000-0E00-000002000000}"/>
            </a:ext>
          </a:extLst>
        </xdr:cNvPr>
        <xdr:cNvSpPr txBox="1"/>
      </xdr:nvSpPr>
      <xdr:spPr>
        <a:xfrm>
          <a:off x="8829673" y="247650"/>
          <a:ext cx="4705351"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twoCellAnchor>
    <xdr:from>
      <xdr:col>23</xdr:col>
      <xdr:colOff>104775</xdr:colOff>
      <xdr:row>8</xdr:row>
      <xdr:rowOff>123826</xdr:rowOff>
    </xdr:from>
    <xdr:to>
      <xdr:col>28</xdr:col>
      <xdr:colOff>676275</xdr:colOff>
      <xdr:row>16</xdr:row>
      <xdr:rowOff>85726</xdr:rowOff>
    </xdr:to>
    <xdr:sp macro="" textlink="">
      <xdr:nvSpPr>
        <xdr:cNvPr id="3" name="CuadroTexto 2">
          <a:extLst>
            <a:ext uri="{FF2B5EF4-FFF2-40B4-BE49-F238E27FC236}">
              <a16:creationId xmlns:a16="http://schemas.microsoft.com/office/drawing/2014/main" id="{00000000-0008-0000-0E00-000003000000}"/>
            </a:ext>
          </a:extLst>
        </xdr:cNvPr>
        <xdr:cNvSpPr txBox="1"/>
      </xdr:nvSpPr>
      <xdr:spPr>
        <a:xfrm>
          <a:off x="23460075" y="1543051"/>
          <a:ext cx="4381500"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L7 hasta W15.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C2.</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23</xdr:col>
      <xdr:colOff>95250</xdr:colOff>
      <xdr:row>22</xdr:row>
      <xdr:rowOff>104776</xdr:rowOff>
    </xdr:from>
    <xdr:to>
      <xdr:col>28</xdr:col>
      <xdr:colOff>666750</xdr:colOff>
      <xdr:row>36</xdr:row>
      <xdr:rowOff>57151</xdr:rowOff>
    </xdr:to>
    <xdr:sp macro="" textlink="">
      <xdr:nvSpPr>
        <xdr:cNvPr id="4" name="CuadroTexto 3">
          <a:extLst>
            <a:ext uri="{FF2B5EF4-FFF2-40B4-BE49-F238E27FC236}">
              <a16:creationId xmlns:a16="http://schemas.microsoft.com/office/drawing/2014/main" id="{00000000-0008-0000-0E00-000004000000}"/>
            </a:ext>
          </a:extLst>
        </xdr:cNvPr>
        <xdr:cNvSpPr txBox="1"/>
      </xdr:nvSpPr>
      <xdr:spPr>
        <a:xfrm>
          <a:off x="24193500" y="4124326"/>
          <a:ext cx="4381500"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L21 hasta W35.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C2.</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23</xdr:col>
      <xdr:colOff>95250</xdr:colOff>
      <xdr:row>41</xdr:row>
      <xdr:rowOff>133351</xdr:rowOff>
    </xdr:from>
    <xdr:to>
      <xdr:col>28</xdr:col>
      <xdr:colOff>666750</xdr:colOff>
      <xdr:row>49</xdr:row>
      <xdr:rowOff>85726</xdr:rowOff>
    </xdr:to>
    <xdr:sp macro="" textlink="">
      <xdr:nvSpPr>
        <xdr:cNvPr id="5" name="CuadroTexto 4">
          <a:extLst>
            <a:ext uri="{FF2B5EF4-FFF2-40B4-BE49-F238E27FC236}">
              <a16:creationId xmlns:a16="http://schemas.microsoft.com/office/drawing/2014/main" id="{00000000-0008-0000-0E00-000005000000}"/>
            </a:ext>
          </a:extLst>
        </xdr:cNvPr>
        <xdr:cNvSpPr txBox="1"/>
      </xdr:nvSpPr>
      <xdr:spPr>
        <a:xfrm>
          <a:off x="24193500" y="6962776"/>
          <a:ext cx="4381500"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L40 hasta W48.</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C2.</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23</xdr:col>
      <xdr:colOff>85725</xdr:colOff>
      <xdr:row>54</xdr:row>
      <xdr:rowOff>133351</xdr:rowOff>
    </xdr:from>
    <xdr:to>
      <xdr:col>28</xdr:col>
      <xdr:colOff>657225</xdr:colOff>
      <xdr:row>62</xdr:row>
      <xdr:rowOff>95251</xdr:rowOff>
    </xdr:to>
    <xdr:sp macro="" textlink="">
      <xdr:nvSpPr>
        <xdr:cNvPr id="6" name="CuadroTexto 5">
          <a:extLst>
            <a:ext uri="{FF2B5EF4-FFF2-40B4-BE49-F238E27FC236}">
              <a16:creationId xmlns:a16="http://schemas.microsoft.com/office/drawing/2014/main" id="{00000000-0008-0000-0E00-000006000000}"/>
            </a:ext>
          </a:extLst>
        </xdr:cNvPr>
        <xdr:cNvSpPr txBox="1"/>
      </xdr:nvSpPr>
      <xdr:spPr>
        <a:xfrm>
          <a:off x="24183975" y="9572626"/>
          <a:ext cx="4381500"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L53 hasta W61.</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C2.</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23</xdr:col>
      <xdr:colOff>104775</xdr:colOff>
      <xdr:row>67</xdr:row>
      <xdr:rowOff>142876</xdr:rowOff>
    </xdr:from>
    <xdr:to>
      <xdr:col>28</xdr:col>
      <xdr:colOff>676275</xdr:colOff>
      <xdr:row>75</xdr:row>
      <xdr:rowOff>104776</xdr:rowOff>
    </xdr:to>
    <xdr:sp macro="" textlink="">
      <xdr:nvSpPr>
        <xdr:cNvPr id="7" name="CuadroTexto 6">
          <a:extLst>
            <a:ext uri="{FF2B5EF4-FFF2-40B4-BE49-F238E27FC236}">
              <a16:creationId xmlns:a16="http://schemas.microsoft.com/office/drawing/2014/main" id="{00000000-0008-0000-0E00-000007000000}"/>
            </a:ext>
          </a:extLst>
        </xdr:cNvPr>
        <xdr:cNvSpPr txBox="1"/>
      </xdr:nvSpPr>
      <xdr:spPr>
        <a:xfrm>
          <a:off x="24203025" y="12192001"/>
          <a:ext cx="4381500"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(valores númericos), es decir, desde la celda L66 hasta W74.</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C2.</a:t>
          </a:r>
          <a:endParaRPr lang="es-CO" sz="1100" i="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1</xdr:col>
          <xdr:colOff>1228725</xdr:colOff>
          <xdr:row>0</xdr:row>
          <xdr:rowOff>200025</xdr:rowOff>
        </xdr:from>
        <xdr:to>
          <xdr:col>1</xdr:col>
          <xdr:colOff>2638425</xdr:colOff>
          <xdr:row>2</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4" totalsRowShown="0" headerRowDxfId="958" dataDxfId="957">
  <autoFilter ref="B19:V24"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1:D31" totalsRowShown="0" headerRowDxfId="935" dataDxfId="934">
  <autoFilter ref="B11:D31"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8:D43" totalsRowShown="0" headerRowDxfId="930" dataDxfId="929">
  <autoFilter ref="C38:D43"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9" totalsRowShown="0" headerRowDxfId="926" dataDxfId="924" headerRowBorderDxfId="925">
  <autoFilter ref="C54:OT59"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1 ]]*F39</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$D$12*(1+BASES!$E$10)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(1)]]*$D$12*VLOOKUP(Tabla1[[#This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G39*Tabla1[[#This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$D$13*(1+BASES!$E$10)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(2)]]*$D$13*VLOOKUP(Tabla1[[#This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H39*Tabla1[[#This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$D$14*(1+BASES!$E$10)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(3)]]*$D$14*VLOOKUP(Tabla1[[#This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I39*Tabla1[[#This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$D$15*(1+BASES!$E$10)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]]*$D$15*VLOOKUP(Tabla1[[#This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Row],[UNIDAS PRODUCIDAS AÑO 1 5]]*J39</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Row],[UNIDAS PRODUCIDAS AÑO 1 5]])</calculatedColumnFormula>
    </tableColumn>
    <tableColumn id="95" xr3:uid="{FB1BD96A-8CEA-4140-A6FA-B8BC917D6E29}" name="COSTO UNITARIO AÑO 2 5" dataDxfId="829">
      <calculatedColumnFormula>$D$16*(1+BASES!$E$10)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(5)]]*$D$16*VLOOKUP(Tabla1[[#This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6]]*K39</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$D$17*(1+BASES!$E$10)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(6)]]*$D$17*VLOOKUP(Tabla1[[#This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7]]*L39</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$D$18*(1+BASES!$E$10)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(7)]]*$D$18*VLOOKUP(Tabla1[[#This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8]]*M39</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$D$19*(1+BASES!$E$10)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(8)]]*$D$19*VLOOKUP(Tabla1[[#This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9 ]]*N39</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$D$20*(1+BASES!$E$10)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(9)]]*$D$20*VLOOKUP(Tabla1[[#This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10]]*O39</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$D$21*(1+BASES!$E$10)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(10)]]*$D$21*VLOOKUP(Tabla1[[#This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11]]*P39</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$D$22*(1+BASES!$E$10)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(11)]]*$D$22*VLOOKUP(Tabla1[[#This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12]]*Q39</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$D$23*(1+BASES!$E$10)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(12)]]*$D$23*VLOOKUP(Tabla1[[#This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13]]*R39</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$D$24*(1+BASES!$E$10)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(13)]]*$D$24*VLOOKUP(Tabla1[[#This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14]]*S39</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$D$25*(1+BASES!$E$10)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(14)]]*$D$25*VLOOKUP(Tabla1[[#This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15]]*T39</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$D$26*(1+BASES!$E$10)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(15)]]*$D$26*VLOOKUP(Tabla1[[#This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16]]*U39</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$D$27*(1+BASES!$E$10)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(16)]]*$D$27*VLOOKUP(Tabla1[[#This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17]]*V39</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$D$28*(1+BASES!$E$10)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(17)]]*$D$28*VLOOKUP(Tabla1[[#This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18 ]]*W39</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$D$29*(1+BASES!$E$10)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(18)]]*$D$29*VLOOKUP(Tabla1[[#This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19]]*X39</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$D$30*(1+BASES!$E$10)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(19)]]*$D$30*VLOOKUP(Tabla1[[#This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20 ]]*Y39</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$D$31*(1+BASES!$E$10)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(20)]]*$D$31*VLOOKUP(Tabla1[[#This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4:C84" totalsRowShown="0" headerRowDxfId="515" dataDxfId="514">
  <autoFilter ref="B74:C84"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91:D96" totalsRowShown="0" headerRowDxfId="511" dataDxfId="510">
  <autoFilter ref="C91:D96"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33:C143" totalsRowShown="0" headerRowDxfId="507" dataDxfId="506">
  <autoFilter ref="B133:C143"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50:D155" totalsRowShown="0" headerRowDxfId="503" dataDxfId="502">
  <autoFilter ref="C150:D155"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11:HB116" totalsRowShown="0" headerRowDxfId="499" dataDxfId="498">
  <autoFilter ref="C111:HB116"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1]]*F92</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$C$75*(1+BASES!$E$10)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(1)]]*$C$75*VLOOKUP(Tabla16[[#This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2]]*G92</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$C$76*(1+BASES!$E$10)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]]*$C$76*VLOOKUP(Tabla16[[#This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3]]*H92</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$C$77*(1+BASES!$E$10)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]]*$C$77*VLOOKUP(Tabla16[[#This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4]]*I92</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$C$78*(1+BASES!$E$10)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(4)]]*$C$78*VLOOKUP(Tabla16[[#This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5]]*J92</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$C$79*(1+BASES!$E$10)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]]*$C$79*VLOOKUP(Tabla16[[#This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6]]*K92</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$C$80*(1+BASES!$E$10)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]]*$C$80*VLOOKUP(Tabla16[[#This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7]]*L92</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$C$81*(1+BASES!$E$10)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]]*$C$81*VLOOKUP(Tabla16[[#This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8]]*M92</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$C$82*(1+BASES!$E$10)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]]*$C$82*VLOOKUP(Tabla16[[#This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9]]*N92</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$C$83*(1+BASES!$E$10)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]]*$C$83*VLOOKUP(Tabla16[[#This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10]]*O92</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$C$84*(1+BASES!$E$10)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]]*$C$84*VLOOKUP(Tabla16[[#This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72:HB177" totalsRowShown="0" headerRowDxfId="289" dataDxfId="288">
  <autoFilter ref="C172:HB177"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1 ]]*F151</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$C$134*(1+BASES!$E$10)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(1)]]*$C$134*VLOOKUP(Tabla12[[#This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2]]*G151</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$C$135*(1+BASES!$E$10)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(2)]]*$C$135*VLOOKUP(Tabla12[[#This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3]]*H151</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$C$136*(1+BASES!$E$10)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(3)]]*$C$136*VLOOKUP(Tabla12[[#This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4]]*I151</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$C$137*(1+BASES!$E$10)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(4)]]*$C$137*VLOOKUP(Tabla12[[#This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5]]*J151</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$C$138*(1+BASES!$E$10)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(5)]]*$C$138*VLOOKUP(Tabla12[[#This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6]]*K151</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$C$139*(1+BASES!$E$10)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(6)]]*$C$139*VLOOKUP(Tabla12[[#This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7]]*L151</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$C$140*(1+BASES!$E$10)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(7)]]*$C$140*VLOOKUP(Tabla12[[#This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8]]*M151</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$C$141*(1+BASES!$E$10)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(8)]]*$C$141*VLOOKUP(Tabla12[[#This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9 ]]*N151</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$C$142*(1+BASES!$E$10)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(9)]]*$C$142*VLOOKUP(Tabla12[[#This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10 ]]*O151</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$C$143*(1+BASES!$E$10)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(10)]]*$C$143*VLOOKUP(Tabla12[[#This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201:Y206" totalsRowShown="0" headerRowDxfId="79" dataDxfId="78">
  <autoFilter ref="C201:Y206"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IF(PRODUCTO_O_SERVICIO!D20=0,0,COSTOS_DE_PRODUCCION!GX112/PRODUCTO_O_SERVICIO!D20)</calculatedColumnFormula>
    </tableColumn>
    <tableColumn id="10" xr3:uid="{45CE1FE9-4F4D-4E3E-B269-DFA6B596A378}" name="AÑO 2 2" dataDxfId="68">
      <calculatedColumnFormula>IF(PRODUCTO_O_SERVICIO!G20=0,0,COSTOS_DE_PRODUCCION!GY112/PRODUCTO_O_SERVICIO!G20)</calculatedColumnFormula>
    </tableColumn>
    <tableColumn id="11" xr3:uid="{D7C76F0B-F43E-44FD-8DDA-96E4310E7410}" name="AÑO 3 2" dataDxfId="67">
      <calculatedColumnFormula>IF(PRODUCTO_O_SERVICIO!K20=0,0,COSTOS_DE_PRODUCCION!GZ112/PRODUCTO_O_SERVICIO!K20)</calculatedColumnFormula>
    </tableColumn>
    <tableColumn id="12" xr3:uid="{CCF1515F-2DE1-4C1B-A0F6-819772D5E28D}" name="AÑO 4 2" dataDxfId="66">
      <calculatedColumnFormula>IF(PRODUCTO_O_SERVICIO!O20=0,0,COSTOS_DE_PRODUCCION!HA112/PRODUCTO_O_SERVICIO!O20)</calculatedColumnFormula>
    </tableColumn>
    <tableColumn id="13" xr3:uid="{47D9F6F0-B17E-4F09-A79C-34A019FB96A4}" name="AÑO 5 2" dataDxfId="65">
      <calculatedColumnFormula>IF(PRODUCTO_O_SERVICIO!S20=0,0,COSTOS_DE_PRODUCCION!HB112/PRODUCTO_O_SERVICIO!S20)</calculatedColumnFormula>
    </tableColumn>
    <tableColumn id="14" xr3:uid="{C066EDE4-3C68-4CDD-972F-C9B4252CA429}" name="AÑO 1 3" dataDxfId="64">
      <calculatedColumnFormula>IF(PRODUCTO_O_SERVICIO!D20=0,0,COSTOS_DE_PRODUCCION!GX173/PRODUCTO_O_SERVICIO!D20)</calculatedColumnFormula>
    </tableColumn>
    <tableColumn id="15" xr3:uid="{C2455697-185B-4D02-A25A-EA9AD41BB78D}" name="AÑO 2 3" dataDxfId="63">
      <calculatedColumnFormula>IF(PRODUCTO_O_SERVICIO!G20=0,0,COSTOS_DE_PRODUCCION!GY173/PRODUCTO_O_SERVICIO!G20)</calculatedColumnFormula>
    </tableColumn>
    <tableColumn id="16" xr3:uid="{3296F73A-383A-4903-8519-D5F279E72FEC}" name="AÑO 3 3" dataDxfId="62">
      <calculatedColumnFormula>IF(PRODUCTO_O_SERVICIO!K20=0,0,COSTOS_DE_PRODUCCION!GZ173/PRODUCTO_O_SERVICIO!K20)</calculatedColumnFormula>
    </tableColumn>
    <tableColumn id="17" xr3:uid="{5CDBC2C6-4E1B-4DB8-890A-5A7A71CCBC53}" name="AÑO 4 3 " dataDxfId="61">
      <calculatedColumnFormula>IF(PRODUCTO_O_SERVICIO!O20=0,0,COSTOS_DE_PRODUCCION!HA173/PRODUCTO_O_SERVICIO!O20)</calculatedColumnFormula>
    </tableColumn>
    <tableColumn id="18" xr3:uid="{B36C44BE-EEEF-4779-A17E-BCDD15941819}" name="AÑO 5 3" dataDxfId="60">
      <calculatedColumnFormula>IF(PRODUCTO_O_SERVICIO!S20=0,0,COSTOS_DE_PRODUCCION!HB173/PRODUCTO_O_SERVICIO!S20)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3" totalsRowShown="0" headerRowDxfId="54" dataDxfId="53">
  <autoFilter ref="D8:O13"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Unidades vendidas año 1" dataDxfId="50">
      <calculatedColumnFormula>VLOOKUP(Tabla2[[#This Row],[CÓDIGO ]],Tabla3[],4,FALSE)</calculatedColumnFormula>
    </tableColumn>
    <tableColumn id="4" xr3:uid="{50A8B792-F0BA-4A00-9F05-A5F5C83493E3}" name="Ingresos totales año 1" dataDxfId="49">
      <calculatedColumnFormula>Tabla2[[#This Row],[Unidades vendidas año 1]]*VLOOKUP(Tabla2[[#This Row],[CÓDIGO ]],Tabla3[],3,FALSE)</calculatedColumnFormula>
    </tableColumn>
    <tableColumn id="5" xr3:uid="{7DAD203E-C194-4D65-9ED8-FEB8D4FAD109}" name="Unidades vendidas año 2" dataDxfId="48">
      <calculatedColumnFormula>VLOOKUP(Tabla2[[#This Row],[CÓDIGO ]],Tabla3[],3,FALSE)</calculatedColumnFormula>
    </tableColumn>
    <tableColumn id="6" xr3:uid="{569C77A4-8AF0-43BC-9806-A0F634EAD358}" name="Ingresos totales año 2 " dataDxfId="47">
      <calculatedColumnFormula>Tabla2[[#This Row],[Unidades vendidas año 2]]*VLOOKUP(Tabla2[[#This Row],[CÓDIGO ]],Tabla3[],6,FALSE)</calculatedColumnFormula>
    </tableColumn>
    <tableColumn id="7" xr3:uid="{B1FF55E4-99B0-429C-9D3E-DC83156BDA7F}" name="Unidades vendidas año 3" dataDxfId="46">
      <calculatedColumnFormula>VLOOKUP(Tabla2[[#This Row],[CÓDIGO ]],Tabla3[],11,FALSE)</calculatedColumnFormula>
    </tableColumn>
    <tableColumn id="8" xr3:uid="{7AEE6964-1003-4C2D-8751-80C8BD7A3365}" name="Ingresos totales año 3 " dataDxfId="45">
      <calculatedColumnFormula>Tabla2[[#This Row],[Unidades vendidas año 3]]*VLOOKUP(Tabla2[[#This Row],[CÓDIGO ]],Tabla3[],10,FALSE)</calculatedColumnFormula>
    </tableColumn>
    <tableColumn id="9" xr3:uid="{33C77107-CE26-4F16-8BBC-D955C929B0D4}" name="Unidades vendidas año 4" dataDxfId="44">
      <calculatedColumnFormula>VLOOKUP(Tabla2[[#This Row],[CÓDIGO ]],Tabla3[],15,FALSE)</calculatedColumnFormula>
    </tableColumn>
    <tableColumn id="10" xr3:uid="{F66B203D-39C7-4D88-96B1-3C9681344D18}" name="Ingresos totales año 4" dataDxfId="43">
      <calculatedColumnFormula>Tabla2[[#This Row],[Unidades vendidas año 4]]*VLOOKUP(Tabla2[[#This Row],[CÓDIGO ]],Tabla3[],14,FALSE)</calculatedColumnFormula>
    </tableColumn>
    <tableColumn id="11" xr3:uid="{DEAE33E3-3D6D-4650-BCC2-EDB2BD417FD7}" name="Unidades vendidas año 5" dataDxfId="42">
      <calculatedColumnFormula>VLOOKUP(Tabla2[[#This Row],[CÓDIGO ]],Tabla3[],19,FALSE)</calculatedColumnFormula>
    </tableColumn>
    <tableColumn id="12" xr3:uid="{92942E89-5238-4917-8C6D-F965F1B3CB44}" name="Ingresos totales año 5" dataDxfId="41">
      <calculatedColumnFormula>Tabla2[[#This Row],[Unidades vendidas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5:T30" totalsRowShown="0" headerRowDxfId="40" dataDxfId="39">
  <autoFilter ref="D25:T30"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calculatedColumnFormula>
    </tableColumn>
    <tableColumn id="3" xr3:uid="{648E0A4E-18DA-4264-BB9A-CD025964C64C}" name="Precio de venta unitario año 1" dataDxfId="36">
      <calculatedColumnFormula>F9</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H9</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J9</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L9</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N9</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3" totalsRowShown="0" headerRowDxfId="21" dataDxfId="20">
  <autoFilter ref="E8:K13"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calculatedColumnFormula>
    </tableColumn>
    <tableColumn id="3" xr3:uid="{23B49039-2496-401B-BBD4-8D57BA7D6FD6}" name="VENTAS TOTALES" dataDxfId="17">
      <calculatedColumnFormula>VLOOKUP(Tabla6[[#This Row],[CÓDIGO ]],Tabla2[],4)</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IF($G$15=0,0,G9/$G$15)</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22:I27" totalsRowShown="0" headerRowDxfId="12" dataDxfId="11">
  <autoFilter ref="E22:I27"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J9</calculatedColumnFormula>
    </tableColumn>
    <tableColumn id="4" xr3:uid="{0DBE7B6A-A652-450B-A034-C648BBD1A290}" name="PARTICIPACIÓN % EN VENTAS " dataDxfId="7">
      <calculatedColumnFormula>K9</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6:H51" totalsRowShown="0" headerRowDxfId="5" dataDxfId="4">
  <autoFilter ref="E46:H51"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$G$39*K9</calculatedColumnFormula>
    </tableColumn>
    <tableColumn id="4" xr3:uid="{876FC78B-2BA3-4A09-8993-056E80DB55F0}" name="UNIDADES CALCULADAS PARA EL GRÁFICO " dataDxfId="0">
      <calculatedColumnFormula>$M$47*K9</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zoomScale="60" zoomScaleNormal="60" workbookViewId="0"/>
  </sheetViews>
  <sheetFormatPr baseColWidth="10" defaultRowHeight="15" x14ac:dyDescent="0.25"/>
  <sheetData>
    <row r="16" spans="18:18" x14ac:dyDescent="0.25">
      <c r="R16" t="s">
        <v>323</v>
      </c>
    </row>
  </sheetData>
  <sheetProtection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70" zoomScaleNormal="70" workbookViewId="0">
      <selection activeCell="G7" sqref="G7"/>
    </sheetView>
  </sheetViews>
  <sheetFormatPr baseColWidth="10" defaultRowHeight="15" x14ac:dyDescent="0.25"/>
  <sheetData>
    <row r="3" spans="2:11" x14ac:dyDescent="0.25">
      <c r="B3" s="1" t="s">
        <v>289</v>
      </c>
      <c r="E3" s="8" t="s">
        <v>1202</v>
      </c>
      <c r="F3" s="4"/>
      <c r="G3" s="4"/>
      <c r="H3" s="4"/>
      <c r="I3" s="4"/>
      <c r="J3" s="4"/>
      <c r="K3" s="4"/>
    </row>
  </sheetData>
  <sheetProtection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180975</xdr:colOff>
                <xdr:row>8</xdr:row>
                <xdr:rowOff>9525</xdr:rowOff>
              </from>
              <to>
                <xdr:col>17</xdr:col>
                <xdr:colOff>171450</xdr:colOff>
                <xdr:row>60</xdr:row>
                <xdr:rowOff>9525</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60" zoomScaleNormal="60" workbookViewId="0">
      <selection activeCell="H15" sqref="H15"/>
    </sheetView>
  </sheetViews>
  <sheetFormatPr baseColWidth="10" defaultRowHeight="15" x14ac:dyDescent="0.25"/>
  <cols>
    <col min="2" max="2" width="42.140625" bestFit="1" customWidth="1"/>
    <col min="4" max="4" width="12.7109375" customWidth="1"/>
    <col min="5" max="5" width="19.7109375" customWidth="1"/>
    <col min="6" max="6" width="17.5703125" customWidth="1"/>
    <col min="7" max="7" width="22.28515625" customWidth="1"/>
    <col min="8" max="8" width="17.28515625" bestFit="1" customWidth="1"/>
  </cols>
  <sheetData>
    <row r="5" spans="2:13" ht="15.75" thickBot="1" x14ac:dyDescent="0.3"/>
    <row r="6" spans="2:13" ht="16.5" thickBot="1" x14ac:dyDescent="0.3">
      <c r="B6" s="520" t="s">
        <v>16</v>
      </c>
      <c r="C6" s="521"/>
      <c r="D6" s="521"/>
      <c r="E6" s="521"/>
      <c r="F6" s="521"/>
      <c r="G6" s="521"/>
      <c r="H6" s="522"/>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505"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32" t="s">
        <v>20</v>
      </c>
      <c r="F14" s="533"/>
      <c r="G14" s="534"/>
      <c r="H14" s="506">
        <v>0.11</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32" t="s">
        <v>21</v>
      </c>
      <c r="F16" s="533"/>
      <c r="G16" s="534"/>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32" t="s">
        <v>22</v>
      </c>
      <c r="F18" s="533"/>
      <c r="G18" s="534"/>
      <c r="H18" s="39">
        <v>9.3399999999999997E-2</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23" t="s">
        <v>23</v>
      </c>
      <c r="F20" s="524"/>
      <c r="G20" s="525"/>
      <c r="H20" s="10"/>
      <c r="I20" s="10"/>
    </row>
    <row r="21" spans="2:11" ht="16.5" thickBot="1" x14ac:dyDescent="0.3">
      <c r="B21" s="19" t="s">
        <v>6</v>
      </c>
      <c r="C21" s="13"/>
      <c r="D21" s="10"/>
      <c r="E21" s="528" t="s">
        <v>24</v>
      </c>
      <c r="F21" s="529"/>
      <c r="G21" s="40" t="s">
        <v>283</v>
      </c>
      <c r="H21" s="10"/>
      <c r="I21" s="10"/>
    </row>
    <row r="22" spans="2:11" ht="15.75" x14ac:dyDescent="0.25">
      <c r="B22" s="27" t="s">
        <v>7</v>
      </c>
      <c r="C22" s="28">
        <v>0.02</v>
      </c>
      <c r="D22" s="10"/>
      <c r="E22" s="528" t="s">
        <v>25</v>
      </c>
      <c r="F22" s="529"/>
      <c r="G22" s="41">
        <v>5</v>
      </c>
      <c r="H22" s="10"/>
      <c r="I22" s="10"/>
    </row>
    <row r="23" spans="2:11" ht="16.5" thickBot="1" x14ac:dyDescent="0.3">
      <c r="B23" s="29" t="s">
        <v>8</v>
      </c>
      <c r="C23" s="28">
        <v>0.04</v>
      </c>
      <c r="D23" s="10"/>
      <c r="E23" s="530" t="s">
        <v>26</v>
      </c>
      <c r="F23" s="531"/>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23" t="s">
        <v>28</v>
      </c>
      <c r="F27" s="524"/>
      <c r="G27" s="524"/>
      <c r="H27" s="525"/>
      <c r="I27" s="10"/>
    </row>
    <row r="28" spans="2:11" ht="15.75" x14ac:dyDescent="0.25">
      <c r="B28" s="29" t="s">
        <v>12</v>
      </c>
      <c r="C28" s="35">
        <v>8.5000000000000006E-2</v>
      </c>
      <c r="D28" s="10"/>
      <c r="E28" s="528" t="s">
        <v>29</v>
      </c>
      <c r="F28" s="529"/>
      <c r="G28" s="43">
        <v>20</v>
      </c>
      <c r="H28" s="21" t="s">
        <v>34</v>
      </c>
      <c r="I28" s="10"/>
    </row>
    <row r="29" spans="2:11" ht="15.75" x14ac:dyDescent="0.25">
      <c r="B29" s="29" t="s">
        <v>13</v>
      </c>
      <c r="C29" s="35">
        <v>5.2199999999999998E-3</v>
      </c>
      <c r="D29" s="10"/>
      <c r="E29" s="528" t="s">
        <v>30</v>
      </c>
      <c r="F29" s="529"/>
      <c r="G29" s="43">
        <v>10</v>
      </c>
      <c r="H29" s="21" t="s">
        <v>34</v>
      </c>
      <c r="I29" s="10"/>
    </row>
    <row r="30" spans="2:11" ht="15.75" x14ac:dyDescent="0.25">
      <c r="B30" s="32" t="s">
        <v>14</v>
      </c>
      <c r="C30" s="36">
        <f>SUM(C27:C29)</f>
        <v>0.21022000000000002</v>
      </c>
      <c r="D30" s="10"/>
      <c r="E30" s="528" t="s">
        <v>31</v>
      </c>
      <c r="F30" s="529"/>
      <c r="G30" s="43">
        <v>5</v>
      </c>
      <c r="H30" s="21" t="s">
        <v>34</v>
      </c>
      <c r="I30" s="10"/>
    </row>
    <row r="31" spans="2:11" ht="16.5" thickBot="1" x14ac:dyDescent="0.3">
      <c r="B31" s="37" t="s">
        <v>15</v>
      </c>
      <c r="C31" s="38">
        <f>SUM(C20,C25,C30)</f>
        <v>0.62851999999999997</v>
      </c>
      <c r="D31" s="10"/>
      <c r="E31" s="528" t="s">
        <v>32</v>
      </c>
      <c r="F31" s="529"/>
      <c r="G31" s="43">
        <v>5</v>
      </c>
      <c r="H31" s="21" t="s">
        <v>34</v>
      </c>
      <c r="I31" s="10"/>
    </row>
    <row r="32" spans="2:11" ht="15.75" x14ac:dyDescent="0.25">
      <c r="B32" s="10"/>
      <c r="C32" s="10"/>
      <c r="D32" s="10"/>
      <c r="E32" s="528" t="s">
        <v>33</v>
      </c>
      <c r="F32" s="529"/>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26" t="s">
        <v>35</v>
      </c>
      <c r="F36" s="527"/>
      <c r="G36" s="48">
        <v>5</v>
      </c>
      <c r="H36" s="23" t="s">
        <v>36</v>
      </c>
      <c r="I36" s="10"/>
    </row>
    <row r="37" spans="2:9" ht="15.75" x14ac:dyDescent="0.25">
      <c r="B37" s="9"/>
      <c r="C37" s="9"/>
      <c r="D37" s="9"/>
      <c r="E37" s="9"/>
      <c r="F37" s="9"/>
      <c r="G37" s="9"/>
      <c r="H37" s="9"/>
      <c r="I37" s="9"/>
    </row>
  </sheetData>
  <sheetProtection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9"/>
  <sheetViews>
    <sheetView showGridLines="0" zoomScale="60" zoomScaleNormal="60" workbookViewId="0">
      <selection activeCell="R31" sqref="R31"/>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326</v>
      </c>
      <c r="C2" s="60" t="str">
        <f>Instrucciones!E3</f>
        <v>Arreglos florales</v>
      </c>
    </row>
    <row r="3" spans="2:31" ht="16.5" thickBot="1" x14ac:dyDescent="0.3">
      <c r="B3" s="138"/>
      <c r="C3" s="137"/>
    </row>
    <row r="4" spans="2:31" ht="15.75" customHeight="1" x14ac:dyDescent="0.25">
      <c r="B4" s="535" t="s">
        <v>446</v>
      </c>
      <c r="C4" s="536"/>
      <c r="D4" s="536"/>
      <c r="E4" s="536"/>
      <c r="F4" s="536"/>
      <c r="G4" s="536"/>
      <c r="H4" s="536"/>
      <c r="I4" s="536"/>
      <c r="J4" s="536"/>
      <c r="K4" s="536"/>
      <c r="L4" s="536"/>
      <c r="M4" s="536"/>
      <c r="N4" s="536"/>
      <c r="O4" s="536"/>
      <c r="P4" s="536"/>
      <c r="Q4" s="536"/>
      <c r="R4" s="536"/>
      <c r="S4" s="536"/>
      <c r="T4" s="536"/>
      <c r="U4" s="536"/>
      <c r="V4" s="537"/>
    </row>
    <row r="5" spans="2:31" ht="15.75" customHeight="1" thickBot="1" x14ac:dyDescent="0.3">
      <c r="B5" s="538"/>
      <c r="C5" s="539"/>
      <c r="D5" s="539"/>
      <c r="E5" s="539"/>
      <c r="F5" s="539"/>
      <c r="G5" s="539"/>
      <c r="H5" s="539"/>
      <c r="I5" s="539"/>
      <c r="J5" s="539"/>
      <c r="K5" s="539"/>
      <c r="L5" s="539"/>
      <c r="M5" s="539"/>
      <c r="N5" s="539"/>
      <c r="O5" s="539"/>
      <c r="P5" s="539"/>
      <c r="Q5" s="539"/>
      <c r="R5" s="539"/>
      <c r="S5" s="539"/>
      <c r="T5" s="539"/>
      <c r="U5" s="539"/>
      <c r="V5" s="540"/>
    </row>
    <row r="6" spans="2:31" ht="15.75" thickBot="1" x14ac:dyDescent="0.3">
      <c r="B6" s="74"/>
    </row>
    <row r="7" spans="2:31" ht="15.75" customHeight="1" x14ac:dyDescent="0.25">
      <c r="B7" s="549" t="s">
        <v>37</v>
      </c>
      <c r="C7" s="53">
        <f>BASES!D7</f>
        <v>2021</v>
      </c>
      <c r="D7" s="49">
        <v>0.19</v>
      </c>
      <c r="E7" s="552" t="s">
        <v>331</v>
      </c>
      <c r="F7" s="53">
        <f>BASES!D7</f>
        <v>2021</v>
      </c>
      <c r="G7" s="54"/>
    </row>
    <row r="8" spans="2:31" ht="15.75" x14ac:dyDescent="0.25">
      <c r="B8" s="550"/>
      <c r="C8" s="53">
        <f>BASES!E7</f>
        <v>2022</v>
      </c>
      <c r="D8" s="49">
        <v>0.19</v>
      </c>
      <c r="E8" s="553"/>
      <c r="F8" s="53">
        <f>BASES!E7</f>
        <v>2022</v>
      </c>
      <c r="G8" s="55">
        <f>BASES!E8</f>
        <v>1.95E-2</v>
      </c>
    </row>
    <row r="9" spans="2:31" ht="15.75" x14ac:dyDescent="0.25">
      <c r="B9" s="550"/>
      <c r="C9" s="53">
        <f>BASES!F7</f>
        <v>2023</v>
      </c>
      <c r="D9" s="49">
        <v>0.19</v>
      </c>
      <c r="E9" s="553"/>
      <c r="F9" s="53">
        <f>BASES!F7</f>
        <v>2023</v>
      </c>
      <c r="G9" s="55">
        <f>BASES!F8</f>
        <v>1.95E-2</v>
      </c>
    </row>
    <row r="10" spans="2:31" ht="15.75" x14ac:dyDescent="0.25">
      <c r="B10" s="550"/>
      <c r="C10" s="53">
        <f>BASES!G7</f>
        <v>2024</v>
      </c>
      <c r="D10" s="49">
        <v>0.19</v>
      </c>
      <c r="E10" s="553"/>
      <c r="F10" s="53">
        <f>BASES!G7</f>
        <v>2024</v>
      </c>
      <c r="G10" s="55">
        <f>BASES!G8</f>
        <v>1.95E-2</v>
      </c>
    </row>
    <row r="11" spans="2:31" ht="16.5" thickBot="1" x14ac:dyDescent="0.3">
      <c r="B11" s="551"/>
      <c r="C11" s="53">
        <f>BASES!H7</f>
        <v>2025</v>
      </c>
      <c r="D11" s="49">
        <v>0.19</v>
      </c>
      <c r="E11" s="554"/>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352</v>
      </c>
      <c r="D17" s="542">
        <f>BASES!D7</f>
        <v>2021</v>
      </c>
      <c r="E17" s="543"/>
      <c r="F17" s="543"/>
      <c r="G17" s="542">
        <f>BASES!E7</f>
        <v>2022</v>
      </c>
      <c r="H17" s="543"/>
      <c r="I17" s="543"/>
      <c r="J17" s="543"/>
      <c r="K17" s="542">
        <f>BASES!F7</f>
        <v>2023</v>
      </c>
      <c r="L17" s="543"/>
      <c r="M17" s="543"/>
      <c r="N17" s="543"/>
      <c r="O17" s="542">
        <f>BASES!G7</f>
        <v>2024</v>
      </c>
      <c r="P17" s="543"/>
      <c r="Q17" s="543"/>
      <c r="R17" s="543"/>
      <c r="S17" s="542">
        <f>BASES!H7</f>
        <v>2025</v>
      </c>
      <c r="T17" s="543"/>
      <c r="U17" s="543"/>
      <c r="V17" s="543"/>
    </row>
    <row r="18" spans="2:31" ht="16.5" thickBot="1" x14ac:dyDescent="0.3">
      <c r="B18" s="51"/>
      <c r="C18" s="61" t="s">
        <v>329</v>
      </c>
      <c r="D18" s="555" t="s">
        <v>330</v>
      </c>
      <c r="E18" s="556"/>
      <c r="F18" s="556"/>
      <c r="G18" s="544">
        <v>0.01</v>
      </c>
      <c r="H18" s="545"/>
      <c r="I18" s="545"/>
      <c r="J18" s="546"/>
      <c r="K18" s="544">
        <v>0.02</v>
      </c>
      <c r="L18" s="545"/>
      <c r="M18" s="545"/>
      <c r="N18" s="546"/>
      <c r="O18" s="544">
        <v>0.03</v>
      </c>
      <c r="P18" s="545"/>
      <c r="Q18" s="545"/>
      <c r="R18" s="546"/>
      <c r="S18" s="541">
        <v>0.04</v>
      </c>
      <c r="T18" s="541"/>
      <c r="U18" s="541"/>
      <c r="V18" s="541"/>
      <c r="W18" s="50"/>
      <c r="X18" s="50"/>
      <c r="Y18" s="50"/>
      <c r="Z18" s="50"/>
      <c r="AA18" s="50"/>
      <c r="AB18" s="50"/>
      <c r="AC18" s="50"/>
      <c r="AD18" s="50"/>
      <c r="AE18" s="50"/>
    </row>
    <row r="19" spans="2:31" ht="15.75" x14ac:dyDescent="0.25">
      <c r="B19" s="52" t="s">
        <v>328</v>
      </c>
      <c r="C19" s="69" t="s">
        <v>327</v>
      </c>
      <c r="D19" s="69" t="s">
        <v>333</v>
      </c>
      <c r="E19" s="69" t="s">
        <v>332</v>
      </c>
      <c r="F19" s="69" t="s">
        <v>342</v>
      </c>
      <c r="G19" s="69" t="s">
        <v>334</v>
      </c>
      <c r="H19" s="69" t="s">
        <v>335</v>
      </c>
      <c r="I19" s="69" t="s">
        <v>343</v>
      </c>
      <c r="J19" s="69" t="s">
        <v>353</v>
      </c>
      <c r="K19" s="69" t="s">
        <v>336</v>
      </c>
      <c r="L19" s="69" t="s">
        <v>337</v>
      </c>
      <c r="M19" s="69" t="s">
        <v>344</v>
      </c>
      <c r="N19" s="69" t="s">
        <v>349</v>
      </c>
      <c r="O19" s="69" t="s">
        <v>338</v>
      </c>
      <c r="P19" s="69" t="s">
        <v>339</v>
      </c>
      <c r="Q19" s="69" t="s">
        <v>345</v>
      </c>
      <c r="R19" s="69" t="s">
        <v>350</v>
      </c>
      <c r="S19" s="69" t="s">
        <v>340</v>
      </c>
      <c r="T19" s="69" t="s">
        <v>341</v>
      </c>
      <c r="U19" s="69" t="s">
        <v>346</v>
      </c>
      <c r="V19" s="69" t="s">
        <v>351</v>
      </c>
    </row>
    <row r="20" spans="2:31" ht="15.75" x14ac:dyDescent="0.25">
      <c r="B20" s="127">
        <v>0</v>
      </c>
      <c r="C20" s="67" t="s">
        <v>348</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507">
        <v>1</v>
      </c>
      <c r="C21" s="62" t="s">
        <v>1203</v>
      </c>
      <c r="D21" s="62">
        <v>300</v>
      </c>
      <c r="E21" s="508">
        <v>90000</v>
      </c>
      <c r="F21" s="56">
        <f>Tabla3[[#This Row],[UNIDADES PRODUCIDAS AÑO 1]]*Tabla3[[#This Row],[PRECIO DE VENTA AÑO 1]]</f>
        <v>27000000</v>
      </c>
      <c r="G21" s="62">
        <v>350</v>
      </c>
      <c r="H21" s="56">
        <f>ROUND((Tabla3[[#This Row],[PRECIO DE VENTA AÑO 1]]*(1+$G$8)),0)</f>
        <v>91755</v>
      </c>
      <c r="I21" s="56">
        <f>Tabla3[[#This Row],[UNIDADES PRODUCIDAS AÑO 2]]*Tabla3[[#This Row],[PRECIO DE VENTA AÑO 2]]</f>
        <v>32114250</v>
      </c>
      <c r="J21" s="65">
        <f>IF(Tabla3[[#This Row],[UNIDADES PRODUCIDAS AÑO 1]]=0,0,(Tabla3[[#This Row],[UNIDADES PRODUCIDAS AÑO 2]]-Tabla3[[#This Row],[UNIDADES PRODUCIDAS AÑO 1]])/Tabla3[[#This Row],[UNIDADES PRODUCIDAS AÑO 1]])</f>
        <v>0.16666666666666666</v>
      </c>
      <c r="K21" s="62">
        <v>500</v>
      </c>
      <c r="L21" s="56">
        <f>ROUND((Tabla3[[#This Row],[PRECIO DE VENTA AÑO 2]]*(1+$G$9)),0)</f>
        <v>93544</v>
      </c>
      <c r="M21" s="56">
        <f>Tabla3[[#This Row],[UNIDADES PRODUCIDAS AÑO 3]]*Tabla3[[#This Row],[PRECIO DE VENTA AÑO 3]]</f>
        <v>46772000</v>
      </c>
      <c r="N21" s="65">
        <f>IF(Tabla3[[#This Row],[UNIDADES PRODUCIDAS AÑO 2]]=0,0,(Tabla3[[#This Row],[UNIDADES PRODUCIDAS AÑO 3]]-Tabla3[[#This Row],[UNIDADES PRODUCIDAS AÑO 2]])/Tabla3[[#This Row],[UNIDADES PRODUCIDAS AÑO 2]])</f>
        <v>0.42857142857142855</v>
      </c>
      <c r="O21" s="62">
        <v>550</v>
      </c>
      <c r="P21" s="56">
        <f>ROUND((Tabla3[[#This Row],[PRECIO DE VENTA AÑO 3]]*(1+$G$10)),0)</f>
        <v>95368</v>
      </c>
      <c r="Q21" s="56">
        <f>Tabla3[[#This Row],[UNIDADES PRODUCIDAS AÑO 4]]*Tabla3[[#This Row],[PRECIO DE VENTA AÑO 4]]</f>
        <v>52452400</v>
      </c>
      <c r="R21" s="64">
        <f>IF(Tabla3[[#This Row],[UNIDADES PRODUCIDAS AÑO 3]]=0,0,(Tabla3[[#This Row],[UNIDADES PRODUCIDAS AÑO 4]]-Tabla3[[#This Row],[UNIDADES PRODUCIDAS AÑO 3]])/Tabla3[[#This Row],[UNIDADES PRODUCIDAS AÑO 3]])</f>
        <v>0.1</v>
      </c>
      <c r="S21" s="62">
        <v>700</v>
      </c>
      <c r="T21" s="56">
        <f>ROUND((Tabla3[[#This Row],[PRECIO DE VENTA AÑO 4]]*(1+$G$11)),0)</f>
        <v>97228</v>
      </c>
      <c r="U21" s="56">
        <f>Tabla3[[#This Row],[UNIDADES PRODUCIDAS AÑO 5]]*Tabla3[[#This Row],[PRECIO DE VENTA AÑO 5]]</f>
        <v>68059600</v>
      </c>
      <c r="V21" s="64">
        <f>IF(Tabla3[[#This Row],[UNIDADES PRODUCIDAS AÑO 4]]=0,0,(Tabla3[[#This Row],[UNIDADES PRODUCIDAS AÑO 5]]-Tabla3[[#This Row],[UNIDADES PRODUCIDAS AÑO 4]])/Tabla3[[#This Row],[UNIDADES PRODUCIDAS AÑO 4]])</f>
        <v>0.27272727272727271</v>
      </c>
    </row>
    <row r="22" spans="2:31" ht="15.75" x14ac:dyDescent="0.25">
      <c r="B22" s="507">
        <v>2</v>
      </c>
      <c r="C22" s="62" t="s">
        <v>1204</v>
      </c>
      <c r="D22" s="62">
        <v>400</v>
      </c>
      <c r="E22" s="508">
        <v>80000</v>
      </c>
      <c r="F22" s="56">
        <f>Tabla3[[#This Row],[UNIDADES PRODUCIDAS AÑO 1]]*Tabla3[[#This Row],[PRECIO DE VENTA AÑO 1]]</f>
        <v>32000000</v>
      </c>
      <c r="G22" s="62">
        <v>500</v>
      </c>
      <c r="H22" s="56">
        <f>ROUND((Tabla3[[#This Row],[PRECIO DE VENTA AÑO 1]]*(1+$G$8)),0)</f>
        <v>81560</v>
      </c>
      <c r="I22" s="56">
        <f>Tabla3[[#This Row],[UNIDADES PRODUCIDAS AÑO 2]]*Tabla3[[#This Row],[PRECIO DE VENTA AÑO 2]]</f>
        <v>40780000</v>
      </c>
      <c r="J22" s="65">
        <f>IF(Tabla3[[#This Row],[UNIDADES PRODUCIDAS AÑO 1]]=0,0,(Tabla3[[#This Row],[UNIDADES PRODUCIDAS AÑO 2]]-Tabla3[[#This Row],[UNIDADES PRODUCIDAS AÑO 1]])/Tabla3[[#This Row],[UNIDADES PRODUCIDAS AÑO 1]])</f>
        <v>0.25</v>
      </c>
      <c r="K22" s="62">
        <v>680</v>
      </c>
      <c r="L22" s="56">
        <f>ROUND((Tabla3[[#This Row],[PRECIO DE VENTA AÑO 2]]*(1+$G$9)),0)</f>
        <v>83150</v>
      </c>
      <c r="M22" s="56">
        <f>Tabla3[[#This Row],[UNIDADES PRODUCIDAS AÑO 3]]*Tabla3[[#This Row],[PRECIO DE VENTA AÑO 3]]</f>
        <v>56542000</v>
      </c>
      <c r="N22" s="65">
        <f>IF(Tabla3[[#This Row],[UNIDADES PRODUCIDAS AÑO 2]]=0,0,(Tabla3[[#This Row],[UNIDADES PRODUCIDAS AÑO 3]]-Tabla3[[#This Row],[UNIDADES PRODUCIDAS AÑO 2]])/Tabla3[[#This Row],[UNIDADES PRODUCIDAS AÑO 2]])</f>
        <v>0.36</v>
      </c>
      <c r="O22" s="62">
        <v>720</v>
      </c>
      <c r="P22" s="56">
        <f>ROUND((Tabla3[[#This Row],[PRECIO DE VENTA AÑO 3]]*(1+$G$10)),0)</f>
        <v>84771</v>
      </c>
      <c r="Q22" s="56">
        <f>Tabla3[[#This Row],[UNIDADES PRODUCIDAS AÑO 4]]*Tabla3[[#This Row],[PRECIO DE VENTA AÑO 4]]</f>
        <v>61035120</v>
      </c>
      <c r="R22" s="64">
        <f>IF(Tabla3[[#This Row],[UNIDADES PRODUCIDAS AÑO 3]]=0,0,(Tabla3[[#This Row],[UNIDADES PRODUCIDAS AÑO 4]]-Tabla3[[#This Row],[UNIDADES PRODUCIDAS AÑO 3]])/Tabla3[[#This Row],[UNIDADES PRODUCIDAS AÑO 3]])</f>
        <v>5.8823529411764705E-2</v>
      </c>
      <c r="S22" s="62">
        <v>880</v>
      </c>
      <c r="T22" s="56">
        <f>ROUND((Tabla3[[#This Row],[PRECIO DE VENTA AÑO 4]]*(1+$G$11)),0)</f>
        <v>86424</v>
      </c>
      <c r="U22" s="56">
        <f>Tabla3[[#This Row],[UNIDADES PRODUCIDAS AÑO 5]]*Tabla3[[#This Row],[PRECIO DE VENTA AÑO 5]]</f>
        <v>76053120</v>
      </c>
      <c r="V22" s="64">
        <f>IF(Tabla3[[#This Row],[UNIDADES PRODUCIDAS AÑO 4]]=0,0,(Tabla3[[#This Row],[UNIDADES PRODUCIDAS AÑO 5]]-Tabla3[[#This Row],[UNIDADES PRODUCIDAS AÑO 4]])/Tabla3[[#This Row],[UNIDADES PRODUCIDAS AÑO 4]])</f>
        <v>0.22222222222222221</v>
      </c>
    </row>
    <row r="23" spans="2:31" ht="15.75" x14ac:dyDescent="0.25">
      <c r="B23" s="507">
        <v>3</v>
      </c>
      <c r="C23" s="62" t="s">
        <v>1205</v>
      </c>
      <c r="D23" s="62">
        <v>500</v>
      </c>
      <c r="E23" s="508">
        <v>90000</v>
      </c>
      <c r="F23" s="56">
        <f>Tabla3[[#This Row],[UNIDADES PRODUCIDAS AÑO 1]]*Tabla3[[#This Row],[PRECIO DE VENTA AÑO 1]]</f>
        <v>45000000</v>
      </c>
      <c r="G23" s="62">
        <v>680</v>
      </c>
      <c r="H23" s="56">
        <f>ROUND((Tabla3[[#This Row],[PRECIO DE VENTA AÑO 1]]*(1+$G$8)),0)</f>
        <v>91755</v>
      </c>
      <c r="I23" s="56">
        <f>Tabla3[[#This Row],[UNIDADES PRODUCIDAS AÑO 2]]*Tabla3[[#This Row],[PRECIO DE VENTA AÑO 2]]</f>
        <v>62393400</v>
      </c>
      <c r="J23" s="65">
        <f>IF(Tabla3[[#This Row],[UNIDADES PRODUCIDAS AÑO 1]]=0,0,(Tabla3[[#This Row],[UNIDADES PRODUCIDAS AÑO 2]]-Tabla3[[#This Row],[UNIDADES PRODUCIDAS AÑO 1]])/Tabla3[[#This Row],[UNIDADES PRODUCIDAS AÑO 1]])</f>
        <v>0.36</v>
      </c>
      <c r="K23" s="62">
        <v>700</v>
      </c>
      <c r="L23" s="56">
        <f>ROUND((Tabla3[[#This Row],[PRECIO DE VENTA AÑO 2]]*(1+$G$9)),0)</f>
        <v>93544</v>
      </c>
      <c r="M23" s="56">
        <f>Tabla3[[#This Row],[UNIDADES PRODUCIDAS AÑO 3]]*Tabla3[[#This Row],[PRECIO DE VENTA AÑO 3]]</f>
        <v>65480800</v>
      </c>
      <c r="N23" s="65">
        <f>IF(Tabla3[[#This Row],[UNIDADES PRODUCIDAS AÑO 2]]=0,0,(Tabla3[[#This Row],[UNIDADES PRODUCIDAS AÑO 3]]-Tabla3[[#This Row],[UNIDADES PRODUCIDAS AÑO 2]])/Tabla3[[#This Row],[UNIDADES PRODUCIDAS AÑO 2]])</f>
        <v>2.9411764705882353E-2</v>
      </c>
      <c r="O23" s="62">
        <v>750</v>
      </c>
      <c r="P23" s="56">
        <f>ROUND((Tabla3[[#This Row],[PRECIO DE VENTA AÑO 3]]*(1+$G$10)),0)</f>
        <v>95368</v>
      </c>
      <c r="Q23" s="56">
        <f>Tabla3[[#This Row],[UNIDADES PRODUCIDAS AÑO 4]]*Tabla3[[#This Row],[PRECIO DE VENTA AÑO 4]]</f>
        <v>71526000</v>
      </c>
      <c r="R23" s="64">
        <f>IF(Tabla3[[#This Row],[UNIDADES PRODUCIDAS AÑO 3]]=0,0,(Tabla3[[#This Row],[UNIDADES PRODUCIDAS AÑO 4]]-Tabla3[[#This Row],[UNIDADES PRODUCIDAS AÑO 3]])/Tabla3[[#This Row],[UNIDADES PRODUCIDAS AÑO 3]])</f>
        <v>7.1428571428571425E-2</v>
      </c>
      <c r="S23" s="62">
        <v>800</v>
      </c>
      <c r="T23" s="56">
        <f>ROUND((Tabla3[[#This Row],[PRECIO DE VENTA AÑO 4]]*(1+$G$11)),0)</f>
        <v>97228</v>
      </c>
      <c r="U23" s="56">
        <f>Tabla3[[#This Row],[UNIDADES PRODUCIDAS AÑO 5]]*Tabla3[[#This Row],[PRECIO DE VENTA AÑO 5]]</f>
        <v>77782400</v>
      </c>
      <c r="V23" s="64">
        <f>IF(Tabla3[[#This Row],[UNIDADES PRODUCIDAS AÑO 4]]=0,0,(Tabla3[[#This Row],[UNIDADES PRODUCIDAS AÑO 5]]-Tabla3[[#This Row],[UNIDADES PRODUCIDAS AÑO 4]])/Tabla3[[#This Row],[UNIDADES PRODUCIDAS AÑO 4]])</f>
        <v>6.6666666666666666E-2</v>
      </c>
    </row>
    <row r="24" spans="2:31" ht="15.75" x14ac:dyDescent="0.25">
      <c r="B24" s="507">
        <v>4</v>
      </c>
      <c r="C24" s="62" t="s">
        <v>1206</v>
      </c>
      <c r="D24" s="62">
        <v>450</v>
      </c>
      <c r="E24" s="508">
        <v>100000</v>
      </c>
      <c r="F24" s="56">
        <f>Tabla3[[#This Row],[UNIDADES PRODUCIDAS AÑO 1]]*Tabla3[[#This Row],[PRECIO DE VENTA AÑO 1]]</f>
        <v>45000000</v>
      </c>
      <c r="G24" s="62">
        <v>500</v>
      </c>
      <c r="H24" s="56">
        <f>ROUND((Tabla3[[#This Row],[PRECIO DE VENTA AÑO 1]]*(1+$G$8)),0)</f>
        <v>101950</v>
      </c>
      <c r="I24" s="56">
        <f>Tabla3[[#This Row],[UNIDADES PRODUCIDAS AÑO 2]]*Tabla3[[#This Row],[PRECIO DE VENTA AÑO 2]]</f>
        <v>50975000</v>
      </c>
      <c r="J24" s="65">
        <f>IF(Tabla3[[#This Row],[UNIDADES PRODUCIDAS AÑO 1]]=0,0,(Tabla3[[#This Row],[UNIDADES PRODUCIDAS AÑO 2]]-Tabla3[[#This Row],[UNIDADES PRODUCIDAS AÑO 1]])/Tabla3[[#This Row],[UNIDADES PRODUCIDAS AÑO 1]])</f>
        <v>0.1111111111111111</v>
      </c>
      <c r="K24" s="62">
        <v>560</v>
      </c>
      <c r="L24" s="56">
        <f>ROUND((Tabla3[[#This Row],[PRECIO DE VENTA AÑO 2]]*(1+$G$9)),0)</f>
        <v>103938</v>
      </c>
      <c r="M24" s="56">
        <f>Tabla3[[#This Row],[UNIDADES PRODUCIDAS AÑO 3]]*Tabla3[[#This Row],[PRECIO DE VENTA AÑO 3]]</f>
        <v>58205280</v>
      </c>
      <c r="N24" s="65">
        <f>IF(Tabla3[[#This Row],[UNIDADES PRODUCIDAS AÑO 2]]=0,0,(Tabla3[[#This Row],[UNIDADES PRODUCIDAS AÑO 3]]-Tabla3[[#This Row],[UNIDADES PRODUCIDAS AÑO 2]])/Tabla3[[#This Row],[UNIDADES PRODUCIDAS AÑO 2]])</f>
        <v>0.12</v>
      </c>
      <c r="O24" s="62">
        <v>610</v>
      </c>
      <c r="P24" s="56">
        <f>ROUND((Tabla3[[#This Row],[PRECIO DE VENTA AÑO 3]]*(1+$G$10)),0)</f>
        <v>105965</v>
      </c>
      <c r="Q24" s="56">
        <f>Tabla3[[#This Row],[UNIDADES PRODUCIDAS AÑO 4]]*Tabla3[[#This Row],[PRECIO DE VENTA AÑO 4]]</f>
        <v>64638650</v>
      </c>
      <c r="R24" s="64">
        <f>IF(Tabla3[[#This Row],[UNIDADES PRODUCIDAS AÑO 3]]=0,0,(Tabla3[[#This Row],[UNIDADES PRODUCIDAS AÑO 4]]-Tabla3[[#This Row],[UNIDADES PRODUCIDAS AÑO 3]])/Tabla3[[#This Row],[UNIDADES PRODUCIDAS AÑO 3]])</f>
        <v>8.9285714285714288E-2</v>
      </c>
      <c r="S24" s="62">
        <v>650</v>
      </c>
      <c r="T24" s="56">
        <f>ROUND((Tabla3[[#This Row],[PRECIO DE VENTA AÑO 4]]*(1+$G$11)),0)</f>
        <v>108031</v>
      </c>
      <c r="U24" s="56">
        <f>Tabla3[[#This Row],[UNIDADES PRODUCIDAS AÑO 5]]*Tabla3[[#This Row],[PRECIO DE VENTA AÑO 5]]</f>
        <v>70220150</v>
      </c>
      <c r="V24" s="64">
        <f>IF(Tabla3[[#This Row],[UNIDADES PRODUCIDAS AÑO 4]]=0,0,(Tabla3[[#This Row],[UNIDADES PRODUCIDAS AÑO 5]]-Tabla3[[#This Row],[UNIDADES PRODUCIDAS AÑO 4]])/Tabla3[[#This Row],[UNIDADES PRODUCIDAS AÑO 4]])</f>
        <v>6.5573770491803282E-2</v>
      </c>
    </row>
    <row r="25" spans="2:31" ht="15.75" x14ac:dyDescent="0.25">
      <c r="B25" s="127"/>
      <c r="C25" s="67"/>
      <c r="D25" s="67"/>
      <c r="E25" s="68"/>
      <c r="F25" s="432"/>
      <c r="G25" s="433"/>
      <c r="H25" s="432"/>
      <c r="I25" s="432"/>
      <c r="J25" s="434"/>
      <c r="K25" s="433"/>
      <c r="L25" s="432"/>
      <c r="M25" s="432"/>
      <c r="N25" s="434"/>
      <c r="O25" s="433"/>
      <c r="P25" s="432"/>
      <c r="Q25" s="432"/>
      <c r="R25" s="435"/>
      <c r="S25" s="433"/>
      <c r="T25" s="432"/>
      <c r="U25" s="432"/>
      <c r="V25" s="435"/>
      <c r="W25" s="74"/>
      <c r="X25" s="74"/>
      <c r="Y25" s="74"/>
    </row>
    <row r="26" spans="2:31" ht="15.75" thickBot="1" x14ac:dyDescent="0.3"/>
    <row r="27" spans="2:31" ht="16.5" thickBot="1" x14ac:dyDescent="0.3">
      <c r="B27" s="547" t="s">
        <v>347</v>
      </c>
      <c r="C27" s="548"/>
      <c r="D27" s="548"/>
      <c r="E27" s="548"/>
      <c r="F27" s="57">
        <f>SUM(Tabla3[VENTA ANUAL AÑO 1])</f>
        <v>149000000</v>
      </c>
      <c r="G27" s="58"/>
      <c r="H27" s="58"/>
      <c r="I27" s="57">
        <f>SUM(Tabla3[VENTA ANUAL AÑO 2])</f>
        <v>186262650</v>
      </c>
      <c r="J27" s="57"/>
      <c r="K27" s="58"/>
      <c r="L27" s="58"/>
      <c r="M27" s="57">
        <f>SUM(Tabla3[VENTA ANUAL AÑO 3])</f>
        <v>227000080</v>
      </c>
      <c r="N27" s="57"/>
      <c r="O27" s="58"/>
      <c r="P27" s="58"/>
      <c r="Q27" s="57">
        <f>SUM(Tabla3[VENTA ANUAL AÑO 4])</f>
        <v>249652170</v>
      </c>
      <c r="R27" s="57"/>
      <c r="S27" s="58"/>
      <c r="T27" s="58"/>
      <c r="U27" s="57">
        <f>SUM(Tabla3[VENTA ANUAL AÑO 5])</f>
        <v>292115270</v>
      </c>
      <c r="V27" s="70"/>
    </row>
    <row r="28" spans="2:31" ht="16.5" thickBot="1" x14ac:dyDescent="0.3">
      <c r="B28" s="547" t="s">
        <v>38</v>
      </c>
      <c r="C28" s="548"/>
      <c r="D28" s="548"/>
      <c r="E28" s="548"/>
      <c r="F28" s="57">
        <f>F27*D7</f>
        <v>28310000</v>
      </c>
      <c r="G28" s="58"/>
      <c r="H28" s="58"/>
      <c r="I28" s="57">
        <f>I27*D8</f>
        <v>35389903.5</v>
      </c>
      <c r="J28" s="56"/>
      <c r="K28" s="58"/>
      <c r="L28" s="58"/>
      <c r="M28" s="56">
        <f>M27*D9</f>
        <v>43130015.200000003</v>
      </c>
      <c r="N28" s="56"/>
      <c r="O28" s="58"/>
      <c r="P28" s="58"/>
      <c r="Q28" s="56">
        <f>Q27*D10</f>
        <v>47433912.299999997</v>
      </c>
      <c r="R28" s="56"/>
      <c r="S28" s="58"/>
      <c r="T28" s="58"/>
      <c r="U28" s="56">
        <f>U27*D11</f>
        <v>55501901.299999997</v>
      </c>
      <c r="V28" s="70"/>
    </row>
    <row r="29" spans="2:31" ht="16.5" thickBot="1" x14ac:dyDescent="0.3">
      <c r="B29" s="547" t="s">
        <v>39</v>
      </c>
      <c r="C29" s="548"/>
      <c r="D29" s="548"/>
      <c r="E29" s="548"/>
      <c r="F29" s="57">
        <f>F27+F28</f>
        <v>177310000</v>
      </c>
      <c r="G29" s="58"/>
      <c r="H29" s="58"/>
      <c r="I29" s="57">
        <f>I27+I28</f>
        <v>221652553.5</v>
      </c>
      <c r="J29" s="56"/>
      <c r="K29" s="58"/>
      <c r="L29" s="58"/>
      <c r="M29" s="56">
        <f>M27+M28</f>
        <v>270130095.19999999</v>
      </c>
      <c r="N29" s="56"/>
      <c r="O29" s="58"/>
      <c r="P29" s="58"/>
      <c r="Q29" s="56">
        <f>Q27+Q28</f>
        <v>297086082.30000001</v>
      </c>
      <c r="R29" s="56"/>
      <c r="S29" s="58"/>
      <c r="T29" s="58"/>
      <c r="U29" s="56">
        <f>U27+U28</f>
        <v>347617171.30000001</v>
      </c>
      <c r="V29" s="70"/>
    </row>
  </sheetData>
  <sheetProtection algorithmName="SHA-512" hashValue="/S4SrJ6eMfx1CdKnkEkClJOzutjFV3F+ukLsmFbDlwJxe+RxNzVvopygeGFg3ro0lntVd8osFgLk6buxm13hgw==" saltValue="UWJ3SfaI002Us2rdW8xsBg==" spinCount="100000" sheet="1" objects="1" scenarios="1"/>
  <protectedRanges>
    <protectedRange algorithmName="SHA-512" hashValue="PI1FzmXxdjjbHe5ES7fZfhUBXFhVbo1bnvXE/2xlVmPC4IwsJyGU/90VUCFxrzbzt+Y/Gh4Eo/9shgSNWz2Dkg==" saltValue="8n1+OIXmuy91Y+3uFbTkOA==" spinCount="100000" sqref="B19:B25" name="Código"/>
  </protectedRanges>
  <mergeCells count="16">
    <mergeCell ref="B29:E29"/>
    <mergeCell ref="B7:B11"/>
    <mergeCell ref="E7:E11"/>
    <mergeCell ref="D17:F17"/>
    <mergeCell ref="G17:J17"/>
    <mergeCell ref="B27:E27"/>
    <mergeCell ref="D18:F18"/>
    <mergeCell ref="G18:J18"/>
    <mergeCell ref="B4:V5"/>
    <mergeCell ref="S18:V18"/>
    <mergeCell ref="S17:V17"/>
    <mergeCell ref="K18:N18"/>
    <mergeCell ref="B28:E28"/>
    <mergeCell ref="K17:N17"/>
    <mergeCell ref="O18:R18"/>
    <mergeCell ref="O17:R17"/>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2:OT206"/>
  <sheetViews>
    <sheetView showGridLines="0" tabSelected="1" topLeftCell="A124" zoomScale="60" zoomScaleNormal="60" workbookViewId="0">
      <selection activeCell="I189" sqref="I189"/>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3" width="17" style="2" customWidth="1"/>
    <col min="24" max="24" width="21" style="2" bestFit="1" customWidth="1"/>
    <col min="25" max="25" width="17" style="2" customWidth="1"/>
    <col min="26" max="27" width="29.140625" style="2" customWidth="1"/>
    <col min="28" max="28" width="37.85546875" style="2" customWidth="1"/>
    <col min="29" max="29" width="29.140625" style="2" customWidth="1"/>
    <col min="30" max="30" width="37.85546875" style="2" customWidth="1"/>
    <col min="31" max="31" width="29.140625" style="2" customWidth="1"/>
    <col min="32" max="32" width="37.85546875" style="2" customWidth="1"/>
    <col min="33" max="33" width="29.140625" style="2" customWidth="1"/>
    <col min="34" max="34" width="37.85546875" style="2" customWidth="1"/>
    <col min="35" max="35" width="29.140625" style="2" customWidth="1"/>
    <col min="36" max="40" width="26" style="2" customWidth="1"/>
    <col min="41" max="43" width="14.7109375" style="2" customWidth="1"/>
    <col min="44" max="44" width="14.85546875" style="2" customWidth="1"/>
    <col min="45" max="45" width="14.7109375" style="2" customWidth="1"/>
    <col min="46" max="47" width="29.140625" style="2" customWidth="1"/>
    <col min="48" max="48" width="37.85546875" style="2" customWidth="1"/>
    <col min="49" max="49" width="29.140625" style="2" customWidth="1"/>
    <col min="50" max="50" width="37.85546875" style="2" customWidth="1"/>
    <col min="51" max="51" width="29.140625" style="2" customWidth="1"/>
    <col min="52" max="52" width="37.5703125" style="2" customWidth="1"/>
    <col min="53" max="53" width="29.140625" style="2" customWidth="1"/>
    <col min="54" max="54" width="37.85546875" style="2"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7" width="29.140625" style="2" customWidth="1"/>
    <col min="68" max="68" width="37.85546875" style="2" customWidth="1"/>
    <col min="69" max="69" width="29.140625" style="2" customWidth="1"/>
    <col min="70" max="70" width="37.85546875" style="2" customWidth="1"/>
    <col min="71" max="71" width="29.140625" style="2" customWidth="1"/>
    <col min="72" max="72" width="37.85546875" style="2" customWidth="1"/>
    <col min="73" max="73" width="29.140625" style="2" customWidth="1"/>
    <col min="74" max="74" width="37.85546875" style="2" customWidth="1"/>
    <col min="75" max="75" width="29.140625" style="2" customWidth="1"/>
    <col min="76" max="80" width="26" style="2" customWidth="1"/>
    <col min="81" max="85" width="14.7109375" style="2" customWidth="1"/>
    <col min="86" max="87" width="29.140625" style="2" customWidth="1"/>
    <col min="88" max="88" width="37.85546875" style="2" customWidth="1"/>
    <col min="89" max="89" width="29.140625" style="2" customWidth="1"/>
    <col min="90" max="90" width="37.85546875" style="2" customWidth="1"/>
    <col min="91" max="91" width="29.140625" style="2" customWidth="1"/>
    <col min="92" max="92" width="37.85546875" style="2" customWidth="1"/>
    <col min="93" max="93" width="29.140625" style="2" customWidth="1"/>
    <col min="94" max="94" width="37.85546875" style="2" customWidth="1"/>
    <col min="95" max="95" width="29.140625" style="2" customWidth="1"/>
    <col min="96" max="100" width="26" style="2" customWidth="1"/>
    <col min="101" max="105" width="14.7109375" style="2" customWidth="1"/>
    <col min="106" max="107" width="29.140625" style="2" customWidth="1"/>
    <col min="108" max="108" width="37.85546875" style="2" customWidth="1"/>
    <col min="109" max="109" width="29.140625" style="2" customWidth="1"/>
    <col min="110" max="110" width="37.85546875" style="2" customWidth="1"/>
    <col min="111" max="111" width="29.140625" style="2" customWidth="1"/>
    <col min="112" max="112" width="37.85546875" style="2" customWidth="1"/>
    <col min="113" max="113" width="29.140625" style="2" customWidth="1"/>
    <col min="114" max="114" width="37.85546875" style="2"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7" width="29.140625" style="2" customWidth="1"/>
    <col min="128" max="128" width="37.85546875" style="2" customWidth="1"/>
    <col min="129" max="129" width="29.140625" style="2" customWidth="1"/>
    <col min="130" max="130" width="37.85546875" style="2" customWidth="1"/>
    <col min="131" max="131" width="29.140625" style="2" customWidth="1"/>
    <col min="132" max="132" width="37.85546875" style="2" customWidth="1"/>
    <col min="133" max="133" width="29.140625" style="2" customWidth="1"/>
    <col min="134" max="134" width="37.85546875" style="2" customWidth="1"/>
    <col min="135" max="135" width="29.140625" style="2" customWidth="1"/>
    <col min="136" max="140" width="26" style="2" customWidth="1"/>
    <col min="141" max="145" width="14.7109375" style="2" customWidth="1"/>
    <col min="146" max="147" width="29.140625" style="2" customWidth="1"/>
    <col min="148" max="148" width="37.85546875" style="2" customWidth="1"/>
    <col min="149" max="149" width="29.140625" style="2" customWidth="1"/>
    <col min="150" max="150" width="37.7109375" style="2" customWidth="1"/>
    <col min="151" max="151" width="29.140625" style="2" customWidth="1"/>
    <col min="152" max="152" width="37.85546875" style="2" customWidth="1"/>
    <col min="153" max="153" width="29.140625" style="2" customWidth="1"/>
    <col min="154" max="154" width="37.85546875" style="2" customWidth="1"/>
    <col min="155" max="155" width="29" style="2" customWidth="1"/>
    <col min="156" max="156" width="26.140625" style="2" customWidth="1"/>
    <col min="157" max="160" width="26" style="2" customWidth="1"/>
    <col min="161" max="165" width="14.7109375" style="2" customWidth="1"/>
    <col min="166" max="167" width="29.140625" style="2" customWidth="1"/>
    <col min="168" max="168" width="37.85546875" style="2" customWidth="1"/>
    <col min="169" max="169" width="29.140625" style="2" customWidth="1"/>
    <col min="170" max="170" width="37.85546875" style="2" customWidth="1"/>
    <col min="171" max="171" width="29.140625" style="2" customWidth="1"/>
    <col min="172" max="172" width="37.85546875" style="2" customWidth="1"/>
    <col min="173" max="173" width="29.140625" style="2" customWidth="1"/>
    <col min="174" max="174" width="37.85546875" style="2" customWidth="1"/>
    <col min="175" max="175" width="29.140625" style="2" customWidth="1"/>
    <col min="176" max="180" width="26" style="2" customWidth="1"/>
    <col min="181" max="185" width="14.7109375" style="2" customWidth="1"/>
    <col min="186" max="187" width="29.140625" style="2" customWidth="1"/>
    <col min="188" max="188" width="37.85546875" style="2" customWidth="1"/>
    <col min="189" max="189" width="29.140625" style="2" customWidth="1"/>
    <col min="190" max="190" width="37.7109375" style="2" customWidth="1"/>
    <col min="191" max="191" width="29" style="2" customWidth="1"/>
    <col min="192" max="192" width="37.85546875" style="2" customWidth="1"/>
    <col min="193" max="193" width="29.140625" style="2" customWidth="1"/>
    <col min="194" max="194" width="37.85546875" style="2" customWidth="1"/>
    <col min="195" max="195" width="29.140625" style="2" customWidth="1"/>
    <col min="196" max="200" width="26" style="2" customWidth="1"/>
    <col min="201" max="205" width="14.7109375" style="2" customWidth="1"/>
    <col min="206" max="207" width="29.140625" style="2" customWidth="1"/>
    <col min="208" max="208" width="37.85546875" style="2" customWidth="1"/>
    <col min="209" max="209" width="29.140625" style="2" customWidth="1"/>
    <col min="210" max="210" width="37.85546875" style="2" customWidth="1"/>
    <col min="211" max="211" width="29.140625" style="2" customWidth="1"/>
    <col min="212" max="212" width="37.85546875" style="2" customWidth="1"/>
    <col min="213" max="213" width="29.140625" style="2" customWidth="1"/>
    <col min="214" max="214" width="37.85546875" style="2"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customWidth="1"/>
    <col min="227" max="227" width="29.140625" style="2" customWidth="1"/>
    <col min="228" max="228" width="37.85546875" style="2" customWidth="1"/>
    <col min="229" max="229" width="29.140625" style="2" customWidth="1"/>
    <col min="230" max="230" width="37.7109375" style="2" customWidth="1"/>
    <col min="231" max="231" width="29.140625" style="2" customWidth="1"/>
    <col min="232" max="232" width="37.85546875" style="2" customWidth="1"/>
    <col min="233" max="233" width="29.140625" style="2" customWidth="1"/>
    <col min="234" max="234" width="37.85546875" style="2" customWidth="1"/>
    <col min="235" max="235" width="29.140625" style="2" customWidth="1"/>
    <col min="236" max="240" width="26" style="2" customWidth="1"/>
    <col min="241" max="245" width="14.7109375" style="2" customWidth="1"/>
    <col min="246" max="246" width="29" style="2" customWidth="1"/>
    <col min="247" max="247" width="29.140625" style="2" customWidth="1"/>
    <col min="248" max="248" width="37.85546875" style="2" customWidth="1"/>
    <col min="249" max="249" width="29.140625" style="2" customWidth="1"/>
    <col min="250" max="250" width="37.85546875" style="2" customWidth="1"/>
    <col min="251" max="251" width="29.140625" style="2" customWidth="1"/>
    <col min="252" max="252" width="37.85546875" style="2" customWidth="1"/>
    <col min="253" max="253" width="29.140625" style="2" customWidth="1"/>
    <col min="254" max="254" width="37.85546875" style="2" customWidth="1"/>
    <col min="255" max="255" width="29.140625" style="2" customWidth="1"/>
    <col min="256" max="260" width="26" style="2" customWidth="1"/>
    <col min="261" max="265" width="14.7109375" style="2" customWidth="1"/>
    <col min="266" max="267" width="29.140625" style="2" customWidth="1"/>
    <col min="268" max="268" width="37.85546875" style="2" customWidth="1"/>
    <col min="269" max="269" width="29.140625" style="2" customWidth="1"/>
    <col min="270" max="270" width="37.85546875" style="2" customWidth="1"/>
    <col min="271" max="271" width="29.140625" style="2" customWidth="1"/>
    <col min="272" max="272" width="37.85546875" style="2" customWidth="1"/>
    <col min="273" max="273" width="29.140625" style="2" customWidth="1"/>
    <col min="274" max="274" width="37.85546875" style="2" customWidth="1"/>
    <col min="275" max="275" width="29.140625" style="2" customWidth="1"/>
    <col min="276" max="280" width="26" style="2" customWidth="1"/>
    <col min="281" max="285" width="14.7109375" style="2" customWidth="1"/>
    <col min="286" max="287" width="29.140625" style="2" customWidth="1"/>
    <col min="288" max="288" width="37.85546875" style="2" customWidth="1"/>
    <col min="289" max="289" width="29.140625" style="2" customWidth="1"/>
    <col min="290" max="290" width="37.5703125" style="2" customWidth="1"/>
    <col min="291" max="291" width="29.140625" style="2" customWidth="1"/>
    <col min="292" max="292" width="37.5703125" style="2" customWidth="1"/>
    <col min="293" max="293" width="29.140625" style="2" customWidth="1"/>
    <col min="294" max="294" width="37.85546875" style="2"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customWidth="1"/>
    <col min="307" max="307" width="29" style="2" customWidth="1"/>
    <col min="308" max="308" width="37.85546875" style="2" customWidth="1"/>
    <col min="309" max="309" width="29.140625" style="2" customWidth="1"/>
    <col min="310" max="310" width="37.85546875" style="2" customWidth="1"/>
    <col min="311" max="311" width="29" style="2" customWidth="1"/>
    <col min="312" max="312" width="37.7109375" style="2" customWidth="1"/>
    <col min="313" max="313" width="29.140625" style="2" customWidth="1"/>
    <col min="314" max="314" width="37.85546875" style="2"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7" width="29.140625" style="2" customWidth="1"/>
    <col min="328" max="328" width="37.7109375" style="2" customWidth="1"/>
    <col min="329" max="329" width="29.140625" style="2" customWidth="1"/>
    <col min="330" max="330" width="37.85546875" style="2" customWidth="1"/>
    <col min="331" max="331" width="29.140625" style="2" customWidth="1"/>
    <col min="332" max="332" width="37.85546875" style="2" customWidth="1"/>
    <col min="333" max="333" width="29.140625" style="2" customWidth="1"/>
    <col min="334" max="334" width="37.85546875" style="2" customWidth="1"/>
    <col min="335" max="335" width="29.140625" style="2" customWidth="1"/>
    <col min="336" max="340" width="26" style="2" customWidth="1"/>
    <col min="341" max="345" width="14.7109375" style="2" customWidth="1"/>
    <col min="346" max="346" width="29.140625" style="2" customWidth="1"/>
    <col min="347" max="347" width="29" style="2" customWidth="1"/>
    <col min="348" max="348" width="37.85546875" style="2" customWidth="1"/>
    <col min="349" max="349" width="29.140625" style="2" customWidth="1"/>
    <col min="350" max="350" width="37.85546875" style="2" customWidth="1"/>
    <col min="351" max="351" width="29" style="2" customWidth="1"/>
    <col min="352" max="352" width="37.85546875" style="2" customWidth="1"/>
    <col min="353" max="353" width="28.7109375" style="2" customWidth="1"/>
    <col min="354" max="354" width="37.7109375" style="2"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customWidth="1"/>
    <col min="367" max="367" width="29" style="2" customWidth="1"/>
    <col min="368" max="368" width="37.85546875" style="2" customWidth="1"/>
    <col min="369" max="369" width="29.140625" style="2" customWidth="1"/>
    <col min="370" max="370" width="37.85546875" style="2" customWidth="1"/>
    <col min="371" max="371" width="29.140625" style="2" customWidth="1"/>
    <col min="372" max="372" width="37.85546875" style="2" customWidth="1"/>
    <col min="373" max="373" width="29.140625" style="2" customWidth="1"/>
    <col min="374" max="374" width="37.85546875" style="2"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7" width="29.140625" style="2" customWidth="1"/>
    <col min="388" max="388" width="37.85546875" style="2" customWidth="1"/>
    <col min="389" max="389" width="29.140625" style="2" customWidth="1"/>
    <col min="390" max="390" width="37.85546875" style="2" customWidth="1"/>
    <col min="391" max="391" width="29.140625" style="2" customWidth="1"/>
    <col min="392" max="392" width="37.85546875" style="2" customWidth="1"/>
    <col min="393" max="393" width="29.140625" style="2" customWidth="1"/>
    <col min="394" max="394" width="37.85546875" style="2"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2" spans="2:7" ht="15.75" x14ac:dyDescent="0.25">
      <c r="B2" s="331" t="s">
        <v>440</v>
      </c>
      <c r="C2" s="332" t="str">
        <f>Instrucciones!E3</f>
        <v>Arreglos florales</v>
      </c>
    </row>
    <row r="5" spans="2:7" ht="15.75" x14ac:dyDescent="0.25">
      <c r="B5" s="601" t="s">
        <v>441</v>
      </c>
      <c r="C5" s="601"/>
      <c r="D5" s="601"/>
      <c r="E5" s="601"/>
      <c r="F5" s="601"/>
      <c r="G5" s="601"/>
    </row>
    <row r="11" spans="2:7" ht="15.75" x14ac:dyDescent="0.25">
      <c r="B11" s="69" t="s">
        <v>43</v>
      </c>
      <c r="C11" s="69" t="s">
        <v>40</v>
      </c>
      <c r="D11" s="69" t="s">
        <v>445</v>
      </c>
    </row>
    <row r="12" spans="2:7" ht="15.75" x14ac:dyDescent="0.25">
      <c r="B12" s="333" t="s">
        <v>1207</v>
      </c>
      <c r="C12" s="334" t="s">
        <v>1208</v>
      </c>
      <c r="D12" s="335">
        <v>600</v>
      </c>
    </row>
    <row r="13" spans="2:7" ht="15.75" x14ac:dyDescent="0.25">
      <c r="B13" s="336" t="s">
        <v>1209</v>
      </c>
      <c r="C13" s="337" t="s">
        <v>1227</v>
      </c>
      <c r="D13" s="338">
        <v>80</v>
      </c>
    </row>
    <row r="14" spans="2:7" ht="15.75" x14ac:dyDescent="0.25">
      <c r="B14" s="336" t="s">
        <v>1210</v>
      </c>
      <c r="C14" s="337" t="s">
        <v>1228</v>
      </c>
      <c r="D14" s="338">
        <v>50</v>
      </c>
    </row>
    <row r="15" spans="2:7" ht="15.75" x14ac:dyDescent="0.25">
      <c r="B15" s="336" t="s">
        <v>1211</v>
      </c>
      <c r="C15" s="337" t="s">
        <v>1228</v>
      </c>
      <c r="D15" s="338">
        <v>170</v>
      </c>
    </row>
    <row r="16" spans="2:7" ht="15.75" x14ac:dyDescent="0.25">
      <c r="B16" s="336" t="s">
        <v>1212</v>
      </c>
      <c r="C16" s="337" t="s">
        <v>1229</v>
      </c>
      <c r="D16" s="338">
        <v>3000</v>
      </c>
    </row>
    <row r="17" spans="2:4" ht="15.75" x14ac:dyDescent="0.25">
      <c r="B17" s="336" t="s">
        <v>1213</v>
      </c>
      <c r="C17" s="337" t="s">
        <v>1230</v>
      </c>
      <c r="D17" s="338">
        <v>2500</v>
      </c>
    </row>
    <row r="18" spans="2:4" ht="15.75" x14ac:dyDescent="0.25">
      <c r="B18" s="336" t="s">
        <v>1214</v>
      </c>
      <c r="C18" s="337" t="s">
        <v>1228</v>
      </c>
      <c r="D18" s="338">
        <v>170</v>
      </c>
    </row>
    <row r="19" spans="2:4" ht="15.75" x14ac:dyDescent="0.25">
      <c r="B19" s="336" t="s">
        <v>1215</v>
      </c>
      <c r="C19" s="337" t="s">
        <v>1231</v>
      </c>
      <c r="D19" s="338">
        <v>300</v>
      </c>
    </row>
    <row r="20" spans="2:4" ht="15.75" x14ac:dyDescent="0.25">
      <c r="B20" s="336" t="s">
        <v>1216</v>
      </c>
      <c r="C20" s="337" t="s">
        <v>1230</v>
      </c>
      <c r="D20" s="338">
        <v>4500</v>
      </c>
    </row>
    <row r="21" spans="2:4" ht="15.75" x14ac:dyDescent="0.25">
      <c r="B21" s="336" t="s">
        <v>1217</v>
      </c>
      <c r="C21" s="337" t="s">
        <v>1232</v>
      </c>
      <c r="D21" s="338">
        <v>331.11</v>
      </c>
    </row>
    <row r="22" spans="2:4" ht="15.75" x14ac:dyDescent="0.25">
      <c r="B22" s="336" t="s">
        <v>1233</v>
      </c>
      <c r="C22" s="337" t="s">
        <v>1234</v>
      </c>
      <c r="D22" s="338">
        <v>1000</v>
      </c>
    </row>
    <row r="23" spans="2:4" ht="15.75" x14ac:dyDescent="0.25">
      <c r="B23" s="336" t="s">
        <v>1218</v>
      </c>
      <c r="C23" s="337" t="s">
        <v>1235</v>
      </c>
      <c r="D23" s="338">
        <v>1000</v>
      </c>
    </row>
    <row r="24" spans="2:4" ht="15.75" x14ac:dyDescent="0.25">
      <c r="B24" s="336" t="s">
        <v>1219</v>
      </c>
      <c r="C24" s="337" t="s">
        <v>1227</v>
      </c>
      <c r="D24" s="338">
        <v>100</v>
      </c>
    </row>
    <row r="25" spans="2:4" ht="15.75" x14ac:dyDescent="0.25">
      <c r="B25" s="336" t="s">
        <v>1220</v>
      </c>
      <c r="C25" s="337" t="s">
        <v>1236</v>
      </c>
      <c r="D25" s="338">
        <v>1000</v>
      </c>
    </row>
    <row r="26" spans="2:4" ht="15.75" x14ac:dyDescent="0.25">
      <c r="B26" s="336" t="s">
        <v>1221</v>
      </c>
      <c r="C26" s="337" t="s">
        <v>1230</v>
      </c>
      <c r="D26" s="338">
        <v>4000</v>
      </c>
    </row>
    <row r="27" spans="2:4" ht="15.75" x14ac:dyDescent="0.25">
      <c r="B27" s="336" t="s">
        <v>1222</v>
      </c>
      <c r="C27" s="337" t="s">
        <v>1237</v>
      </c>
      <c r="D27" s="338">
        <v>1250</v>
      </c>
    </row>
    <row r="28" spans="2:4" ht="15.75" x14ac:dyDescent="0.25">
      <c r="B28" s="336" t="s">
        <v>1223</v>
      </c>
      <c r="C28" s="337" t="s">
        <v>1238</v>
      </c>
      <c r="D28" s="338">
        <v>220</v>
      </c>
    </row>
    <row r="29" spans="2:4" ht="15.75" x14ac:dyDescent="0.25">
      <c r="B29" s="336" t="s">
        <v>1224</v>
      </c>
      <c r="C29" s="337" t="s">
        <v>1239</v>
      </c>
      <c r="D29" s="338">
        <v>500</v>
      </c>
    </row>
    <row r="30" spans="2:4" ht="15.75" x14ac:dyDescent="0.25">
      <c r="B30" s="336" t="s">
        <v>1225</v>
      </c>
      <c r="C30" s="337" t="s">
        <v>1230</v>
      </c>
      <c r="D30" s="338">
        <v>10000</v>
      </c>
    </row>
    <row r="31" spans="2:4" ht="15.75" x14ac:dyDescent="0.25">
      <c r="B31" s="339" t="s">
        <v>1226</v>
      </c>
      <c r="C31" s="340" t="s">
        <v>1240</v>
      </c>
      <c r="D31" s="341">
        <v>750</v>
      </c>
    </row>
    <row r="32" spans="2:4" ht="15.75" x14ac:dyDescent="0.25">
      <c r="B32" s="135"/>
      <c r="C32" s="135"/>
      <c r="D32" s="135"/>
    </row>
    <row r="37" spans="3:40" ht="15.75" x14ac:dyDescent="0.25">
      <c r="C37" s="342"/>
      <c r="D37" s="342"/>
      <c r="E37" s="342"/>
      <c r="F37" s="602" t="s">
        <v>444</v>
      </c>
      <c r="G37" s="602"/>
      <c r="H37" s="602"/>
      <c r="I37" s="602"/>
      <c r="J37" s="602"/>
      <c r="K37" s="602"/>
      <c r="L37" s="602"/>
      <c r="M37" s="602"/>
      <c r="N37" s="602"/>
      <c r="O37" s="602"/>
      <c r="P37" s="602"/>
      <c r="Q37" s="602"/>
      <c r="R37" s="602"/>
      <c r="S37" s="602"/>
      <c r="T37" s="602"/>
      <c r="U37" s="602"/>
      <c r="V37" s="602"/>
      <c r="W37" s="602"/>
      <c r="X37" s="602"/>
      <c r="Y37" s="602"/>
      <c r="Z37" s="327"/>
      <c r="AA37" s="327"/>
      <c r="AB37" s="327"/>
      <c r="AC37" s="327"/>
      <c r="AD37" s="327"/>
      <c r="AE37" s="327"/>
      <c r="AF37" s="327"/>
      <c r="AG37" s="327"/>
      <c r="AH37" s="327"/>
      <c r="AI37" s="327"/>
      <c r="AJ37" s="327"/>
      <c r="AK37" s="327"/>
      <c r="AL37" s="327"/>
      <c r="AM37" s="327"/>
      <c r="AN37" s="327"/>
    </row>
    <row r="38" spans="3:40" ht="15.75" x14ac:dyDescent="0.25">
      <c r="C38" s="69" t="s">
        <v>442</v>
      </c>
      <c r="D38" s="69" t="s">
        <v>443</v>
      </c>
      <c r="E38" s="342"/>
      <c r="F38" s="358" t="str" cm="1">
        <f t="array" ref="F38:Y38">TRANSPOSE(Tabla9[[MATERIA PRIMA E INSUMOS ]])</f>
        <v>Rosas</v>
      </c>
      <c r="G38" s="358" t="str">
        <v>Tarjeta</v>
      </c>
      <c r="H38" s="358" t="str">
        <v>Bolsa</v>
      </c>
      <c r="I38" s="358" t="str">
        <v>Caucho</v>
      </c>
      <c r="J38" s="358" t="str">
        <v>Cuadrado de 50 cms de fique</v>
      </c>
      <c r="K38" s="358" t="str">
        <v xml:space="preserve">Globo </v>
      </c>
      <c r="L38" s="358" t="str">
        <v xml:space="preserve">Soporte mensaje </v>
      </c>
      <c r="M38" s="358" t="str">
        <v xml:space="preserve">Moño spider </v>
      </c>
      <c r="N38" s="358" t="str">
        <v xml:space="preserve">Caja cartón rectangular roja </v>
      </c>
      <c r="O38" s="358" t="str">
        <v>Cinta tela satinada</v>
      </c>
      <c r="P38" s="358" t="str">
        <v>Gypsophilia (follaje)</v>
      </c>
      <c r="Q38" s="358" t="str">
        <v>Chocolates ferrero</v>
      </c>
      <c r="R38" s="358" t="str">
        <v>Sticker</v>
      </c>
      <c r="S38" s="358" t="str">
        <v>Aluminio</v>
      </c>
      <c r="T38" s="358" t="str">
        <v>Caja cartón corazón</v>
      </c>
      <c r="U38" s="358" t="str">
        <v>Espuma floral</v>
      </c>
      <c r="V38" s="358" t="str">
        <v>Moño brillante</v>
      </c>
      <c r="W38" s="358" t="str">
        <v>Acuapic</v>
      </c>
      <c r="X38" s="358" t="str">
        <v>Caja alargada de rosas</v>
      </c>
      <c r="Y38" s="358" t="str">
        <v>Tornasol</v>
      </c>
      <c r="Z38" s="328"/>
      <c r="AA38" s="328"/>
      <c r="AB38" s="328"/>
      <c r="AC38" s="328"/>
      <c r="AD38" s="328"/>
      <c r="AE38" s="328"/>
      <c r="AF38" s="328"/>
      <c r="AG38" s="328"/>
      <c r="AH38" s="328"/>
      <c r="AI38" s="328"/>
      <c r="AJ38" s="328"/>
      <c r="AK38" s="328"/>
      <c r="AL38" s="328"/>
      <c r="AM38" s="328"/>
      <c r="AN38" s="328"/>
    </row>
    <row r="39" spans="3:40" ht="15.75" x14ac:dyDescent="0.25">
      <c r="C39" s="436">
        <v>0</v>
      </c>
      <c r="D39" s="92" t="str">
        <f>VLOOKUP(Tabla11[[#This Row],[CÓDIGO DEL PRODUCTO Y/O SERVICIO ]],Tabla3[],2)</f>
        <v xml:space="preserve">Seleccionar producto o servicio </v>
      </c>
      <c r="E39" s="437"/>
      <c r="F39" s="92"/>
      <c r="G39" s="92"/>
      <c r="H39" s="92"/>
      <c r="I39" s="92"/>
      <c r="J39" s="92"/>
      <c r="K39" s="92"/>
      <c r="L39" s="92"/>
      <c r="M39" s="92"/>
      <c r="N39" s="92"/>
      <c r="O39" s="92"/>
      <c r="P39" s="92"/>
      <c r="Q39" s="92"/>
      <c r="R39" s="92"/>
      <c r="S39" s="92"/>
      <c r="T39" s="92"/>
      <c r="U39" s="92"/>
      <c r="V39" s="92"/>
      <c r="W39" s="92"/>
      <c r="X39" s="92"/>
      <c r="Y39" s="92"/>
      <c r="Z39" s="85"/>
      <c r="AA39" s="85"/>
      <c r="AB39" s="85"/>
      <c r="AC39" s="85"/>
      <c r="AD39" s="85"/>
      <c r="AE39" s="85"/>
      <c r="AF39" s="85"/>
      <c r="AG39" s="85"/>
      <c r="AH39" s="85"/>
      <c r="AI39" s="85"/>
      <c r="AJ39" s="85"/>
      <c r="AK39" s="85"/>
      <c r="AL39" s="85"/>
      <c r="AM39" s="85"/>
      <c r="AN39" s="85"/>
    </row>
    <row r="40" spans="3:40" ht="15.75" x14ac:dyDescent="0.25">
      <c r="C40" s="136">
        <v>1</v>
      </c>
      <c r="D40" s="92" t="str">
        <f>VLOOKUP(Tabla11[[#This Row],[CÓDIGO DEL PRODUCTO Y/O SERVICIO ]],Tabla3[],2)</f>
        <v>Amor Amor</v>
      </c>
      <c r="E40" s="437"/>
      <c r="F40" s="104">
        <v>15</v>
      </c>
      <c r="G40" s="104">
        <v>1</v>
      </c>
      <c r="H40" s="104">
        <v>2</v>
      </c>
      <c r="I40" s="104">
        <v>1</v>
      </c>
      <c r="J40" s="104">
        <v>1</v>
      </c>
      <c r="K40" s="104">
        <v>1</v>
      </c>
      <c r="L40" s="104">
        <v>1</v>
      </c>
      <c r="M40" s="104">
        <v>4</v>
      </c>
      <c r="N40" s="104"/>
      <c r="O40" s="104"/>
      <c r="P40" s="104"/>
      <c r="Q40" s="104"/>
      <c r="R40" s="104">
        <v>1</v>
      </c>
      <c r="S40" s="104"/>
      <c r="T40" s="104"/>
      <c r="U40" s="104"/>
      <c r="V40" s="104"/>
      <c r="W40" s="104"/>
      <c r="X40" s="104"/>
      <c r="Y40" s="104"/>
      <c r="Z40" s="85"/>
      <c r="AA40" s="85"/>
      <c r="AB40" s="85"/>
      <c r="AC40" s="85"/>
      <c r="AD40" s="85"/>
      <c r="AE40" s="85"/>
      <c r="AF40" s="85"/>
      <c r="AG40" s="85"/>
      <c r="AH40" s="85"/>
      <c r="AI40" s="85"/>
      <c r="AJ40" s="85"/>
      <c r="AK40" s="85"/>
      <c r="AL40" s="85"/>
      <c r="AM40" s="85"/>
      <c r="AN40" s="85"/>
    </row>
    <row r="41" spans="3:40" ht="15.75" x14ac:dyDescent="0.25">
      <c r="C41" s="136">
        <v>2</v>
      </c>
      <c r="D41" s="92" t="str">
        <f>VLOOKUP(Tabla11[[#This Row],[CÓDIGO DEL PRODUCTO Y/O SERVICIO ]],Tabla3[],2)</f>
        <v>Tierno Corazón</v>
      </c>
      <c r="E41" s="6"/>
      <c r="F41" s="71">
        <v>18</v>
      </c>
      <c r="G41" s="71">
        <v>1</v>
      </c>
      <c r="H41" s="71"/>
      <c r="I41" s="71"/>
      <c r="J41" s="71"/>
      <c r="K41" s="71"/>
      <c r="L41" s="71">
        <v>1</v>
      </c>
      <c r="M41" s="71"/>
      <c r="N41" s="71">
        <v>1</v>
      </c>
      <c r="O41" s="71">
        <v>1</v>
      </c>
      <c r="P41" s="71">
        <v>1</v>
      </c>
      <c r="Q41" s="71"/>
      <c r="R41" s="71">
        <v>1</v>
      </c>
      <c r="S41" s="71"/>
      <c r="T41" s="71"/>
      <c r="U41" s="71"/>
      <c r="V41" s="71"/>
      <c r="W41" s="71"/>
      <c r="X41" s="71"/>
      <c r="Y41" s="71"/>
      <c r="Z41" s="85"/>
      <c r="AA41" s="85"/>
      <c r="AB41" s="85"/>
      <c r="AC41" s="85"/>
      <c r="AD41" s="85"/>
      <c r="AE41" s="85"/>
      <c r="AF41" s="85"/>
      <c r="AG41" s="85"/>
      <c r="AH41" s="85"/>
      <c r="AI41" s="85"/>
      <c r="AJ41" s="85"/>
      <c r="AK41" s="85"/>
      <c r="AL41" s="85"/>
      <c r="AM41" s="85"/>
      <c r="AN41" s="85"/>
    </row>
    <row r="42" spans="3:40" ht="15.75" x14ac:dyDescent="0.25">
      <c r="C42" s="136">
        <v>3</v>
      </c>
      <c r="D42" s="92" t="str">
        <f>VLOOKUP(Tabla11[[#This Row],[CÓDIGO DEL PRODUCTO Y/O SERVICIO ]],Tabla3[],2)</f>
        <v>Caja de Rosas</v>
      </c>
      <c r="E42" s="6"/>
      <c r="F42" s="71">
        <v>9</v>
      </c>
      <c r="G42" s="71">
        <v>1</v>
      </c>
      <c r="H42" s="71"/>
      <c r="I42" s="71"/>
      <c r="J42" s="71"/>
      <c r="K42" s="71"/>
      <c r="L42" s="71">
        <v>1</v>
      </c>
      <c r="M42" s="71"/>
      <c r="N42" s="71"/>
      <c r="O42" s="71"/>
      <c r="P42" s="71"/>
      <c r="Q42" s="71">
        <v>13</v>
      </c>
      <c r="R42" s="71">
        <v>1</v>
      </c>
      <c r="S42" s="71">
        <v>1</v>
      </c>
      <c r="T42" s="71">
        <v>1</v>
      </c>
      <c r="U42" s="71">
        <v>1</v>
      </c>
      <c r="V42" s="71">
        <v>3</v>
      </c>
      <c r="W42" s="71"/>
      <c r="X42" s="71"/>
      <c r="Y42" s="71"/>
      <c r="Z42" s="135"/>
      <c r="AA42" s="135"/>
      <c r="AB42" s="135"/>
      <c r="AC42" s="135"/>
      <c r="AD42" s="135"/>
      <c r="AE42" s="135"/>
      <c r="AF42" s="135"/>
      <c r="AG42" s="135"/>
      <c r="AH42" s="135"/>
      <c r="AI42" s="135"/>
      <c r="AJ42" s="135"/>
      <c r="AK42" s="135"/>
      <c r="AL42" s="135"/>
      <c r="AM42" s="135"/>
      <c r="AN42" s="135"/>
    </row>
    <row r="43" spans="3:40" ht="15.75" x14ac:dyDescent="0.25">
      <c r="C43" s="136">
        <v>4</v>
      </c>
      <c r="D43" s="92" t="str">
        <f>VLOOKUP(Tabla11[[#This Row],[CÓDIGO DEL PRODUCTO Y/O SERVICIO ]],Tabla3[],2)</f>
        <v>Pureza Amor</v>
      </c>
      <c r="E43" s="6"/>
      <c r="F43" s="361">
        <v>24</v>
      </c>
      <c r="G43" s="361">
        <v>1</v>
      </c>
      <c r="H43" s="361"/>
      <c r="I43" s="361"/>
      <c r="J43" s="361"/>
      <c r="K43" s="361"/>
      <c r="L43" s="361">
        <v>1</v>
      </c>
      <c r="M43" s="361"/>
      <c r="N43" s="361"/>
      <c r="O43" s="361"/>
      <c r="P43" s="361"/>
      <c r="Q43" s="361"/>
      <c r="R43" s="361">
        <v>1</v>
      </c>
      <c r="S43" s="361"/>
      <c r="T43" s="361"/>
      <c r="U43" s="361"/>
      <c r="V43" s="361"/>
      <c r="W43" s="361">
        <v>24</v>
      </c>
      <c r="X43" s="361">
        <v>1</v>
      </c>
      <c r="Y43" s="361">
        <v>1</v>
      </c>
    </row>
    <row r="51" spans="3:410" ht="15.75" thickBot="1" x14ac:dyDescent="0.3"/>
    <row r="52" spans="3:410" ht="16.5" thickBot="1" x14ac:dyDescent="0.3">
      <c r="F52" s="610" t="str">
        <f>B12</f>
        <v>Rosas</v>
      </c>
      <c r="G52" s="611"/>
      <c r="H52" s="611"/>
      <c r="I52" s="611"/>
      <c r="J52" s="611"/>
      <c r="K52" s="611"/>
      <c r="L52" s="611"/>
      <c r="M52" s="611"/>
      <c r="N52" s="611"/>
      <c r="O52" s="611"/>
      <c r="P52" s="611"/>
      <c r="Q52" s="611"/>
      <c r="R52" s="611"/>
      <c r="S52" s="611"/>
      <c r="T52" s="611"/>
      <c r="U52" s="611"/>
      <c r="V52" s="611"/>
      <c r="W52" s="611"/>
      <c r="X52" s="611"/>
      <c r="Y52" s="612"/>
      <c r="Z52" s="606" t="str">
        <f>B13</f>
        <v>Tarjeta</v>
      </c>
      <c r="AA52" s="607"/>
      <c r="AB52" s="607"/>
      <c r="AC52" s="607"/>
      <c r="AD52" s="607"/>
      <c r="AE52" s="607"/>
      <c r="AF52" s="607"/>
      <c r="AG52" s="607"/>
      <c r="AH52" s="607"/>
      <c r="AI52" s="607"/>
      <c r="AJ52" s="607"/>
      <c r="AK52" s="607"/>
      <c r="AL52" s="607"/>
      <c r="AM52" s="607"/>
      <c r="AN52" s="607"/>
      <c r="AO52" s="607"/>
      <c r="AP52" s="607"/>
      <c r="AQ52" s="607"/>
      <c r="AR52" s="607"/>
      <c r="AS52" s="608"/>
      <c r="AT52" s="591" t="str">
        <f>B14</f>
        <v>Bolsa</v>
      </c>
      <c r="AU52" s="592"/>
      <c r="AV52" s="592"/>
      <c r="AW52" s="592"/>
      <c r="AX52" s="592"/>
      <c r="AY52" s="592"/>
      <c r="AZ52" s="592"/>
      <c r="BA52" s="592"/>
      <c r="BB52" s="592"/>
      <c r="BC52" s="592"/>
      <c r="BD52" s="592"/>
      <c r="BE52" s="592"/>
      <c r="BF52" s="592"/>
      <c r="BG52" s="592"/>
      <c r="BH52" s="592"/>
      <c r="BI52" s="592"/>
      <c r="BJ52" s="592"/>
      <c r="BK52" s="592"/>
      <c r="BL52" s="592"/>
      <c r="BM52" s="593"/>
      <c r="BN52" s="598" t="str">
        <f>B15</f>
        <v>Caucho</v>
      </c>
      <c r="BO52" s="599"/>
      <c r="BP52" s="599"/>
      <c r="BQ52" s="599"/>
      <c r="BR52" s="599"/>
      <c r="BS52" s="599"/>
      <c r="BT52" s="599"/>
      <c r="BU52" s="599"/>
      <c r="BV52" s="599"/>
      <c r="BW52" s="599"/>
      <c r="BX52" s="599"/>
      <c r="BY52" s="599"/>
      <c r="BZ52" s="599"/>
      <c r="CA52" s="599"/>
      <c r="CB52" s="599"/>
      <c r="CC52" s="599"/>
      <c r="CD52" s="599"/>
      <c r="CE52" s="599"/>
      <c r="CF52" s="599"/>
      <c r="CG52" s="600"/>
      <c r="CH52" s="591" t="str">
        <f>B16</f>
        <v>Cuadrado de 50 cms de fique</v>
      </c>
      <c r="CI52" s="592"/>
      <c r="CJ52" s="592"/>
      <c r="CK52" s="592"/>
      <c r="CL52" s="592"/>
      <c r="CM52" s="592"/>
      <c r="CN52" s="592"/>
      <c r="CO52" s="592"/>
      <c r="CP52" s="592"/>
      <c r="CQ52" s="592"/>
      <c r="CR52" s="592"/>
      <c r="CS52" s="592"/>
      <c r="CT52" s="592"/>
      <c r="CU52" s="592"/>
      <c r="CV52" s="592"/>
      <c r="CW52" s="592"/>
      <c r="CX52" s="592"/>
      <c r="CY52" s="592"/>
      <c r="CZ52" s="592"/>
      <c r="DA52" s="593"/>
      <c r="DB52" s="587" t="str">
        <f>B17</f>
        <v xml:space="preserve">Globo </v>
      </c>
      <c r="DC52" s="588"/>
      <c r="DD52" s="588"/>
      <c r="DE52" s="588"/>
      <c r="DF52" s="588"/>
      <c r="DG52" s="588"/>
      <c r="DH52" s="588"/>
      <c r="DI52" s="588"/>
      <c r="DJ52" s="588"/>
      <c r="DK52" s="588"/>
      <c r="DL52" s="588"/>
      <c r="DM52" s="588"/>
      <c r="DN52" s="588"/>
      <c r="DO52" s="588"/>
      <c r="DP52" s="588"/>
      <c r="DQ52" s="588"/>
      <c r="DR52" s="588"/>
      <c r="DS52" s="588"/>
      <c r="DT52" s="588"/>
      <c r="DU52" s="589"/>
      <c r="DV52" s="591" t="str">
        <f>B18</f>
        <v xml:space="preserve">Soporte mensaje </v>
      </c>
      <c r="DW52" s="592"/>
      <c r="DX52" s="592"/>
      <c r="DY52" s="592"/>
      <c r="DZ52" s="592"/>
      <c r="EA52" s="592"/>
      <c r="EB52" s="592"/>
      <c r="EC52" s="592"/>
      <c r="ED52" s="592"/>
      <c r="EE52" s="592"/>
      <c r="EF52" s="592"/>
      <c r="EG52" s="592"/>
      <c r="EH52" s="592"/>
      <c r="EI52" s="592"/>
      <c r="EJ52" s="592"/>
      <c r="EK52" s="592"/>
      <c r="EL52" s="592"/>
      <c r="EM52" s="592"/>
      <c r="EN52" s="592"/>
      <c r="EO52" s="593"/>
      <c r="EP52" s="587" t="str">
        <f>B19</f>
        <v xml:space="preserve">Moño spider </v>
      </c>
      <c r="EQ52" s="588"/>
      <c r="ER52" s="588"/>
      <c r="ES52" s="588"/>
      <c r="ET52" s="588"/>
      <c r="EU52" s="588"/>
      <c r="EV52" s="588"/>
      <c r="EW52" s="588"/>
      <c r="EX52" s="588"/>
      <c r="EY52" s="588"/>
      <c r="EZ52" s="588"/>
      <c r="FA52" s="588"/>
      <c r="FB52" s="588"/>
      <c r="FC52" s="588"/>
      <c r="FD52" s="588"/>
      <c r="FE52" s="588"/>
      <c r="FF52" s="588"/>
      <c r="FG52" s="588"/>
      <c r="FH52" s="588"/>
      <c r="FI52" s="589"/>
      <c r="FJ52" s="591" t="str">
        <f>B20</f>
        <v xml:space="preserve">Caja cartón rectangular roja </v>
      </c>
      <c r="FK52" s="592"/>
      <c r="FL52" s="592"/>
      <c r="FM52" s="592"/>
      <c r="FN52" s="592"/>
      <c r="FO52" s="592"/>
      <c r="FP52" s="592"/>
      <c r="FQ52" s="592"/>
      <c r="FR52" s="592"/>
      <c r="FS52" s="592"/>
      <c r="FT52" s="592"/>
      <c r="FU52" s="592"/>
      <c r="FV52" s="592"/>
      <c r="FW52" s="592"/>
      <c r="FX52" s="592"/>
      <c r="FY52" s="592"/>
      <c r="FZ52" s="592"/>
      <c r="GA52" s="592"/>
      <c r="GB52" s="592"/>
      <c r="GC52" s="593"/>
      <c r="GD52" s="632" t="str">
        <f>B21</f>
        <v>Cinta tela satinada</v>
      </c>
      <c r="GE52" s="633"/>
      <c r="GF52" s="633"/>
      <c r="GG52" s="633"/>
      <c r="GH52" s="633"/>
      <c r="GI52" s="633"/>
      <c r="GJ52" s="633"/>
      <c r="GK52" s="633"/>
      <c r="GL52" s="633"/>
      <c r="GM52" s="633"/>
      <c r="GN52" s="633"/>
      <c r="GO52" s="633"/>
      <c r="GP52" s="633"/>
      <c r="GQ52" s="633"/>
      <c r="GR52" s="633"/>
      <c r="GS52" s="633"/>
      <c r="GT52" s="633"/>
      <c r="GU52" s="633"/>
      <c r="GV52" s="633"/>
      <c r="GW52" s="634"/>
      <c r="GX52" s="591" t="str">
        <f>B22</f>
        <v>Gypsophilia (follaje)</v>
      </c>
      <c r="GY52" s="592"/>
      <c r="GZ52" s="592"/>
      <c r="HA52" s="592"/>
      <c r="HB52" s="592"/>
      <c r="HC52" s="592"/>
      <c r="HD52" s="592"/>
      <c r="HE52" s="592"/>
      <c r="HF52" s="592"/>
      <c r="HG52" s="592"/>
      <c r="HH52" s="592"/>
      <c r="HI52" s="592"/>
      <c r="HJ52" s="592"/>
      <c r="HK52" s="592"/>
      <c r="HL52" s="592"/>
      <c r="HM52" s="592"/>
      <c r="HN52" s="592"/>
      <c r="HO52" s="592"/>
      <c r="HP52" s="592"/>
      <c r="HQ52" s="593"/>
      <c r="HR52" s="587" t="str">
        <f>B23</f>
        <v>Chocolates ferrero</v>
      </c>
      <c r="HS52" s="588"/>
      <c r="HT52" s="588"/>
      <c r="HU52" s="588"/>
      <c r="HV52" s="588"/>
      <c r="HW52" s="588"/>
      <c r="HX52" s="588"/>
      <c r="HY52" s="588"/>
      <c r="HZ52" s="588"/>
      <c r="IA52" s="588"/>
      <c r="IB52" s="588"/>
      <c r="IC52" s="588"/>
      <c r="ID52" s="588"/>
      <c r="IE52" s="588"/>
      <c r="IF52" s="588"/>
      <c r="IG52" s="588"/>
      <c r="IH52" s="588"/>
      <c r="II52" s="588"/>
      <c r="IJ52" s="588"/>
      <c r="IK52" s="589"/>
      <c r="IL52" s="591" t="str">
        <f>B24</f>
        <v>Sticker</v>
      </c>
      <c r="IM52" s="592"/>
      <c r="IN52" s="592"/>
      <c r="IO52" s="592"/>
      <c r="IP52" s="592"/>
      <c r="IQ52" s="592"/>
      <c r="IR52" s="592"/>
      <c r="IS52" s="592"/>
      <c r="IT52" s="592"/>
      <c r="IU52" s="592"/>
      <c r="IV52" s="592"/>
      <c r="IW52" s="592"/>
      <c r="IX52" s="592"/>
      <c r="IY52" s="592"/>
      <c r="IZ52" s="592"/>
      <c r="JA52" s="592"/>
      <c r="JB52" s="592"/>
      <c r="JC52" s="592"/>
      <c r="JD52" s="592"/>
      <c r="JE52" s="593"/>
      <c r="JF52" s="598" t="str">
        <f>B25</f>
        <v>Aluminio</v>
      </c>
      <c r="JG52" s="599"/>
      <c r="JH52" s="599"/>
      <c r="JI52" s="599"/>
      <c r="JJ52" s="599"/>
      <c r="JK52" s="599"/>
      <c r="JL52" s="599"/>
      <c r="JM52" s="599"/>
      <c r="JN52" s="599"/>
      <c r="JO52" s="599"/>
      <c r="JP52" s="599"/>
      <c r="JQ52" s="599"/>
      <c r="JR52" s="599"/>
      <c r="JS52" s="599"/>
      <c r="JT52" s="599"/>
      <c r="JU52" s="599"/>
      <c r="JV52" s="599"/>
      <c r="JW52" s="599"/>
      <c r="JX52" s="599"/>
      <c r="JY52" s="600"/>
      <c r="JZ52" s="591" t="str">
        <f>B26</f>
        <v>Caja cartón corazón</v>
      </c>
      <c r="KA52" s="592"/>
      <c r="KB52" s="592"/>
      <c r="KC52" s="592"/>
      <c r="KD52" s="592"/>
      <c r="KE52" s="592"/>
      <c r="KF52" s="592"/>
      <c r="KG52" s="592"/>
      <c r="KH52" s="592"/>
      <c r="KI52" s="592"/>
      <c r="KJ52" s="592"/>
      <c r="KK52" s="592"/>
      <c r="KL52" s="592"/>
      <c r="KM52" s="592"/>
      <c r="KN52" s="592"/>
      <c r="KO52" s="592"/>
      <c r="KP52" s="592"/>
      <c r="KQ52" s="592"/>
      <c r="KR52" s="592"/>
      <c r="KS52" s="593"/>
      <c r="KT52" s="587" t="str">
        <f>B27</f>
        <v>Espuma floral</v>
      </c>
      <c r="KU52" s="588"/>
      <c r="KV52" s="588"/>
      <c r="KW52" s="588"/>
      <c r="KX52" s="588"/>
      <c r="KY52" s="588"/>
      <c r="KZ52" s="588"/>
      <c r="LA52" s="588"/>
      <c r="LB52" s="588"/>
      <c r="LC52" s="588"/>
      <c r="LD52" s="588"/>
      <c r="LE52" s="588"/>
      <c r="LF52" s="588"/>
      <c r="LG52" s="588"/>
      <c r="LH52" s="588"/>
      <c r="LI52" s="588"/>
      <c r="LJ52" s="588"/>
      <c r="LK52" s="588"/>
      <c r="LL52" s="588"/>
      <c r="LM52" s="589"/>
      <c r="LN52" s="591" t="str">
        <f>B28</f>
        <v>Moño brillante</v>
      </c>
      <c r="LO52" s="592"/>
      <c r="LP52" s="592"/>
      <c r="LQ52" s="592"/>
      <c r="LR52" s="592"/>
      <c r="LS52" s="592"/>
      <c r="LT52" s="592"/>
      <c r="LU52" s="592"/>
      <c r="LV52" s="592"/>
      <c r="LW52" s="592"/>
      <c r="LX52" s="592"/>
      <c r="LY52" s="592"/>
      <c r="LZ52" s="592"/>
      <c r="MA52" s="592"/>
      <c r="MB52" s="592"/>
      <c r="MC52" s="592"/>
      <c r="MD52" s="592"/>
      <c r="ME52" s="592"/>
      <c r="MF52" s="592"/>
      <c r="MG52" s="593"/>
      <c r="MH52" s="587" t="str">
        <f>B29</f>
        <v>Acuapic</v>
      </c>
      <c r="MI52" s="588"/>
      <c r="MJ52" s="588"/>
      <c r="MK52" s="588"/>
      <c r="ML52" s="588"/>
      <c r="MM52" s="588"/>
      <c r="MN52" s="588"/>
      <c r="MO52" s="588"/>
      <c r="MP52" s="588"/>
      <c r="MQ52" s="588"/>
      <c r="MR52" s="588"/>
      <c r="MS52" s="588"/>
      <c r="MT52" s="588"/>
      <c r="MU52" s="588"/>
      <c r="MV52" s="588"/>
      <c r="MW52" s="588"/>
      <c r="MX52" s="588"/>
      <c r="MY52" s="588"/>
      <c r="MZ52" s="588"/>
      <c r="NA52" s="589"/>
      <c r="NB52" s="591" t="str">
        <f>B30</f>
        <v>Caja alargada de rosas</v>
      </c>
      <c r="NC52" s="592"/>
      <c r="ND52" s="592"/>
      <c r="NE52" s="592"/>
      <c r="NF52" s="592"/>
      <c r="NG52" s="592"/>
      <c r="NH52" s="592"/>
      <c r="NI52" s="592"/>
      <c r="NJ52" s="592"/>
      <c r="NK52" s="592"/>
      <c r="NL52" s="592"/>
      <c r="NM52" s="592"/>
      <c r="NN52" s="592"/>
      <c r="NO52" s="592"/>
      <c r="NP52" s="592"/>
      <c r="NQ52" s="592"/>
      <c r="NR52" s="592"/>
      <c r="NS52" s="592"/>
      <c r="NT52" s="592"/>
      <c r="NU52" s="593"/>
      <c r="NV52" s="587" t="str">
        <f>B31</f>
        <v>Tornasol</v>
      </c>
      <c r="NW52" s="588"/>
      <c r="NX52" s="588"/>
      <c r="NY52" s="588"/>
      <c r="NZ52" s="588"/>
      <c r="OA52" s="588"/>
      <c r="OB52" s="588"/>
      <c r="OC52" s="588"/>
      <c r="OD52" s="588"/>
      <c r="OE52" s="588"/>
      <c r="OF52" s="588"/>
      <c r="OG52" s="588"/>
      <c r="OH52" s="588"/>
      <c r="OI52" s="588"/>
      <c r="OJ52" s="588"/>
      <c r="OK52" s="588"/>
      <c r="OL52" s="588"/>
      <c r="OM52" s="588"/>
      <c r="ON52" s="588"/>
      <c r="OO52" s="588"/>
      <c r="OP52" s="557" t="s">
        <v>878</v>
      </c>
      <c r="OQ52" s="557"/>
      <c r="OR52" s="557"/>
      <c r="OS52" s="557"/>
      <c r="OT52" s="557"/>
    </row>
    <row r="53" spans="3:410" ht="15.75" x14ac:dyDescent="0.25">
      <c r="F53" s="349"/>
      <c r="G53" s="349"/>
      <c r="H53" s="349"/>
      <c r="I53" s="349"/>
      <c r="J53" s="349"/>
      <c r="K53" s="349"/>
      <c r="L53" s="349"/>
      <c r="M53" s="349"/>
      <c r="N53" s="349"/>
      <c r="O53" s="349"/>
      <c r="P53" s="590" t="s">
        <v>448</v>
      </c>
      <c r="Q53" s="609"/>
      <c r="R53" s="609"/>
      <c r="S53" s="609"/>
      <c r="T53" s="609"/>
      <c r="U53" s="603" t="s">
        <v>449</v>
      </c>
      <c r="V53" s="603"/>
      <c r="W53" s="603"/>
      <c r="X53" s="603"/>
      <c r="Y53" s="603"/>
      <c r="Z53" s="350"/>
      <c r="AA53" s="350"/>
      <c r="AB53" s="350"/>
      <c r="AC53" s="350"/>
      <c r="AD53" s="350"/>
      <c r="AE53" s="350"/>
      <c r="AF53" s="350"/>
      <c r="AG53" s="350"/>
      <c r="AH53" s="350"/>
      <c r="AI53" s="350"/>
      <c r="AJ53" s="584" t="s">
        <v>448</v>
      </c>
      <c r="AK53" s="584"/>
      <c r="AL53" s="584"/>
      <c r="AM53" s="584"/>
      <c r="AN53" s="584"/>
      <c r="AO53" s="585" t="s">
        <v>449</v>
      </c>
      <c r="AP53" s="604"/>
      <c r="AQ53" s="604"/>
      <c r="AR53" s="604"/>
      <c r="AS53" s="605"/>
      <c r="AT53" s="351"/>
      <c r="AU53" s="351"/>
      <c r="AV53" s="351"/>
      <c r="AW53" s="351"/>
      <c r="AX53" s="351"/>
      <c r="AY53" s="351"/>
      <c r="AZ53" s="351"/>
      <c r="BA53" s="351"/>
      <c r="BB53" s="351"/>
      <c r="BC53" s="351"/>
      <c r="BD53" s="590" t="s">
        <v>448</v>
      </c>
      <c r="BE53" s="590"/>
      <c r="BF53" s="590"/>
      <c r="BG53" s="590"/>
      <c r="BH53" s="590"/>
      <c r="BI53" s="590" t="s">
        <v>449</v>
      </c>
      <c r="BJ53" s="590"/>
      <c r="BK53" s="590"/>
      <c r="BL53" s="590"/>
      <c r="BM53" s="590"/>
      <c r="BN53" s="352"/>
      <c r="BO53" s="352"/>
      <c r="BP53" s="352"/>
      <c r="BQ53" s="352"/>
      <c r="BR53" s="352"/>
      <c r="BS53" s="352"/>
      <c r="BT53" s="352"/>
      <c r="BU53" s="352"/>
      <c r="BV53" s="352"/>
      <c r="BW53" s="352"/>
      <c r="BX53" s="594" t="s">
        <v>448</v>
      </c>
      <c r="BY53" s="594"/>
      <c r="BZ53" s="594"/>
      <c r="CA53" s="594"/>
      <c r="CB53" s="594"/>
      <c r="CC53" s="594" t="s">
        <v>449</v>
      </c>
      <c r="CD53" s="594"/>
      <c r="CE53" s="594"/>
      <c r="CF53" s="594"/>
      <c r="CG53" s="594"/>
      <c r="CH53" s="351"/>
      <c r="CI53" s="351"/>
      <c r="CJ53" s="351"/>
      <c r="CK53" s="351"/>
      <c r="CL53" s="351"/>
      <c r="CM53" s="351"/>
      <c r="CN53" s="351"/>
      <c r="CO53" s="351"/>
      <c r="CP53" s="351"/>
      <c r="CQ53" s="351"/>
      <c r="CR53" s="590" t="s">
        <v>448</v>
      </c>
      <c r="CS53" s="590"/>
      <c r="CT53" s="590"/>
      <c r="CU53" s="590"/>
      <c r="CV53" s="590"/>
      <c r="CW53" s="590" t="s">
        <v>449</v>
      </c>
      <c r="CX53" s="590"/>
      <c r="CY53" s="590"/>
      <c r="CZ53" s="590"/>
      <c r="DA53" s="590"/>
      <c r="DB53" s="353"/>
      <c r="DC53" s="353"/>
      <c r="DD53" s="353"/>
      <c r="DE53" s="353"/>
      <c r="DF53" s="353"/>
      <c r="DG53" s="353"/>
      <c r="DH53" s="353"/>
      <c r="DI53" s="353"/>
      <c r="DJ53" s="353"/>
      <c r="DK53" s="353"/>
      <c r="DL53" s="584" t="s">
        <v>448</v>
      </c>
      <c r="DM53" s="584"/>
      <c r="DN53" s="584"/>
      <c r="DO53" s="584"/>
      <c r="DP53" s="584"/>
      <c r="DQ53" s="613" t="s">
        <v>449</v>
      </c>
      <c r="DR53" s="613"/>
      <c r="DS53" s="613"/>
      <c r="DT53" s="613"/>
      <c r="DU53" s="613"/>
      <c r="DV53" s="351"/>
      <c r="DW53" s="351"/>
      <c r="DX53" s="351"/>
      <c r="DY53" s="351"/>
      <c r="DZ53" s="351"/>
      <c r="EA53" s="351"/>
      <c r="EB53" s="351"/>
      <c r="EC53" s="351"/>
      <c r="ED53" s="351"/>
      <c r="EE53" s="351"/>
      <c r="EF53" s="590" t="s">
        <v>448</v>
      </c>
      <c r="EG53" s="590"/>
      <c r="EH53" s="590"/>
      <c r="EI53" s="590"/>
      <c r="EJ53" s="590"/>
      <c r="EK53" s="590" t="s">
        <v>449</v>
      </c>
      <c r="EL53" s="590"/>
      <c r="EM53" s="590"/>
      <c r="EN53" s="590"/>
      <c r="EO53" s="590"/>
      <c r="EP53" s="353"/>
      <c r="EQ53" s="353"/>
      <c r="ER53" s="353"/>
      <c r="ES53" s="353"/>
      <c r="ET53" s="353"/>
      <c r="EU53" s="353"/>
      <c r="EV53" s="353"/>
      <c r="EW53" s="353"/>
      <c r="EX53" s="353"/>
      <c r="EY53" s="353"/>
      <c r="EZ53" s="584" t="s">
        <v>448</v>
      </c>
      <c r="FA53" s="584"/>
      <c r="FB53" s="584"/>
      <c r="FC53" s="584"/>
      <c r="FD53" s="584"/>
      <c r="FE53" s="584" t="s">
        <v>449</v>
      </c>
      <c r="FF53" s="584"/>
      <c r="FG53" s="584"/>
      <c r="FH53" s="584"/>
      <c r="FI53" s="584"/>
      <c r="FJ53" s="351"/>
      <c r="FK53" s="351"/>
      <c r="FL53" s="351"/>
      <c r="FM53" s="351"/>
      <c r="FN53" s="351"/>
      <c r="FO53" s="351"/>
      <c r="FP53" s="351"/>
      <c r="FQ53" s="351"/>
      <c r="FR53" s="351"/>
      <c r="FS53" s="351"/>
      <c r="FT53" s="590" t="s">
        <v>566</v>
      </c>
      <c r="FU53" s="590"/>
      <c r="FV53" s="590"/>
      <c r="FW53" s="590"/>
      <c r="FX53" s="590"/>
      <c r="FY53" s="590" t="s">
        <v>449</v>
      </c>
      <c r="FZ53" s="590"/>
      <c r="GA53" s="590"/>
      <c r="GB53" s="590"/>
      <c r="GC53" s="590"/>
      <c r="GD53" s="354"/>
      <c r="GE53" s="354"/>
      <c r="GF53" s="354"/>
      <c r="GG53" s="354"/>
      <c r="GH53" s="354"/>
      <c r="GI53" s="354"/>
      <c r="GJ53" s="354"/>
      <c r="GK53" s="354"/>
      <c r="GL53" s="354"/>
      <c r="GM53" s="354"/>
      <c r="GN53" s="631" t="s">
        <v>448</v>
      </c>
      <c r="GO53" s="631"/>
      <c r="GP53" s="631"/>
      <c r="GQ53" s="631"/>
      <c r="GR53" s="631"/>
      <c r="GS53" s="631" t="s">
        <v>449</v>
      </c>
      <c r="GT53" s="631"/>
      <c r="GU53" s="631"/>
      <c r="GV53" s="631"/>
      <c r="GW53" s="631"/>
      <c r="GX53" s="351"/>
      <c r="GY53" s="351"/>
      <c r="GZ53" s="351"/>
      <c r="HA53" s="351"/>
      <c r="HB53" s="351"/>
      <c r="HC53" s="351"/>
      <c r="HD53" s="351"/>
      <c r="HE53" s="351"/>
      <c r="HF53" s="351"/>
      <c r="HG53" s="351"/>
      <c r="HH53" s="590" t="s">
        <v>448</v>
      </c>
      <c r="HI53" s="590"/>
      <c r="HJ53" s="590"/>
      <c r="HK53" s="590"/>
      <c r="HL53" s="590"/>
      <c r="HM53" s="590" t="s">
        <v>449</v>
      </c>
      <c r="HN53" s="590"/>
      <c r="HO53" s="590"/>
      <c r="HP53" s="590"/>
      <c r="HQ53" s="590"/>
      <c r="HR53" s="353"/>
      <c r="HS53" s="353"/>
      <c r="HT53" s="353"/>
      <c r="HU53" s="353"/>
      <c r="HV53" s="353"/>
      <c r="HW53" s="353"/>
      <c r="HX53" s="353"/>
      <c r="HY53" s="353"/>
      <c r="HZ53" s="353"/>
      <c r="IA53" s="353"/>
      <c r="IB53" s="584" t="s">
        <v>448</v>
      </c>
      <c r="IC53" s="584"/>
      <c r="ID53" s="584"/>
      <c r="IE53" s="584"/>
      <c r="IF53" s="584"/>
      <c r="IG53" s="584" t="s">
        <v>449</v>
      </c>
      <c r="IH53" s="584"/>
      <c r="II53" s="584"/>
      <c r="IJ53" s="584"/>
      <c r="IK53" s="584"/>
      <c r="IL53" s="351"/>
      <c r="IM53" s="351"/>
      <c r="IN53" s="351"/>
      <c r="IO53" s="351"/>
      <c r="IP53" s="351"/>
      <c r="IQ53" s="351"/>
      <c r="IR53" s="351"/>
      <c r="IS53" s="351"/>
      <c r="IT53" s="351"/>
      <c r="IU53" s="351"/>
      <c r="IV53" s="590" t="s">
        <v>448</v>
      </c>
      <c r="IW53" s="590"/>
      <c r="IX53" s="590"/>
      <c r="IY53" s="590"/>
      <c r="IZ53" s="590"/>
      <c r="JA53" s="590" t="s">
        <v>449</v>
      </c>
      <c r="JB53" s="590"/>
      <c r="JC53" s="590"/>
      <c r="JD53" s="590"/>
      <c r="JE53" s="590"/>
      <c r="JF53" s="352"/>
      <c r="JG53" s="352"/>
      <c r="JH53" s="352"/>
      <c r="JI53" s="352"/>
      <c r="JJ53" s="352"/>
      <c r="JK53" s="352"/>
      <c r="JL53" s="352"/>
      <c r="JM53" s="352"/>
      <c r="JN53" s="352"/>
      <c r="JO53" s="352"/>
      <c r="JP53" s="594" t="s">
        <v>448</v>
      </c>
      <c r="JQ53" s="594"/>
      <c r="JR53" s="594"/>
      <c r="JS53" s="594"/>
      <c r="JT53" s="594"/>
      <c r="JU53" s="595" t="s">
        <v>449</v>
      </c>
      <c r="JV53" s="596"/>
      <c r="JW53" s="596"/>
      <c r="JX53" s="596"/>
      <c r="JY53" s="597"/>
      <c r="JZ53" s="351"/>
      <c r="KA53" s="351"/>
      <c r="KB53" s="351"/>
      <c r="KC53" s="351"/>
      <c r="KD53" s="351"/>
      <c r="KE53" s="351"/>
      <c r="KF53" s="351"/>
      <c r="KG53" s="351"/>
      <c r="KH53" s="351"/>
      <c r="KI53" s="351"/>
      <c r="KJ53" s="590" t="s">
        <v>448</v>
      </c>
      <c r="KK53" s="590"/>
      <c r="KL53" s="590"/>
      <c r="KM53" s="590"/>
      <c r="KN53" s="590"/>
      <c r="KO53" s="590" t="s">
        <v>449</v>
      </c>
      <c r="KP53" s="590"/>
      <c r="KQ53" s="590"/>
      <c r="KR53" s="590"/>
      <c r="KS53" s="590"/>
      <c r="KT53" s="353"/>
      <c r="KU53" s="353"/>
      <c r="KV53" s="353"/>
      <c r="KW53" s="353"/>
      <c r="KX53" s="353"/>
      <c r="KY53" s="353"/>
      <c r="KZ53" s="353"/>
      <c r="LA53" s="353"/>
      <c r="LB53" s="353"/>
      <c r="LC53" s="353"/>
      <c r="LD53" s="584" t="s">
        <v>448</v>
      </c>
      <c r="LE53" s="584"/>
      <c r="LF53" s="584"/>
      <c r="LG53" s="584"/>
      <c r="LH53" s="584"/>
      <c r="LI53" s="585" t="s">
        <v>449</v>
      </c>
      <c r="LJ53" s="586"/>
      <c r="LK53" s="586"/>
      <c r="LL53" s="586"/>
      <c r="LM53" s="586"/>
      <c r="LN53" s="355"/>
      <c r="LO53" s="351"/>
      <c r="LP53" s="351"/>
      <c r="LQ53" s="351"/>
      <c r="LR53" s="351"/>
      <c r="LS53" s="351"/>
      <c r="LT53" s="351"/>
      <c r="LU53" s="351"/>
      <c r="LV53" s="351"/>
      <c r="LW53" s="351"/>
      <c r="LX53" s="590" t="s">
        <v>448</v>
      </c>
      <c r="LY53" s="590"/>
      <c r="LZ53" s="590"/>
      <c r="MA53" s="590"/>
      <c r="MB53" s="590"/>
      <c r="MC53" s="590" t="s">
        <v>632</v>
      </c>
      <c r="MD53" s="590"/>
      <c r="ME53" s="590"/>
      <c r="MF53" s="590"/>
      <c r="MG53" s="590"/>
      <c r="MH53" s="353"/>
      <c r="MI53" s="353"/>
      <c r="MJ53" s="353"/>
      <c r="MK53" s="353"/>
      <c r="ML53" s="353"/>
      <c r="MM53" s="353"/>
      <c r="MN53" s="353"/>
      <c r="MO53" s="353"/>
      <c r="MP53" s="353"/>
      <c r="MQ53" s="353"/>
      <c r="MR53" s="584" t="s">
        <v>448</v>
      </c>
      <c r="MS53" s="584"/>
      <c r="MT53" s="584"/>
      <c r="MU53" s="584"/>
      <c r="MV53" s="584"/>
      <c r="MW53" s="584" t="s">
        <v>449</v>
      </c>
      <c r="MX53" s="584"/>
      <c r="MY53" s="584"/>
      <c r="MZ53" s="584"/>
      <c r="NA53" s="584"/>
      <c r="NB53" s="351"/>
      <c r="NC53" s="351"/>
      <c r="ND53" s="351"/>
      <c r="NE53" s="351"/>
      <c r="NF53" s="351"/>
      <c r="NG53" s="351"/>
      <c r="NH53" s="351"/>
      <c r="NI53" s="351"/>
      <c r="NJ53" s="351"/>
      <c r="NK53" s="351"/>
      <c r="NL53" s="590" t="s">
        <v>448</v>
      </c>
      <c r="NM53" s="590"/>
      <c r="NN53" s="590"/>
      <c r="NO53" s="590"/>
      <c r="NP53" s="590"/>
      <c r="NQ53" s="590" t="s">
        <v>632</v>
      </c>
      <c r="NR53" s="590"/>
      <c r="NS53" s="590"/>
      <c r="NT53" s="590"/>
      <c r="NU53" s="590"/>
      <c r="NV53" s="353"/>
      <c r="NW53" s="353"/>
      <c r="NX53" s="353"/>
      <c r="NY53" s="353"/>
      <c r="NZ53" s="353"/>
      <c r="OA53" s="353"/>
      <c r="OB53" s="353"/>
      <c r="OC53" s="353"/>
      <c r="OD53" s="353"/>
      <c r="OE53" s="353"/>
      <c r="OF53" s="584" t="s">
        <v>448</v>
      </c>
      <c r="OG53" s="584"/>
      <c r="OH53" s="584"/>
      <c r="OI53" s="584"/>
      <c r="OJ53" s="584"/>
      <c r="OK53" s="584" t="s">
        <v>449</v>
      </c>
      <c r="OL53" s="584"/>
      <c r="OM53" s="584"/>
      <c r="ON53" s="584"/>
      <c r="OO53" s="585"/>
      <c r="OP53" s="557"/>
      <c r="OQ53" s="557"/>
      <c r="OR53" s="557"/>
      <c r="OS53" s="557"/>
      <c r="OT53" s="557"/>
    </row>
    <row r="54" spans="3:410" ht="45" customHeight="1" x14ac:dyDescent="0.25">
      <c r="C54" s="343" t="s">
        <v>442</v>
      </c>
      <c r="D54" s="343" t="s">
        <v>443</v>
      </c>
      <c r="E54" s="71" t="s">
        <v>447</v>
      </c>
      <c r="F54" s="356" t="s">
        <v>455</v>
      </c>
      <c r="G54" s="424" t="s">
        <v>899</v>
      </c>
      <c r="H54" s="329" t="s">
        <v>456</v>
      </c>
      <c r="I54" s="424" t="s">
        <v>900</v>
      </c>
      <c r="J54" s="329" t="s">
        <v>457</v>
      </c>
      <c r="K54" s="424" t="s">
        <v>901</v>
      </c>
      <c r="L54" s="329" t="s">
        <v>458</v>
      </c>
      <c r="M54" s="424" t="s">
        <v>902</v>
      </c>
      <c r="N54" s="329" t="s">
        <v>459</v>
      </c>
      <c r="O54" s="424" t="s">
        <v>903</v>
      </c>
      <c r="P54" s="424" t="s">
        <v>454</v>
      </c>
      <c r="Q54" s="424" t="s">
        <v>904</v>
      </c>
      <c r="R54" s="424" t="s">
        <v>905</v>
      </c>
      <c r="S54" s="424" t="s">
        <v>906</v>
      </c>
      <c r="T54" s="424" t="s">
        <v>907</v>
      </c>
      <c r="U54" s="426" t="s">
        <v>48</v>
      </c>
      <c r="V54" s="426" t="s">
        <v>49</v>
      </c>
      <c r="W54" s="426" t="s">
        <v>450</v>
      </c>
      <c r="X54" s="426" t="s">
        <v>451</v>
      </c>
      <c r="Y54" s="426" t="s">
        <v>452</v>
      </c>
      <c r="Z54" s="357" t="s">
        <v>462</v>
      </c>
      <c r="AA54" s="427" t="s">
        <v>908</v>
      </c>
      <c r="AB54" s="357" t="s">
        <v>463</v>
      </c>
      <c r="AC54" s="427" t="s">
        <v>912</v>
      </c>
      <c r="AD54" s="357" t="s">
        <v>464</v>
      </c>
      <c r="AE54" s="427" t="s">
        <v>911</v>
      </c>
      <c r="AF54" s="357" t="s">
        <v>465</v>
      </c>
      <c r="AG54" s="427" t="s">
        <v>910</v>
      </c>
      <c r="AH54" s="357" t="s">
        <v>466</v>
      </c>
      <c r="AI54" s="427" t="s">
        <v>909</v>
      </c>
      <c r="AJ54" s="427" t="s">
        <v>453</v>
      </c>
      <c r="AK54" s="427" t="s">
        <v>913</v>
      </c>
      <c r="AL54" s="427" t="s">
        <v>914</v>
      </c>
      <c r="AM54" s="427" t="s">
        <v>915</v>
      </c>
      <c r="AN54" s="427" t="s">
        <v>916</v>
      </c>
      <c r="AO54" s="428" t="s">
        <v>917</v>
      </c>
      <c r="AP54" s="428" t="s">
        <v>918</v>
      </c>
      <c r="AQ54" s="428" t="s">
        <v>919</v>
      </c>
      <c r="AR54" s="428" t="s">
        <v>920</v>
      </c>
      <c r="AS54" s="428" t="s">
        <v>921</v>
      </c>
      <c r="AT54" s="356" t="s">
        <v>471</v>
      </c>
      <c r="AU54" s="424" t="s">
        <v>922</v>
      </c>
      <c r="AV54" s="356" t="s">
        <v>473</v>
      </c>
      <c r="AW54" s="424" t="s">
        <v>923</v>
      </c>
      <c r="AX54" s="356" t="s">
        <v>474</v>
      </c>
      <c r="AY54" s="424" t="s">
        <v>924</v>
      </c>
      <c r="AZ54" s="356" t="s">
        <v>476</v>
      </c>
      <c r="BA54" s="424" t="s">
        <v>925</v>
      </c>
      <c r="BB54" s="356" t="s">
        <v>478</v>
      </c>
      <c r="BC54" s="424" t="s">
        <v>926</v>
      </c>
      <c r="BD54" s="424" t="s">
        <v>460</v>
      </c>
      <c r="BE54" s="424" t="s">
        <v>927</v>
      </c>
      <c r="BF54" s="424" t="s">
        <v>928</v>
      </c>
      <c r="BG54" s="424" t="s">
        <v>929</v>
      </c>
      <c r="BH54" s="424" t="s">
        <v>930</v>
      </c>
      <c r="BI54" s="424" t="s">
        <v>931</v>
      </c>
      <c r="BJ54" s="424" t="s">
        <v>932</v>
      </c>
      <c r="BK54" s="424" t="s">
        <v>933</v>
      </c>
      <c r="BL54" s="424" t="s">
        <v>934</v>
      </c>
      <c r="BM54" s="424" t="s">
        <v>935</v>
      </c>
      <c r="BN54" s="357" t="s">
        <v>482</v>
      </c>
      <c r="BO54" s="427" t="s">
        <v>936</v>
      </c>
      <c r="BP54" s="357" t="s">
        <v>483</v>
      </c>
      <c r="BQ54" s="427" t="s">
        <v>937</v>
      </c>
      <c r="BR54" s="357" t="s">
        <v>485</v>
      </c>
      <c r="BS54" s="427" t="s">
        <v>938</v>
      </c>
      <c r="BT54" s="357" t="s">
        <v>486</v>
      </c>
      <c r="BU54" s="427" t="s">
        <v>939</v>
      </c>
      <c r="BV54" s="357" t="s">
        <v>488</v>
      </c>
      <c r="BW54" s="427" t="s">
        <v>940</v>
      </c>
      <c r="BX54" s="427" t="s">
        <v>461</v>
      </c>
      <c r="BY54" s="427" t="s">
        <v>941</v>
      </c>
      <c r="BZ54" s="427" t="s">
        <v>942</v>
      </c>
      <c r="CA54" s="427" t="s">
        <v>943</v>
      </c>
      <c r="CB54" s="427" t="s">
        <v>944</v>
      </c>
      <c r="CC54" s="427" t="s">
        <v>945</v>
      </c>
      <c r="CD54" s="427" t="s">
        <v>946</v>
      </c>
      <c r="CE54" s="427" t="s">
        <v>947</v>
      </c>
      <c r="CF54" s="427" t="s">
        <v>948</v>
      </c>
      <c r="CG54" s="427" t="s">
        <v>949</v>
      </c>
      <c r="CH54" s="356" t="s">
        <v>497</v>
      </c>
      <c r="CI54" s="424" t="s">
        <v>950</v>
      </c>
      <c r="CJ54" s="356" t="s">
        <v>499</v>
      </c>
      <c r="CK54" s="424" t="s">
        <v>951</v>
      </c>
      <c r="CL54" s="356" t="s">
        <v>501</v>
      </c>
      <c r="CM54" s="424" t="s">
        <v>952</v>
      </c>
      <c r="CN54" s="356" t="s">
        <v>502</v>
      </c>
      <c r="CO54" s="424" t="s">
        <v>953</v>
      </c>
      <c r="CP54" s="356" t="s">
        <v>503</v>
      </c>
      <c r="CQ54" s="424" t="s">
        <v>954</v>
      </c>
      <c r="CR54" s="424" t="s">
        <v>496</v>
      </c>
      <c r="CS54" s="424" t="s">
        <v>955</v>
      </c>
      <c r="CT54" s="424" t="s">
        <v>956</v>
      </c>
      <c r="CU54" s="424" t="s">
        <v>957</v>
      </c>
      <c r="CV54" s="424" t="s">
        <v>958</v>
      </c>
      <c r="CW54" s="424" t="s">
        <v>959</v>
      </c>
      <c r="CX54" s="424" t="s">
        <v>960</v>
      </c>
      <c r="CY54" s="424" t="s">
        <v>961</v>
      </c>
      <c r="CZ54" s="424" t="s">
        <v>962</v>
      </c>
      <c r="DA54" s="424" t="s">
        <v>963</v>
      </c>
      <c r="DB54" s="357" t="s">
        <v>513</v>
      </c>
      <c r="DC54" s="427" t="s">
        <v>964</v>
      </c>
      <c r="DD54" s="357" t="s">
        <v>515</v>
      </c>
      <c r="DE54" s="427" t="s">
        <v>965</v>
      </c>
      <c r="DF54" s="357" t="s">
        <v>516</v>
      </c>
      <c r="DG54" s="427" t="s">
        <v>966</v>
      </c>
      <c r="DH54" s="357" t="s">
        <v>517</v>
      </c>
      <c r="DI54" s="427" t="s">
        <v>967</v>
      </c>
      <c r="DJ54" s="357" t="s">
        <v>519</v>
      </c>
      <c r="DK54" s="427" t="s">
        <v>968</v>
      </c>
      <c r="DL54" s="427" t="s">
        <v>512</v>
      </c>
      <c r="DM54" s="427" t="s">
        <v>969</v>
      </c>
      <c r="DN54" s="427" t="s">
        <v>970</v>
      </c>
      <c r="DO54" s="427" t="s">
        <v>971</v>
      </c>
      <c r="DP54" s="427" t="s">
        <v>972</v>
      </c>
      <c r="DQ54" s="429" t="s">
        <v>973</v>
      </c>
      <c r="DR54" s="429" t="s">
        <v>974</v>
      </c>
      <c r="DS54" s="429" t="s">
        <v>975</v>
      </c>
      <c r="DT54" s="429" t="s">
        <v>976</v>
      </c>
      <c r="DU54" s="429" t="s">
        <v>977</v>
      </c>
      <c r="DV54" s="356" t="s">
        <v>530</v>
      </c>
      <c r="DW54" s="424" t="s">
        <v>978</v>
      </c>
      <c r="DX54" s="356" t="s">
        <v>532</v>
      </c>
      <c r="DY54" s="424" t="s">
        <v>979</v>
      </c>
      <c r="DZ54" s="356" t="s">
        <v>534</v>
      </c>
      <c r="EA54" s="424" t="s">
        <v>980</v>
      </c>
      <c r="EB54" s="356" t="s">
        <v>535</v>
      </c>
      <c r="EC54" s="424" t="s">
        <v>981</v>
      </c>
      <c r="ED54" s="356" t="s">
        <v>537</v>
      </c>
      <c r="EE54" s="424" t="s">
        <v>982</v>
      </c>
      <c r="EF54" s="424" t="s">
        <v>529</v>
      </c>
      <c r="EG54" s="424" t="s">
        <v>983</v>
      </c>
      <c r="EH54" s="424" t="s">
        <v>984</v>
      </c>
      <c r="EI54" s="424" t="s">
        <v>985</v>
      </c>
      <c r="EJ54" s="424" t="s">
        <v>986</v>
      </c>
      <c r="EK54" s="424" t="s">
        <v>987</v>
      </c>
      <c r="EL54" s="424" t="s">
        <v>988</v>
      </c>
      <c r="EM54" s="424" t="s">
        <v>989</v>
      </c>
      <c r="EN54" s="424" t="s">
        <v>990</v>
      </c>
      <c r="EO54" s="424" t="s">
        <v>991</v>
      </c>
      <c r="EP54" s="357" t="s">
        <v>548</v>
      </c>
      <c r="EQ54" s="427" t="s">
        <v>992</v>
      </c>
      <c r="ER54" s="357" t="s">
        <v>550</v>
      </c>
      <c r="ES54" s="427" t="s">
        <v>993</v>
      </c>
      <c r="ET54" s="357" t="s">
        <v>552</v>
      </c>
      <c r="EU54" s="427" t="s">
        <v>994</v>
      </c>
      <c r="EV54" s="357" t="s">
        <v>554</v>
      </c>
      <c r="EW54" s="427" t="s">
        <v>995</v>
      </c>
      <c r="EX54" s="357" t="s">
        <v>556</v>
      </c>
      <c r="EY54" s="427" t="s">
        <v>996</v>
      </c>
      <c r="EZ54" s="427" t="s">
        <v>547</v>
      </c>
      <c r="FA54" s="427" t="s">
        <v>997</v>
      </c>
      <c r="FB54" s="427" t="s">
        <v>998</v>
      </c>
      <c r="FC54" s="427" t="s">
        <v>999</v>
      </c>
      <c r="FD54" s="427" t="s">
        <v>1000</v>
      </c>
      <c r="FE54" s="427" t="s">
        <v>1001</v>
      </c>
      <c r="FF54" s="427" t="s">
        <v>1002</v>
      </c>
      <c r="FG54" s="427" t="s">
        <v>1003</v>
      </c>
      <c r="FH54" s="427" t="s">
        <v>1004</v>
      </c>
      <c r="FI54" s="427" t="s">
        <v>1005</v>
      </c>
      <c r="FJ54" s="356" t="s">
        <v>567</v>
      </c>
      <c r="FK54" s="424" t="s">
        <v>1006</v>
      </c>
      <c r="FL54" s="356" t="s">
        <v>569</v>
      </c>
      <c r="FM54" s="424" t="s">
        <v>1007</v>
      </c>
      <c r="FN54" s="356" t="s">
        <v>570</v>
      </c>
      <c r="FO54" s="424" t="s">
        <v>1008</v>
      </c>
      <c r="FP54" s="356" t="s">
        <v>572</v>
      </c>
      <c r="FQ54" s="424" t="s">
        <v>1009</v>
      </c>
      <c r="FR54" s="356" t="s">
        <v>573</v>
      </c>
      <c r="FS54" s="424" t="s">
        <v>1010</v>
      </c>
      <c r="FT54" s="424" t="s">
        <v>565</v>
      </c>
      <c r="FU54" s="424" t="s">
        <v>1011</v>
      </c>
      <c r="FV54" s="424" t="s">
        <v>1012</v>
      </c>
      <c r="FW54" s="424" t="s">
        <v>1013</v>
      </c>
      <c r="FX54" s="424" t="s">
        <v>1014</v>
      </c>
      <c r="FY54" s="424" t="s">
        <v>1015</v>
      </c>
      <c r="FZ54" s="424" t="s">
        <v>1016</v>
      </c>
      <c r="GA54" s="424" t="s">
        <v>1017</v>
      </c>
      <c r="GB54" s="424" t="s">
        <v>1018</v>
      </c>
      <c r="GC54" s="424" t="s">
        <v>1019</v>
      </c>
      <c r="GD54" s="357" t="s">
        <v>582</v>
      </c>
      <c r="GE54" s="427" t="s">
        <v>1020</v>
      </c>
      <c r="GF54" s="357" t="s">
        <v>584</v>
      </c>
      <c r="GG54" s="427" t="s">
        <v>1021</v>
      </c>
      <c r="GH54" s="357" t="s">
        <v>586</v>
      </c>
      <c r="GI54" s="427" t="s">
        <v>1022</v>
      </c>
      <c r="GJ54" s="357" t="s">
        <v>587</v>
      </c>
      <c r="GK54" s="427" t="s">
        <v>1023</v>
      </c>
      <c r="GL54" s="357" t="s">
        <v>589</v>
      </c>
      <c r="GM54" s="427" t="s">
        <v>1024</v>
      </c>
      <c r="GN54" s="427" t="s">
        <v>581</v>
      </c>
      <c r="GO54" s="427" t="s">
        <v>1025</v>
      </c>
      <c r="GP54" s="427" t="s">
        <v>1026</v>
      </c>
      <c r="GQ54" s="427" t="s">
        <v>1027</v>
      </c>
      <c r="GR54" s="427" t="s">
        <v>1028</v>
      </c>
      <c r="GS54" s="427" t="s">
        <v>1029</v>
      </c>
      <c r="GT54" s="427" t="s">
        <v>1030</v>
      </c>
      <c r="GU54" s="427" t="s">
        <v>1031</v>
      </c>
      <c r="GV54" s="427" t="s">
        <v>1032</v>
      </c>
      <c r="GW54" s="427" t="s">
        <v>1033</v>
      </c>
      <c r="GX54" s="356" t="s">
        <v>596</v>
      </c>
      <c r="GY54" s="424" t="s">
        <v>1034</v>
      </c>
      <c r="GZ54" s="356" t="s">
        <v>597</v>
      </c>
      <c r="HA54" s="424" t="s">
        <v>1035</v>
      </c>
      <c r="HB54" s="356" t="s">
        <v>598</v>
      </c>
      <c r="HC54" s="424" t="s">
        <v>1036</v>
      </c>
      <c r="HD54" s="356" t="s">
        <v>599</v>
      </c>
      <c r="HE54" s="424" t="s">
        <v>1037</v>
      </c>
      <c r="HF54" s="356" t="s">
        <v>600</v>
      </c>
      <c r="HG54" s="424" t="s">
        <v>1038</v>
      </c>
      <c r="HH54" s="424" t="s">
        <v>595</v>
      </c>
      <c r="HI54" s="424" t="s">
        <v>1039</v>
      </c>
      <c r="HJ54" s="424" t="s">
        <v>1040</v>
      </c>
      <c r="HK54" s="424" t="s">
        <v>1041</v>
      </c>
      <c r="HL54" s="424" t="s">
        <v>1042</v>
      </c>
      <c r="HM54" s="424" t="s">
        <v>1043</v>
      </c>
      <c r="HN54" s="424" t="s">
        <v>1044</v>
      </c>
      <c r="HO54" s="424" t="s">
        <v>1045</v>
      </c>
      <c r="HP54" s="424" t="s">
        <v>1046</v>
      </c>
      <c r="HQ54" s="424" t="s">
        <v>1047</v>
      </c>
      <c r="HR54" s="357" t="s">
        <v>602</v>
      </c>
      <c r="HS54" s="427" t="s">
        <v>1048</v>
      </c>
      <c r="HT54" s="357" t="s">
        <v>603</v>
      </c>
      <c r="HU54" s="427" t="s">
        <v>1049</v>
      </c>
      <c r="HV54" s="357" t="s">
        <v>604</v>
      </c>
      <c r="HW54" s="427" t="s">
        <v>1050</v>
      </c>
      <c r="HX54" s="357" t="s">
        <v>605</v>
      </c>
      <c r="HY54" s="427" t="s">
        <v>1051</v>
      </c>
      <c r="HZ54" s="357" t="s">
        <v>606</v>
      </c>
      <c r="IA54" s="427" t="s">
        <v>1052</v>
      </c>
      <c r="IB54" s="427" t="s">
        <v>601</v>
      </c>
      <c r="IC54" s="427" t="s">
        <v>1053</v>
      </c>
      <c r="ID54" s="427" t="s">
        <v>1054</v>
      </c>
      <c r="IE54" s="427" t="s">
        <v>1055</v>
      </c>
      <c r="IF54" s="427" t="s">
        <v>1056</v>
      </c>
      <c r="IG54" s="427" t="s">
        <v>1057</v>
      </c>
      <c r="IH54" s="427" t="s">
        <v>1058</v>
      </c>
      <c r="II54" s="427" t="s">
        <v>1059</v>
      </c>
      <c r="IJ54" s="427" t="s">
        <v>1060</v>
      </c>
      <c r="IK54" s="427" t="s">
        <v>1061</v>
      </c>
      <c r="IL54" s="356" t="s">
        <v>608</v>
      </c>
      <c r="IM54" s="425" t="s">
        <v>1062</v>
      </c>
      <c r="IN54" s="356" t="s">
        <v>609</v>
      </c>
      <c r="IO54" s="424" t="s">
        <v>1063</v>
      </c>
      <c r="IP54" s="356" t="s">
        <v>610</v>
      </c>
      <c r="IQ54" s="424" t="s">
        <v>1064</v>
      </c>
      <c r="IR54" s="356" t="s">
        <v>611</v>
      </c>
      <c r="IS54" s="424" t="s">
        <v>1065</v>
      </c>
      <c r="IT54" s="356" t="s">
        <v>612</v>
      </c>
      <c r="IU54" s="424" t="s">
        <v>1066</v>
      </c>
      <c r="IV54" s="424" t="s">
        <v>607</v>
      </c>
      <c r="IW54" s="424" t="s">
        <v>1067</v>
      </c>
      <c r="IX54" s="424" t="s">
        <v>1068</v>
      </c>
      <c r="IY54" s="424" t="s">
        <v>1069</v>
      </c>
      <c r="IZ54" s="424" t="s">
        <v>1070</v>
      </c>
      <c r="JA54" s="424" t="s">
        <v>1071</v>
      </c>
      <c r="JB54" s="424" t="s">
        <v>1072</v>
      </c>
      <c r="JC54" s="424" t="s">
        <v>1073</v>
      </c>
      <c r="JD54" s="424" t="s">
        <v>1074</v>
      </c>
      <c r="JE54" s="424" t="s">
        <v>1075</v>
      </c>
      <c r="JF54" s="357" t="s">
        <v>614</v>
      </c>
      <c r="JG54" s="427" t="s">
        <v>1076</v>
      </c>
      <c r="JH54" s="357" t="s">
        <v>615</v>
      </c>
      <c r="JI54" s="427" t="s">
        <v>1077</v>
      </c>
      <c r="JJ54" s="357" t="s">
        <v>616</v>
      </c>
      <c r="JK54" s="427" t="s">
        <v>1078</v>
      </c>
      <c r="JL54" s="357" t="s">
        <v>617</v>
      </c>
      <c r="JM54" s="427" t="s">
        <v>1079</v>
      </c>
      <c r="JN54" s="357" t="s">
        <v>618</v>
      </c>
      <c r="JO54" s="427" t="s">
        <v>1080</v>
      </c>
      <c r="JP54" s="427" t="s">
        <v>613</v>
      </c>
      <c r="JQ54" s="427" t="s">
        <v>1081</v>
      </c>
      <c r="JR54" s="427" t="s">
        <v>1082</v>
      </c>
      <c r="JS54" s="427" t="s">
        <v>1083</v>
      </c>
      <c r="JT54" s="427" t="s">
        <v>1084</v>
      </c>
      <c r="JU54" s="427" t="s">
        <v>1085</v>
      </c>
      <c r="JV54" s="427" t="s">
        <v>1086</v>
      </c>
      <c r="JW54" s="427" t="s">
        <v>1087</v>
      </c>
      <c r="JX54" s="427" t="s">
        <v>1088</v>
      </c>
      <c r="JY54" s="427" t="s">
        <v>1089</v>
      </c>
      <c r="JZ54" s="356" t="s">
        <v>620</v>
      </c>
      <c r="KA54" s="424" t="s">
        <v>1090</v>
      </c>
      <c r="KB54" s="356" t="s">
        <v>621</v>
      </c>
      <c r="KC54" s="424" t="s">
        <v>1091</v>
      </c>
      <c r="KD54" s="356" t="s">
        <v>622</v>
      </c>
      <c r="KE54" s="424" t="s">
        <v>1092</v>
      </c>
      <c r="KF54" s="356" t="s">
        <v>623</v>
      </c>
      <c r="KG54" s="424" t="s">
        <v>1093</v>
      </c>
      <c r="KH54" s="356" t="s">
        <v>624</v>
      </c>
      <c r="KI54" s="424" t="s">
        <v>1094</v>
      </c>
      <c r="KJ54" s="424" t="s">
        <v>619</v>
      </c>
      <c r="KK54" s="424" t="s">
        <v>1095</v>
      </c>
      <c r="KL54" s="424" t="s">
        <v>1096</v>
      </c>
      <c r="KM54" s="424" t="s">
        <v>1097</v>
      </c>
      <c r="KN54" s="424" t="s">
        <v>1098</v>
      </c>
      <c r="KO54" s="424" t="s">
        <v>1099</v>
      </c>
      <c r="KP54" s="424" t="s">
        <v>1100</v>
      </c>
      <c r="KQ54" s="424" t="s">
        <v>1101</v>
      </c>
      <c r="KR54" s="424" t="s">
        <v>1102</v>
      </c>
      <c r="KS54" s="424" t="s">
        <v>1103</v>
      </c>
      <c r="KT54" s="357" t="s">
        <v>626</v>
      </c>
      <c r="KU54" s="427" t="s">
        <v>1104</v>
      </c>
      <c r="KV54" s="357" t="s">
        <v>627</v>
      </c>
      <c r="KW54" s="427" t="s">
        <v>1105</v>
      </c>
      <c r="KX54" s="357" t="s">
        <v>628</v>
      </c>
      <c r="KY54" s="427" t="s">
        <v>1106</v>
      </c>
      <c r="KZ54" s="357" t="s">
        <v>629</v>
      </c>
      <c r="LA54" s="427" t="s">
        <v>1107</v>
      </c>
      <c r="LB54" s="357" t="s">
        <v>630</v>
      </c>
      <c r="LC54" s="427" t="s">
        <v>1108</v>
      </c>
      <c r="LD54" s="427" t="s">
        <v>625</v>
      </c>
      <c r="LE54" s="427" t="s">
        <v>1109</v>
      </c>
      <c r="LF54" s="427" t="s">
        <v>1110</v>
      </c>
      <c r="LG54" s="427" t="s">
        <v>1111</v>
      </c>
      <c r="LH54" s="427" t="s">
        <v>1112</v>
      </c>
      <c r="LI54" s="427" t="s">
        <v>1113</v>
      </c>
      <c r="LJ54" s="427" t="s">
        <v>1114</v>
      </c>
      <c r="LK54" s="427" t="s">
        <v>1115</v>
      </c>
      <c r="LL54" s="427" t="s">
        <v>1116</v>
      </c>
      <c r="LM54" s="427" t="s">
        <v>1117</v>
      </c>
      <c r="LN54" s="356" t="s">
        <v>633</v>
      </c>
      <c r="LO54" s="424" t="s">
        <v>1118</v>
      </c>
      <c r="LP54" s="356" t="s">
        <v>634</v>
      </c>
      <c r="LQ54" s="424" t="s">
        <v>1119</v>
      </c>
      <c r="LR54" s="356" t="s">
        <v>635</v>
      </c>
      <c r="LS54" s="424" t="s">
        <v>1120</v>
      </c>
      <c r="LT54" s="356" t="s">
        <v>636</v>
      </c>
      <c r="LU54" s="424" t="s">
        <v>1121</v>
      </c>
      <c r="LV54" s="356" t="s">
        <v>637</v>
      </c>
      <c r="LW54" s="424" t="s">
        <v>1122</v>
      </c>
      <c r="LX54" s="424" t="s">
        <v>631</v>
      </c>
      <c r="LY54" s="424" t="s">
        <v>1123</v>
      </c>
      <c r="LZ54" s="424" t="s">
        <v>1124</v>
      </c>
      <c r="MA54" s="424" t="s">
        <v>1125</v>
      </c>
      <c r="MB54" s="424" t="s">
        <v>1126</v>
      </c>
      <c r="MC54" s="424" t="s">
        <v>1127</v>
      </c>
      <c r="MD54" s="424" t="s">
        <v>1128</v>
      </c>
      <c r="ME54" s="424" t="s">
        <v>1129</v>
      </c>
      <c r="MF54" s="424" t="s">
        <v>1130</v>
      </c>
      <c r="MG54" s="424" t="s">
        <v>1131</v>
      </c>
      <c r="MH54" s="357" t="s">
        <v>639</v>
      </c>
      <c r="MI54" s="427" t="s">
        <v>1132</v>
      </c>
      <c r="MJ54" s="357" t="s">
        <v>640</v>
      </c>
      <c r="MK54" s="427" t="s">
        <v>1133</v>
      </c>
      <c r="ML54" s="357" t="s">
        <v>641</v>
      </c>
      <c r="MM54" s="427" t="s">
        <v>1134</v>
      </c>
      <c r="MN54" s="357" t="s">
        <v>642</v>
      </c>
      <c r="MO54" s="427" t="s">
        <v>1135</v>
      </c>
      <c r="MP54" s="357" t="s">
        <v>643</v>
      </c>
      <c r="MQ54" s="427" t="s">
        <v>1136</v>
      </c>
      <c r="MR54" s="427" t="s">
        <v>638</v>
      </c>
      <c r="MS54" s="427" t="s">
        <v>1137</v>
      </c>
      <c r="MT54" s="427" t="s">
        <v>1138</v>
      </c>
      <c r="MU54" s="427" t="s">
        <v>1139</v>
      </c>
      <c r="MV54" s="427" t="s">
        <v>1140</v>
      </c>
      <c r="MW54" s="427" t="s">
        <v>1141</v>
      </c>
      <c r="MX54" s="427" t="s">
        <v>1142</v>
      </c>
      <c r="MY54" s="427" t="s">
        <v>1143</v>
      </c>
      <c r="MZ54" s="427" t="s">
        <v>1144</v>
      </c>
      <c r="NA54" s="427" t="s">
        <v>1145</v>
      </c>
      <c r="NB54" s="356" t="s">
        <v>645</v>
      </c>
      <c r="NC54" s="424" t="s">
        <v>1146</v>
      </c>
      <c r="ND54" s="356" t="s">
        <v>646</v>
      </c>
      <c r="NE54" s="424" t="s">
        <v>1147</v>
      </c>
      <c r="NF54" s="356" t="s">
        <v>647</v>
      </c>
      <c r="NG54" s="424" t="s">
        <v>1148</v>
      </c>
      <c r="NH54" s="356" t="s">
        <v>649</v>
      </c>
      <c r="NI54" s="424" t="s">
        <v>1149</v>
      </c>
      <c r="NJ54" s="356" t="s">
        <v>648</v>
      </c>
      <c r="NK54" s="424" t="s">
        <v>1150</v>
      </c>
      <c r="NL54" s="424" t="s">
        <v>644</v>
      </c>
      <c r="NM54" s="424" t="s">
        <v>1151</v>
      </c>
      <c r="NN54" s="424" t="s">
        <v>1152</v>
      </c>
      <c r="NO54" s="424" t="s">
        <v>1153</v>
      </c>
      <c r="NP54" s="424" t="s">
        <v>1154</v>
      </c>
      <c r="NQ54" s="424" t="s">
        <v>1155</v>
      </c>
      <c r="NR54" s="424" t="s">
        <v>1156</v>
      </c>
      <c r="NS54" s="424" t="s">
        <v>1157</v>
      </c>
      <c r="NT54" s="424" t="s">
        <v>1158</v>
      </c>
      <c r="NU54" s="424" t="s">
        <v>1159</v>
      </c>
      <c r="NV54" s="357" t="s">
        <v>651</v>
      </c>
      <c r="NW54" s="427" t="s">
        <v>1160</v>
      </c>
      <c r="NX54" s="357" t="s">
        <v>652</v>
      </c>
      <c r="NY54" s="427" t="s">
        <v>1161</v>
      </c>
      <c r="NZ54" s="357" t="s">
        <v>653</v>
      </c>
      <c r="OA54" s="427" t="s">
        <v>1162</v>
      </c>
      <c r="OB54" s="357" t="s">
        <v>654</v>
      </c>
      <c r="OC54" s="427" t="s">
        <v>1163</v>
      </c>
      <c r="OD54" s="357" t="s">
        <v>655</v>
      </c>
      <c r="OE54" s="427" t="s">
        <v>1164</v>
      </c>
      <c r="OF54" s="427" t="s">
        <v>650</v>
      </c>
      <c r="OG54" s="427" t="s">
        <v>1165</v>
      </c>
      <c r="OH54" s="427" t="s">
        <v>1166</v>
      </c>
      <c r="OI54" s="427" t="s">
        <v>1167</v>
      </c>
      <c r="OJ54" s="427" t="s">
        <v>1168</v>
      </c>
      <c r="OK54" s="427" t="s">
        <v>1169</v>
      </c>
      <c r="OL54" s="427" t="s">
        <v>1170</v>
      </c>
      <c r="OM54" s="427" t="s">
        <v>1171</v>
      </c>
      <c r="ON54" s="427" t="s">
        <v>1172</v>
      </c>
      <c r="OO54" s="430" t="s">
        <v>1173</v>
      </c>
      <c r="OP54" s="422" t="s">
        <v>879</v>
      </c>
      <c r="OQ54" s="422" t="s">
        <v>880</v>
      </c>
      <c r="OR54" s="422" t="s">
        <v>881</v>
      </c>
      <c r="OS54" s="422" t="s">
        <v>882</v>
      </c>
      <c r="OT54" s="422" t="s">
        <v>883</v>
      </c>
    </row>
    <row r="55" spans="3:410" ht="15.75" x14ac:dyDescent="0.25">
      <c r="C55" s="67">
        <v>0</v>
      </c>
      <c r="D55" s="72" t="str">
        <f>VLOOKUP(Tabla1[[#This Row],[CÓDIGO DEL PRODUCTO Y/O SERVICIO ]],Tabla3[],2)</f>
        <v xml:space="preserve">Seleccionar producto o servicio </v>
      </c>
      <c r="E55" s="72"/>
      <c r="F55" s="114">
        <f>VLOOKUP(Tabla1[[#This Row],[CÓDIGO DEL PRODUCTO Y/O SERVICIO ]],Tabla3[],3)</f>
        <v>0</v>
      </c>
      <c r="G55" s="114">
        <f>Tabla1[[#This Row],[UNIDADES PRODUCIDAS AÑO 1 ]]*F39</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44">
        <f>$D$12*(1+BASES!$E$10)</f>
        <v>606.72</v>
      </c>
      <c r="R55" s="344">
        <f>Tabla1[[#This Row],[COSTO UNITARIO AÑO 2]]*(1+BASES!$F$10)</f>
        <v>613.51526400000012</v>
      </c>
      <c r="S55" s="344">
        <f>Tabla1[[#This Row],[COSTO UNITARIO AÑO 3]]*(1+BASES!$G$10)</f>
        <v>620.38663495680021</v>
      </c>
      <c r="T55" s="344">
        <f>Tabla1[[#This Row],[COSTO UNITARIO AÑO 4]]*(1+BASES!$H$10)</f>
        <v>627.33496526831641</v>
      </c>
      <c r="U55" s="344">
        <f>Tabla1[[#This Row],[COSTO POR UNIDAD DE PRODUCTO (1)]]*$D$12*VLOOKUP(Tabla1[[#This Row],[CÓDIGO DEL PRODUCTO Y/O SERVICIO ]],Tabla3[],3)</f>
        <v>0</v>
      </c>
      <c r="V55" s="344">
        <f>Tabla1[[#This Row],[COSTO POR UNIDAD DE PRODUCTO (1)]]*Tabla1[[#This Row],[COSTO UNITARIO AÑO 2]]*VLOOKUP(Tabla1[[#This Row],[CÓDIGO DEL PRODUCTO Y/O SERVICIO ]],Tabla3[],6)</f>
        <v>0</v>
      </c>
      <c r="W55" s="344">
        <f>Tabla1[[#This Row],[COSTO POR UNIDAD DE PRODUCTO (1)]]*Tabla1[[#This Row],[COSTO UNITARIO AÑO 3]]*VLOOKUP(Tabla1[[#This Row],[CÓDIGO DEL PRODUCTO Y/O SERVICIO ]],Tabla3[],10)</f>
        <v>0</v>
      </c>
      <c r="X55" s="344">
        <f>Tabla1[[#This Row],[COSTO POR UNIDAD DE PRODUCTO (1)]]*Tabla1[[#This Row],[COSTO UNITARIO AÑO 4]]*VLOOKUP(Tabla1[[#This Row],[CÓDIGO DEL PRODUCTO Y/O SERVICIO ]],Tabla3[],14)</f>
        <v>0</v>
      </c>
      <c r="Y55" s="344">
        <f>Tabla1[[#This Row],[COSTO POR UNIDAD DE PRODUCTO (1)]]*Tabla1[[#This Row],[COSTO UNITARIO AÑO 5]]*VLOOKUP(Tabla1[[#This Row],[CÓDIGO DEL PRODUCTO Y/O SERVICIO ]],Tabla3[],18)</f>
        <v>0</v>
      </c>
      <c r="Z55" s="345">
        <f>VLOOKUP(Tabla1[[#This Row],[CÓDIGO DEL PRODUCTO Y/O SERVICIO ]],Tabla3[],3)</f>
        <v>0</v>
      </c>
      <c r="AA55" s="114">
        <f>G39*Tabla1[[#This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44">
        <f>IF(Tabla1[[#This Row],[CANTIDADES A UTILIZAR EN EL AÑO 1 2]]=0,0,Tabla1[[#This Row],[CANTIDADES A UTILIZAR EN EL AÑO 1 2]]*1/Tabla1[[#This Row],[UNIDADES PRODUCIDAS AÑO 1 2]])</f>
        <v>0</v>
      </c>
      <c r="AK55" s="344">
        <f>$D$13*(1+BASES!$E$10)</f>
        <v>80.896000000000015</v>
      </c>
      <c r="AL55" s="344">
        <f>Tabla1[[#This Row],[COSTO UNITARIO AÑO 2 2]]*(1+BASES!$F$10)</f>
        <v>81.80203520000002</v>
      </c>
      <c r="AM55" s="344">
        <f>Tabla1[[#This Row],[COSTO UNITARIO AÑO 3 2]]*(1+BASES!$G$10)</f>
        <v>82.718217994240035</v>
      </c>
      <c r="AN55" s="344">
        <f>Tabla1[[#This Row],[COSTO UNITARIO AÑO 4 2]]*(1+BASES!$H$10)</f>
        <v>83.644662035775525</v>
      </c>
      <c r="AO55" s="344">
        <f>Tabla1[[#This Row],[COSTO POR UNIDAD DE PRODUCTO (2)]]*$D$13*VLOOKUP(Tabla1[[#This Row],[CÓDIGO DEL PRODUCTO Y/O SERVICIO ]],Tabla3[],3)</f>
        <v>0</v>
      </c>
      <c r="AP55" s="344">
        <f>Tabla1[[#This Row],[COSTO POR UNIDAD DE PRODUCTO (2)]]*Tabla1[[#This Row],[COSTO UNITARIO AÑO 2 2]]*VLOOKUP(Tabla1[[#This Row],[CÓDIGO DEL PRODUCTO Y/O SERVICIO ]],Tabla3[],6)</f>
        <v>0</v>
      </c>
      <c r="AQ55" s="344">
        <f>Tabla1[[#This Row],[COSTO POR UNIDAD DE PRODUCTO (2)]]*Tabla1[[#This Row],[COSTO UNITARIO AÑO 3 2]]*VLOOKUP(Tabla1[[#This Row],[CÓDIGO DEL PRODUCTO Y/O SERVICIO ]],Tabla3[],10)</f>
        <v>0</v>
      </c>
      <c r="AR55" s="344">
        <f>Tabla1[[#This Row],[COSTO POR UNIDAD DE PRODUCTO (2)]]*Tabla1[[#This Row],[COSTO UNITARIO AÑO 4 2]]*VLOOKUP(Tabla1[[#This Row],[CÓDIGO DEL PRODUCTO Y/O SERVICIO ]],Tabla3[],14)</f>
        <v>0</v>
      </c>
      <c r="AS55" s="344">
        <f>Tabla1[[#This Row],[COSTO POR UNIDAD DE PRODUCTO (2)]]*Tabla1[[#This Row],[COSTO UNITARIO AÑO 5 2]]*VLOOKUP(Tabla1[[#This Row],[CÓDIGO DEL PRODUCTO Y/O SERVICIO ]],Tabla3[],18)</f>
        <v>0</v>
      </c>
      <c r="AT55" s="114">
        <f>VLOOKUP(Tabla1[[#This Row],[CÓDIGO DEL PRODUCTO Y/O SERVICIO ]],Tabla3[],3)</f>
        <v>0</v>
      </c>
      <c r="AU55" s="114">
        <f>H39*Tabla1[[#This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44">
        <f>IF(Tabla1[[#This Row],[CANTIDADES A UTILIZAR  AÑO 1 3]]=0,0,Tabla1[[#This Row],[CANTIDADES A UTILIZAR  AÑO 1 3]]*1/Tabla1[[#This Row],[UNIDADES PRODUCIDAS AÑO 1 3]])</f>
        <v>0</v>
      </c>
      <c r="BE55" s="344">
        <f>$D$14*(1+BASES!$E$10)</f>
        <v>50.56</v>
      </c>
      <c r="BF55" s="344">
        <f>Tabla1[[#This Row],[COSTO UNITARIO AÑO 2 3]]*(1+BASES!$F$10)</f>
        <v>51.126272000000007</v>
      </c>
      <c r="BG55" s="344">
        <f>Tabla1[[#This Row],[COSTO UNITARIO AÑO 3 3]]*(1+BASES!$G$10)</f>
        <v>51.698886246400015</v>
      </c>
      <c r="BH55" s="344">
        <f>Tabla1[[#This Row],[COSTO UNITARIO AÑO 4 3]]*(1+BASES!$H$10)</f>
        <v>52.277913772359703</v>
      </c>
      <c r="BI55" s="344">
        <f>Tabla1[[#This Row],[COSTO POR UNIDAD DE PRODUCTO (3)]]*$D$14*VLOOKUP(Tabla1[[#This Row],[CÓDIGO DEL PRODUCTO Y/O SERVICIO ]],Tabla3[],3)</f>
        <v>0</v>
      </c>
      <c r="BJ55" s="344">
        <f>Tabla1[[#This Row],[COSTO POR UNIDAD DE PRODUCTO (3)]]*Tabla1[[#This Row],[COSTO UNITARIO AÑO 2 3]]*VLOOKUP(Tabla1[[#This Row],[CÓDIGO DEL PRODUCTO Y/O SERVICIO ]],Tabla3[],6)</f>
        <v>0</v>
      </c>
      <c r="BK55" s="344">
        <f>Tabla1[[#This Row],[COSTO POR UNIDAD DE PRODUCTO (3)]]*Tabla1[[#This Row],[COSTO UNITARIO AÑO 3 3]]*VLOOKUP(Tabla1[[#This Row],[CÓDIGO DEL PRODUCTO Y/O SERVICIO ]],Tabla3[],10)</f>
        <v>0</v>
      </c>
      <c r="BL55" s="344">
        <f>Tabla1[[#This Row],[COSTO POR UNIDAD DE PRODUCTO (3)]]*Tabla1[[#This Row],[COSTO UNITARIO AÑO 4 3]]*VLOOKUP(Tabla1[[#This Row],[CÓDIGO DEL PRODUCTO Y/O SERVICIO ]],Tabla3[],14)</f>
        <v>0</v>
      </c>
      <c r="BM55" s="344">
        <f>Tabla1[[#This Row],[COSTO POR UNIDAD DE PRODUCTO (3)]]*Tabla1[[#This Row],[ COSTO UNITARIO AÑO 5 3]]*VLOOKUP(Tabla1[[#This Row],[CÓDIGO DEL PRODUCTO Y/O SERVICIO ]],Tabla3[],18)</f>
        <v>0</v>
      </c>
      <c r="BN55" s="114">
        <f>VLOOKUP(Tabla1[[#This Row],[CÓDIGO DEL PRODUCTO Y/O SERVICIO ]],Tabla3[],3)</f>
        <v>0</v>
      </c>
      <c r="BO55" s="114">
        <f>I39*Tabla1[[#This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44">
        <f>IF(Tabla1[[#This Row],[CANTIDADES A UTILIZAR  AÑO 1 4]]=0,0,Tabla1[[#This Row],[CANTIDADES A UTILIZAR  AÑO 1 4]]*1/Tabla1[[#This Row],[UNIDADES PRODUCIDAS AÑO 1 4]])</f>
        <v>0</v>
      </c>
      <c r="BY55" s="344">
        <f>$D$15*(1+BASES!$E$10)</f>
        <v>171.90400000000002</v>
      </c>
      <c r="BZ55" s="344">
        <f>Tabla1[[#This Row],[COSTO UNITARIO AÑO 2 4]]*(1+BASES!$F$10)</f>
        <v>173.82932480000005</v>
      </c>
      <c r="CA55" s="344">
        <f>Tabla1[[#This Row],[COSTO UNITARIO AÑO 3 4]]*(1+BASES!$G$10)</f>
        <v>175.77621323776006</v>
      </c>
      <c r="CB55" s="344">
        <f>Tabla1[[#This Row],[COSTO UNITARIO AÑO 4 4]]*(1+BASES!$H$10)</f>
        <v>177.744906826023</v>
      </c>
      <c r="CC55" s="344">
        <f>Tabla1[[#This Row],[COSTO POR UNIDAD DE PRODUCTO (4) ]]*$D$15*VLOOKUP(Tabla1[[#This Row],[CÓDIGO DEL PRODUCTO Y/O SERVICIO ]],Tabla3[],3)</f>
        <v>0</v>
      </c>
      <c r="CD55" s="344">
        <f>Tabla1[[#This Row],[COSTO POR UNIDAD DE PRODUCTO (4) ]]*Tabla1[[#This Row],[COSTO UNITARIO AÑO 2 4]]*VLOOKUP(Tabla1[[#This Row],[CÓDIGO DEL PRODUCTO Y/O SERVICIO ]],Tabla3[],6)</f>
        <v>0</v>
      </c>
      <c r="CE55" s="344">
        <f>Tabla1[[#This Row],[COSTO POR UNIDAD DE PRODUCTO (4) ]]*Tabla1[[#This Row],[COSTO UNITARIO AÑO 3 4]]*VLOOKUP(Tabla1[[#This Row],[CÓDIGO DEL PRODUCTO Y/O SERVICIO ]],Tabla3[],10)</f>
        <v>0</v>
      </c>
      <c r="CF55" s="344">
        <f>Tabla1[[#This Row],[COSTO POR UNIDAD DE PRODUCTO (4) ]]*Tabla1[[#This Row],[COSTO UNITARIO AÑO 4 4]]*VLOOKUP(Tabla1[[#This Row],[CÓDIGO DEL PRODUCTO Y/O SERVICIO ]],Tabla3[],14)</f>
        <v>0</v>
      </c>
      <c r="CG55" s="344">
        <f>Tabla1[[#This Row],[COSTO POR UNIDAD DE PRODUCTO (4) ]]*Tabla1[[#This Row],[COSTO UNITARIO AÑO 5 4]]*VLOOKUP(Tabla1[[#This Row],[CÓDIGO DEL PRODUCTO Y/O SERVICIO ]],Tabla3[],18)</f>
        <v>0</v>
      </c>
      <c r="CH55" s="114">
        <f>VLOOKUP(Tabla1[[#This Row],[CÓDIGO DEL PRODUCTO Y/O SERVICIO ]],Tabla3[],3)</f>
        <v>0</v>
      </c>
      <c r="CI55" s="114">
        <f>Tabla1[[#This Row],[UNIDAS PRODUCIDAS AÑO 1 5]]*J39</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44">
        <f>IF(Tabla1[[#This Row],[CANTIDADES A UTILIZAR  AÑO 1 5]]=0,0,Tabla1[[#This Row],[CANTIDADES A UTILIZAR  AÑO 1 5]]*1/Tabla1[[#This Row],[UNIDAS PRODUCIDAS AÑO 1 5]])</f>
        <v>0</v>
      </c>
      <c r="CS55" s="344">
        <f>$D$16*(1+BASES!$E$10)</f>
        <v>3033.6000000000004</v>
      </c>
      <c r="CT55" s="344">
        <f>Tabla1[[#This Row],[COSTO UNITARIO AÑO 2 5]]*(1+BASES!$F$10)</f>
        <v>3067.5763200000006</v>
      </c>
      <c r="CU55" s="344">
        <f>Tabla1[[#This Row],[COSTO UNITARIO AÑO 3 5]]*(1+BASES!$G$10)</f>
        <v>3101.933174784001</v>
      </c>
      <c r="CV55" s="344">
        <f>Tabla1[[#This Row],[COSTO UNITARIO AÑO 4 5]]*(1+BASES!$H$10)</f>
        <v>3136.674826341582</v>
      </c>
      <c r="CW55" s="344">
        <f>Tabla1[[#This Row],[COSTO POR UNIDAD DE PRODUCTO (5)]]*$D$16*VLOOKUP(Tabla1[[#This Row],[CÓDIGO DEL PRODUCTO Y/O SERVICIO ]],Tabla3[],3)</f>
        <v>0</v>
      </c>
      <c r="CX55" s="344">
        <f>Tabla1[[#This Row],[COSTO POR UNIDAD DE PRODUCTO (5)]]*Tabla1[[#This Row],[COSTO UNITARIO AÑO 2 5]]*VLOOKUP(Tabla1[[#This Row],[CÓDIGO DEL PRODUCTO Y/O SERVICIO ]],Tabla3[],6)</f>
        <v>0</v>
      </c>
      <c r="CY55" s="344">
        <f>Tabla1[[#This Row],[COSTO POR UNIDAD DE PRODUCTO (5)]]*Tabla1[[#This Row],[COSTO UNITARIO AÑO 3 5]]*VLOOKUP(Tabla1[[#This Row],[CÓDIGO DEL PRODUCTO Y/O SERVICIO ]],Tabla3[],10)</f>
        <v>0</v>
      </c>
      <c r="CZ55" s="344">
        <f>Tabla1[[#This Row],[COSTO POR UNIDAD DE PRODUCTO (5)]]*Tabla1[[#This Row],[COSTO UNITARIO AÑO 4 5]]*VLOOKUP(Tabla1[[#This Row],[CÓDIGO DEL PRODUCTO Y/O SERVICIO ]],Tabla3[],14)</f>
        <v>0</v>
      </c>
      <c r="DA55" s="344">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6]]*K39</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44">
        <f>IF(Tabla1[[#This Row],[CANTIDADES A UTILIZAR  AÑO 1 6]]=0,0,Tabla1[[#This Row],[CANTIDADES A UTILIZAR  AÑO 1 6]]*1/Tabla1[[#This Row],[UNIDADES PRODUCIDAS AÑO 1 6]])</f>
        <v>0</v>
      </c>
      <c r="DM55" s="344">
        <f>$D$17*(1+BASES!$E$10)</f>
        <v>2528.0000000000005</v>
      </c>
      <c r="DN55" s="344">
        <f>Tabla1[[#This Row],[COSTO UNITARIO AÑO 2 6]]*(1+BASES!$F$10)</f>
        <v>2556.3136000000009</v>
      </c>
      <c r="DO55" s="344">
        <f>Tabla1[[#This Row],[COSTO UNITARIO AÑO 3 6]]*(1+BASES!$G$10)</f>
        <v>2584.9443123200012</v>
      </c>
      <c r="DP55" s="344">
        <f>Tabla1[[#This Row],[COSTO UNITARIO AÑO 4 6 ]]*(1+BASES!$H$10)</f>
        <v>2613.8956886179853</v>
      </c>
      <c r="DQ55" s="344">
        <f>Tabla1[[#This Row],[COSTO POR UNIDAD DE PRODUCTO (6)]]*$D$17*VLOOKUP(Tabla1[[#This Row],[CÓDIGO DEL PRODUCTO Y/O SERVICIO ]],Tabla3[],3)</f>
        <v>0</v>
      </c>
      <c r="DR55" s="344">
        <f>Tabla1[[#This Row],[COSTO POR UNIDAD DE PRODUCTO (6)]]*Tabla1[[#This Row],[COSTO UNITARIO AÑO 2 6]]*VLOOKUP(Tabla1[[#This Row],[CÓDIGO DEL PRODUCTO Y/O SERVICIO ]],Tabla3[],6)</f>
        <v>0</v>
      </c>
      <c r="DS55" s="344">
        <f>Tabla1[[#This Row],[COSTO POR UNIDAD DE PRODUCTO (6)]]*Tabla1[[#This Row],[COSTO UNITARIO AÑO 3 6]]*VLOOKUP(Tabla1[[#This Row],[CÓDIGO DEL PRODUCTO Y/O SERVICIO ]],Tabla3[],10)</f>
        <v>0</v>
      </c>
      <c r="DT55" s="344">
        <f>Tabla1[[#This Row],[COSTO POR UNIDAD DE PRODUCTO (6)]]*Tabla1[[#This Row],[COSTO UNITARIO AÑO 4 6 ]]*VLOOKUP(Tabla1[[#This Row],[CÓDIGO DEL PRODUCTO Y/O SERVICIO ]],Tabla3[],14)</f>
        <v>0</v>
      </c>
      <c r="DU55" s="344">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7]]*L39</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44">
        <f>IF(Tabla1[[#This Row],[CANTIDADES A UTILIZAR  AÑO 1 7]]=0,0,Tabla1[[#This Row],[CANTIDADES A UTILIZAR  AÑO 1 7]]*1/Tabla1[[#This Row],[UNIDADES PRODUCIDAS AÑO 1 7]])</f>
        <v>0</v>
      </c>
      <c r="EG55" s="344">
        <f>$D$18*(1+BASES!$E$10)</f>
        <v>171.90400000000002</v>
      </c>
      <c r="EH55" s="344">
        <f>Tabla1[[#This Row],[COSTO UNITARIO AÑO 2 7]]*(1+BASES!$F$10)</f>
        <v>173.82932480000005</v>
      </c>
      <c r="EI55" s="344">
        <f>Tabla1[[#This Row],[COSTO UNITARIO AÑO 3 7]]*(1+BASES!$G$10)</f>
        <v>175.77621323776006</v>
      </c>
      <c r="EJ55" s="344">
        <f>Tabla1[[#This Row],[COSTO UNITARIO AÑO 4 7]]*(1+BASES!$H$10)</f>
        <v>177.744906826023</v>
      </c>
      <c r="EK55" s="344">
        <f>Tabla1[[#This Row],[COSTO POR UNIDAD DE PRODUCTO (7)]]*$D$18*VLOOKUP(Tabla1[[#This Row],[CÓDIGO DEL PRODUCTO Y/O SERVICIO ]],Tabla3[],3)</f>
        <v>0</v>
      </c>
      <c r="EL55" s="344">
        <f>Tabla1[[#This Row],[COSTO POR UNIDAD DE PRODUCTO (7)]]*Tabla1[[#This Row],[COSTO UNITARIO AÑO 2 7]]*VLOOKUP(Tabla1[[#This Row],[CÓDIGO DEL PRODUCTO Y/O SERVICIO ]],Tabla3[],6)</f>
        <v>0</v>
      </c>
      <c r="EM55" s="344">
        <f>Tabla1[[#This Row],[COSTO POR UNIDAD DE PRODUCTO (7)]]*Tabla1[[#This Row],[COSTO UNITARIO AÑO 3 7]]*VLOOKUP(Tabla1[[#This Row],[CÓDIGO DEL PRODUCTO Y/O SERVICIO ]],Tabla3[],10)</f>
        <v>0</v>
      </c>
      <c r="EN55" s="344">
        <f>Tabla1[[#This Row],[COSTO POR UNIDAD DE PRODUCTO (7)]]*Tabla1[[#This Row],[COSTO UNITARIO AÑO 4 7]]*VLOOKUP(Tabla1[[#This Row],[CÓDIGO DEL PRODUCTO Y/O SERVICIO ]],Tabla3[],14)</f>
        <v>0</v>
      </c>
      <c r="EO55" s="344">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8]]*M39</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44">
        <f>IF(Tabla1[[#This Row],[CANTIDADES A UTILIZAR  AÑO 1 8]]=0,0,Tabla1[[#This Row],[CANTIDADES A UTILIZAR  AÑO 1 8]]*1/Tabla1[[#This Row],[UNIDADES PRODUCIDAS AÑO 1 8]])</f>
        <v>0</v>
      </c>
      <c r="FA55" s="344">
        <f>$D$19*(1+BASES!$E$10)</f>
        <v>303.36</v>
      </c>
      <c r="FB55" s="344">
        <f>Tabla1[[#This Row],[COSTO UNITARIO AÑO 2 8]]*(1+BASES!$F$10)</f>
        <v>306.75763200000006</v>
      </c>
      <c r="FC55" s="344">
        <f>Tabla1[[#This Row],[COSTO UNITARIO AÑO 3 8]]*(1+BASES!$G$10)</f>
        <v>310.1933174784001</v>
      </c>
      <c r="FD55" s="344">
        <f>Tabla1[[#This Row],[COSTO UNITARIO AÑO 4 8]]*(1+BASES!$H$10)</f>
        <v>313.6674826341582</v>
      </c>
      <c r="FE55" s="344">
        <f>Tabla1[[#This Row],[COSTO POR UNIDAD DE PRODUCTO (8)]]*$D$19*VLOOKUP(Tabla1[[#This Row],[CÓDIGO DEL PRODUCTO Y/O SERVICIO ]],Tabla3[],3)</f>
        <v>0</v>
      </c>
      <c r="FF55" s="344">
        <f>Tabla1[[#This Row],[COSTO POR UNIDAD DE PRODUCTO (8)]]*Tabla1[[#This Row],[COSTO UNITARIO AÑO 2 8]]*VLOOKUP(Tabla1[[#This Row],[CÓDIGO DEL PRODUCTO Y/O SERVICIO ]],Tabla3[],6)</f>
        <v>0</v>
      </c>
      <c r="FG55" s="344">
        <f>Tabla1[[#This Row],[COSTO POR UNIDAD DE PRODUCTO (8)]]*Tabla1[[#This Row],[COSTO UNITARIO AÑO 3 8]]*VLOOKUP(Tabla1[[#This Row],[CÓDIGO DEL PRODUCTO Y/O SERVICIO ]],Tabla3[],10)</f>
        <v>0</v>
      </c>
      <c r="FH55" s="344">
        <f>Tabla1[[#This Row],[COSTO POR UNIDAD DE PRODUCTO (8)]]*Tabla1[[#This Row],[COSTO UNITARIO AÑO 4 8]]*VLOOKUP(Tabla1[[#This Row],[CÓDIGO DEL PRODUCTO Y/O SERVICIO ]],Tabla3[],14)</f>
        <v>0</v>
      </c>
      <c r="FI55" s="344">
        <f>Tabla1[[#This Row],[COSTO POR UNIDAD DE PRODUCTO (8)]]*Tabla1[[#This Row],[COSTO UNITARIO AÑO 5 8]]*VLOOKUP(Tabla1[[#This Row],[CÓDIGO DEL PRODUCTO Y/O SERVICIO ]],Tabla3[],18)</f>
        <v>0</v>
      </c>
      <c r="FJ55" s="346">
        <f>VLOOKUP(Tabla1[[#This Row],[CÓDIGO DEL PRODUCTO Y/O SERVICIO ]],Tabla3[],3)</f>
        <v>0</v>
      </c>
      <c r="FK55" s="346">
        <f>Tabla1[[#This Row],[UNIDADES PRODUCIDAS AÑO 1 9 ]]*N39</f>
        <v>0</v>
      </c>
      <c r="FL55" s="347">
        <f>VLOOKUP(Tabla1[[#This Row],[CÓDIGO DEL PRODUCTO Y/O SERVICIO ]],Tabla3[],9)</f>
        <v>0</v>
      </c>
      <c r="FM55" s="346">
        <f>Tabla1[[#This Row],[CANTIDADES A UTILIZAR  AÑO 1 9]]*(1+Tabla1[[#This Row],[CAMBIO PORCENTUAL EN UNIDADES VENDIDAS AÑO 2 9]])</f>
        <v>0</v>
      </c>
      <c r="FN55" s="347">
        <f>VLOOKUP(Tabla1[[#This Row],[CÓDIGO DEL PRODUCTO Y/O SERVICIO ]],Tabla3[],13)</f>
        <v>0</v>
      </c>
      <c r="FO55" s="346">
        <f>Tabla1[[#This Row],[CANTIDADES A UTILIZAR  AÑO 2 9]]*(1+Tabla1[[#This Row],[CAMBIO PORCENTUAL EN UNIDADES VENDIDAS AÑO 3 9]])</f>
        <v>0</v>
      </c>
      <c r="FP55" s="347">
        <f>VLOOKUP(Tabla1[[#This Row],[CÓDIGO DEL PRODUCTO Y/O SERVICIO ]],Tabla3[],17)</f>
        <v>0</v>
      </c>
      <c r="FQ55" s="346">
        <f>Tabla1[[#This Row],[CANTIDADES A UTILIZAR  AÑO 3 9]]*(1+Tabla1[[#This Row],[CAMBIO PORCENTUAL EN UNIDADES VENDIDAS AÑO 4 9 ]])</f>
        <v>0</v>
      </c>
      <c r="FR55" s="347">
        <f>VLOOKUP(Tabla1[[#This Row],[CÓDIGO DEL PRODUCTO Y/O SERVICIO ]],Tabla3[],21)</f>
        <v>0</v>
      </c>
      <c r="FS55" s="346">
        <f>Tabla1[[#This Row],[CANTIDADES A UTILIZAR  AÑO 4  9]]*(1+Tabla1[[#This Row],[CAMBIO PORCENTUAL EN UNIDADES VENDIDAS AÑO 5 9]])</f>
        <v>0</v>
      </c>
      <c r="FT55" s="348">
        <f>IF(Tabla1[[#This Row],[CANTIDADES A UTILIZAR  AÑO 1 9]]=0,0,Tabla1[[#This Row],[CANTIDADES A UTILIZAR  AÑO 1 9]]*1/Tabla1[[#This Row],[UNIDADES PRODUCIDAS AÑO 1 9 ]])</f>
        <v>0</v>
      </c>
      <c r="FU55" s="348">
        <f>$D$20*(1+BASES!$E$10)</f>
        <v>4550.4000000000005</v>
      </c>
      <c r="FV55" s="348">
        <f>Tabla1[[#This Row],[COSTO UNITARIO AÑO 2 9]]*(1+BASES!$F$10)</f>
        <v>4601.3644800000011</v>
      </c>
      <c r="FW55" s="348">
        <f>Tabla1[[#This Row],[COSTO UNITARIO AÑO 3 9]]*(1+BASES!$G$10)</f>
        <v>4652.8997621760018</v>
      </c>
      <c r="FX55" s="348">
        <f>Tabla1[[#This Row],[COSTO UNITARIO AÑO 4 9]]*(1+BASES!$H$10)</f>
        <v>4705.0122395123735</v>
      </c>
      <c r="FY55" s="348">
        <f>Tabla1[[#This Row],[COSTO POR UNIDAD DE PRODUCTO (9)]]*$D$20*VLOOKUP(Tabla1[[#This Row],[CÓDIGO DEL PRODUCTO Y/O SERVICIO ]],Tabla3[],3)</f>
        <v>0</v>
      </c>
      <c r="FZ55" s="348">
        <f>Tabla1[[#This Row],[COSTO POR UNIDAD DE PRODUCTO (9)]]*Tabla1[[#This Row],[COSTO UNITARIO AÑO 2 9]]*VLOOKUP(Tabla1[[#This Row],[CÓDIGO DEL PRODUCTO Y/O SERVICIO ]],Tabla3[],6)</f>
        <v>0</v>
      </c>
      <c r="GA55" s="348">
        <f>Tabla1[[#This Row],[COSTO POR UNIDAD DE PRODUCTO (9)]]*Tabla1[[#This Row],[COSTO UNITARIO AÑO 3 9]]*VLOOKUP(Tabla1[[#This Row],[CÓDIGO DEL PRODUCTO Y/O SERVICIO ]],Tabla3[],10)</f>
        <v>0</v>
      </c>
      <c r="GB55" s="348">
        <f>Tabla1[[#This Row],[COSTO POR UNIDAD DE PRODUCTO (9)]]*Tabla1[[#This Row],[COSTO UNITARIO AÑO 4 9]]*VLOOKUP(Tabla1[[#This Row],[CÓDIGO DEL PRODUCTO Y/O SERVICIO ]],Tabla3[],14)</f>
        <v>0</v>
      </c>
      <c r="GC55" s="348">
        <f>Tabla1[[#This Row],[COSTO POR UNIDAD DE PRODUCTO (9)]]*Tabla1[[#This Row],[COSTO UNITARIO AÑO 5 9]]*VLOOKUP(Tabla1[[#This Row],[CÓDIGO DEL PRODUCTO Y/O SERVICIO ]],Tabla3[],18)</f>
        <v>0</v>
      </c>
      <c r="GD55" s="346">
        <f>VLOOKUP(Tabla1[[#This Row],[CÓDIGO DEL PRODUCTO Y/O SERVICIO ]],Tabla3[],3)</f>
        <v>0</v>
      </c>
      <c r="GE55" s="346">
        <f>Tabla1[[#This Row],[UNIDADES PRODUCIDAS AÑO 1 10]]*O39</f>
        <v>0</v>
      </c>
      <c r="GF55" s="347">
        <f>VLOOKUP(Tabla1[[#This Row],[CÓDIGO DEL PRODUCTO Y/O SERVICIO ]],Tabla3[],9)</f>
        <v>0</v>
      </c>
      <c r="GG55" s="346">
        <f>Tabla1[[#This Row],[CANTIDADES A UTILIZAR  AÑO 1 10]]*(1+Tabla1[[#This Row],[CAMBIO PORCENTUAL EN UNIDADES VENDIDAS AÑO 2 10 ]])</f>
        <v>0</v>
      </c>
      <c r="GH55" s="347">
        <f>VLOOKUP(Tabla1[[#This Row],[CÓDIGO DEL PRODUCTO Y/O SERVICIO ]],Tabla3[],13)</f>
        <v>0</v>
      </c>
      <c r="GI55" s="346">
        <f>Tabla1[[#This Row],[CANTIDADES A UTILIZAR  AÑO 2 10]]*(1+Tabla1[[#This Row],[CAMBIO PORCENTUAL EN UNIDADES VENDIDAS AÑO 3 10]])</f>
        <v>0</v>
      </c>
      <c r="GJ55" s="347">
        <f>VLOOKUP(Tabla1[[#This Row],[CÓDIGO DEL PRODUCTO Y/O SERVICIO ]],Tabla3[],17)</f>
        <v>0</v>
      </c>
      <c r="GK55" s="346">
        <f>Tabla1[[#This Row],[CANTIDADES A UTILIZAR AÑO 3 10 ]]*(1+Tabla1[[#This Row],[CAMBIO PORCENTUAL EN UNIDADES VENDIDAS AÑO 4 10]])</f>
        <v>0</v>
      </c>
      <c r="GL55" s="347">
        <f>VLOOKUP(Tabla1[[#This Row],[CÓDIGO DEL PRODUCTO Y/O SERVICIO ]],Tabla3[],21)</f>
        <v>0</v>
      </c>
      <c r="GM55" s="346">
        <f>Tabla1[[#This Row],[CANTIDADES A UTILIZAR  AÑO 4 10 ]]*(1+Tabla1[[#This Row],[CAMBIO PORCENTUAL EN UNIDADES VENDIDAS AÑO 5 10]])</f>
        <v>0</v>
      </c>
      <c r="GN55" s="348">
        <f>IF(Tabla1[[#This Row],[CANTIDADES A UTILIZAR  AÑO 1 10]]=0,0,Tabla1[[#This Row],[CANTIDADES A UTILIZAR  AÑO 1 10]]*1/Tabla1[[#This Row],[UNIDADES PRODUCIDAS AÑO 1 10]])</f>
        <v>0</v>
      </c>
      <c r="GO55" s="348">
        <f>$D$21*(1+BASES!$E$10)</f>
        <v>334.81843200000003</v>
      </c>
      <c r="GP55" s="348">
        <f>Tabla1[[#This Row],[COSTO UNITARIO AÑO 2 10 ]]*(1+BASES!$F$10)</f>
        <v>338.56839843840004</v>
      </c>
      <c r="GQ55" s="348">
        <f>Tabla1[[#This Row],[COSTO UNITARIO AÑO 3 10]]*(1+BASES!$G$10)</f>
        <v>342.36036450091018</v>
      </c>
      <c r="GR55" s="348">
        <f>Tabla1[[#This Row],[COSTO UNITARIO AÑO 4 10]]*(1+BASES!$H$10)</f>
        <v>346.19480058332039</v>
      </c>
      <c r="GS55" s="348">
        <f>Tabla1[[#This Row],[COSTO POR UNIDAD DE PRODUCTO (10)]]*$D$21*VLOOKUP(Tabla1[[#This Row],[CÓDIGO DEL PRODUCTO Y/O SERVICIO ]],Tabla3[],3)</f>
        <v>0</v>
      </c>
      <c r="GT55" s="348">
        <f>Tabla1[[#This Row],[COSTO POR UNIDAD DE PRODUCTO (10)]]*Tabla1[[#This Row],[COSTO UNITARIO AÑO 2 10 ]]*VLOOKUP(Tabla1[[#This Row],[CÓDIGO DEL PRODUCTO Y/O SERVICIO ]],Tabla3[],6)</f>
        <v>0</v>
      </c>
      <c r="GU55" s="348">
        <f>Tabla1[[#This Row],[COSTO POR UNIDAD DE PRODUCTO (10)]]*Tabla1[[#This Row],[COSTO UNITARIO AÑO 3 10]]*VLOOKUP(Tabla1[[#This Row],[CÓDIGO DEL PRODUCTO Y/O SERVICIO ]],Tabla3[],10)</f>
        <v>0</v>
      </c>
      <c r="GV55" s="348">
        <f>Tabla1[[#This Row],[COSTO POR UNIDAD DE PRODUCTO (10)]]*Tabla1[[#This Row],[COSTO UNITARIO AÑO 4 10]]*VLOOKUP(Tabla1[[#This Row],[CÓDIGO DEL PRODUCTO Y/O SERVICIO ]],Tabla3[],14)</f>
        <v>0</v>
      </c>
      <c r="GW55" s="348">
        <f>Tabla1[[#This Row],[COSTO POR UNIDAD DE PRODUCTO (10)]]*Tabla1[[#This Row],[COSTO UNITARIO AÑO 5 10 ]]*VLOOKUP(Tabla1[[#This Row],[CÓDIGO DEL PRODUCTO Y/O SERVICIO ]],Tabla3[],18)</f>
        <v>0</v>
      </c>
      <c r="GX55" s="346">
        <f>VLOOKUP(Tabla1[[#This Row],[CÓDIGO DEL PRODUCTO Y/O SERVICIO ]],Tabla3[],3)</f>
        <v>0</v>
      </c>
      <c r="GY55" s="346">
        <f>Tabla1[[#This Row],[UNIDADES PRODUCIDAS AÑO 1 11]]*P39</f>
        <v>0</v>
      </c>
      <c r="GZ55" s="347">
        <f>VLOOKUP(Tabla1[[#This Row],[CÓDIGO DEL PRODUCTO Y/O SERVICIO ]],Tabla3[],9)</f>
        <v>0</v>
      </c>
      <c r="HA55" s="346">
        <f>Tabla1[[#This Row],[CANTIDADES A UTILIZAR  AÑO 1 11 ]]*(1+Tabla1[[#This Row],[CAMBIO PORCENTUAL EN UNIDADES VENDIDAS AÑO 2 11 ]])</f>
        <v>0</v>
      </c>
      <c r="HB55" s="347">
        <f>VLOOKUP(Tabla1[[#This Row],[CÓDIGO DEL PRODUCTO Y/O SERVICIO ]],Tabla3[],13)</f>
        <v>0</v>
      </c>
      <c r="HC55" s="346">
        <f>Tabla1[[#This Row],[CANTIDADES A UTILIZAR  AÑO 2 11 ]]*(1+Tabla1[[#This Row],[CAMBIO PORCENTUAL EN UNIDADES VENDIDAS AÑO 3 11]])</f>
        <v>0</v>
      </c>
      <c r="HD55" s="347">
        <f>VLOOKUP(Tabla1[[#This Row],[CÓDIGO DEL PRODUCTO Y/O SERVICIO ]],Tabla3[],17)</f>
        <v>0</v>
      </c>
      <c r="HE55" s="346">
        <f>Tabla1[[#This Row],[CANTIDADES A UTILIZAR  AÑO 3 11]]*(1+Tabla1[[#This Row],[CAMBIO PORCENTUAL EN UNIDADES VENDIDAS AÑO 4 11]])</f>
        <v>0</v>
      </c>
      <c r="HF55" s="347">
        <f>VLOOKUP(Tabla1[[#This Row],[CÓDIGO DEL PRODUCTO Y/O SERVICIO ]],Tabla3[],21)</f>
        <v>0</v>
      </c>
      <c r="HG55" s="346">
        <f>Tabla1[[#This Row],[CANTIDADES A UTILIZAR  AÑO 4 11]]*(1+Tabla1[[#This Row],[CAMBIO PORCENTUAL EN UNIDADES VENDIDAS AÑO 5 11 ]])</f>
        <v>0</v>
      </c>
      <c r="HH55" s="348">
        <f>IF(Tabla1[[#This Row],[CANTIDADES A UTILIZAR  AÑO 1 11 ]]=0,0,Tabla1[[#This Row],[CANTIDADES A UTILIZAR  AÑO 1 11 ]]*1/Tabla1[[#This Row],[UNIDADES PRODUCIDAS AÑO 1 11]])</f>
        <v>0</v>
      </c>
      <c r="HI55" s="348">
        <f>$D$22*(1+BASES!$E$10)</f>
        <v>1011.2</v>
      </c>
      <c r="HJ55" s="348">
        <f>Tabla1[[#This Row],[COSTO UNITARIO AÑO 2 11]]*(1+BASES!$F$10)</f>
        <v>1022.5254400000001</v>
      </c>
      <c r="HK55" s="348">
        <f>Tabla1[[#This Row],[COSTO UNITARIO AÑO 3 11 ]]*(1+BASES!$G$10)</f>
        <v>1033.9777249280003</v>
      </c>
      <c r="HL55" s="348">
        <f>Tabla1[[#This Row],[COSTO UNITARIO AÑO 4 11 ]]*(1+BASES!$H$10)</f>
        <v>1045.5582754471939</v>
      </c>
      <c r="HM55" s="348">
        <f>Tabla1[[#This Row],[COSTO POR UNIDAD DE PRODUCTO (11)]]*$D$22*VLOOKUP(Tabla1[[#This Row],[CÓDIGO DEL PRODUCTO Y/O SERVICIO ]],Tabla3[],3)</f>
        <v>0</v>
      </c>
      <c r="HN55" s="348">
        <f>Tabla1[[#This Row],[COSTO POR UNIDAD DE PRODUCTO (11)]]*Tabla1[[#This Row],[COSTO UNITARIO AÑO 2 11]]*VLOOKUP(Tabla1[[#This Row],[CÓDIGO DEL PRODUCTO Y/O SERVICIO ]],Tabla3[],6)</f>
        <v>0</v>
      </c>
      <c r="HO55" s="348">
        <f>Tabla1[[#This Row],[COSTO POR UNIDAD DE PRODUCTO (11)]]*Tabla1[[#This Row],[COSTO UNITARIO AÑO 3 11 ]]*VLOOKUP(Tabla1[[#This Row],[CÓDIGO DEL PRODUCTO Y/O SERVICIO ]],Tabla3[],10)</f>
        <v>0</v>
      </c>
      <c r="HP55" s="348">
        <f>Tabla1[[#This Row],[COSTO POR UNIDAD DE PRODUCTO (11)]]*Tabla1[[#This Row],[COSTO UNITARIO AÑO 4 11 ]]*VLOOKUP(Tabla1[[#This Row],[CÓDIGO DEL PRODUCTO Y/O SERVICIO ]],Tabla3[],14)</f>
        <v>0</v>
      </c>
      <c r="HQ55" s="348">
        <f>Tabla1[[#This Row],[COSTO POR UNIDAD DE PRODUCTO (11)]]*Tabla1[[#This Row],[COSTO UNITARIO AÑO 5 11 ]]*VLOOKUP(Tabla1[[#This Row],[CÓDIGO DEL PRODUCTO Y/O SERVICIO ]],Tabla3[],18)</f>
        <v>0</v>
      </c>
      <c r="HR55" s="346">
        <f>VLOOKUP(Tabla1[[#This Row],[CÓDIGO DEL PRODUCTO Y/O SERVICIO ]],Tabla3[],3)</f>
        <v>0</v>
      </c>
      <c r="HS55" s="346">
        <f>Tabla1[[#This Row],[UNIDADES PRODUCIDAS AÑO 1 12]]*Q39</f>
        <v>0</v>
      </c>
      <c r="HT55" s="347">
        <f>VLOOKUP(Tabla1[[#This Row],[CÓDIGO DEL PRODUCTO Y/O SERVICIO ]],Tabla3[],9)</f>
        <v>0</v>
      </c>
      <c r="HU55" s="346">
        <f>Tabla1[[#This Row],[CANTIDADES A UTILIZAR  AÑO 1 12]]*(1+Tabla1[[#This Row],[CAMBIO PORCENTUAL EN UNIDADES VENDIDAS AÑO 2 12]])</f>
        <v>0</v>
      </c>
      <c r="HV55" s="347">
        <f>VLOOKUP(Tabla1[[#This Row],[CÓDIGO DEL PRODUCTO Y/O SERVICIO ]],Tabla3[],13)</f>
        <v>0</v>
      </c>
      <c r="HW55" s="346">
        <f>Tabla1[[#This Row],[CANTIDADES A UTILIZAR  AÑO 2 12]]*(1+Tabla1[[#This Row],[CAMBIO PORCENTUAL EN UNIDADES VENDIDAS AÑO 3 12]])</f>
        <v>0</v>
      </c>
      <c r="HX55" s="347">
        <f>VLOOKUP(Tabla1[[#This Row],[CÓDIGO DEL PRODUCTO Y/O SERVICIO ]],Tabla3[],17)</f>
        <v>0</v>
      </c>
      <c r="HY55" s="346">
        <f>Tabla1[[#This Row],[CANTIDADES A UTILIZAR  AÑO 3 12]]*(1+Tabla1[[#This Row],[CAMBIO PORCENTUAL EN UNIDADES VENDIDAS AÑO 4 12]])</f>
        <v>0</v>
      </c>
      <c r="HZ55" s="347">
        <f>VLOOKUP(Tabla1[[#This Row],[CÓDIGO DEL PRODUCTO Y/O SERVICIO ]],Tabla3[],21)</f>
        <v>0</v>
      </c>
      <c r="IA55" s="346">
        <f>Tabla1[[#This Row],[CANTIDADES A UTILIZAR  AÑO 4 12]]*(1+Tabla1[[#This Row],[CAMBIO PORCENTUAL EN UNIDADES VENDIDAS AÑO 5 12]])</f>
        <v>0</v>
      </c>
      <c r="IB55" s="348">
        <f>IF(Tabla1[[#This Row],[CANTIDADES A UTILIZAR  AÑO 1 12]]=0,0,Tabla1[[#This Row],[CANTIDADES A UTILIZAR  AÑO 1 12]]*1/Tabla1[[#This Row],[UNIDADES PRODUCIDAS AÑO 1 12]])</f>
        <v>0</v>
      </c>
      <c r="IC55" s="348">
        <f>$D$23*(1+BASES!$E$10)</f>
        <v>1011.2</v>
      </c>
      <c r="ID55" s="348">
        <f>Tabla1[[#This Row],[COSTO UNITARIO AÑO 2 12]]*(1+BASES!$F$10)</f>
        <v>1022.5254400000001</v>
      </c>
      <c r="IE55" s="348">
        <f>Tabla1[[#This Row],[COSTO UNITARIO AÑO 3 12]]*(1+BASES!$G$10)</f>
        <v>1033.9777249280003</v>
      </c>
      <c r="IF55" s="348">
        <f>Tabla1[[#This Row],[COSTO UNITARIO AÑO 4 12]]*(1+BASES!$H$10)</f>
        <v>1045.5582754471939</v>
      </c>
      <c r="IG55" s="348">
        <f>Tabla1[[#This Row],[COSTO POR UNIDAD DE PRODUCTO (12)]]*$D$23*VLOOKUP(Tabla1[[#This Row],[CÓDIGO DEL PRODUCTO Y/O SERVICIO ]],Tabla3[],3)</f>
        <v>0</v>
      </c>
      <c r="IH55" s="348">
        <f>Tabla1[[#This Row],[COSTO POR UNIDAD DE PRODUCTO (12)]]*Tabla1[[#This Row],[COSTO UNITARIO AÑO 2 12]]*VLOOKUP(Tabla1[[#This Row],[CÓDIGO DEL PRODUCTO Y/O SERVICIO ]],Tabla3[],6)</f>
        <v>0</v>
      </c>
      <c r="II55" s="348">
        <f>Tabla1[[#This Row],[COSTO POR UNIDAD DE PRODUCTO (12)]]*Tabla1[[#This Row],[COSTO UNITARIO AÑO 3 12]]*VLOOKUP(Tabla1[[#This Row],[CÓDIGO DEL PRODUCTO Y/O SERVICIO ]],Tabla3[],10)</f>
        <v>0</v>
      </c>
      <c r="IJ55" s="348">
        <f>Tabla1[[#This Row],[COSTO POR UNIDAD DE PRODUCTO (12)]]*Tabla1[[#This Row],[COSTO UNITARIO AÑO 4 12]]*VLOOKUP(Tabla1[[#This Row],[CÓDIGO DEL PRODUCTO Y/O SERVICIO ]],Tabla3[],14)</f>
        <v>0</v>
      </c>
      <c r="IK55" s="348">
        <f>Tabla1[[#This Row],[COSTO POR UNIDAD DE PRODUCTO (12)]]*Tabla1[[#This Row],[COSTO UNITARIO AÑO 5 12]]*VLOOKUP(Tabla1[[#This Row],[CÓDIGO DEL PRODUCTO Y/O SERVICIO ]],Tabla3[],18)</f>
        <v>0</v>
      </c>
      <c r="IL55" s="346">
        <f>VLOOKUP(Tabla1[[#This Row],[CÓDIGO DEL PRODUCTO Y/O SERVICIO ]],Tabla3[],3)</f>
        <v>0</v>
      </c>
      <c r="IM55" s="346">
        <f>Tabla1[[#This Row],[UNIDADES PRODUCIDAS AÑO 1 13]]*R39</f>
        <v>0</v>
      </c>
      <c r="IN55" s="347">
        <f>VLOOKUP(Tabla1[[#This Row],[CÓDIGO DEL PRODUCTO Y/O SERVICIO ]],Tabla3[],9)</f>
        <v>0</v>
      </c>
      <c r="IO55" s="346">
        <f>Tabla1[[#This Row],[CANTIDADES A UTILIZAR  AÑO 1 13]]*(1+Tabla1[[#This Row],[CAMBIO PORCENTUAL EN UNIDADES VENDIDAS AÑO 2 13]])</f>
        <v>0</v>
      </c>
      <c r="IP55" s="347">
        <f>VLOOKUP(Tabla1[[#This Row],[CÓDIGO DEL PRODUCTO Y/O SERVICIO ]],Tabla3[],13)</f>
        <v>0</v>
      </c>
      <c r="IQ55" s="346">
        <f>Tabla1[[#This Row],[CANTIDADES A UTILIZAR  AÑO 2 13]]*(1+Tabla1[[#This Row],[CAMBIO PORCENTUAL EN UNIDADES VENDIDAS AÑO 3 13]])</f>
        <v>0</v>
      </c>
      <c r="IR55" s="346">
        <f>VLOOKUP(Tabla1[[#This Row],[CÓDIGO DEL PRODUCTO Y/O SERVICIO ]],Tabla3[],17)</f>
        <v>0</v>
      </c>
      <c r="IS55" s="346">
        <f>Tabla1[[#This Row],[CANTIDADES A UTILIZAR  AÑO 3 13]]*(1+Tabla1[[#This Row],[CAMBIO PORCENTUAL EN UNIDADES VENDIDAS AÑO 4 13]])</f>
        <v>0</v>
      </c>
      <c r="IT55" s="347">
        <f>VLOOKUP(Tabla1[[#This Row],[CÓDIGO DEL PRODUCTO Y/O SERVICIO ]],Tabla3[],21)</f>
        <v>0</v>
      </c>
      <c r="IU55" s="346">
        <f>Tabla1[[#This Row],[CANTIDADES A UTILIZAR  AÑO 4 13]]*(1+Tabla1[[#This Row],[CAMBIO PORCENTUAL EN UNIDADES VENDIDAS AÑO 5 13]])</f>
        <v>0</v>
      </c>
      <c r="IV55" s="348">
        <f>IF(Tabla1[[#This Row],[CANTIDADES A UTILIZAR  AÑO 1 13]]=0,0,Tabla1[[#This Row],[CANTIDADES A UTILIZAR  AÑO 1 13]]*1/Tabla1[[#This Row],[UNIDADES PRODUCIDAS AÑO 1 13]])</f>
        <v>0</v>
      </c>
      <c r="IW55" s="348">
        <f>$D$24*(1+BASES!$E$10)</f>
        <v>101.12</v>
      </c>
      <c r="IX55" s="348">
        <f>Tabla1[[#This Row],[COSTO UNITARIO AÑO 2 13]]*(1+BASES!$F$10)</f>
        <v>102.25254400000001</v>
      </c>
      <c r="IY55" s="348">
        <f>Tabla1[[#This Row],[COSTO UNITARIO AÑO 3 13]]*(1+BASES!$G$10)</f>
        <v>103.39777249280003</v>
      </c>
      <c r="IZ55" s="348">
        <f>Tabla1[[#This Row],[COSTO UNITARIO AÑO 4 13]]*(1+BASES!$H$10)</f>
        <v>104.55582754471941</v>
      </c>
      <c r="JA55" s="348">
        <f>Tabla1[[#This Row],[COSTO POR UNIDAD DE PRODUCTO (13)]]*$D$24*VLOOKUP(Tabla1[[#This Row],[CÓDIGO DEL PRODUCTO Y/O SERVICIO ]],Tabla3[],3)</f>
        <v>0</v>
      </c>
      <c r="JB55" s="348">
        <f>Tabla1[[#This Row],[COSTO POR UNIDAD DE PRODUCTO (13)]]*Tabla1[[#This Row],[COSTO UNITARIO AÑO 2 13]]*VLOOKUP(Tabla1[[#This Row],[CÓDIGO DEL PRODUCTO Y/O SERVICIO ]],Tabla3[],6)</f>
        <v>0</v>
      </c>
      <c r="JC55" s="348">
        <f>Tabla1[[#This Row],[COSTO POR UNIDAD DE PRODUCTO (13)]]*Tabla1[[#This Row],[COSTO UNITARIO AÑO 3 13]]*VLOOKUP(Tabla1[[#This Row],[CÓDIGO DEL PRODUCTO Y/O SERVICIO ]],Tabla3[],10)</f>
        <v>0</v>
      </c>
      <c r="JD55" s="348">
        <f>Tabla1[[#This Row],[COSTO POR UNIDAD DE PRODUCTO (13)]]*Tabla1[[#This Row],[COSTO UNITARIO AÑO 4 13]]*VLOOKUP(Tabla1[[#This Row],[CÓDIGO DEL PRODUCTO Y/O SERVICIO ]],Tabla3[],14)</f>
        <v>0</v>
      </c>
      <c r="JE55" s="348">
        <f>Tabla1[[#This Row],[COSTO POR UNIDAD DE PRODUCTO (13)]]*Tabla1[[#This Row],[COSTO UNITARIO AÑO 5 13]]*VLOOKUP(Tabla1[[#This Row],[CÓDIGO DEL PRODUCTO Y/O SERVICIO ]],Tabla3[],18)</f>
        <v>0</v>
      </c>
      <c r="JF55" s="346">
        <f>VLOOKUP(Tabla1[[#This Row],[CÓDIGO DEL PRODUCTO Y/O SERVICIO ]],Tabla3[],3)</f>
        <v>0</v>
      </c>
      <c r="JG55" s="346">
        <f>Tabla1[[#This Row],[UNIDADES PRODUCIDAS AÑO 1 14]]*S39</f>
        <v>0</v>
      </c>
      <c r="JH55" s="347">
        <f>VLOOKUP(Tabla1[[#This Row],[CÓDIGO DEL PRODUCTO Y/O SERVICIO ]],Tabla3[],9)</f>
        <v>0</v>
      </c>
      <c r="JI55" s="346">
        <f>Tabla1[[#This Row],[CANTIDADES A UTILIZAR  AÑO 1 14]]*(1+Tabla1[[#This Row],[CAMBIO PORCENTUAL EN UNIDADES VENDIDAS AÑO 2 14]])</f>
        <v>0</v>
      </c>
      <c r="JJ55" s="347">
        <f>VLOOKUP(Tabla1[[#This Row],[CÓDIGO DEL PRODUCTO Y/O SERVICIO ]],Tabla3[],13)</f>
        <v>0</v>
      </c>
      <c r="JK55" s="346">
        <f>Tabla1[[#This Row],[CANTIDADES A UTILIZAR  AÑO 2 14]]*(1+Tabla1[[#This Row],[CAMBIO PORCENTUAL EN UNIDADES VENDIDAS AÑO 3 14]])</f>
        <v>0</v>
      </c>
      <c r="JL55" s="347">
        <f>VLOOKUP(Tabla1[[#This Row],[CÓDIGO DEL PRODUCTO Y/O SERVICIO ]],Tabla3[],17)</f>
        <v>0</v>
      </c>
      <c r="JM55" s="346">
        <f>Tabla1[[#This Row],[CANTIDADES A UTILIZAR AÑO 3 14]]*(1+Tabla1[[#This Row],[CAMBIO PORCENTUAL EN UNIDADES VENDIDAS AÑO 4 14]])</f>
        <v>0</v>
      </c>
      <c r="JN55" s="347">
        <f>VLOOKUP(Tabla1[[#This Row],[CÓDIGO DEL PRODUCTO Y/O SERVICIO ]],Tabla3[],21)</f>
        <v>0</v>
      </c>
      <c r="JO55" s="346">
        <f>Tabla1[[#This Row],[CANTIDADES A UTILIZAR  AÑO 4 14]]*(1+Tabla1[[#This Row],[CAMBIO PORCENTUAL EN UNIDADES VENDIDAS AÑO 5 14]])</f>
        <v>0</v>
      </c>
      <c r="JP55" s="348">
        <f>IF(Tabla1[[#This Row],[CANTIDADES A UTILIZAR  AÑO 1 14]]=0,0,Tabla1[[#This Row],[CANTIDADES A UTILIZAR  AÑO 1 14]]*1/Tabla1[[#This Row],[UNIDADES PRODUCIDAS AÑO 1 14]])</f>
        <v>0</v>
      </c>
      <c r="JQ55" s="348">
        <f>$D$25*(1+BASES!$E$10)</f>
        <v>1011.2</v>
      </c>
      <c r="JR55" s="348">
        <f>Tabla1[[#This Row],[COSTO UNITARIO AÑO 2 14]]*(1+BASES!$F$10)</f>
        <v>1022.5254400000001</v>
      </c>
      <c r="JS55" s="348">
        <f>Tabla1[[#This Row],[COSTO UNITARIO AÑO 3 14]]*(1+BASES!$G$10)</f>
        <v>1033.9777249280003</v>
      </c>
      <c r="JT55" s="348">
        <f>Tabla1[[#This Row],[COSTO UNITARIO AÑO 4 14]]*(1+BASES!$H$10)</f>
        <v>1045.5582754471939</v>
      </c>
      <c r="JU55" s="348">
        <f>Tabla1[[#This Row],[COSTO POR UNIDAD DE PRODUCTO (14)]]*$D$25*VLOOKUP(Tabla1[[#This Row],[CÓDIGO DEL PRODUCTO Y/O SERVICIO ]],Tabla3[],3)</f>
        <v>0</v>
      </c>
      <c r="JV55" s="348">
        <f>Tabla1[[#This Row],[COSTO POR UNIDAD DE PRODUCTO (14)]]*Tabla1[[#This Row],[COSTO UNITARIO AÑO 2 14]]*VLOOKUP(Tabla1[[#This Row],[CÓDIGO DEL PRODUCTO Y/O SERVICIO ]],Tabla3[],6)</f>
        <v>0</v>
      </c>
      <c r="JW55" s="348">
        <f>Tabla1[[#This Row],[COSTO POR UNIDAD DE PRODUCTO (14)]]*Tabla1[[#This Row],[COSTO UNITARIO AÑO 3 14]]*VLOOKUP(Tabla1[[#This Row],[CÓDIGO DEL PRODUCTO Y/O SERVICIO ]],Tabla3[],10)</f>
        <v>0</v>
      </c>
      <c r="JX55" s="348">
        <f>Tabla1[[#This Row],[COSTO POR UNIDAD DE PRODUCTO (14)]]*Tabla1[[#This Row],[COSTO UNITARIO AÑO 4 14]]*VLOOKUP(Tabla1[[#This Row],[CÓDIGO DEL PRODUCTO Y/O SERVICIO ]],Tabla3[],14)</f>
        <v>0</v>
      </c>
      <c r="JY55" s="348">
        <f>Tabla1[[#This Row],[COSTO POR UNIDAD DE PRODUCTO (14)]]*Tabla1[[#This Row],[COSTO UNITARIO AÑO 5 14]]*VLOOKUP(Tabla1[[#This Row],[CÓDIGO DEL PRODUCTO Y/O SERVICIO ]],Tabla3[],18)</f>
        <v>0</v>
      </c>
      <c r="JZ55" s="346">
        <f>VLOOKUP(Tabla1[[#This Row],[CÓDIGO DEL PRODUCTO Y/O SERVICIO ]],Tabla3[],3)</f>
        <v>0</v>
      </c>
      <c r="KA55" s="346">
        <f>Tabla1[[#This Row],[UNIDADES PRODUCIDAS AÑO 1 15]]*T39</f>
        <v>0</v>
      </c>
      <c r="KB55" s="347">
        <f>VLOOKUP(Tabla1[[#This Row],[CÓDIGO DEL PRODUCTO Y/O SERVICIO ]],Tabla3[],9)</f>
        <v>0</v>
      </c>
      <c r="KC55" s="346">
        <f>Tabla1[[#This Row],[CANTIDADES A UTILIZAR  AÑO 1 15]]*(1+Tabla1[[#This Row],[CAMBIO PORCENTUAL EN UNIDADES VENDIDAS AÑO 2 15]])</f>
        <v>0</v>
      </c>
      <c r="KD55" s="347">
        <f>VLOOKUP(Tabla1[[#This Row],[CÓDIGO DEL PRODUCTO Y/O SERVICIO ]],Tabla3[],13)</f>
        <v>0</v>
      </c>
      <c r="KE55" s="346">
        <f>Tabla1[[#This Row],[CANTIDADES A UTILIZAR  AÑO 2 15]]*(1+Tabla1[[#This Row],[CAMBIO PORCENTUAL EN UNIDADES VENDIDAS AÑO 3 15]])</f>
        <v>0</v>
      </c>
      <c r="KF55" s="347">
        <f>VLOOKUP(Tabla1[[#This Row],[CÓDIGO DEL PRODUCTO Y/O SERVICIO ]],Tabla3[],17)</f>
        <v>0</v>
      </c>
      <c r="KG55" s="346">
        <f>Tabla1[[#This Row],[CANTIDADES A UTILIZAR  AÑO 3 15]]*(1+Tabla1[[#This Row],[CAMBIO PORCENTUAL EN UNIDADES VENDIDAS AÑO 4 15]])</f>
        <v>0</v>
      </c>
      <c r="KH55" s="347">
        <f>VLOOKUP(Tabla1[[#This Row],[CÓDIGO DEL PRODUCTO Y/O SERVICIO ]],Tabla3[],21)</f>
        <v>0</v>
      </c>
      <c r="KI55" s="346">
        <f>Tabla1[[#This Row],[CANTIDADES A UTILIZAR  AÑO 4 15]]*(1+Tabla1[[#This Row],[CAMBIO PORCENTUAL EN UNIDADES VENDIDAS AÑO 5 15]])</f>
        <v>0</v>
      </c>
      <c r="KJ55" s="348">
        <f>IF(Tabla1[[#This Row],[CANTIDADES A UTILIZAR  AÑO 1 15]]=0,0,Tabla1[[#This Row],[CANTIDADES A UTILIZAR  AÑO 1 15]]*1/Tabla1[[#This Row],[UNIDADES PRODUCIDAS AÑO 1 15]])</f>
        <v>0</v>
      </c>
      <c r="KK55" s="348">
        <f>$D$26*(1+BASES!$E$10)</f>
        <v>4044.8</v>
      </c>
      <c r="KL55" s="348">
        <f>Tabla1[[#This Row],[COSTO UNITARIO AÑO 2 15]]*(1+BASES!$F$10)</f>
        <v>4090.1017600000005</v>
      </c>
      <c r="KM55" s="348">
        <f>Tabla1[[#This Row],[COSTO UNITARIO AÑO 3 15]]*(1+BASES!$G$10)</f>
        <v>4135.9108997120011</v>
      </c>
      <c r="KN55" s="348">
        <f>Tabla1[[#This Row],[COSTO UNITARIO AÑO 4 15]]*(1+BASES!$H$10)</f>
        <v>4182.2331017887755</v>
      </c>
      <c r="KO55" s="348">
        <f>Tabla1[[#This Row],[COSTO POR UNIDAD DE PRODUCTO (15)]]*$D$26*VLOOKUP(Tabla1[[#This Row],[CÓDIGO DEL PRODUCTO Y/O SERVICIO ]],Tabla3[],3)</f>
        <v>0</v>
      </c>
      <c r="KP55" s="348">
        <f>Tabla1[[#This Row],[COSTO POR UNIDAD DE PRODUCTO (15)]]*Tabla1[[#This Row],[COSTO UNITARIO AÑO 2 15]]*VLOOKUP(Tabla1[[#This Row],[CÓDIGO DEL PRODUCTO Y/O SERVICIO ]],Tabla3[],6)</f>
        <v>0</v>
      </c>
      <c r="KQ55" s="348">
        <f>Tabla1[[#This Row],[COSTO POR UNIDAD DE PRODUCTO (15)]]*Tabla1[[#This Row],[COSTO UNITARIO AÑO 3 15]]*VLOOKUP(Tabla1[[#This Row],[CÓDIGO DEL PRODUCTO Y/O SERVICIO ]],Tabla3[],10)</f>
        <v>0</v>
      </c>
      <c r="KR55" s="348">
        <f>Tabla1[[#This Row],[COSTO POR UNIDAD DE PRODUCTO (15)]]*Tabla1[[#This Row],[COSTO UNITARIO AÑO 4 15]]*VLOOKUP(Tabla1[[#This Row],[CÓDIGO DEL PRODUCTO Y/O SERVICIO ]],Tabla3[],14)</f>
        <v>0</v>
      </c>
      <c r="KS55" s="348">
        <f>Tabla1[[#This Row],[COSTO POR UNIDAD DE PRODUCTO (15)]]*Tabla1[[#This Row],[COSTO UNITARIO AÑO 5 15]]*VLOOKUP(Tabla1[[#This Row],[CÓDIGO DEL PRODUCTO Y/O SERVICIO ]],Tabla3[],18)</f>
        <v>0</v>
      </c>
      <c r="KT55" s="346">
        <f>VLOOKUP(Tabla1[[#This Row],[CÓDIGO DEL PRODUCTO Y/O SERVICIO ]],Tabla3[],3)</f>
        <v>0</v>
      </c>
      <c r="KU55" s="346">
        <f>Tabla1[[#This Row],[UNIDADES PRODUCIDAS AÑO 1 16]]*U39</f>
        <v>0</v>
      </c>
      <c r="KV55" s="347">
        <f>VLOOKUP(Tabla1[[#This Row],[CÓDIGO DEL PRODUCTO Y/O SERVICIO ]],Tabla3[],9)</f>
        <v>0</v>
      </c>
      <c r="KW55" s="346">
        <f>Tabla1[[#This Row],[CANTIDADES A UTILIZAR  AÑO 1 16]]*(1+Tabla1[[#This Row],[CAMBIO PORCENTUAL EN UNIDADES VENDIDAS AÑO 2 16]])</f>
        <v>0</v>
      </c>
      <c r="KX55" s="347">
        <f>VLOOKUP(Tabla1[[#This Row],[CÓDIGO DEL PRODUCTO Y/O SERVICIO ]],Tabla3[],13)</f>
        <v>0</v>
      </c>
      <c r="KY55" s="346">
        <f>Tabla1[[#This Row],[CANTIDADES A UTILIZAR  AÑO 2 16]]*(1+Tabla1[[#This Row],[CAMBIO PORCENTUAL EN UNIDADES VENDIDAS AÑO 3 16]])</f>
        <v>0</v>
      </c>
      <c r="KZ55" s="347">
        <f>VLOOKUP(Tabla1[[#This Row],[CÓDIGO DEL PRODUCTO Y/O SERVICIO ]],Tabla3[],17)</f>
        <v>0</v>
      </c>
      <c r="LA55" s="346">
        <f>Tabla1[[#This Row],[CANTIDADES A UTILIZAR  AÑO 3 16]]*(1+Tabla1[[#This Row],[CAMBIO PORCENTUAL EN UNIDADES VENDIDAS AÑO 4 16]])</f>
        <v>0</v>
      </c>
      <c r="LB55" s="347">
        <f>VLOOKUP(Tabla1[[#This Row],[CÓDIGO DEL PRODUCTO Y/O SERVICIO ]],Tabla3[],21)</f>
        <v>0</v>
      </c>
      <c r="LC55" s="346">
        <f>Tabla1[[#This Row],[CANTIDADES A UTILIZAR  AÑO 4 16]]*(1+Tabla1[[#This Row],[CAMBIO PORCENTUAL EN UNIDADES VENDIDAS AÑO 5 16]])</f>
        <v>0</v>
      </c>
      <c r="LD55" s="348">
        <f>IF(Tabla1[[#This Row],[CANTIDADES A UTILIZAR  AÑO 1 16]]=0,0,Tabla1[[#This Row],[CANTIDADES A UTILIZAR  AÑO 1 16]]*1/Tabla1[[#This Row],[UNIDADES PRODUCIDAS AÑO 1 16]])</f>
        <v>0</v>
      </c>
      <c r="LE55" s="348">
        <f>$D$27*(1+BASES!$E$10)</f>
        <v>1264.0000000000002</v>
      </c>
      <c r="LF55" s="348">
        <f>Tabla1[[#This Row],[COSTO UNITARIO AÑO 2 16]]*(1+BASES!$F$10)</f>
        <v>1278.1568000000004</v>
      </c>
      <c r="LG55" s="348">
        <f>Tabla1[[#This Row],[COSTO UNITARIO AÑO 3 16]]*(1+BASES!$G$10)</f>
        <v>1292.4721561600006</v>
      </c>
      <c r="LH55" s="348">
        <f>Tabla1[[#This Row],[COSTO UNITARIO AÑO 4 16]]*(1+BASES!$H$10)</f>
        <v>1306.9478443089927</v>
      </c>
      <c r="LI55" s="348">
        <f>Tabla1[[#This Row],[COSTO POR UNIDAD DE PRODUCTO (16)]]*$D$27*VLOOKUP(Tabla1[[#This Row],[CÓDIGO DEL PRODUCTO Y/O SERVICIO ]],Tabla3[],3)</f>
        <v>0</v>
      </c>
      <c r="LJ55" s="348">
        <f>Tabla1[[#This Row],[COSTO POR UNIDAD DE PRODUCTO (16)]]*Tabla1[[#This Row],[COSTO UNITARIO AÑO 2 16]]*VLOOKUP(Tabla1[[#This Row],[CÓDIGO DEL PRODUCTO Y/O SERVICIO ]],Tabla3[],6)</f>
        <v>0</v>
      </c>
      <c r="LK55" s="348">
        <f>Tabla1[[#This Row],[COSTO POR UNIDAD DE PRODUCTO (16)]]*Tabla1[[#This Row],[COSTO UNITARIO AÑO 3 16]]*VLOOKUP(Tabla1[[#This Row],[CÓDIGO DEL PRODUCTO Y/O SERVICIO ]],Tabla3[],10)</f>
        <v>0</v>
      </c>
      <c r="LL55" s="348">
        <f>Tabla1[[#This Row],[COSTO POR UNIDAD DE PRODUCTO (16)]]*Tabla1[[#This Row],[COSTO UNITARIO AÑO 4 16]]*VLOOKUP(Tabla1[[#This Row],[CÓDIGO DEL PRODUCTO Y/O SERVICIO ]],Tabla3[],14)</f>
        <v>0</v>
      </c>
      <c r="LM55" s="348">
        <f>Tabla1[[#This Row],[COSTO POR UNIDAD DE PRODUCTO (16)]]*Tabla1[[#This Row],[COSTO UNITARIO AÑO 5 16]]*VLOOKUP(Tabla1[[#This Row],[CÓDIGO DEL PRODUCTO Y/O SERVICIO ]],Tabla3[],18)</f>
        <v>0</v>
      </c>
      <c r="LN55" s="346">
        <f>VLOOKUP(Tabla1[[#This Row],[CÓDIGO DEL PRODUCTO Y/O SERVICIO ]],Tabla3[],3)</f>
        <v>0</v>
      </c>
      <c r="LO55" s="346">
        <f>Tabla1[[#This Row],[UNIDADES PRODUCIDAS AÑO 1 17]]*V39</f>
        <v>0</v>
      </c>
      <c r="LP55" s="347">
        <f>VLOOKUP(Tabla1[[#This Row],[CÓDIGO DEL PRODUCTO Y/O SERVICIO ]],Tabla3[],9)</f>
        <v>0</v>
      </c>
      <c r="LQ55" s="346">
        <f>Tabla1[[#This Row],[CANTIDADES A UTILIZAR  AÑO 1 17]]*(1+Tabla1[[#This Row],[CAMBIO PORCENTUAL EN UNIDADES VENDIDAS AÑO 2 17]])</f>
        <v>0</v>
      </c>
      <c r="LR55" s="347">
        <f>VLOOKUP(Tabla1[[#This Row],[CÓDIGO DEL PRODUCTO Y/O SERVICIO ]],Tabla3[],13)</f>
        <v>0</v>
      </c>
      <c r="LS55" s="346">
        <f>Tabla1[[#This Row],[CANTIDADES A UTILIZAR  AÑO 2 17]]*(1+Tabla1[[#This Row],[CAMBIO PORCENTUAL EN UNIDADES VENDIDAS AÑO 3 17]])</f>
        <v>0</v>
      </c>
      <c r="LT55" s="347">
        <f>VLOOKUP(Tabla1[[#This Row],[CÓDIGO DEL PRODUCTO Y/O SERVICIO ]],Tabla3[],17)</f>
        <v>0</v>
      </c>
      <c r="LU55" s="346">
        <f>Tabla1[[#This Row],[CANTIDADES A UTILIZAR  AÑO 3 17]]*(1+Tabla1[[#This Row],[CAMBIO PORCENTUAL EN UNIDADES VENDIDAS AÑO 4 17 ]])</f>
        <v>0</v>
      </c>
      <c r="LV55" s="347">
        <f>VLOOKUP(Tabla1[[#This Row],[CÓDIGO DEL PRODUCTO Y/O SERVICIO ]],Tabla3[],21)</f>
        <v>0</v>
      </c>
      <c r="LW55" s="346">
        <f>Tabla1[[#This Row],[CANTIDADES A UTILIZAR  AÑO 4 17]]*(1+Tabla1[[#This Row],[CAMBIO PORCENTUAL EN UNIDADES VENDIDAS AÑO 5 17]])</f>
        <v>0</v>
      </c>
      <c r="LX55" s="348">
        <f>IF(Tabla1[[#This Row],[CANTIDADES A UTILIZAR  AÑO 1 17]]=0,0,Tabla1[[#This Row],[CANTIDADES A UTILIZAR  AÑO 1 17]]*1/Tabla1[[#This Row],[UNIDADES PRODUCIDAS AÑO 1 17]])</f>
        <v>0</v>
      </c>
      <c r="LY55" s="348">
        <f>$D$28*(1+BASES!$E$10)</f>
        <v>222.46400000000003</v>
      </c>
      <c r="LZ55" s="348">
        <f>Tabla1[[#This Row],[COSTO UNITARIO AÑO 2 17]]*(1+BASES!$F$10)</f>
        <v>224.95559680000005</v>
      </c>
      <c r="MA55" s="348">
        <f>Tabla1[[#This Row],[COSTO UNITARIO AÑO 3 17]]*(1+BASES!$G$10)</f>
        <v>227.47509948416007</v>
      </c>
      <c r="MB55" s="348">
        <f>Tabla1[[#This Row],[COSTO UNITARIO AÑO 4 17]]*(1+BASES!$H$10)</f>
        <v>230.02282059838268</v>
      </c>
      <c r="MC55" s="348">
        <f>Tabla1[[#This Row],[COSTO POR UNIDAD DE PRODUCTO (17)]]*$D$28*VLOOKUP(Tabla1[[#This Row],[CÓDIGO DEL PRODUCTO Y/O SERVICIO ]],Tabla3[],3)</f>
        <v>0</v>
      </c>
      <c r="MD55" s="348">
        <f>Tabla1[[#This Row],[COSTO POR UNIDAD DE PRODUCTO (17)]]*Tabla1[[#This Row],[COSTO UNITARIO AÑO 2 17]]*VLOOKUP(Tabla1[[#This Row],[CÓDIGO DEL PRODUCTO Y/O SERVICIO ]],Tabla3[],6)</f>
        <v>0</v>
      </c>
      <c r="ME55" s="348">
        <f>Tabla1[[#This Row],[COSTO POR UNIDAD DE PRODUCTO (17)]]*Tabla1[[#This Row],[COSTO UNITARIO AÑO 3 17]]*VLOOKUP(Tabla1[[#This Row],[CÓDIGO DEL PRODUCTO Y/O SERVICIO ]],Tabla3[],10)</f>
        <v>0</v>
      </c>
      <c r="MF55" s="348">
        <f>Tabla1[[#This Row],[COSTO POR UNIDAD DE PRODUCTO (17)]]*Tabla1[[#This Row],[COSTO UNITARIO AÑO 4 17]]*VLOOKUP(Tabla1[[#This Row],[CÓDIGO DEL PRODUCTO Y/O SERVICIO ]],Tabla3[],14)</f>
        <v>0</v>
      </c>
      <c r="MG55" s="348">
        <f>Tabla1[[#This Row],[COSTO POR UNIDAD DE PRODUCTO (17)]]*Tabla1[[#This Row],[COSTO UNITARIO AÑO 5 17]]*VLOOKUP(Tabla1[[#This Row],[CÓDIGO DEL PRODUCTO Y/O SERVICIO ]],Tabla3[],18)</f>
        <v>0</v>
      </c>
      <c r="MH55" s="346">
        <f>VLOOKUP(Tabla1[[#This Row],[CÓDIGO DEL PRODUCTO Y/O SERVICIO ]],Tabla3[],3)</f>
        <v>0</v>
      </c>
      <c r="MI55" s="346">
        <f>Tabla1[[#This Row],[UNIDADES PRODUCIDAS AÑO 1 18 ]]*W39</f>
        <v>0</v>
      </c>
      <c r="MJ55" s="347">
        <f>VLOOKUP(Tabla1[[#This Row],[CÓDIGO DEL PRODUCTO Y/O SERVICIO ]],Tabla3[],9)</f>
        <v>0</v>
      </c>
      <c r="MK55" s="346">
        <f>Tabla1[[#This Row],[CANTIDADES A UTILIZAR  AÑO 1 18]]*(1+Tabla1[[#This Row],[CAMBIO PORCENTUAL EN UNIDADES VENDIDAS AÑO 2 18]])</f>
        <v>0</v>
      </c>
      <c r="ML55" s="347">
        <f>VLOOKUP(Tabla1[[#This Row],[CÓDIGO DEL PRODUCTO Y/O SERVICIO ]],Tabla3[],13)</f>
        <v>0</v>
      </c>
      <c r="MM55" s="346">
        <f>Tabla1[[#This Row],[CANTIDADES A UTILIZAR AÑO 2 18]]*(1+Tabla1[[#This Row],[CAMBIO PORCENTUAL EN UNIDADES VENDIDAS AÑO 3 18 ]])</f>
        <v>0</v>
      </c>
      <c r="MN55" s="347">
        <f>VLOOKUP(Tabla1[[#This Row],[CÓDIGO DEL PRODUCTO Y/O SERVICIO ]],Tabla3[],17)</f>
        <v>0</v>
      </c>
      <c r="MO55" s="346">
        <f>Tabla1[[#This Row],[CANTIDADES A UTILIZAR  AÑO 3 18]]*(1+Tabla1[[#This Row],[CAMBIO PORCENTUAL EN UNIDADES VENDIDAS AÑO 4 18]])</f>
        <v>0</v>
      </c>
      <c r="MP55" s="347">
        <f>VLOOKUP(Tabla1[[#This Row],[CÓDIGO DEL PRODUCTO Y/O SERVICIO ]],Tabla3[],21)</f>
        <v>0</v>
      </c>
      <c r="MQ55" s="346">
        <f>Tabla1[[#This Row],[CANTIDADES A UTILIZAR  AÑO 4 18 ]]*(1+Tabla1[[#This Row],[CAMBIO PORCENTUAL EN UNIDADES VENDIDAS AÑO 5 18 ]])</f>
        <v>0</v>
      </c>
      <c r="MR55" s="348">
        <f>IF(Tabla1[[#This Row],[CANTIDADES A UTILIZAR  AÑO 1 18]]=0,0,Tabla1[[#This Row],[CANTIDADES A UTILIZAR  AÑO 1 18]]*1/Tabla1[[#This Row],[UNIDADES PRODUCIDAS AÑO 1 18 ]])</f>
        <v>0</v>
      </c>
      <c r="MS55" s="348">
        <f>$D$29*(1+BASES!$E$10)</f>
        <v>505.6</v>
      </c>
      <c r="MT55" s="348">
        <f>Tabla1[[#This Row],[COSTO UNITARIO AÑO 2 18]]*(1+BASES!$F$10)</f>
        <v>511.26272000000006</v>
      </c>
      <c r="MU55" s="348">
        <f>Tabla1[[#This Row],[COSTO UNITARIO AÑO 3 18 ]]*(1+BASES!$G$10)</f>
        <v>516.98886246400014</v>
      </c>
      <c r="MV55" s="348">
        <f>Tabla1[[#This Row],[COSTO UNITARIO AÑO 4 18 ]]*(1+BASES!$H$10)</f>
        <v>522.77913772359693</v>
      </c>
      <c r="MW55" s="348">
        <f>Tabla1[[#This Row],[COSTO POR UNIDAD DE PRODUCTO (18)]]*$D$29*VLOOKUP(Tabla1[[#This Row],[CÓDIGO DEL PRODUCTO Y/O SERVICIO ]],Tabla3[],3)</f>
        <v>0</v>
      </c>
      <c r="MX55" s="348">
        <f>Tabla1[[#This Row],[COSTO POR UNIDAD DE PRODUCTO (18)]]*Tabla1[[#This Row],[COSTO UNITARIO AÑO 2 18]]*VLOOKUP(Tabla1[[#This Row],[CÓDIGO DEL PRODUCTO Y/O SERVICIO ]],Tabla3[],6)</f>
        <v>0</v>
      </c>
      <c r="MY55" s="348">
        <f>Tabla1[[#This Row],[COSTO POR UNIDAD DE PRODUCTO (18)]]*Tabla1[[#This Row],[COSTO UNITARIO AÑO 3 18 ]]*VLOOKUP(Tabla1[[#This Row],[CÓDIGO DEL PRODUCTO Y/O SERVICIO ]],Tabla3[],10)</f>
        <v>0</v>
      </c>
      <c r="MZ55" s="348">
        <f>Tabla1[[#This Row],[COSTO POR UNIDAD DE PRODUCTO (18)]]*Tabla1[[#This Row],[COSTO UNITARIO AÑO 4 18 ]]*VLOOKUP(Tabla1[[#This Row],[CÓDIGO DEL PRODUCTO Y/O SERVICIO ]],Tabla3[],14)</f>
        <v>0</v>
      </c>
      <c r="NA55" s="348">
        <f>Tabla1[[#This Row],[COSTO POR UNIDAD DE PRODUCTO (18)]]*Tabla1[[#This Row],[COSTO UNITARIO AÑO 5 18 ]]*VLOOKUP(Tabla1[[#This Row],[CÓDIGO DEL PRODUCTO Y/O SERVICIO ]],Tabla3[],18)</f>
        <v>0</v>
      </c>
      <c r="NB55" s="346">
        <f>VLOOKUP(Tabla1[[#This Row],[CÓDIGO DEL PRODUCTO Y/O SERVICIO ]],Tabla3[],3)</f>
        <v>0</v>
      </c>
      <c r="NC55" s="346">
        <f>Tabla1[[#This Row],[UNIDADES PRODUCIDAS AÑO 1 19]]*X39</f>
        <v>0</v>
      </c>
      <c r="ND55" s="347">
        <f>VLOOKUP(Tabla1[[#This Row],[CÓDIGO DEL PRODUCTO Y/O SERVICIO ]],Tabla3[],9)</f>
        <v>0</v>
      </c>
      <c r="NE55" s="346">
        <f>Tabla1[[#This Row],[CANTIDADES A UTILIZAR  AÑO 1 19 ]]*(1+Tabla1[[#This Row],[CAMBIO PORCENTUAL EN UNIDADES VENDIDAS AÑO 2 19]])</f>
        <v>0</v>
      </c>
      <c r="NF55" s="347">
        <f>VLOOKUP(Tabla1[[#This Row],[CÓDIGO DEL PRODUCTO Y/O SERVICIO ]],Tabla3[],13)</f>
        <v>0</v>
      </c>
      <c r="NG55" s="346">
        <f>Tabla1[[#This Row],[CANTIDADES A UTILIZAR  AÑO 2 19 ]]*(1+Tabla1[[#This Row],[CAMBIO PORCENTUAL EN UNIDADES VENDIDAS AÑO 3 19 ]])</f>
        <v>0</v>
      </c>
      <c r="NH55" s="347">
        <f>VLOOKUP(Tabla1[[#This Row],[CÓDIGO DEL PRODUCTO Y/O SERVICIO ]],Tabla3[],17)</f>
        <v>0</v>
      </c>
      <c r="NI55" s="346">
        <f>Tabla1[[#This Row],[CANTIDADES A UTILIZAR  AÑO 3 19 ]]*(1+Tabla1[[#This Row],[CAMBIO PORCENTUAL EN UNIDADES VENDIDAS AÑO 4 19 ]])</f>
        <v>0</v>
      </c>
      <c r="NJ55" s="347">
        <f>VLOOKUP(Tabla1[[#This Row],[CÓDIGO DEL PRODUCTO Y/O SERVICIO ]],Tabla3[],21)</f>
        <v>0</v>
      </c>
      <c r="NK55" s="346">
        <f>Tabla1[[#This Row],[CANTIDADES A UTILIZAR AÑO 4 19 ]]*(1+Tabla1[[#This Row],[CAMBIO PORCENTUAL EN UNIDADES VENDIDAS AÑO 5 19 ]])</f>
        <v>0</v>
      </c>
      <c r="NL55" s="348">
        <f>IF(Tabla1[[#This Row],[CANTIDADES A UTILIZAR  AÑO 1 19 ]]=0,0,Tabla1[[#This Row],[CANTIDADES A UTILIZAR  AÑO 1 19 ]]*1/Tabla1[[#This Row],[UNIDADES PRODUCIDAS AÑO 1 19]])</f>
        <v>0</v>
      </c>
      <c r="NM55" s="348">
        <f>$D$30*(1+BASES!$E$10)</f>
        <v>10112.000000000002</v>
      </c>
      <c r="NN55" s="348">
        <f>Tabla1[[#This Row],[COSTO UNITARIO AÑO 2 19 ]]*(1+BASES!$F$10)</f>
        <v>10225.254400000003</v>
      </c>
      <c r="NO55" s="348">
        <f>Tabla1[[#This Row],[COSTO UNITARIO AÑO 3 19 ]]*(1+BASES!$G$10)</f>
        <v>10339.777249280005</v>
      </c>
      <c r="NP55" s="348">
        <f>Tabla1[[#This Row],[COSTO UNITARIO AÑO 4 19 ]]*(1+BASES!$H$10)</f>
        <v>10455.582754471941</v>
      </c>
      <c r="NQ55" s="348">
        <f>Tabla1[[#This Row],[COSTO POR UNIDAD DE PRODUCTO (19)]]*$D$30*VLOOKUP(Tabla1[[#This Row],[CÓDIGO DEL PRODUCTO Y/O SERVICIO ]],Tabla3[],3)</f>
        <v>0</v>
      </c>
      <c r="NR55" s="348">
        <f>Tabla1[[#This Row],[COSTO POR UNIDAD DE PRODUCTO (19)]]*Tabla1[[#This Row],[COSTO UNITARIO AÑO 2 19 ]]*VLOOKUP(Tabla1[[#This Row],[CÓDIGO DEL PRODUCTO Y/O SERVICIO ]],Tabla3[],6)</f>
        <v>0</v>
      </c>
      <c r="NS55" s="348">
        <f>Tabla1[[#This Row],[COSTO POR UNIDAD DE PRODUCTO (19)]]*Tabla1[[#This Row],[COSTO UNITARIO AÑO 3 19 ]]*VLOOKUP(Tabla1[[#This Row],[CÓDIGO DEL PRODUCTO Y/O SERVICIO ]],Tabla3[],10)</f>
        <v>0</v>
      </c>
      <c r="NT55" s="348">
        <f>Tabla1[[#This Row],[COSTO POR UNIDAD DE PRODUCTO (19)]]*Tabla1[[#This Row],[COSTO UNITARIO AÑO 4 19 ]]*VLOOKUP(Tabla1[[#This Row],[CÓDIGO DEL PRODUCTO Y/O SERVICIO ]],Tabla3[],14)</f>
        <v>0</v>
      </c>
      <c r="NU55" s="348">
        <f>Tabla1[[#This Row],[COSTO POR UNIDAD DE PRODUCTO (19)]]*Tabla1[[#This Row],[COSTO UNITARIO AÑO 5 19 ]]*VLOOKUP(Tabla1[[#This Row],[CÓDIGO DEL PRODUCTO Y/O SERVICIO ]],Tabla3[],18)</f>
        <v>0</v>
      </c>
      <c r="NV55" s="346">
        <f>VLOOKUP(Tabla1[[#This Row],[CÓDIGO DEL PRODUCTO Y/O SERVICIO ]],Tabla3[],3)</f>
        <v>0</v>
      </c>
      <c r="NW55" s="346">
        <f>Tabla1[[#This Row],[UNIDADES PRODUCIDAS AÑO 1 20 ]]*Y39</f>
        <v>0</v>
      </c>
      <c r="NX55" s="347">
        <f>VLOOKUP(Tabla1[[#This Row],[CÓDIGO DEL PRODUCTO Y/O SERVICIO ]],Tabla3[],9)</f>
        <v>0</v>
      </c>
      <c r="NY55" s="346">
        <f>Tabla1[[#This Row],[CANTIDADES A UTILIZAR AÑO 1 20]]*(1+Tabla1[[#This Row],[CAMBIO PORCENTUAL EN UNIDADES VENDIDAS AÑO 2 20 ]])</f>
        <v>0</v>
      </c>
      <c r="NZ55" s="347">
        <f>VLOOKUP(Tabla1[[#This Row],[CÓDIGO DEL PRODUCTO Y/O SERVICIO ]],Tabla3[],13)</f>
        <v>0</v>
      </c>
      <c r="OA55" s="346">
        <f>Tabla1[[#This Row],[CANTIDADES A UTILIZAR  AÑO 2 20 ]]*(1+Tabla1[[#This Row],[CAMBIO PORCENTUAL EN UNIDADES VENDIDAS AÑO 3 20 ]])</f>
        <v>0</v>
      </c>
      <c r="OB55" s="347">
        <f>VLOOKUP(Tabla1[[#This Row],[CÓDIGO DEL PRODUCTO Y/O SERVICIO ]],Tabla3[],17)</f>
        <v>0</v>
      </c>
      <c r="OC55" s="346">
        <f>Tabla1[[#This Row],[CANTIDADES A UTILIZAR  AÑO 3 20 ]]*(1+Tabla1[[#This Row],[CAMBIO PORCENTUAL EN UNIDADES VENDIDAS AÑO 4 20 ]])</f>
        <v>0</v>
      </c>
      <c r="OD55" s="347">
        <f>VLOOKUP(Tabla1[[#This Row],[CÓDIGO DEL PRODUCTO Y/O SERVICIO ]],Tabla3[],21)</f>
        <v>0</v>
      </c>
      <c r="OE55" s="346">
        <f>Tabla1[[#This Row],[CANTIDADES A UTILIZAR  AÑO 4 20 ]]*(1+Tabla1[[#This Row],[CAMBIO PORCENTUAL EN UNIDADES VENDIDAS AÑO 5 20 ]])</f>
        <v>0</v>
      </c>
      <c r="OF55" s="348">
        <f>IF(Tabla1[[#This Row],[CANTIDADES A UTILIZAR AÑO 1 20]]=0,0,Tabla1[[#This Row],[CANTIDADES A UTILIZAR AÑO 1 20]]*1/Tabla1[[#This Row],[UNIDADES PRODUCIDAS AÑO 1 20 ]])</f>
        <v>0</v>
      </c>
      <c r="OG55" s="348">
        <f>$D$31*(1+BASES!$E$10)</f>
        <v>758.40000000000009</v>
      </c>
      <c r="OH55" s="348">
        <f>Tabla1[[#This Row],[COSTO UNITARIO AÑO 2 20 ]]*(1+BASES!$F$10)</f>
        <v>766.89408000000014</v>
      </c>
      <c r="OI55" s="348">
        <f>Tabla1[[#This Row],[COSTO UNITARIO AÑO 3 20 ]]*(1+BASES!$G$10)</f>
        <v>775.48329369600026</v>
      </c>
      <c r="OJ55" s="348">
        <f>Tabla1[[#This Row],[COSTO UNITARIO AÑO 4 20 ]]*(1+BASES!$H$10)</f>
        <v>784.16870658539551</v>
      </c>
      <c r="OK55" s="348">
        <f>Tabla1[[#This Row],[COSTO POR UNIDAD DE PRODUCTO (20)]]*$D$31*VLOOKUP(Tabla1[[#This Row],[CÓDIGO DEL PRODUCTO Y/O SERVICIO ]],Tabla3[],3)</f>
        <v>0</v>
      </c>
      <c r="OL55" s="348">
        <f>Tabla1[[#This Row],[COSTO POR UNIDAD DE PRODUCTO (20)]]*Tabla1[[#This Row],[COSTO UNITARIO AÑO 2 20 ]]*VLOOKUP(Tabla1[[#This Row],[CÓDIGO DEL PRODUCTO Y/O SERVICIO ]],Tabla3[],6)</f>
        <v>0</v>
      </c>
      <c r="OM55" s="348">
        <f>Tabla1[[#This Row],[COSTO POR UNIDAD DE PRODUCTO (20)]]*Tabla1[[#This Row],[COSTO UNITARIO AÑO 3 20 ]]*VLOOKUP(Tabla1[[#This Row],[CÓDIGO DEL PRODUCTO Y/O SERVICIO ]],Tabla3[],10)</f>
        <v>0</v>
      </c>
      <c r="ON55" s="348">
        <f>Tabla1[[#This Row],[COSTO POR UNIDAD DE PRODUCTO (20)]]*Tabla1[[#This Row],[COSTO UNITARIO AÑO 4 20 ]]*VLOOKUP(Tabla1[[#This Row],[CÓDIGO DEL PRODUCTO Y/O SERVICIO ]],Tabla3[],14)</f>
        <v>0</v>
      </c>
      <c r="OO55" s="348">
        <f>Tabla1[[#This Row],[COSTO POR UNIDAD DE PRODUCTO (20)]]*Tabla1[[#This Row],[COSTO UNITARIO AÑO 5 20 ]]*VLOOKUP(Tabla1[[#This Row],[CÓDIGO DEL PRODUCTO Y/O SERVICIO ]],Tabla3[],18)</f>
        <v>0</v>
      </c>
      <c r="OP55"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v>1</v>
      </c>
      <c r="D56" s="72" t="str">
        <f>VLOOKUP(Tabla1[[#This Row],[CÓDIGO DEL PRODUCTO Y/O SERVICIO ]],Tabla3[],2)</f>
        <v>Amor Amor</v>
      </c>
      <c r="E56" s="72"/>
      <c r="F56" s="114">
        <f>VLOOKUP(Tabla1[[#This Row],[CÓDIGO DEL PRODUCTO Y/O SERVICIO ]],Tabla3[],3)</f>
        <v>300</v>
      </c>
      <c r="G56" s="114">
        <f>Tabla1[[#This Row],[UNIDADES PRODUCIDAS AÑO 1 ]]*F40</f>
        <v>4500</v>
      </c>
      <c r="H56" s="112">
        <f>VLOOKUP(Tabla1[[#This Row],[CÓDIGO DEL PRODUCTO Y/O SERVICIO ]],Tabla3[],9)</f>
        <v>0.16666666666666666</v>
      </c>
      <c r="I56" s="114">
        <f>Tabla1[[#This Row],[CANTIDADES A UTILIZAR EN EL AÑO 1]]*(1+Tabla1[[#This Row],[CAMBIO PORCENTUAL EN UNIDADES VENDIDAS AÑO 2]])</f>
        <v>5250</v>
      </c>
      <c r="J56" s="112">
        <f>VLOOKUP(Tabla1[[#This Row],[CÓDIGO DEL PRODUCTO Y/O SERVICIO ]],Tabla3[],13)</f>
        <v>0.42857142857142855</v>
      </c>
      <c r="K56" s="114">
        <f>Tabla1[[#This Row],[CANTIDADES A UTILIZAR EN EL AÑO 2]]*(1+Tabla1[[#This Row],[CAMBIO PORCENTUAL EN UNIDADES VENDIDAS AÑO 3]])</f>
        <v>7500</v>
      </c>
      <c r="L56" s="112">
        <f>VLOOKUP(Tabla1[[#This Row],[CÓDIGO DEL PRODUCTO Y/O SERVICIO ]],Tabla3[],17)</f>
        <v>0.1</v>
      </c>
      <c r="M56" s="114">
        <f>Tabla1[[#This Row],[CANTIDADES A UTILIZAR EN EL AÑO 3]]*(1+Tabla1[[#This Row],[CAMBIO PORCENTUAL EN UNIDADES VENDIDAS AÑO 4]])</f>
        <v>8250</v>
      </c>
      <c r="N56" s="112">
        <f>VLOOKUP(Tabla1[[#This Row],[CÓDIGO DEL PRODUCTO Y/O SERVICIO ]],Tabla3[],21)</f>
        <v>0.27272727272727271</v>
      </c>
      <c r="O56" s="114">
        <f>Tabla1[[#This Row],[CANTIDADES A UTILIZAR EN EL AÑO 4]]*(1+Tabla1[[#This Row],[CAMBIO PORCENTUAL EN UNIDADES VENDIDAS AÑO 5]])</f>
        <v>10500</v>
      </c>
      <c r="P56" s="359">
        <f>IF(Tabla1[[#This Row],[CANTIDADES A UTILIZAR EN EL AÑO 1]]=0,0,Tabla1[[#This Row],[CANTIDADES A UTILIZAR EN EL AÑO 1]]*1/Tabla1[[#This Row],[UNIDADES PRODUCIDAS AÑO 1 ]])</f>
        <v>15</v>
      </c>
      <c r="Q56" s="344">
        <f>$D$12*(1+BASES!$E$10)</f>
        <v>606.72</v>
      </c>
      <c r="R56" s="344">
        <f>Tabla1[[#This Row],[COSTO UNITARIO AÑO 2]]*(1+BASES!$F$10)</f>
        <v>613.51526400000012</v>
      </c>
      <c r="S56" s="344">
        <f>Tabla1[[#This Row],[COSTO UNITARIO AÑO 3]]*(1+BASES!$G$10)</f>
        <v>620.38663495680021</v>
      </c>
      <c r="T56" s="344">
        <f>Tabla1[[#This Row],[COSTO UNITARIO AÑO 4]]*(1+BASES!$H$10)</f>
        <v>627.33496526831641</v>
      </c>
      <c r="U56" s="344">
        <f>Tabla1[[#This Row],[COSTO POR UNIDAD DE PRODUCTO (1)]]*$D$12*VLOOKUP(Tabla1[[#This Row],[CÓDIGO DEL PRODUCTO Y/O SERVICIO ]],Tabla3[],3)</f>
        <v>2700000</v>
      </c>
      <c r="V56" s="344">
        <f>Tabla1[[#This Row],[COSTO POR UNIDAD DE PRODUCTO (1)]]*Tabla1[[#This Row],[COSTO UNITARIO AÑO 2]]*VLOOKUP(Tabla1[[#This Row],[CÓDIGO DEL PRODUCTO Y/O SERVICIO ]],Tabla3[],6)</f>
        <v>3185280.0000000005</v>
      </c>
      <c r="W56" s="344">
        <f>Tabla1[[#This Row],[COSTO POR UNIDAD DE PRODUCTO (1)]]*Tabla1[[#This Row],[COSTO UNITARIO AÑO 3]]*VLOOKUP(Tabla1[[#This Row],[CÓDIGO DEL PRODUCTO Y/O SERVICIO ]],Tabla3[],10)</f>
        <v>4601364.4800000014</v>
      </c>
      <c r="X56" s="344">
        <f>Tabla1[[#This Row],[COSTO POR UNIDAD DE PRODUCTO (1)]]*Tabla1[[#This Row],[COSTO UNITARIO AÑO 4]]*VLOOKUP(Tabla1[[#This Row],[CÓDIGO DEL PRODUCTO Y/O SERVICIO ]],Tabla3[],14)</f>
        <v>5118189.738393602</v>
      </c>
      <c r="Y56" s="344">
        <f>Tabla1[[#This Row],[COSTO POR UNIDAD DE PRODUCTO (1)]]*Tabla1[[#This Row],[COSTO UNITARIO AÑO 5]]*VLOOKUP(Tabla1[[#This Row],[CÓDIGO DEL PRODUCTO Y/O SERVICIO ]],Tabla3[],18)</f>
        <v>6587017.1353173219</v>
      </c>
      <c r="Z56" s="345">
        <f>VLOOKUP(Tabla1[[#This Row],[CÓDIGO DEL PRODUCTO Y/O SERVICIO ]],Tabla3[],3)</f>
        <v>300</v>
      </c>
      <c r="AA56" s="114">
        <f>G40*Tabla1[[#This Row],[UNIDADES PRODUCIDAS AÑO 1 2]]</f>
        <v>300</v>
      </c>
      <c r="AB56" s="112">
        <f>VLOOKUP(Tabla1[[#This Row],[CÓDIGO DEL PRODUCTO Y/O SERVICIO ]],Tabla3[],9)</f>
        <v>0.16666666666666666</v>
      </c>
      <c r="AC56" s="114">
        <f>Tabla1[[#This Row],[CANTIDADES A UTILIZAR EN EL AÑO 1 2]]*(1+Tabla1[[#This Row],[CAMBIO PORCENTUAL EN UNIDADES VENDIDAS AÑO 2 2]])</f>
        <v>350</v>
      </c>
      <c r="AD56" s="112">
        <f>VLOOKUP(Tabla1[[#This Row],[CÓDIGO DEL PRODUCTO Y/O SERVICIO ]],Tabla3[],13)</f>
        <v>0.42857142857142855</v>
      </c>
      <c r="AE56" s="114">
        <f>Tabla1[[#This Row],[CANTIDADES A UTILIZAR  AÑO 2 2]]*(1+Tabla1[[#This Row],[CAMBIO PORCENTUAL EN UNIDADES VENDIDAS AÑO 3 2]])</f>
        <v>500</v>
      </c>
      <c r="AF56" s="112">
        <f>VLOOKUP(Tabla1[[#This Row],[CÓDIGO DEL PRODUCTO Y/O SERVICIO ]],Tabla3[],17)</f>
        <v>0.1</v>
      </c>
      <c r="AG56" s="114">
        <f>Tabla1[[#This Row],[CANTIDADES A UTILIZAR  AÑO 3 2]]*(1+Tabla1[[#This Row],[CAMBIO PORCENTUAL EN UNIDADES VENDIDAS AÑO 4 2]])</f>
        <v>550</v>
      </c>
      <c r="AH56" s="112">
        <f>VLOOKUP(Tabla1[[#This Row],[CÓDIGO DEL PRODUCTO Y/O SERVICIO ]],Tabla3[],21)</f>
        <v>0.27272727272727271</v>
      </c>
      <c r="AI56" s="114">
        <f>Tabla1[[#This Row],[CANTIDADES A UTILIZAR  AÑO 4 2]]*(1+Tabla1[[#This Row],[CAMBIO PORCENTUAL EN UNIDADES VENDIDAS AÑO 5 2]])</f>
        <v>700</v>
      </c>
      <c r="AJ56" s="344">
        <f>IF(Tabla1[[#This Row],[CANTIDADES A UTILIZAR EN EL AÑO 1 2]]=0,0,Tabla1[[#This Row],[CANTIDADES A UTILIZAR EN EL AÑO 1 2]]*1/Tabla1[[#This Row],[UNIDADES PRODUCIDAS AÑO 1 2]])</f>
        <v>1</v>
      </c>
      <c r="AK56" s="344">
        <f>$D$13*(1+BASES!$E$10)</f>
        <v>80.896000000000015</v>
      </c>
      <c r="AL56" s="344">
        <f>Tabla1[[#This Row],[COSTO UNITARIO AÑO 2 2]]*(1+BASES!$F$10)</f>
        <v>81.80203520000002</v>
      </c>
      <c r="AM56" s="344">
        <f>Tabla1[[#This Row],[COSTO UNITARIO AÑO 3 2]]*(1+BASES!$G$10)</f>
        <v>82.718217994240035</v>
      </c>
      <c r="AN56" s="344">
        <f>Tabla1[[#This Row],[COSTO UNITARIO AÑO 4 2]]*(1+BASES!$H$10)</f>
        <v>83.644662035775525</v>
      </c>
      <c r="AO56" s="344">
        <f>Tabla1[[#This Row],[COSTO POR UNIDAD DE PRODUCTO (2)]]*$D$13*VLOOKUP(Tabla1[[#This Row],[CÓDIGO DEL PRODUCTO Y/O SERVICIO ]],Tabla3[],3)</f>
        <v>24000</v>
      </c>
      <c r="AP56" s="344">
        <f>Tabla1[[#This Row],[COSTO POR UNIDAD DE PRODUCTO (2)]]*Tabla1[[#This Row],[COSTO UNITARIO AÑO 2 2]]*VLOOKUP(Tabla1[[#This Row],[CÓDIGO DEL PRODUCTO Y/O SERVICIO ]],Tabla3[],6)</f>
        <v>28313.600000000006</v>
      </c>
      <c r="AQ56" s="344">
        <f>Tabla1[[#This Row],[COSTO POR UNIDAD DE PRODUCTO (2)]]*Tabla1[[#This Row],[COSTO UNITARIO AÑO 3 2]]*VLOOKUP(Tabla1[[#This Row],[CÓDIGO DEL PRODUCTO Y/O SERVICIO ]],Tabla3[],10)</f>
        <v>40901.017600000006</v>
      </c>
      <c r="AR56" s="344">
        <f>Tabla1[[#This Row],[COSTO POR UNIDAD DE PRODUCTO (2)]]*Tabla1[[#This Row],[COSTO UNITARIO AÑO 4 2]]*VLOOKUP(Tabla1[[#This Row],[CÓDIGO DEL PRODUCTO Y/O SERVICIO ]],Tabla3[],14)</f>
        <v>45495.019896832018</v>
      </c>
      <c r="AS56" s="344">
        <f>Tabla1[[#This Row],[COSTO POR UNIDAD DE PRODUCTO (2)]]*Tabla1[[#This Row],[COSTO UNITARIO AÑO 5 2]]*VLOOKUP(Tabla1[[#This Row],[CÓDIGO DEL PRODUCTO Y/O SERVICIO ]],Tabla3[],18)</f>
        <v>58551.263425042867</v>
      </c>
      <c r="AT56" s="114">
        <f>VLOOKUP(Tabla1[[#This Row],[CÓDIGO DEL PRODUCTO Y/O SERVICIO ]],Tabla3[],3)</f>
        <v>300</v>
      </c>
      <c r="AU56" s="114">
        <f>H40*Tabla1[[#This Row],[UNIDADES PRODUCIDAS AÑO 1 3]]</f>
        <v>600</v>
      </c>
      <c r="AV56" s="112">
        <f>VLOOKUP(Tabla1[[#This Row],[CÓDIGO DEL PRODUCTO Y/O SERVICIO ]],Tabla3[],9)</f>
        <v>0.16666666666666666</v>
      </c>
      <c r="AW56" s="114">
        <f>Tabla1[[#This Row],[CANTIDADES A UTILIZAR  AÑO 1 3]]*(1+Tabla1[[#This Row],[CAMBIO PORCENTUAL EN UNIDADES VENDIDAS AÑO 2 3]])</f>
        <v>700</v>
      </c>
      <c r="AX56" s="112">
        <f>VLOOKUP(Tabla1[[#This Row],[CÓDIGO DEL PRODUCTO Y/O SERVICIO ]],Tabla3[],13)</f>
        <v>0.42857142857142855</v>
      </c>
      <c r="AY56" s="114">
        <f>Tabla1[[#This Row],[CANTIDADES A UTILIZAR  AÑO 2 3]]*(1+Tabla1[[#This Row],[CAMBIO PORCENTUAL EN UNIDADES VENDIDAS AÑO 3 3]])</f>
        <v>1000</v>
      </c>
      <c r="AZ56" s="112">
        <f>VLOOKUP(Tabla1[[#This Row],[CÓDIGO DEL PRODUCTO Y/O SERVICIO ]],Tabla3[],17)</f>
        <v>0.1</v>
      </c>
      <c r="BA56" s="114">
        <f>Tabla1[[#This Row],[CANTIDADES A UTILIZAR  AÑO 3 3]]*(1+Tabla1[[#This Row],[CAMBIO PORCENTUAL EN UNIDADES VENDIDAS AÑO 4 3]])</f>
        <v>1100</v>
      </c>
      <c r="BB56" s="112">
        <f>VLOOKUP(Tabla1[[#This Row],[CÓDIGO DEL PRODUCTO Y/O SERVICIO ]],Tabla3[],21)</f>
        <v>0.27272727272727271</v>
      </c>
      <c r="BC56" s="114">
        <f>Tabla1[[#This Row],[CANTIDADES A UTILIZAR  AÑO 4 3]]*(1+Tabla1[[#This Row],[CAMBIO PORCENTUAL EN UNIDADES VENDIDAS AÑO 5 3]])</f>
        <v>1400</v>
      </c>
      <c r="BD56" s="344">
        <f>IF(Tabla1[[#This Row],[CANTIDADES A UTILIZAR  AÑO 1 3]]=0,0,Tabla1[[#This Row],[CANTIDADES A UTILIZAR  AÑO 1 3]]*1/Tabla1[[#This Row],[UNIDADES PRODUCIDAS AÑO 1 3]])</f>
        <v>2</v>
      </c>
      <c r="BE56" s="344">
        <f>$D$14*(1+BASES!$E$10)</f>
        <v>50.56</v>
      </c>
      <c r="BF56" s="344">
        <f>Tabla1[[#This Row],[COSTO UNITARIO AÑO 2 3]]*(1+BASES!$F$10)</f>
        <v>51.126272000000007</v>
      </c>
      <c r="BG56" s="344">
        <f>Tabla1[[#This Row],[COSTO UNITARIO AÑO 3 3]]*(1+BASES!$G$10)</f>
        <v>51.698886246400015</v>
      </c>
      <c r="BH56" s="344">
        <f>Tabla1[[#This Row],[COSTO UNITARIO AÑO 4 3]]*(1+BASES!$H$10)</f>
        <v>52.277913772359703</v>
      </c>
      <c r="BI56" s="344">
        <f>Tabla1[[#This Row],[COSTO POR UNIDAD DE PRODUCTO (3)]]*$D$14*VLOOKUP(Tabla1[[#This Row],[CÓDIGO DEL PRODUCTO Y/O SERVICIO ]],Tabla3[],3)</f>
        <v>30000</v>
      </c>
      <c r="BJ56" s="344">
        <f>Tabla1[[#This Row],[COSTO POR UNIDAD DE PRODUCTO (3)]]*Tabla1[[#This Row],[COSTO UNITARIO AÑO 2 3]]*VLOOKUP(Tabla1[[#This Row],[CÓDIGO DEL PRODUCTO Y/O SERVICIO ]],Tabla3[],6)</f>
        <v>35392</v>
      </c>
      <c r="BK56" s="344">
        <f>Tabla1[[#This Row],[COSTO POR UNIDAD DE PRODUCTO (3)]]*Tabla1[[#This Row],[COSTO UNITARIO AÑO 3 3]]*VLOOKUP(Tabla1[[#This Row],[CÓDIGO DEL PRODUCTO Y/O SERVICIO ]],Tabla3[],10)</f>
        <v>51126.272000000004</v>
      </c>
      <c r="BL56" s="344">
        <f>Tabla1[[#This Row],[COSTO POR UNIDAD DE PRODUCTO (3)]]*Tabla1[[#This Row],[COSTO UNITARIO AÑO 4 3]]*VLOOKUP(Tabla1[[#This Row],[CÓDIGO DEL PRODUCTO Y/O SERVICIO ]],Tabla3[],14)</f>
        <v>56868.774871040019</v>
      </c>
      <c r="BM56" s="344">
        <f>Tabla1[[#This Row],[COSTO POR UNIDAD DE PRODUCTO (3)]]*Tabla1[[#This Row],[ COSTO UNITARIO AÑO 5 3]]*VLOOKUP(Tabla1[[#This Row],[CÓDIGO DEL PRODUCTO Y/O SERVICIO ]],Tabla3[],18)</f>
        <v>73189.079281303581</v>
      </c>
      <c r="BN56" s="114">
        <f>VLOOKUP(Tabla1[[#This Row],[CÓDIGO DEL PRODUCTO Y/O SERVICIO ]],Tabla3[],3)</f>
        <v>300</v>
      </c>
      <c r="BO56" s="114">
        <f>I40*Tabla1[[#This Row],[UNIDADES PRODUCIDAS AÑO 1 4]]</f>
        <v>300</v>
      </c>
      <c r="BP56" s="112">
        <f>VLOOKUP(Tabla1[[#This Row],[CÓDIGO DEL PRODUCTO Y/O SERVICIO ]],Tabla3[],9)</f>
        <v>0.16666666666666666</v>
      </c>
      <c r="BQ56" s="114">
        <f>Tabla1[[#This Row],[CANTIDADES A UTILIZAR  AÑO 1 4]]*(1+Tabla1[[#This Row],[CAMBIO PORCENTUAL EN UNIDADES VENDIDAS AÑO 2 4]])</f>
        <v>350</v>
      </c>
      <c r="BR56" s="112">
        <f>VLOOKUP(Tabla1[[#This Row],[CÓDIGO DEL PRODUCTO Y/O SERVICIO ]],Tabla3[],13)</f>
        <v>0.42857142857142855</v>
      </c>
      <c r="BS56" s="114">
        <f>Tabla1[[#This Row],[CANTIDADES A UTILIZAR  AÑO 2 4]]*(1+Tabla1[[#This Row],[CAMBIO PORCENTUAL EN UNIDADES VENDIDAS AÑO 3 4]])</f>
        <v>500</v>
      </c>
      <c r="BT56" s="112">
        <f>VLOOKUP(Tabla1[[#This Row],[CÓDIGO DEL PRODUCTO Y/O SERVICIO ]],Tabla3[],17)</f>
        <v>0.1</v>
      </c>
      <c r="BU56" s="114">
        <f>Tabla1[[#This Row],[CANTIDADES A UTILIZAR  AÑO 3 4]]*(1+Tabla1[[#This Row],[CAMBIO PORCENTUAL EN UNIDADES VENDIDAS AÑO 4 4]])</f>
        <v>550</v>
      </c>
      <c r="BV56" s="112">
        <f>VLOOKUP(Tabla1[[#This Row],[CÓDIGO DEL PRODUCTO Y/O SERVICIO ]],Tabla3[],21)</f>
        <v>0.27272727272727271</v>
      </c>
      <c r="BW56" s="114">
        <f>Tabla1[[#This Row],[CANTIDADES A UTILIZAR  AÑO 4 4]]*(1+Tabla1[[#This Row],[CAMBIO PORCENTUAL EN UNIDADES VENDIDAS AÑO 5 4]])</f>
        <v>700</v>
      </c>
      <c r="BX56" s="344">
        <f>IF(Tabla1[[#This Row],[CANTIDADES A UTILIZAR  AÑO 1 4]]=0,0,Tabla1[[#This Row],[CANTIDADES A UTILIZAR  AÑO 1 4]]*1/Tabla1[[#This Row],[UNIDADES PRODUCIDAS AÑO 1 4]])</f>
        <v>1</v>
      </c>
      <c r="BY56" s="344">
        <f>$D$15*(1+BASES!$E$10)</f>
        <v>171.90400000000002</v>
      </c>
      <c r="BZ56" s="344">
        <f>Tabla1[[#This Row],[COSTO UNITARIO AÑO 2 4]]*(1+BASES!$F$10)</f>
        <v>173.82932480000005</v>
      </c>
      <c r="CA56" s="344">
        <f>Tabla1[[#This Row],[COSTO UNITARIO AÑO 3 4]]*(1+BASES!$G$10)</f>
        <v>175.77621323776006</v>
      </c>
      <c r="CB56" s="344">
        <f>Tabla1[[#This Row],[COSTO UNITARIO AÑO 4 4]]*(1+BASES!$H$10)</f>
        <v>177.744906826023</v>
      </c>
      <c r="CC56" s="344">
        <f>Tabla1[[#This Row],[COSTO POR UNIDAD DE PRODUCTO (4) ]]*$D$15*VLOOKUP(Tabla1[[#This Row],[CÓDIGO DEL PRODUCTO Y/O SERVICIO ]],Tabla3[],3)</f>
        <v>51000</v>
      </c>
      <c r="CD56" s="344">
        <f>Tabla1[[#This Row],[COSTO POR UNIDAD DE PRODUCTO (4) ]]*Tabla1[[#This Row],[COSTO UNITARIO AÑO 2 4]]*VLOOKUP(Tabla1[[#This Row],[CÓDIGO DEL PRODUCTO Y/O SERVICIO ]],Tabla3[],6)</f>
        <v>60166.400000000009</v>
      </c>
      <c r="CE56" s="344">
        <f>Tabla1[[#This Row],[COSTO POR UNIDAD DE PRODUCTO (4) ]]*Tabla1[[#This Row],[COSTO UNITARIO AÑO 3 4]]*VLOOKUP(Tabla1[[#This Row],[CÓDIGO DEL PRODUCTO Y/O SERVICIO ]],Tabla3[],10)</f>
        <v>86914.66240000003</v>
      </c>
      <c r="CF56" s="344">
        <f>Tabla1[[#This Row],[COSTO POR UNIDAD DE PRODUCTO (4) ]]*Tabla1[[#This Row],[COSTO UNITARIO AÑO 4 4]]*VLOOKUP(Tabla1[[#This Row],[CÓDIGO DEL PRODUCTO Y/O SERVICIO ]],Tabla3[],14)</f>
        <v>96676.91728076803</v>
      </c>
      <c r="CG56" s="344">
        <f>Tabla1[[#This Row],[COSTO POR UNIDAD DE PRODUCTO (4) ]]*Tabla1[[#This Row],[COSTO UNITARIO AÑO 5 4]]*VLOOKUP(Tabla1[[#This Row],[CÓDIGO DEL PRODUCTO Y/O SERVICIO ]],Tabla3[],18)</f>
        <v>124421.43477821609</v>
      </c>
      <c r="CH56" s="114">
        <f>VLOOKUP(Tabla1[[#This Row],[CÓDIGO DEL PRODUCTO Y/O SERVICIO ]],Tabla3[],3)</f>
        <v>300</v>
      </c>
      <c r="CI56" s="114">
        <f>Tabla1[[#This Row],[UNIDAS PRODUCIDAS AÑO 1 5]]*J40</f>
        <v>300</v>
      </c>
      <c r="CJ56" s="112">
        <f>VLOOKUP(Tabla1[[#This Row],[CÓDIGO DEL PRODUCTO Y/O SERVICIO ]],Tabla3[],9)</f>
        <v>0.16666666666666666</v>
      </c>
      <c r="CK56" s="114">
        <f>Tabla1[[#This Row],[CANTIDADES A UTILIZAR  AÑO 1 5]]*(1+Tabla1[[#This Row],[CAMBIO PORCENTUAL EN UNIDADES VENDIDAS AÑO 2 5]])</f>
        <v>350</v>
      </c>
      <c r="CL56" s="112">
        <f>VLOOKUP(Tabla1[[#This Row],[CÓDIGO DEL PRODUCTO Y/O SERVICIO ]],Tabla3[],13)</f>
        <v>0.42857142857142855</v>
      </c>
      <c r="CM56" s="114">
        <f>Tabla1[[#This Row],[CANTIDADES A UTILIZAR  AÑO 2 5]]*(1+Tabla1[[#This Row],[CAMBIO PORCENTUAL EN UNIDADES VENDIDAS AÑO 3 5]])</f>
        <v>500</v>
      </c>
      <c r="CN56" s="112">
        <f>VLOOKUP(Tabla1[[#This Row],[CÓDIGO DEL PRODUCTO Y/O SERVICIO ]],Tabla3[],17)</f>
        <v>0.1</v>
      </c>
      <c r="CO56" s="114">
        <f>Tabla1[[#This Row],[CANTIDADES A UTILIZAR  AÑO 3 5]]*(1+Tabla1[[#This Row],[CAMBIO PORCENTUAL EN UNIDADES VENDIDAS AÑO 4 5]])</f>
        <v>550</v>
      </c>
      <c r="CP56" s="112">
        <f>VLOOKUP(Tabla1[[#This Row],[CÓDIGO DEL PRODUCTO Y/O SERVICIO ]],Tabla3[],21)</f>
        <v>0.27272727272727271</v>
      </c>
      <c r="CQ56" s="114">
        <f>Tabla1[[#This Row],[CANTIDADES A UTILIZAR  AÑO 4 5]]*(1+Tabla1[[#This Row],[CAMBIO PORCENTUAL EN UNIDADES VENDIDAS AÑO 5 5]])</f>
        <v>700</v>
      </c>
      <c r="CR56" s="344">
        <f>IF(Tabla1[[#This Row],[CANTIDADES A UTILIZAR  AÑO 1 5]]=0,0,Tabla1[[#This Row],[CANTIDADES A UTILIZAR  AÑO 1 5]]*1/Tabla1[[#This Row],[UNIDAS PRODUCIDAS AÑO 1 5]])</f>
        <v>1</v>
      </c>
      <c r="CS56" s="344">
        <f>$D$16*(1+BASES!$E$10)</f>
        <v>3033.6000000000004</v>
      </c>
      <c r="CT56" s="344">
        <f>Tabla1[[#This Row],[COSTO UNITARIO AÑO 2 5]]*(1+BASES!$F$10)</f>
        <v>3067.5763200000006</v>
      </c>
      <c r="CU56" s="344">
        <f>Tabla1[[#This Row],[COSTO UNITARIO AÑO 3 5]]*(1+BASES!$G$10)</f>
        <v>3101.933174784001</v>
      </c>
      <c r="CV56" s="344">
        <f>Tabla1[[#This Row],[COSTO UNITARIO AÑO 4 5]]*(1+BASES!$H$10)</f>
        <v>3136.674826341582</v>
      </c>
      <c r="CW56" s="344">
        <f>Tabla1[[#This Row],[COSTO POR UNIDAD DE PRODUCTO (5)]]*$D$16*VLOOKUP(Tabla1[[#This Row],[CÓDIGO DEL PRODUCTO Y/O SERVICIO ]],Tabla3[],3)</f>
        <v>900000</v>
      </c>
      <c r="CX56" s="344">
        <f>Tabla1[[#This Row],[COSTO POR UNIDAD DE PRODUCTO (5)]]*Tabla1[[#This Row],[COSTO UNITARIO AÑO 2 5]]*VLOOKUP(Tabla1[[#This Row],[CÓDIGO DEL PRODUCTO Y/O SERVICIO ]],Tabla3[],6)</f>
        <v>1061760.0000000002</v>
      </c>
      <c r="CY56" s="344">
        <f>Tabla1[[#This Row],[COSTO POR UNIDAD DE PRODUCTO (5)]]*Tabla1[[#This Row],[COSTO UNITARIO AÑO 3 5]]*VLOOKUP(Tabla1[[#This Row],[CÓDIGO DEL PRODUCTO Y/O SERVICIO ]],Tabla3[],10)</f>
        <v>1533788.1600000004</v>
      </c>
      <c r="CZ56" s="344">
        <f>Tabla1[[#This Row],[COSTO POR UNIDAD DE PRODUCTO (5)]]*Tabla1[[#This Row],[COSTO UNITARIO AÑO 4 5]]*VLOOKUP(Tabla1[[#This Row],[CÓDIGO DEL PRODUCTO Y/O SERVICIO ]],Tabla3[],14)</f>
        <v>1706063.2461312006</v>
      </c>
      <c r="DA56" s="344">
        <f>Tabla1[[#This Row],[COSTO POR UNIDAD DE PRODUCTO (5)]]*Tabla1[[#This Row],[COSTO UNITARIO AÑO 5 5 ]]*VLOOKUP(Tabla1[[#This Row],[CÓDIGO DEL PRODUCTO Y/O SERVICIO ]],Tabla3[],18)</f>
        <v>2195672.3784391074</v>
      </c>
      <c r="DB56" s="114">
        <f>VLOOKUP(Tabla1[[#This Row],[CÓDIGO DEL PRODUCTO Y/O SERVICIO ]],Tabla3[],3)</f>
        <v>300</v>
      </c>
      <c r="DC56" s="114">
        <f>Tabla1[[#This Row],[UNIDADES PRODUCIDAS AÑO 1 6]]*K40</f>
        <v>300</v>
      </c>
      <c r="DD56" s="112">
        <f>VLOOKUP(Tabla1[[#This Row],[CÓDIGO DEL PRODUCTO Y/O SERVICIO ]],Tabla3[],9)</f>
        <v>0.16666666666666666</v>
      </c>
      <c r="DE56" s="114">
        <f>Tabla1[[#This Row],[CANTIDADES A UTILIZAR  AÑO 1 6]]*(1+Tabla1[[#This Row],[CAMBIO PORCENTUAL EN UNIDADES VENDIDAS AÑO 2 6]])</f>
        <v>350</v>
      </c>
      <c r="DF56" s="112">
        <f>VLOOKUP(Tabla1[[#This Row],[CÓDIGO DEL PRODUCTO Y/O SERVICIO ]],Tabla3[],13)</f>
        <v>0.42857142857142855</v>
      </c>
      <c r="DG56" s="114">
        <f>Tabla1[[#This Row],[CANTIDADES A UTILIZAR  AÑO 2 6]]*(1+Tabla1[[#This Row],[CAMBIO PORCENTUAL EN UNIDADES VENDIDAS AÑO 3 6]])</f>
        <v>500</v>
      </c>
      <c r="DH56" s="112">
        <f>VLOOKUP(Tabla1[[#This Row],[CÓDIGO DEL PRODUCTO Y/O SERVICIO ]],Tabla3[],17)</f>
        <v>0.1</v>
      </c>
      <c r="DI56" s="114">
        <f>Tabla1[[#This Row],[CANTIDADES A UTILIZAR  AÑO 3 6 ]]*(1+Tabla1[[#This Row],[CAMBIO PORCENTUAL EN UNIDADES VENDIDAS AÑO 4 6]])</f>
        <v>550</v>
      </c>
      <c r="DJ56" s="112">
        <f>VLOOKUP(Tabla1[[#This Row],[CÓDIGO DEL PRODUCTO Y/O SERVICIO ]],Tabla3[],21)</f>
        <v>0.27272727272727271</v>
      </c>
      <c r="DK56" s="114">
        <f>Tabla1[[#This Row],[CANTIDADES A UTILIZAR  AÑO 4 6]]*(1+Tabla1[[#This Row],[CAMBIO PORCENTUAL EN UNIDADES VENDIDAS AÑO 5 6]])</f>
        <v>700</v>
      </c>
      <c r="DL56" s="344">
        <f>IF(Tabla1[[#This Row],[CANTIDADES A UTILIZAR  AÑO 1 6]]=0,0,Tabla1[[#This Row],[CANTIDADES A UTILIZAR  AÑO 1 6]]*1/Tabla1[[#This Row],[UNIDADES PRODUCIDAS AÑO 1 6]])</f>
        <v>1</v>
      </c>
      <c r="DM56" s="344">
        <f>$D$17*(1+BASES!$E$10)</f>
        <v>2528.0000000000005</v>
      </c>
      <c r="DN56" s="344">
        <f>Tabla1[[#This Row],[COSTO UNITARIO AÑO 2 6]]*(1+BASES!$F$10)</f>
        <v>2556.3136000000009</v>
      </c>
      <c r="DO56" s="344">
        <f>Tabla1[[#This Row],[COSTO UNITARIO AÑO 3 6]]*(1+BASES!$G$10)</f>
        <v>2584.9443123200012</v>
      </c>
      <c r="DP56" s="344">
        <f>Tabla1[[#This Row],[COSTO UNITARIO AÑO 4 6 ]]*(1+BASES!$H$10)</f>
        <v>2613.8956886179853</v>
      </c>
      <c r="DQ56" s="344">
        <f>Tabla1[[#This Row],[COSTO POR UNIDAD DE PRODUCTO (6)]]*$D$17*VLOOKUP(Tabla1[[#This Row],[CÓDIGO DEL PRODUCTO Y/O SERVICIO ]],Tabla3[],3)</f>
        <v>750000</v>
      </c>
      <c r="DR56" s="344">
        <f>Tabla1[[#This Row],[COSTO POR UNIDAD DE PRODUCTO (6)]]*Tabla1[[#This Row],[COSTO UNITARIO AÑO 2 6]]*VLOOKUP(Tabla1[[#This Row],[CÓDIGO DEL PRODUCTO Y/O SERVICIO ]],Tabla3[],6)</f>
        <v>884800.00000000012</v>
      </c>
      <c r="DS56" s="344">
        <f>Tabla1[[#This Row],[COSTO POR UNIDAD DE PRODUCTO (6)]]*Tabla1[[#This Row],[COSTO UNITARIO AÑO 3 6]]*VLOOKUP(Tabla1[[#This Row],[CÓDIGO DEL PRODUCTO Y/O SERVICIO ]],Tabla3[],10)</f>
        <v>1278156.8000000005</v>
      </c>
      <c r="DT56" s="344">
        <f>Tabla1[[#This Row],[COSTO POR UNIDAD DE PRODUCTO (6)]]*Tabla1[[#This Row],[COSTO UNITARIO AÑO 4 6 ]]*VLOOKUP(Tabla1[[#This Row],[CÓDIGO DEL PRODUCTO Y/O SERVICIO ]],Tabla3[],14)</f>
        <v>1421719.3717760006</v>
      </c>
      <c r="DU56" s="344">
        <f>Tabla1[[#This Row],[COSTO POR UNIDAD DE PRODUCTO (6)]]*Tabla1[[#This Row],[COSTO UNITARIO AÑO 5 6]]*VLOOKUP(Tabla1[[#This Row],[CÓDIGO DEL PRODUCTO Y/O SERVICIO ]],Tabla3[],18)</f>
        <v>1829726.9820325898</v>
      </c>
      <c r="DV56" s="114">
        <f>VLOOKUP(Tabla1[[#This Row],[CÓDIGO DEL PRODUCTO Y/O SERVICIO ]],Tabla3[],3)</f>
        <v>300</v>
      </c>
      <c r="DW56" s="114">
        <f>Tabla1[[#This Row],[UNIDADES PRODUCIDAS AÑO 1 7]]*L40</f>
        <v>300</v>
      </c>
      <c r="DX56" s="112">
        <f>VLOOKUP(Tabla1[[#This Row],[CÓDIGO DEL PRODUCTO Y/O SERVICIO ]],Tabla3[],9)</f>
        <v>0.16666666666666666</v>
      </c>
      <c r="DY56" s="114">
        <f>Tabla1[[#This Row],[CANTIDADES A UTILIZAR  AÑO 1 7]]*(1+Tabla1[[#This Row],[CAMBIO PORCENTUAL EN UNIDADES VENDIDAS AÑO 2 7]])</f>
        <v>350</v>
      </c>
      <c r="DZ56" s="112">
        <f>VLOOKUP(Tabla1[[#This Row],[CÓDIGO DEL PRODUCTO Y/O SERVICIO ]],Tabla3[],13)</f>
        <v>0.42857142857142855</v>
      </c>
      <c r="EA56" s="114">
        <f>Tabla1[[#This Row],[CANTIDADES A UTILIZAR  AÑO 2 7]]*(1+Tabla1[[#This Row],[CAMBIO PORCENTUAL EN UNIDADES VENDIDAS AÑO 3 7]])</f>
        <v>500</v>
      </c>
      <c r="EB56" s="112">
        <f>VLOOKUP(Tabla1[[#This Row],[CÓDIGO DEL PRODUCTO Y/O SERVICIO ]],Tabla3[],17)</f>
        <v>0.1</v>
      </c>
      <c r="EC56" s="114">
        <f>Tabla1[[#This Row],[CANTIDADES A UTILIZAR  AÑO 3 7 ]]*(1+Tabla1[[#This Row],[CAMBIO PORCENTUAL EN UNIDADES VENDIDAS AÑO 4 7]])</f>
        <v>550</v>
      </c>
      <c r="ED56" s="112">
        <f>VLOOKUP(Tabla1[[#This Row],[CÓDIGO DEL PRODUCTO Y/O SERVICIO ]],Tabla3[],21)</f>
        <v>0.27272727272727271</v>
      </c>
      <c r="EE56" s="114">
        <f>Tabla1[[#This Row],[CANTIDADES A UTILIZAR  AÑO 4 7]]*(1+Tabla1[[#This Row],[CAMBIO PORCENTUAL EN UNIDADES VENDIDAS AÑO 5 7]])</f>
        <v>700</v>
      </c>
      <c r="EF56" s="344">
        <f>IF(Tabla1[[#This Row],[CANTIDADES A UTILIZAR  AÑO 1 7]]=0,0,Tabla1[[#This Row],[CANTIDADES A UTILIZAR  AÑO 1 7]]*1/Tabla1[[#This Row],[UNIDADES PRODUCIDAS AÑO 1 7]])</f>
        <v>1</v>
      </c>
      <c r="EG56" s="344">
        <f>$D$18*(1+BASES!$E$10)</f>
        <v>171.90400000000002</v>
      </c>
      <c r="EH56" s="344">
        <f>Tabla1[[#This Row],[COSTO UNITARIO AÑO 2 7]]*(1+BASES!$F$10)</f>
        <v>173.82932480000005</v>
      </c>
      <c r="EI56" s="344">
        <f>Tabla1[[#This Row],[COSTO UNITARIO AÑO 3 7]]*(1+BASES!$G$10)</f>
        <v>175.77621323776006</v>
      </c>
      <c r="EJ56" s="344">
        <f>Tabla1[[#This Row],[COSTO UNITARIO AÑO 4 7]]*(1+BASES!$H$10)</f>
        <v>177.744906826023</v>
      </c>
      <c r="EK56" s="344">
        <f>Tabla1[[#This Row],[COSTO POR UNIDAD DE PRODUCTO (7)]]*$D$18*VLOOKUP(Tabla1[[#This Row],[CÓDIGO DEL PRODUCTO Y/O SERVICIO ]],Tabla3[],3)</f>
        <v>51000</v>
      </c>
      <c r="EL56" s="344">
        <f>Tabla1[[#This Row],[COSTO POR UNIDAD DE PRODUCTO (7)]]*Tabla1[[#This Row],[COSTO UNITARIO AÑO 2 7]]*VLOOKUP(Tabla1[[#This Row],[CÓDIGO DEL PRODUCTO Y/O SERVICIO ]],Tabla3[],6)</f>
        <v>60166.400000000009</v>
      </c>
      <c r="EM56" s="344">
        <f>Tabla1[[#This Row],[COSTO POR UNIDAD DE PRODUCTO (7)]]*Tabla1[[#This Row],[COSTO UNITARIO AÑO 3 7]]*VLOOKUP(Tabla1[[#This Row],[CÓDIGO DEL PRODUCTO Y/O SERVICIO ]],Tabla3[],10)</f>
        <v>86914.66240000003</v>
      </c>
      <c r="EN56" s="344">
        <f>Tabla1[[#This Row],[COSTO POR UNIDAD DE PRODUCTO (7)]]*Tabla1[[#This Row],[COSTO UNITARIO AÑO 4 7]]*VLOOKUP(Tabla1[[#This Row],[CÓDIGO DEL PRODUCTO Y/O SERVICIO ]],Tabla3[],14)</f>
        <v>96676.91728076803</v>
      </c>
      <c r="EO56" s="344">
        <f>Tabla1[[#This Row],[COSTO POR UNIDAD DE PRODUCTO (7)]]*Tabla1[[#This Row],[COSTO UNITARIO AÑO 5 7]]*VLOOKUP(Tabla1[[#This Row],[CÓDIGO DEL PRODUCTO Y/O SERVICIO ]],Tabla3[],18)</f>
        <v>124421.43477821609</v>
      </c>
      <c r="EP56" s="114">
        <f>VLOOKUP(Tabla1[[#This Row],[CÓDIGO DEL PRODUCTO Y/O SERVICIO ]],Tabla3[],3)</f>
        <v>300</v>
      </c>
      <c r="EQ56" s="114">
        <f>Tabla1[[#This Row],[UNIDADES PRODUCIDAS AÑO 1 8]]*M40</f>
        <v>1200</v>
      </c>
      <c r="ER56" s="112">
        <f>VLOOKUP(Tabla1[[#This Row],[CÓDIGO DEL PRODUCTO Y/O SERVICIO ]],Tabla3[],9)</f>
        <v>0.16666666666666666</v>
      </c>
      <c r="ES56" s="114">
        <f>Tabla1[[#This Row],[CANTIDADES A UTILIZAR  AÑO 1 8]]*(1+Tabla1[[#This Row],[CAMBIO PORCENTUAL EN UNIDADES VENDIDAS AÑO 2 8]])</f>
        <v>1400</v>
      </c>
      <c r="ET56" s="112">
        <f>VLOOKUP(Tabla1[[#This Row],[CÓDIGO DEL PRODUCTO Y/O SERVICIO ]],Tabla3[],13)</f>
        <v>0.42857142857142855</v>
      </c>
      <c r="EU56" s="114">
        <f>Tabla1[[#This Row],[CANTIDADES A UTILIZAR  AÑO 2 8]]*(1+Tabla1[[#This Row],[CAMBIO PORCENTUAL EN UNIDADES VENDIDAS AÑO 3 8]])</f>
        <v>2000</v>
      </c>
      <c r="EV56" s="112">
        <f>VLOOKUP(Tabla1[[#This Row],[CÓDIGO DEL PRODUCTO Y/O SERVICIO ]],Tabla3[],17)</f>
        <v>0.1</v>
      </c>
      <c r="EW56" s="114">
        <f>Tabla1[[#This Row],[CANTIDADES A UTILIZAR  AÑO 3 8]]*(1+Tabla1[[#This Row],[CAMBIO PORCENTUAL EN UNIDADES VENDIDAS AÑO 4 8]])</f>
        <v>2200</v>
      </c>
      <c r="EX56" s="112">
        <f>VLOOKUP(Tabla1[[#This Row],[CÓDIGO DEL PRODUCTO Y/O SERVICIO ]],Tabla3[],21)</f>
        <v>0.27272727272727271</v>
      </c>
      <c r="EY56" s="114">
        <f>Tabla1[[#This Row],[CANTIDADES A UTILIZAR  AÑO 4 8]]*(1+Tabla1[[#This Row],[CAMBIO PORCENTUAL EN UNIDADES VENDIDAS AÑO 5 8]])</f>
        <v>2800</v>
      </c>
      <c r="EZ56" s="344">
        <f>IF(Tabla1[[#This Row],[CANTIDADES A UTILIZAR  AÑO 1 8]]=0,0,Tabla1[[#This Row],[CANTIDADES A UTILIZAR  AÑO 1 8]]*1/Tabla1[[#This Row],[UNIDADES PRODUCIDAS AÑO 1 8]])</f>
        <v>4</v>
      </c>
      <c r="FA56" s="344">
        <f>$D$19*(1+BASES!$E$10)</f>
        <v>303.36</v>
      </c>
      <c r="FB56" s="344">
        <f>Tabla1[[#This Row],[COSTO UNITARIO AÑO 2 8]]*(1+BASES!$F$10)</f>
        <v>306.75763200000006</v>
      </c>
      <c r="FC56" s="344">
        <f>Tabla1[[#This Row],[COSTO UNITARIO AÑO 3 8]]*(1+BASES!$G$10)</f>
        <v>310.1933174784001</v>
      </c>
      <c r="FD56" s="344">
        <f>Tabla1[[#This Row],[COSTO UNITARIO AÑO 4 8]]*(1+BASES!$H$10)</f>
        <v>313.6674826341582</v>
      </c>
      <c r="FE56" s="344">
        <f>Tabla1[[#This Row],[COSTO POR UNIDAD DE PRODUCTO (8)]]*$D$19*VLOOKUP(Tabla1[[#This Row],[CÓDIGO DEL PRODUCTO Y/O SERVICIO ]],Tabla3[],3)</f>
        <v>360000</v>
      </c>
      <c r="FF56" s="344">
        <f>Tabla1[[#This Row],[COSTO POR UNIDAD DE PRODUCTO (8)]]*Tabla1[[#This Row],[COSTO UNITARIO AÑO 2 8]]*VLOOKUP(Tabla1[[#This Row],[CÓDIGO DEL PRODUCTO Y/O SERVICIO ]],Tabla3[],6)</f>
        <v>424704</v>
      </c>
      <c r="FG56" s="344">
        <f>Tabla1[[#This Row],[COSTO POR UNIDAD DE PRODUCTO (8)]]*Tabla1[[#This Row],[COSTO UNITARIO AÑO 3 8]]*VLOOKUP(Tabla1[[#This Row],[CÓDIGO DEL PRODUCTO Y/O SERVICIO ]],Tabla3[],10)</f>
        <v>613515.26400000008</v>
      </c>
      <c r="FH56" s="344">
        <f>Tabla1[[#This Row],[COSTO POR UNIDAD DE PRODUCTO (8)]]*Tabla1[[#This Row],[COSTO UNITARIO AÑO 4 8]]*VLOOKUP(Tabla1[[#This Row],[CÓDIGO DEL PRODUCTO Y/O SERVICIO ]],Tabla3[],14)</f>
        <v>682425.29845248023</v>
      </c>
      <c r="FI56" s="344">
        <f>Tabla1[[#This Row],[COSTO POR UNIDAD DE PRODUCTO (8)]]*Tabla1[[#This Row],[COSTO UNITARIO AÑO 5 8]]*VLOOKUP(Tabla1[[#This Row],[CÓDIGO DEL PRODUCTO Y/O SERVICIO ]],Tabla3[],18)</f>
        <v>878268.95137564302</v>
      </c>
      <c r="FJ56" s="346">
        <f>VLOOKUP(Tabla1[[#This Row],[CÓDIGO DEL PRODUCTO Y/O SERVICIO ]],Tabla3[],3)</f>
        <v>300</v>
      </c>
      <c r="FK56" s="346">
        <f>Tabla1[[#This Row],[UNIDADES PRODUCIDAS AÑO 1 9 ]]*N40</f>
        <v>0</v>
      </c>
      <c r="FL56" s="347">
        <f>VLOOKUP(Tabla1[[#This Row],[CÓDIGO DEL PRODUCTO Y/O SERVICIO ]],Tabla3[],9)</f>
        <v>0.16666666666666666</v>
      </c>
      <c r="FM56" s="346">
        <f>Tabla1[[#This Row],[CANTIDADES A UTILIZAR  AÑO 1 9]]*(1+Tabla1[[#This Row],[CAMBIO PORCENTUAL EN UNIDADES VENDIDAS AÑO 2 9]])</f>
        <v>0</v>
      </c>
      <c r="FN56" s="347">
        <f>VLOOKUP(Tabla1[[#This Row],[CÓDIGO DEL PRODUCTO Y/O SERVICIO ]],Tabla3[],13)</f>
        <v>0.42857142857142855</v>
      </c>
      <c r="FO56" s="346">
        <f>Tabla1[[#This Row],[CANTIDADES A UTILIZAR  AÑO 2 9]]*(1+Tabla1[[#This Row],[CAMBIO PORCENTUAL EN UNIDADES VENDIDAS AÑO 3 9]])</f>
        <v>0</v>
      </c>
      <c r="FP56" s="347">
        <f>VLOOKUP(Tabla1[[#This Row],[CÓDIGO DEL PRODUCTO Y/O SERVICIO ]],Tabla3[],17)</f>
        <v>0.1</v>
      </c>
      <c r="FQ56" s="346">
        <f>Tabla1[[#This Row],[CANTIDADES A UTILIZAR  AÑO 3 9]]*(1+Tabla1[[#This Row],[CAMBIO PORCENTUAL EN UNIDADES VENDIDAS AÑO 4 9 ]])</f>
        <v>0</v>
      </c>
      <c r="FR56" s="347">
        <f>VLOOKUP(Tabla1[[#This Row],[CÓDIGO DEL PRODUCTO Y/O SERVICIO ]],Tabla3[],21)</f>
        <v>0.27272727272727271</v>
      </c>
      <c r="FS56" s="346">
        <f>Tabla1[[#This Row],[CANTIDADES A UTILIZAR  AÑO 4  9]]*(1+Tabla1[[#This Row],[CAMBIO PORCENTUAL EN UNIDADES VENDIDAS AÑO 5 9]])</f>
        <v>0</v>
      </c>
      <c r="FT56" s="348">
        <f>IF(Tabla1[[#This Row],[CANTIDADES A UTILIZAR  AÑO 1 9]]=0,0,Tabla1[[#This Row],[CANTIDADES A UTILIZAR  AÑO 1 9]]*1/Tabla1[[#This Row],[UNIDADES PRODUCIDAS AÑO 1 9 ]])</f>
        <v>0</v>
      </c>
      <c r="FU56" s="348">
        <f>$D$20*(1+BASES!$E$10)</f>
        <v>4550.4000000000005</v>
      </c>
      <c r="FV56" s="348">
        <f>Tabla1[[#This Row],[COSTO UNITARIO AÑO 2 9]]*(1+BASES!$F$10)</f>
        <v>4601.3644800000011</v>
      </c>
      <c r="FW56" s="348">
        <f>Tabla1[[#This Row],[COSTO UNITARIO AÑO 3 9]]*(1+BASES!$G$10)</f>
        <v>4652.8997621760018</v>
      </c>
      <c r="FX56" s="348">
        <f>Tabla1[[#This Row],[COSTO UNITARIO AÑO 4 9]]*(1+BASES!$H$10)</f>
        <v>4705.0122395123735</v>
      </c>
      <c r="FY56" s="348">
        <f>Tabla1[[#This Row],[COSTO POR UNIDAD DE PRODUCTO (9)]]*$D$20*VLOOKUP(Tabla1[[#This Row],[CÓDIGO DEL PRODUCTO Y/O SERVICIO ]],Tabla3[],3)</f>
        <v>0</v>
      </c>
      <c r="FZ56" s="348">
        <f>Tabla1[[#This Row],[COSTO POR UNIDAD DE PRODUCTO (9)]]*Tabla1[[#This Row],[COSTO UNITARIO AÑO 2 9]]*VLOOKUP(Tabla1[[#This Row],[CÓDIGO DEL PRODUCTO Y/O SERVICIO ]],Tabla3[],6)</f>
        <v>0</v>
      </c>
      <c r="GA56" s="348">
        <f>Tabla1[[#This Row],[COSTO POR UNIDAD DE PRODUCTO (9)]]*Tabla1[[#This Row],[COSTO UNITARIO AÑO 3 9]]*VLOOKUP(Tabla1[[#This Row],[CÓDIGO DEL PRODUCTO Y/O SERVICIO ]],Tabla3[],10)</f>
        <v>0</v>
      </c>
      <c r="GB56" s="348">
        <f>Tabla1[[#This Row],[COSTO POR UNIDAD DE PRODUCTO (9)]]*Tabla1[[#This Row],[COSTO UNITARIO AÑO 4 9]]*VLOOKUP(Tabla1[[#This Row],[CÓDIGO DEL PRODUCTO Y/O SERVICIO ]],Tabla3[],14)</f>
        <v>0</v>
      </c>
      <c r="GC56" s="348">
        <f>Tabla1[[#This Row],[COSTO POR UNIDAD DE PRODUCTO (9)]]*Tabla1[[#This Row],[COSTO UNITARIO AÑO 5 9]]*VLOOKUP(Tabla1[[#This Row],[CÓDIGO DEL PRODUCTO Y/O SERVICIO ]],Tabla3[],18)</f>
        <v>0</v>
      </c>
      <c r="GD56" s="346">
        <f>VLOOKUP(Tabla1[[#This Row],[CÓDIGO DEL PRODUCTO Y/O SERVICIO ]],Tabla3[],3)</f>
        <v>300</v>
      </c>
      <c r="GE56" s="346">
        <f>Tabla1[[#This Row],[UNIDADES PRODUCIDAS AÑO 1 10]]*O40</f>
        <v>0</v>
      </c>
      <c r="GF56" s="347">
        <f>VLOOKUP(Tabla1[[#This Row],[CÓDIGO DEL PRODUCTO Y/O SERVICIO ]],Tabla3[],9)</f>
        <v>0.16666666666666666</v>
      </c>
      <c r="GG56" s="346">
        <f>Tabla1[[#This Row],[CANTIDADES A UTILIZAR  AÑO 1 10]]*(1+Tabla1[[#This Row],[CAMBIO PORCENTUAL EN UNIDADES VENDIDAS AÑO 2 10 ]])</f>
        <v>0</v>
      </c>
      <c r="GH56" s="347">
        <f>VLOOKUP(Tabla1[[#This Row],[CÓDIGO DEL PRODUCTO Y/O SERVICIO ]],Tabla3[],13)</f>
        <v>0.42857142857142855</v>
      </c>
      <c r="GI56" s="346">
        <f>Tabla1[[#This Row],[CANTIDADES A UTILIZAR  AÑO 2 10]]*(1+Tabla1[[#This Row],[CAMBIO PORCENTUAL EN UNIDADES VENDIDAS AÑO 3 10]])</f>
        <v>0</v>
      </c>
      <c r="GJ56" s="347">
        <f>VLOOKUP(Tabla1[[#This Row],[CÓDIGO DEL PRODUCTO Y/O SERVICIO ]],Tabla3[],17)</f>
        <v>0.1</v>
      </c>
      <c r="GK56" s="346">
        <f>Tabla1[[#This Row],[CANTIDADES A UTILIZAR AÑO 3 10 ]]*(1+Tabla1[[#This Row],[CAMBIO PORCENTUAL EN UNIDADES VENDIDAS AÑO 4 10]])</f>
        <v>0</v>
      </c>
      <c r="GL56" s="347">
        <f>VLOOKUP(Tabla1[[#This Row],[CÓDIGO DEL PRODUCTO Y/O SERVICIO ]],Tabla3[],21)</f>
        <v>0.27272727272727271</v>
      </c>
      <c r="GM56" s="346">
        <f>Tabla1[[#This Row],[CANTIDADES A UTILIZAR  AÑO 4 10 ]]*(1+Tabla1[[#This Row],[CAMBIO PORCENTUAL EN UNIDADES VENDIDAS AÑO 5 10]])</f>
        <v>0</v>
      </c>
      <c r="GN56" s="348">
        <f>IF(Tabla1[[#This Row],[CANTIDADES A UTILIZAR  AÑO 1 10]]=0,0,Tabla1[[#This Row],[CANTIDADES A UTILIZAR  AÑO 1 10]]*1/Tabla1[[#This Row],[UNIDADES PRODUCIDAS AÑO 1 10]])</f>
        <v>0</v>
      </c>
      <c r="GO56" s="348">
        <f>$D$21*(1+BASES!$E$10)</f>
        <v>334.81843200000003</v>
      </c>
      <c r="GP56" s="348">
        <f>Tabla1[[#This Row],[COSTO UNITARIO AÑO 2 10 ]]*(1+BASES!$F$10)</f>
        <v>338.56839843840004</v>
      </c>
      <c r="GQ56" s="348">
        <f>Tabla1[[#This Row],[COSTO UNITARIO AÑO 3 10]]*(1+BASES!$G$10)</f>
        <v>342.36036450091018</v>
      </c>
      <c r="GR56" s="348">
        <f>Tabla1[[#This Row],[COSTO UNITARIO AÑO 4 10]]*(1+BASES!$H$10)</f>
        <v>346.19480058332039</v>
      </c>
      <c r="GS56" s="348">
        <f>Tabla1[[#This Row],[COSTO POR UNIDAD DE PRODUCTO (10)]]*$D$21*VLOOKUP(Tabla1[[#This Row],[CÓDIGO DEL PRODUCTO Y/O SERVICIO ]],Tabla3[],3)</f>
        <v>0</v>
      </c>
      <c r="GT56" s="348">
        <f>Tabla1[[#This Row],[COSTO POR UNIDAD DE PRODUCTO (10)]]*Tabla1[[#This Row],[COSTO UNITARIO AÑO 2 10 ]]*VLOOKUP(Tabla1[[#This Row],[CÓDIGO DEL PRODUCTO Y/O SERVICIO ]],Tabla3[],6)</f>
        <v>0</v>
      </c>
      <c r="GU56" s="348">
        <f>Tabla1[[#This Row],[COSTO POR UNIDAD DE PRODUCTO (10)]]*Tabla1[[#This Row],[COSTO UNITARIO AÑO 3 10]]*VLOOKUP(Tabla1[[#This Row],[CÓDIGO DEL PRODUCTO Y/O SERVICIO ]],Tabla3[],10)</f>
        <v>0</v>
      </c>
      <c r="GV56" s="348">
        <f>Tabla1[[#This Row],[COSTO POR UNIDAD DE PRODUCTO (10)]]*Tabla1[[#This Row],[COSTO UNITARIO AÑO 4 10]]*VLOOKUP(Tabla1[[#This Row],[CÓDIGO DEL PRODUCTO Y/O SERVICIO ]],Tabla3[],14)</f>
        <v>0</v>
      </c>
      <c r="GW56" s="348">
        <f>Tabla1[[#This Row],[COSTO POR UNIDAD DE PRODUCTO (10)]]*Tabla1[[#This Row],[COSTO UNITARIO AÑO 5 10 ]]*VLOOKUP(Tabla1[[#This Row],[CÓDIGO DEL PRODUCTO Y/O SERVICIO ]],Tabla3[],18)</f>
        <v>0</v>
      </c>
      <c r="GX56" s="346">
        <f>VLOOKUP(Tabla1[[#This Row],[CÓDIGO DEL PRODUCTO Y/O SERVICIO ]],Tabla3[],3)</f>
        <v>300</v>
      </c>
      <c r="GY56" s="346">
        <f>Tabla1[[#This Row],[UNIDADES PRODUCIDAS AÑO 1 11]]*P40</f>
        <v>0</v>
      </c>
      <c r="GZ56" s="347">
        <f>VLOOKUP(Tabla1[[#This Row],[CÓDIGO DEL PRODUCTO Y/O SERVICIO ]],Tabla3[],9)</f>
        <v>0.16666666666666666</v>
      </c>
      <c r="HA56" s="346">
        <f>Tabla1[[#This Row],[CANTIDADES A UTILIZAR  AÑO 1 11 ]]*(1+Tabla1[[#This Row],[CAMBIO PORCENTUAL EN UNIDADES VENDIDAS AÑO 2 11 ]])</f>
        <v>0</v>
      </c>
      <c r="HB56" s="347">
        <f>VLOOKUP(Tabla1[[#This Row],[CÓDIGO DEL PRODUCTO Y/O SERVICIO ]],Tabla3[],13)</f>
        <v>0.42857142857142855</v>
      </c>
      <c r="HC56" s="346">
        <f>Tabla1[[#This Row],[CANTIDADES A UTILIZAR  AÑO 2 11 ]]*(1+Tabla1[[#This Row],[CAMBIO PORCENTUAL EN UNIDADES VENDIDAS AÑO 3 11]])</f>
        <v>0</v>
      </c>
      <c r="HD56" s="347">
        <f>VLOOKUP(Tabla1[[#This Row],[CÓDIGO DEL PRODUCTO Y/O SERVICIO ]],Tabla3[],17)</f>
        <v>0.1</v>
      </c>
      <c r="HE56" s="346">
        <f>Tabla1[[#This Row],[CANTIDADES A UTILIZAR  AÑO 3 11]]*(1+Tabla1[[#This Row],[CAMBIO PORCENTUAL EN UNIDADES VENDIDAS AÑO 4 11]])</f>
        <v>0</v>
      </c>
      <c r="HF56" s="347">
        <f>VLOOKUP(Tabla1[[#This Row],[CÓDIGO DEL PRODUCTO Y/O SERVICIO ]],Tabla3[],21)</f>
        <v>0.27272727272727271</v>
      </c>
      <c r="HG56" s="346">
        <f>Tabla1[[#This Row],[CANTIDADES A UTILIZAR  AÑO 4 11]]*(1+Tabla1[[#This Row],[CAMBIO PORCENTUAL EN UNIDADES VENDIDAS AÑO 5 11 ]])</f>
        <v>0</v>
      </c>
      <c r="HH56" s="348">
        <f>IF(Tabla1[[#This Row],[CANTIDADES A UTILIZAR  AÑO 1 11 ]]=0,0,Tabla1[[#This Row],[CANTIDADES A UTILIZAR  AÑO 1 11 ]]*1/Tabla1[[#This Row],[UNIDADES PRODUCIDAS AÑO 1 11]])</f>
        <v>0</v>
      </c>
      <c r="HI56" s="348">
        <f>$D$22*(1+BASES!$E$10)</f>
        <v>1011.2</v>
      </c>
      <c r="HJ56" s="348">
        <f>Tabla1[[#This Row],[COSTO UNITARIO AÑO 2 11]]*(1+BASES!$F$10)</f>
        <v>1022.5254400000001</v>
      </c>
      <c r="HK56" s="348">
        <f>Tabla1[[#This Row],[COSTO UNITARIO AÑO 3 11 ]]*(1+BASES!$G$10)</f>
        <v>1033.9777249280003</v>
      </c>
      <c r="HL56" s="348">
        <f>Tabla1[[#This Row],[COSTO UNITARIO AÑO 4 11 ]]*(1+BASES!$H$10)</f>
        <v>1045.5582754471939</v>
      </c>
      <c r="HM56" s="348">
        <f>Tabla1[[#This Row],[COSTO POR UNIDAD DE PRODUCTO (11)]]*$D$22*VLOOKUP(Tabla1[[#This Row],[CÓDIGO DEL PRODUCTO Y/O SERVICIO ]],Tabla3[],3)</f>
        <v>0</v>
      </c>
      <c r="HN56" s="348">
        <f>Tabla1[[#This Row],[COSTO POR UNIDAD DE PRODUCTO (11)]]*Tabla1[[#This Row],[COSTO UNITARIO AÑO 2 11]]*VLOOKUP(Tabla1[[#This Row],[CÓDIGO DEL PRODUCTO Y/O SERVICIO ]],Tabla3[],6)</f>
        <v>0</v>
      </c>
      <c r="HO56" s="348">
        <f>Tabla1[[#This Row],[COSTO POR UNIDAD DE PRODUCTO (11)]]*Tabla1[[#This Row],[COSTO UNITARIO AÑO 3 11 ]]*VLOOKUP(Tabla1[[#This Row],[CÓDIGO DEL PRODUCTO Y/O SERVICIO ]],Tabla3[],10)</f>
        <v>0</v>
      </c>
      <c r="HP56" s="348">
        <f>Tabla1[[#This Row],[COSTO POR UNIDAD DE PRODUCTO (11)]]*Tabla1[[#This Row],[COSTO UNITARIO AÑO 4 11 ]]*VLOOKUP(Tabla1[[#This Row],[CÓDIGO DEL PRODUCTO Y/O SERVICIO ]],Tabla3[],14)</f>
        <v>0</v>
      </c>
      <c r="HQ56" s="348">
        <f>Tabla1[[#This Row],[COSTO POR UNIDAD DE PRODUCTO (11)]]*Tabla1[[#This Row],[COSTO UNITARIO AÑO 5 11 ]]*VLOOKUP(Tabla1[[#This Row],[CÓDIGO DEL PRODUCTO Y/O SERVICIO ]],Tabla3[],18)</f>
        <v>0</v>
      </c>
      <c r="HR56" s="346">
        <f>VLOOKUP(Tabla1[[#This Row],[CÓDIGO DEL PRODUCTO Y/O SERVICIO ]],Tabla3[],3)</f>
        <v>300</v>
      </c>
      <c r="HS56" s="346">
        <f>Tabla1[[#This Row],[UNIDADES PRODUCIDAS AÑO 1 12]]*Q40</f>
        <v>0</v>
      </c>
      <c r="HT56" s="347">
        <f>VLOOKUP(Tabla1[[#This Row],[CÓDIGO DEL PRODUCTO Y/O SERVICIO ]],Tabla3[],9)</f>
        <v>0.16666666666666666</v>
      </c>
      <c r="HU56" s="346">
        <f>Tabla1[[#This Row],[CANTIDADES A UTILIZAR  AÑO 1 12]]*(1+Tabla1[[#This Row],[CAMBIO PORCENTUAL EN UNIDADES VENDIDAS AÑO 2 12]])</f>
        <v>0</v>
      </c>
      <c r="HV56" s="347">
        <f>VLOOKUP(Tabla1[[#This Row],[CÓDIGO DEL PRODUCTO Y/O SERVICIO ]],Tabla3[],13)</f>
        <v>0.42857142857142855</v>
      </c>
      <c r="HW56" s="346">
        <f>Tabla1[[#This Row],[CANTIDADES A UTILIZAR  AÑO 2 12]]*(1+Tabla1[[#This Row],[CAMBIO PORCENTUAL EN UNIDADES VENDIDAS AÑO 3 12]])</f>
        <v>0</v>
      </c>
      <c r="HX56" s="347">
        <f>VLOOKUP(Tabla1[[#This Row],[CÓDIGO DEL PRODUCTO Y/O SERVICIO ]],Tabla3[],17)</f>
        <v>0.1</v>
      </c>
      <c r="HY56" s="346">
        <f>Tabla1[[#This Row],[CANTIDADES A UTILIZAR  AÑO 3 12]]*(1+Tabla1[[#This Row],[CAMBIO PORCENTUAL EN UNIDADES VENDIDAS AÑO 4 12]])</f>
        <v>0</v>
      </c>
      <c r="HZ56" s="347">
        <f>VLOOKUP(Tabla1[[#This Row],[CÓDIGO DEL PRODUCTO Y/O SERVICIO ]],Tabla3[],21)</f>
        <v>0.27272727272727271</v>
      </c>
      <c r="IA56" s="346">
        <f>Tabla1[[#This Row],[CANTIDADES A UTILIZAR  AÑO 4 12]]*(1+Tabla1[[#This Row],[CAMBIO PORCENTUAL EN UNIDADES VENDIDAS AÑO 5 12]])</f>
        <v>0</v>
      </c>
      <c r="IB56" s="348">
        <f>IF(Tabla1[[#This Row],[CANTIDADES A UTILIZAR  AÑO 1 12]]=0,0,Tabla1[[#This Row],[CANTIDADES A UTILIZAR  AÑO 1 12]]*1/Tabla1[[#This Row],[UNIDADES PRODUCIDAS AÑO 1 12]])</f>
        <v>0</v>
      </c>
      <c r="IC56" s="348">
        <f>$D$23*(1+BASES!$E$10)</f>
        <v>1011.2</v>
      </c>
      <c r="ID56" s="348">
        <f>Tabla1[[#This Row],[COSTO UNITARIO AÑO 2 12]]*(1+BASES!$F$10)</f>
        <v>1022.5254400000001</v>
      </c>
      <c r="IE56" s="348">
        <f>Tabla1[[#This Row],[COSTO UNITARIO AÑO 3 12]]*(1+BASES!$G$10)</f>
        <v>1033.9777249280003</v>
      </c>
      <c r="IF56" s="348">
        <f>Tabla1[[#This Row],[COSTO UNITARIO AÑO 4 12]]*(1+BASES!$H$10)</f>
        <v>1045.5582754471939</v>
      </c>
      <c r="IG56" s="348">
        <f>Tabla1[[#This Row],[COSTO POR UNIDAD DE PRODUCTO (12)]]*$D$23*VLOOKUP(Tabla1[[#This Row],[CÓDIGO DEL PRODUCTO Y/O SERVICIO ]],Tabla3[],3)</f>
        <v>0</v>
      </c>
      <c r="IH56" s="348">
        <f>Tabla1[[#This Row],[COSTO POR UNIDAD DE PRODUCTO (12)]]*Tabla1[[#This Row],[COSTO UNITARIO AÑO 2 12]]*VLOOKUP(Tabla1[[#This Row],[CÓDIGO DEL PRODUCTO Y/O SERVICIO ]],Tabla3[],6)</f>
        <v>0</v>
      </c>
      <c r="II56" s="348">
        <f>Tabla1[[#This Row],[COSTO POR UNIDAD DE PRODUCTO (12)]]*Tabla1[[#This Row],[COSTO UNITARIO AÑO 3 12]]*VLOOKUP(Tabla1[[#This Row],[CÓDIGO DEL PRODUCTO Y/O SERVICIO ]],Tabla3[],10)</f>
        <v>0</v>
      </c>
      <c r="IJ56" s="348">
        <f>Tabla1[[#This Row],[COSTO POR UNIDAD DE PRODUCTO (12)]]*Tabla1[[#This Row],[COSTO UNITARIO AÑO 4 12]]*VLOOKUP(Tabla1[[#This Row],[CÓDIGO DEL PRODUCTO Y/O SERVICIO ]],Tabla3[],14)</f>
        <v>0</v>
      </c>
      <c r="IK56" s="348">
        <f>Tabla1[[#This Row],[COSTO POR UNIDAD DE PRODUCTO (12)]]*Tabla1[[#This Row],[COSTO UNITARIO AÑO 5 12]]*VLOOKUP(Tabla1[[#This Row],[CÓDIGO DEL PRODUCTO Y/O SERVICIO ]],Tabla3[],18)</f>
        <v>0</v>
      </c>
      <c r="IL56" s="346">
        <f>VLOOKUP(Tabla1[[#This Row],[CÓDIGO DEL PRODUCTO Y/O SERVICIO ]],Tabla3[],3)</f>
        <v>300</v>
      </c>
      <c r="IM56" s="346">
        <f>Tabla1[[#This Row],[UNIDADES PRODUCIDAS AÑO 1 13]]*R40</f>
        <v>300</v>
      </c>
      <c r="IN56" s="347">
        <f>VLOOKUP(Tabla1[[#This Row],[CÓDIGO DEL PRODUCTO Y/O SERVICIO ]],Tabla3[],9)</f>
        <v>0.16666666666666666</v>
      </c>
      <c r="IO56" s="346">
        <f>Tabla1[[#This Row],[CANTIDADES A UTILIZAR  AÑO 1 13]]*(1+Tabla1[[#This Row],[CAMBIO PORCENTUAL EN UNIDADES VENDIDAS AÑO 2 13]])</f>
        <v>350</v>
      </c>
      <c r="IP56" s="347">
        <f>VLOOKUP(Tabla1[[#This Row],[CÓDIGO DEL PRODUCTO Y/O SERVICIO ]],Tabla3[],13)</f>
        <v>0.42857142857142855</v>
      </c>
      <c r="IQ56" s="346">
        <f>Tabla1[[#This Row],[CANTIDADES A UTILIZAR  AÑO 2 13]]*(1+Tabla1[[#This Row],[CAMBIO PORCENTUAL EN UNIDADES VENDIDAS AÑO 3 13]])</f>
        <v>500</v>
      </c>
      <c r="IR56" s="346">
        <f>VLOOKUP(Tabla1[[#This Row],[CÓDIGO DEL PRODUCTO Y/O SERVICIO ]],Tabla3[],17)</f>
        <v>0.1</v>
      </c>
      <c r="IS56" s="346">
        <f>Tabla1[[#This Row],[CANTIDADES A UTILIZAR  AÑO 3 13]]*(1+Tabla1[[#This Row],[CAMBIO PORCENTUAL EN UNIDADES VENDIDAS AÑO 4 13]])</f>
        <v>550</v>
      </c>
      <c r="IT56" s="347">
        <f>VLOOKUP(Tabla1[[#This Row],[CÓDIGO DEL PRODUCTO Y/O SERVICIO ]],Tabla3[],21)</f>
        <v>0.27272727272727271</v>
      </c>
      <c r="IU56" s="346">
        <f>Tabla1[[#This Row],[CANTIDADES A UTILIZAR  AÑO 4 13]]*(1+Tabla1[[#This Row],[CAMBIO PORCENTUAL EN UNIDADES VENDIDAS AÑO 5 13]])</f>
        <v>700</v>
      </c>
      <c r="IV56" s="348">
        <f>IF(Tabla1[[#This Row],[CANTIDADES A UTILIZAR  AÑO 1 13]]=0,0,Tabla1[[#This Row],[CANTIDADES A UTILIZAR  AÑO 1 13]]*1/Tabla1[[#This Row],[UNIDADES PRODUCIDAS AÑO 1 13]])</f>
        <v>1</v>
      </c>
      <c r="IW56" s="348">
        <f>$D$24*(1+BASES!$E$10)</f>
        <v>101.12</v>
      </c>
      <c r="IX56" s="348">
        <f>Tabla1[[#This Row],[COSTO UNITARIO AÑO 2 13]]*(1+BASES!$F$10)</f>
        <v>102.25254400000001</v>
      </c>
      <c r="IY56" s="348">
        <f>Tabla1[[#This Row],[COSTO UNITARIO AÑO 3 13]]*(1+BASES!$G$10)</f>
        <v>103.39777249280003</v>
      </c>
      <c r="IZ56" s="348">
        <f>Tabla1[[#This Row],[COSTO UNITARIO AÑO 4 13]]*(1+BASES!$H$10)</f>
        <v>104.55582754471941</v>
      </c>
      <c r="JA56" s="348">
        <f>Tabla1[[#This Row],[COSTO POR UNIDAD DE PRODUCTO (13)]]*$D$24*VLOOKUP(Tabla1[[#This Row],[CÓDIGO DEL PRODUCTO Y/O SERVICIO ]],Tabla3[],3)</f>
        <v>30000</v>
      </c>
      <c r="JB56" s="348">
        <f>Tabla1[[#This Row],[COSTO POR UNIDAD DE PRODUCTO (13)]]*Tabla1[[#This Row],[COSTO UNITARIO AÑO 2 13]]*VLOOKUP(Tabla1[[#This Row],[CÓDIGO DEL PRODUCTO Y/O SERVICIO ]],Tabla3[],6)</f>
        <v>35392</v>
      </c>
      <c r="JC56" s="348">
        <f>Tabla1[[#This Row],[COSTO POR UNIDAD DE PRODUCTO (13)]]*Tabla1[[#This Row],[COSTO UNITARIO AÑO 3 13]]*VLOOKUP(Tabla1[[#This Row],[CÓDIGO DEL PRODUCTO Y/O SERVICIO ]],Tabla3[],10)</f>
        <v>51126.272000000004</v>
      </c>
      <c r="JD56" s="348">
        <f>Tabla1[[#This Row],[COSTO POR UNIDAD DE PRODUCTO (13)]]*Tabla1[[#This Row],[COSTO UNITARIO AÑO 4 13]]*VLOOKUP(Tabla1[[#This Row],[CÓDIGO DEL PRODUCTO Y/O SERVICIO ]],Tabla3[],14)</f>
        <v>56868.774871040019</v>
      </c>
      <c r="JE56" s="348">
        <f>Tabla1[[#This Row],[COSTO POR UNIDAD DE PRODUCTO (13)]]*Tabla1[[#This Row],[COSTO UNITARIO AÑO 5 13]]*VLOOKUP(Tabla1[[#This Row],[CÓDIGO DEL PRODUCTO Y/O SERVICIO ]],Tabla3[],18)</f>
        <v>73189.079281303581</v>
      </c>
      <c r="JF56" s="346">
        <f>VLOOKUP(Tabla1[[#This Row],[CÓDIGO DEL PRODUCTO Y/O SERVICIO ]],Tabla3[],3)</f>
        <v>300</v>
      </c>
      <c r="JG56" s="346">
        <f>Tabla1[[#This Row],[UNIDADES PRODUCIDAS AÑO 1 14]]*S40</f>
        <v>0</v>
      </c>
      <c r="JH56" s="347">
        <f>VLOOKUP(Tabla1[[#This Row],[CÓDIGO DEL PRODUCTO Y/O SERVICIO ]],Tabla3[],9)</f>
        <v>0.16666666666666666</v>
      </c>
      <c r="JI56" s="346">
        <f>Tabla1[[#This Row],[CANTIDADES A UTILIZAR  AÑO 1 14]]*(1+Tabla1[[#This Row],[CAMBIO PORCENTUAL EN UNIDADES VENDIDAS AÑO 2 14]])</f>
        <v>0</v>
      </c>
      <c r="JJ56" s="347">
        <f>VLOOKUP(Tabla1[[#This Row],[CÓDIGO DEL PRODUCTO Y/O SERVICIO ]],Tabla3[],13)</f>
        <v>0.42857142857142855</v>
      </c>
      <c r="JK56" s="346">
        <f>Tabla1[[#This Row],[CANTIDADES A UTILIZAR  AÑO 2 14]]*(1+Tabla1[[#This Row],[CAMBIO PORCENTUAL EN UNIDADES VENDIDAS AÑO 3 14]])</f>
        <v>0</v>
      </c>
      <c r="JL56" s="347">
        <f>VLOOKUP(Tabla1[[#This Row],[CÓDIGO DEL PRODUCTO Y/O SERVICIO ]],Tabla3[],17)</f>
        <v>0.1</v>
      </c>
      <c r="JM56" s="346">
        <f>Tabla1[[#This Row],[CANTIDADES A UTILIZAR AÑO 3 14]]*(1+Tabla1[[#This Row],[CAMBIO PORCENTUAL EN UNIDADES VENDIDAS AÑO 4 14]])</f>
        <v>0</v>
      </c>
      <c r="JN56" s="347">
        <f>VLOOKUP(Tabla1[[#This Row],[CÓDIGO DEL PRODUCTO Y/O SERVICIO ]],Tabla3[],21)</f>
        <v>0.27272727272727271</v>
      </c>
      <c r="JO56" s="346">
        <f>Tabla1[[#This Row],[CANTIDADES A UTILIZAR  AÑO 4 14]]*(1+Tabla1[[#This Row],[CAMBIO PORCENTUAL EN UNIDADES VENDIDAS AÑO 5 14]])</f>
        <v>0</v>
      </c>
      <c r="JP56" s="348">
        <f>IF(Tabla1[[#This Row],[CANTIDADES A UTILIZAR  AÑO 1 14]]=0,0,Tabla1[[#This Row],[CANTIDADES A UTILIZAR  AÑO 1 14]]*1/Tabla1[[#This Row],[UNIDADES PRODUCIDAS AÑO 1 14]])</f>
        <v>0</v>
      </c>
      <c r="JQ56" s="348">
        <f>$D$25*(1+BASES!$E$10)</f>
        <v>1011.2</v>
      </c>
      <c r="JR56" s="348">
        <f>Tabla1[[#This Row],[COSTO UNITARIO AÑO 2 14]]*(1+BASES!$F$10)</f>
        <v>1022.5254400000001</v>
      </c>
      <c r="JS56" s="348">
        <f>Tabla1[[#This Row],[COSTO UNITARIO AÑO 3 14]]*(1+BASES!$G$10)</f>
        <v>1033.9777249280003</v>
      </c>
      <c r="JT56" s="348">
        <f>Tabla1[[#This Row],[COSTO UNITARIO AÑO 4 14]]*(1+BASES!$H$10)</f>
        <v>1045.5582754471939</v>
      </c>
      <c r="JU56" s="348">
        <f>Tabla1[[#This Row],[COSTO POR UNIDAD DE PRODUCTO (14)]]*$D$25*VLOOKUP(Tabla1[[#This Row],[CÓDIGO DEL PRODUCTO Y/O SERVICIO ]],Tabla3[],3)</f>
        <v>0</v>
      </c>
      <c r="JV56" s="348">
        <f>Tabla1[[#This Row],[COSTO POR UNIDAD DE PRODUCTO (14)]]*Tabla1[[#This Row],[COSTO UNITARIO AÑO 2 14]]*VLOOKUP(Tabla1[[#This Row],[CÓDIGO DEL PRODUCTO Y/O SERVICIO ]],Tabla3[],6)</f>
        <v>0</v>
      </c>
      <c r="JW56" s="348">
        <f>Tabla1[[#This Row],[COSTO POR UNIDAD DE PRODUCTO (14)]]*Tabla1[[#This Row],[COSTO UNITARIO AÑO 3 14]]*VLOOKUP(Tabla1[[#This Row],[CÓDIGO DEL PRODUCTO Y/O SERVICIO ]],Tabla3[],10)</f>
        <v>0</v>
      </c>
      <c r="JX56" s="348">
        <f>Tabla1[[#This Row],[COSTO POR UNIDAD DE PRODUCTO (14)]]*Tabla1[[#This Row],[COSTO UNITARIO AÑO 4 14]]*VLOOKUP(Tabla1[[#This Row],[CÓDIGO DEL PRODUCTO Y/O SERVICIO ]],Tabla3[],14)</f>
        <v>0</v>
      </c>
      <c r="JY56" s="348">
        <f>Tabla1[[#This Row],[COSTO POR UNIDAD DE PRODUCTO (14)]]*Tabla1[[#This Row],[COSTO UNITARIO AÑO 5 14]]*VLOOKUP(Tabla1[[#This Row],[CÓDIGO DEL PRODUCTO Y/O SERVICIO ]],Tabla3[],18)</f>
        <v>0</v>
      </c>
      <c r="JZ56" s="346">
        <f>VLOOKUP(Tabla1[[#This Row],[CÓDIGO DEL PRODUCTO Y/O SERVICIO ]],Tabla3[],3)</f>
        <v>300</v>
      </c>
      <c r="KA56" s="346">
        <f>Tabla1[[#This Row],[UNIDADES PRODUCIDAS AÑO 1 15]]*T40</f>
        <v>0</v>
      </c>
      <c r="KB56" s="347">
        <f>VLOOKUP(Tabla1[[#This Row],[CÓDIGO DEL PRODUCTO Y/O SERVICIO ]],Tabla3[],9)</f>
        <v>0.16666666666666666</v>
      </c>
      <c r="KC56" s="346">
        <f>Tabla1[[#This Row],[CANTIDADES A UTILIZAR  AÑO 1 15]]*(1+Tabla1[[#This Row],[CAMBIO PORCENTUAL EN UNIDADES VENDIDAS AÑO 2 15]])</f>
        <v>0</v>
      </c>
      <c r="KD56" s="347">
        <f>VLOOKUP(Tabla1[[#This Row],[CÓDIGO DEL PRODUCTO Y/O SERVICIO ]],Tabla3[],13)</f>
        <v>0.42857142857142855</v>
      </c>
      <c r="KE56" s="346">
        <f>Tabla1[[#This Row],[CANTIDADES A UTILIZAR  AÑO 2 15]]*(1+Tabla1[[#This Row],[CAMBIO PORCENTUAL EN UNIDADES VENDIDAS AÑO 3 15]])</f>
        <v>0</v>
      </c>
      <c r="KF56" s="347">
        <f>VLOOKUP(Tabla1[[#This Row],[CÓDIGO DEL PRODUCTO Y/O SERVICIO ]],Tabla3[],17)</f>
        <v>0.1</v>
      </c>
      <c r="KG56" s="346">
        <f>Tabla1[[#This Row],[CANTIDADES A UTILIZAR  AÑO 3 15]]*(1+Tabla1[[#This Row],[CAMBIO PORCENTUAL EN UNIDADES VENDIDAS AÑO 4 15]])</f>
        <v>0</v>
      </c>
      <c r="KH56" s="347">
        <f>VLOOKUP(Tabla1[[#This Row],[CÓDIGO DEL PRODUCTO Y/O SERVICIO ]],Tabla3[],21)</f>
        <v>0.27272727272727271</v>
      </c>
      <c r="KI56" s="346">
        <f>Tabla1[[#This Row],[CANTIDADES A UTILIZAR  AÑO 4 15]]*(1+Tabla1[[#This Row],[CAMBIO PORCENTUAL EN UNIDADES VENDIDAS AÑO 5 15]])</f>
        <v>0</v>
      </c>
      <c r="KJ56" s="348">
        <f>IF(Tabla1[[#This Row],[CANTIDADES A UTILIZAR  AÑO 1 15]]=0,0,Tabla1[[#This Row],[CANTIDADES A UTILIZAR  AÑO 1 15]]*1/Tabla1[[#This Row],[UNIDADES PRODUCIDAS AÑO 1 15]])</f>
        <v>0</v>
      </c>
      <c r="KK56" s="348">
        <f>$D$26*(1+BASES!$E$10)</f>
        <v>4044.8</v>
      </c>
      <c r="KL56" s="348">
        <f>Tabla1[[#This Row],[COSTO UNITARIO AÑO 2 15]]*(1+BASES!$F$10)</f>
        <v>4090.1017600000005</v>
      </c>
      <c r="KM56" s="348">
        <f>Tabla1[[#This Row],[COSTO UNITARIO AÑO 3 15]]*(1+BASES!$G$10)</f>
        <v>4135.9108997120011</v>
      </c>
      <c r="KN56" s="348">
        <f>Tabla1[[#This Row],[COSTO UNITARIO AÑO 4 15]]*(1+BASES!$H$10)</f>
        <v>4182.2331017887755</v>
      </c>
      <c r="KO56" s="348">
        <f>Tabla1[[#This Row],[COSTO POR UNIDAD DE PRODUCTO (15)]]*$D$26*VLOOKUP(Tabla1[[#This Row],[CÓDIGO DEL PRODUCTO Y/O SERVICIO ]],Tabla3[],3)</f>
        <v>0</v>
      </c>
      <c r="KP56" s="348">
        <f>Tabla1[[#This Row],[COSTO POR UNIDAD DE PRODUCTO (15)]]*Tabla1[[#This Row],[COSTO UNITARIO AÑO 2 15]]*VLOOKUP(Tabla1[[#This Row],[CÓDIGO DEL PRODUCTO Y/O SERVICIO ]],Tabla3[],6)</f>
        <v>0</v>
      </c>
      <c r="KQ56" s="348">
        <f>Tabla1[[#This Row],[COSTO POR UNIDAD DE PRODUCTO (15)]]*Tabla1[[#This Row],[COSTO UNITARIO AÑO 3 15]]*VLOOKUP(Tabla1[[#This Row],[CÓDIGO DEL PRODUCTO Y/O SERVICIO ]],Tabla3[],10)</f>
        <v>0</v>
      </c>
      <c r="KR56" s="348">
        <f>Tabla1[[#This Row],[COSTO POR UNIDAD DE PRODUCTO (15)]]*Tabla1[[#This Row],[COSTO UNITARIO AÑO 4 15]]*VLOOKUP(Tabla1[[#This Row],[CÓDIGO DEL PRODUCTO Y/O SERVICIO ]],Tabla3[],14)</f>
        <v>0</v>
      </c>
      <c r="KS56" s="348">
        <f>Tabla1[[#This Row],[COSTO POR UNIDAD DE PRODUCTO (15)]]*Tabla1[[#This Row],[COSTO UNITARIO AÑO 5 15]]*VLOOKUP(Tabla1[[#This Row],[CÓDIGO DEL PRODUCTO Y/O SERVICIO ]],Tabla3[],18)</f>
        <v>0</v>
      </c>
      <c r="KT56" s="346">
        <f>VLOOKUP(Tabla1[[#This Row],[CÓDIGO DEL PRODUCTO Y/O SERVICIO ]],Tabla3[],3)</f>
        <v>300</v>
      </c>
      <c r="KU56" s="346">
        <f>Tabla1[[#This Row],[UNIDADES PRODUCIDAS AÑO 1 16]]*U40</f>
        <v>0</v>
      </c>
      <c r="KV56" s="347">
        <f>VLOOKUP(Tabla1[[#This Row],[CÓDIGO DEL PRODUCTO Y/O SERVICIO ]],Tabla3[],9)</f>
        <v>0.16666666666666666</v>
      </c>
      <c r="KW56" s="346">
        <f>Tabla1[[#This Row],[CANTIDADES A UTILIZAR  AÑO 1 16]]*(1+Tabla1[[#This Row],[CAMBIO PORCENTUAL EN UNIDADES VENDIDAS AÑO 2 16]])</f>
        <v>0</v>
      </c>
      <c r="KX56" s="347">
        <f>VLOOKUP(Tabla1[[#This Row],[CÓDIGO DEL PRODUCTO Y/O SERVICIO ]],Tabla3[],13)</f>
        <v>0.42857142857142855</v>
      </c>
      <c r="KY56" s="346">
        <f>Tabla1[[#This Row],[CANTIDADES A UTILIZAR  AÑO 2 16]]*(1+Tabla1[[#This Row],[CAMBIO PORCENTUAL EN UNIDADES VENDIDAS AÑO 3 16]])</f>
        <v>0</v>
      </c>
      <c r="KZ56" s="347">
        <f>VLOOKUP(Tabla1[[#This Row],[CÓDIGO DEL PRODUCTO Y/O SERVICIO ]],Tabla3[],17)</f>
        <v>0.1</v>
      </c>
      <c r="LA56" s="346">
        <f>Tabla1[[#This Row],[CANTIDADES A UTILIZAR  AÑO 3 16]]*(1+Tabla1[[#This Row],[CAMBIO PORCENTUAL EN UNIDADES VENDIDAS AÑO 4 16]])</f>
        <v>0</v>
      </c>
      <c r="LB56" s="347">
        <f>VLOOKUP(Tabla1[[#This Row],[CÓDIGO DEL PRODUCTO Y/O SERVICIO ]],Tabla3[],21)</f>
        <v>0.27272727272727271</v>
      </c>
      <c r="LC56" s="346">
        <f>Tabla1[[#This Row],[CANTIDADES A UTILIZAR  AÑO 4 16]]*(1+Tabla1[[#This Row],[CAMBIO PORCENTUAL EN UNIDADES VENDIDAS AÑO 5 16]])</f>
        <v>0</v>
      </c>
      <c r="LD56" s="348">
        <f>IF(Tabla1[[#This Row],[CANTIDADES A UTILIZAR  AÑO 1 16]]=0,0,Tabla1[[#This Row],[CANTIDADES A UTILIZAR  AÑO 1 16]]*1/Tabla1[[#This Row],[UNIDADES PRODUCIDAS AÑO 1 16]])</f>
        <v>0</v>
      </c>
      <c r="LE56" s="348">
        <f>$D$27*(1+BASES!$E$10)</f>
        <v>1264.0000000000002</v>
      </c>
      <c r="LF56" s="348">
        <f>Tabla1[[#This Row],[COSTO UNITARIO AÑO 2 16]]*(1+BASES!$F$10)</f>
        <v>1278.1568000000004</v>
      </c>
      <c r="LG56" s="348">
        <f>Tabla1[[#This Row],[COSTO UNITARIO AÑO 3 16]]*(1+BASES!$G$10)</f>
        <v>1292.4721561600006</v>
      </c>
      <c r="LH56" s="348">
        <f>Tabla1[[#This Row],[COSTO UNITARIO AÑO 4 16]]*(1+BASES!$H$10)</f>
        <v>1306.9478443089927</v>
      </c>
      <c r="LI56" s="348">
        <f>Tabla1[[#This Row],[COSTO POR UNIDAD DE PRODUCTO (16)]]*$D$27*VLOOKUP(Tabla1[[#This Row],[CÓDIGO DEL PRODUCTO Y/O SERVICIO ]],Tabla3[],3)</f>
        <v>0</v>
      </c>
      <c r="LJ56" s="348">
        <f>Tabla1[[#This Row],[COSTO POR UNIDAD DE PRODUCTO (16)]]*Tabla1[[#This Row],[COSTO UNITARIO AÑO 2 16]]*VLOOKUP(Tabla1[[#This Row],[CÓDIGO DEL PRODUCTO Y/O SERVICIO ]],Tabla3[],6)</f>
        <v>0</v>
      </c>
      <c r="LK56" s="348">
        <f>Tabla1[[#This Row],[COSTO POR UNIDAD DE PRODUCTO (16)]]*Tabla1[[#This Row],[COSTO UNITARIO AÑO 3 16]]*VLOOKUP(Tabla1[[#This Row],[CÓDIGO DEL PRODUCTO Y/O SERVICIO ]],Tabla3[],10)</f>
        <v>0</v>
      </c>
      <c r="LL56" s="348">
        <f>Tabla1[[#This Row],[COSTO POR UNIDAD DE PRODUCTO (16)]]*Tabla1[[#This Row],[COSTO UNITARIO AÑO 4 16]]*VLOOKUP(Tabla1[[#This Row],[CÓDIGO DEL PRODUCTO Y/O SERVICIO ]],Tabla3[],14)</f>
        <v>0</v>
      </c>
      <c r="LM56" s="348">
        <f>Tabla1[[#This Row],[COSTO POR UNIDAD DE PRODUCTO (16)]]*Tabla1[[#This Row],[COSTO UNITARIO AÑO 5 16]]*VLOOKUP(Tabla1[[#This Row],[CÓDIGO DEL PRODUCTO Y/O SERVICIO ]],Tabla3[],18)</f>
        <v>0</v>
      </c>
      <c r="LN56" s="346">
        <f>VLOOKUP(Tabla1[[#This Row],[CÓDIGO DEL PRODUCTO Y/O SERVICIO ]],Tabla3[],3)</f>
        <v>300</v>
      </c>
      <c r="LO56" s="346">
        <f>Tabla1[[#This Row],[UNIDADES PRODUCIDAS AÑO 1 17]]*V40</f>
        <v>0</v>
      </c>
      <c r="LP56" s="347">
        <f>VLOOKUP(Tabla1[[#This Row],[CÓDIGO DEL PRODUCTO Y/O SERVICIO ]],Tabla3[],9)</f>
        <v>0.16666666666666666</v>
      </c>
      <c r="LQ56" s="346">
        <f>Tabla1[[#This Row],[CANTIDADES A UTILIZAR  AÑO 1 17]]*(1+Tabla1[[#This Row],[CAMBIO PORCENTUAL EN UNIDADES VENDIDAS AÑO 2 17]])</f>
        <v>0</v>
      </c>
      <c r="LR56" s="347">
        <f>VLOOKUP(Tabla1[[#This Row],[CÓDIGO DEL PRODUCTO Y/O SERVICIO ]],Tabla3[],13)</f>
        <v>0.42857142857142855</v>
      </c>
      <c r="LS56" s="346">
        <f>Tabla1[[#This Row],[CANTIDADES A UTILIZAR  AÑO 2 17]]*(1+Tabla1[[#This Row],[CAMBIO PORCENTUAL EN UNIDADES VENDIDAS AÑO 3 17]])</f>
        <v>0</v>
      </c>
      <c r="LT56" s="347">
        <f>VLOOKUP(Tabla1[[#This Row],[CÓDIGO DEL PRODUCTO Y/O SERVICIO ]],Tabla3[],17)</f>
        <v>0.1</v>
      </c>
      <c r="LU56" s="346">
        <f>Tabla1[[#This Row],[CANTIDADES A UTILIZAR  AÑO 3 17]]*(1+Tabla1[[#This Row],[CAMBIO PORCENTUAL EN UNIDADES VENDIDAS AÑO 4 17 ]])</f>
        <v>0</v>
      </c>
      <c r="LV56" s="347">
        <f>VLOOKUP(Tabla1[[#This Row],[CÓDIGO DEL PRODUCTO Y/O SERVICIO ]],Tabla3[],21)</f>
        <v>0.27272727272727271</v>
      </c>
      <c r="LW56" s="346">
        <f>Tabla1[[#This Row],[CANTIDADES A UTILIZAR  AÑO 4 17]]*(1+Tabla1[[#This Row],[CAMBIO PORCENTUAL EN UNIDADES VENDIDAS AÑO 5 17]])</f>
        <v>0</v>
      </c>
      <c r="LX56" s="348">
        <f>IF(Tabla1[[#This Row],[CANTIDADES A UTILIZAR  AÑO 1 17]]=0,0,Tabla1[[#This Row],[CANTIDADES A UTILIZAR  AÑO 1 17]]*1/Tabla1[[#This Row],[UNIDADES PRODUCIDAS AÑO 1 17]])</f>
        <v>0</v>
      </c>
      <c r="LY56" s="348">
        <f>$D$28*(1+BASES!$E$10)</f>
        <v>222.46400000000003</v>
      </c>
      <c r="LZ56" s="348">
        <f>Tabla1[[#This Row],[COSTO UNITARIO AÑO 2 17]]*(1+BASES!$F$10)</f>
        <v>224.95559680000005</v>
      </c>
      <c r="MA56" s="348">
        <f>Tabla1[[#This Row],[COSTO UNITARIO AÑO 3 17]]*(1+BASES!$G$10)</f>
        <v>227.47509948416007</v>
      </c>
      <c r="MB56" s="348">
        <f>Tabla1[[#This Row],[COSTO UNITARIO AÑO 4 17]]*(1+BASES!$H$10)</f>
        <v>230.02282059838268</v>
      </c>
      <c r="MC56" s="348">
        <f>Tabla1[[#This Row],[COSTO POR UNIDAD DE PRODUCTO (17)]]*$D$28*VLOOKUP(Tabla1[[#This Row],[CÓDIGO DEL PRODUCTO Y/O SERVICIO ]],Tabla3[],3)</f>
        <v>0</v>
      </c>
      <c r="MD56" s="348">
        <f>Tabla1[[#This Row],[COSTO POR UNIDAD DE PRODUCTO (17)]]*Tabla1[[#This Row],[COSTO UNITARIO AÑO 2 17]]*VLOOKUP(Tabla1[[#This Row],[CÓDIGO DEL PRODUCTO Y/O SERVICIO ]],Tabla3[],6)</f>
        <v>0</v>
      </c>
      <c r="ME56" s="348">
        <f>Tabla1[[#This Row],[COSTO POR UNIDAD DE PRODUCTO (17)]]*Tabla1[[#This Row],[COSTO UNITARIO AÑO 3 17]]*VLOOKUP(Tabla1[[#This Row],[CÓDIGO DEL PRODUCTO Y/O SERVICIO ]],Tabla3[],10)</f>
        <v>0</v>
      </c>
      <c r="MF56" s="348">
        <f>Tabla1[[#This Row],[COSTO POR UNIDAD DE PRODUCTO (17)]]*Tabla1[[#This Row],[COSTO UNITARIO AÑO 4 17]]*VLOOKUP(Tabla1[[#This Row],[CÓDIGO DEL PRODUCTO Y/O SERVICIO ]],Tabla3[],14)</f>
        <v>0</v>
      </c>
      <c r="MG56" s="348">
        <f>Tabla1[[#This Row],[COSTO POR UNIDAD DE PRODUCTO (17)]]*Tabla1[[#This Row],[COSTO UNITARIO AÑO 5 17]]*VLOOKUP(Tabla1[[#This Row],[CÓDIGO DEL PRODUCTO Y/O SERVICIO ]],Tabla3[],18)</f>
        <v>0</v>
      </c>
      <c r="MH56" s="346">
        <f>VLOOKUP(Tabla1[[#This Row],[CÓDIGO DEL PRODUCTO Y/O SERVICIO ]],Tabla3[],3)</f>
        <v>300</v>
      </c>
      <c r="MI56" s="346">
        <f>Tabla1[[#This Row],[UNIDADES PRODUCIDAS AÑO 1 18 ]]*W40</f>
        <v>0</v>
      </c>
      <c r="MJ56" s="347">
        <f>VLOOKUP(Tabla1[[#This Row],[CÓDIGO DEL PRODUCTO Y/O SERVICIO ]],Tabla3[],9)</f>
        <v>0.16666666666666666</v>
      </c>
      <c r="MK56" s="346">
        <f>Tabla1[[#This Row],[CANTIDADES A UTILIZAR  AÑO 1 18]]*(1+Tabla1[[#This Row],[CAMBIO PORCENTUAL EN UNIDADES VENDIDAS AÑO 2 18]])</f>
        <v>0</v>
      </c>
      <c r="ML56" s="347">
        <f>VLOOKUP(Tabla1[[#This Row],[CÓDIGO DEL PRODUCTO Y/O SERVICIO ]],Tabla3[],13)</f>
        <v>0.42857142857142855</v>
      </c>
      <c r="MM56" s="346">
        <f>Tabla1[[#This Row],[CANTIDADES A UTILIZAR AÑO 2 18]]*(1+Tabla1[[#This Row],[CAMBIO PORCENTUAL EN UNIDADES VENDIDAS AÑO 3 18 ]])</f>
        <v>0</v>
      </c>
      <c r="MN56" s="347">
        <f>VLOOKUP(Tabla1[[#This Row],[CÓDIGO DEL PRODUCTO Y/O SERVICIO ]],Tabla3[],17)</f>
        <v>0.1</v>
      </c>
      <c r="MO56" s="346">
        <f>Tabla1[[#This Row],[CANTIDADES A UTILIZAR  AÑO 3 18]]*(1+Tabla1[[#This Row],[CAMBIO PORCENTUAL EN UNIDADES VENDIDAS AÑO 4 18]])</f>
        <v>0</v>
      </c>
      <c r="MP56" s="347">
        <f>VLOOKUP(Tabla1[[#This Row],[CÓDIGO DEL PRODUCTO Y/O SERVICIO ]],Tabla3[],21)</f>
        <v>0.27272727272727271</v>
      </c>
      <c r="MQ56" s="346">
        <f>Tabla1[[#This Row],[CANTIDADES A UTILIZAR  AÑO 4 18 ]]*(1+Tabla1[[#This Row],[CAMBIO PORCENTUAL EN UNIDADES VENDIDAS AÑO 5 18 ]])</f>
        <v>0</v>
      </c>
      <c r="MR56" s="348">
        <f>IF(Tabla1[[#This Row],[CANTIDADES A UTILIZAR  AÑO 1 18]]=0,0,Tabla1[[#This Row],[CANTIDADES A UTILIZAR  AÑO 1 18]]*1/Tabla1[[#This Row],[UNIDADES PRODUCIDAS AÑO 1 18 ]])</f>
        <v>0</v>
      </c>
      <c r="MS56" s="348">
        <f>$D$29*(1+BASES!$E$10)</f>
        <v>505.6</v>
      </c>
      <c r="MT56" s="348">
        <f>Tabla1[[#This Row],[COSTO UNITARIO AÑO 2 18]]*(1+BASES!$F$10)</f>
        <v>511.26272000000006</v>
      </c>
      <c r="MU56" s="348">
        <f>Tabla1[[#This Row],[COSTO UNITARIO AÑO 3 18 ]]*(1+BASES!$G$10)</f>
        <v>516.98886246400014</v>
      </c>
      <c r="MV56" s="348">
        <f>Tabla1[[#This Row],[COSTO UNITARIO AÑO 4 18 ]]*(1+BASES!$H$10)</f>
        <v>522.77913772359693</v>
      </c>
      <c r="MW56" s="348">
        <f>Tabla1[[#This Row],[COSTO POR UNIDAD DE PRODUCTO (18)]]*$D$29*VLOOKUP(Tabla1[[#This Row],[CÓDIGO DEL PRODUCTO Y/O SERVICIO ]],Tabla3[],3)</f>
        <v>0</v>
      </c>
      <c r="MX56" s="348">
        <f>Tabla1[[#This Row],[COSTO POR UNIDAD DE PRODUCTO (18)]]*Tabla1[[#This Row],[COSTO UNITARIO AÑO 2 18]]*VLOOKUP(Tabla1[[#This Row],[CÓDIGO DEL PRODUCTO Y/O SERVICIO ]],Tabla3[],6)</f>
        <v>0</v>
      </c>
      <c r="MY56" s="348">
        <f>Tabla1[[#This Row],[COSTO POR UNIDAD DE PRODUCTO (18)]]*Tabla1[[#This Row],[COSTO UNITARIO AÑO 3 18 ]]*VLOOKUP(Tabla1[[#This Row],[CÓDIGO DEL PRODUCTO Y/O SERVICIO ]],Tabla3[],10)</f>
        <v>0</v>
      </c>
      <c r="MZ56" s="348">
        <f>Tabla1[[#This Row],[COSTO POR UNIDAD DE PRODUCTO (18)]]*Tabla1[[#This Row],[COSTO UNITARIO AÑO 4 18 ]]*VLOOKUP(Tabla1[[#This Row],[CÓDIGO DEL PRODUCTO Y/O SERVICIO ]],Tabla3[],14)</f>
        <v>0</v>
      </c>
      <c r="NA56" s="348">
        <f>Tabla1[[#This Row],[COSTO POR UNIDAD DE PRODUCTO (18)]]*Tabla1[[#This Row],[COSTO UNITARIO AÑO 5 18 ]]*VLOOKUP(Tabla1[[#This Row],[CÓDIGO DEL PRODUCTO Y/O SERVICIO ]],Tabla3[],18)</f>
        <v>0</v>
      </c>
      <c r="NB56" s="346">
        <f>VLOOKUP(Tabla1[[#This Row],[CÓDIGO DEL PRODUCTO Y/O SERVICIO ]],Tabla3[],3)</f>
        <v>300</v>
      </c>
      <c r="NC56" s="346">
        <f>Tabla1[[#This Row],[UNIDADES PRODUCIDAS AÑO 1 19]]*X40</f>
        <v>0</v>
      </c>
      <c r="ND56" s="347">
        <f>VLOOKUP(Tabla1[[#This Row],[CÓDIGO DEL PRODUCTO Y/O SERVICIO ]],Tabla3[],9)</f>
        <v>0.16666666666666666</v>
      </c>
      <c r="NE56" s="346">
        <f>Tabla1[[#This Row],[CANTIDADES A UTILIZAR  AÑO 1 19 ]]*(1+Tabla1[[#This Row],[CAMBIO PORCENTUAL EN UNIDADES VENDIDAS AÑO 2 19]])</f>
        <v>0</v>
      </c>
      <c r="NF56" s="347">
        <f>VLOOKUP(Tabla1[[#This Row],[CÓDIGO DEL PRODUCTO Y/O SERVICIO ]],Tabla3[],13)</f>
        <v>0.42857142857142855</v>
      </c>
      <c r="NG56" s="346">
        <f>Tabla1[[#This Row],[CANTIDADES A UTILIZAR  AÑO 2 19 ]]*(1+Tabla1[[#This Row],[CAMBIO PORCENTUAL EN UNIDADES VENDIDAS AÑO 3 19 ]])</f>
        <v>0</v>
      </c>
      <c r="NH56" s="347">
        <f>VLOOKUP(Tabla1[[#This Row],[CÓDIGO DEL PRODUCTO Y/O SERVICIO ]],Tabla3[],17)</f>
        <v>0.1</v>
      </c>
      <c r="NI56" s="346">
        <f>Tabla1[[#This Row],[CANTIDADES A UTILIZAR  AÑO 3 19 ]]*(1+Tabla1[[#This Row],[CAMBIO PORCENTUAL EN UNIDADES VENDIDAS AÑO 4 19 ]])</f>
        <v>0</v>
      </c>
      <c r="NJ56" s="347">
        <f>VLOOKUP(Tabla1[[#This Row],[CÓDIGO DEL PRODUCTO Y/O SERVICIO ]],Tabla3[],21)</f>
        <v>0.27272727272727271</v>
      </c>
      <c r="NK56" s="346">
        <f>Tabla1[[#This Row],[CANTIDADES A UTILIZAR AÑO 4 19 ]]*(1+Tabla1[[#This Row],[CAMBIO PORCENTUAL EN UNIDADES VENDIDAS AÑO 5 19 ]])</f>
        <v>0</v>
      </c>
      <c r="NL56" s="348">
        <f>IF(Tabla1[[#This Row],[CANTIDADES A UTILIZAR  AÑO 1 19 ]]=0,0,Tabla1[[#This Row],[CANTIDADES A UTILIZAR  AÑO 1 19 ]]*1/Tabla1[[#This Row],[UNIDADES PRODUCIDAS AÑO 1 19]])</f>
        <v>0</v>
      </c>
      <c r="NM56" s="348">
        <f>$D$30*(1+BASES!$E$10)</f>
        <v>10112.000000000002</v>
      </c>
      <c r="NN56" s="348">
        <f>Tabla1[[#This Row],[COSTO UNITARIO AÑO 2 19 ]]*(1+BASES!$F$10)</f>
        <v>10225.254400000003</v>
      </c>
      <c r="NO56" s="348">
        <f>Tabla1[[#This Row],[COSTO UNITARIO AÑO 3 19 ]]*(1+BASES!$G$10)</f>
        <v>10339.777249280005</v>
      </c>
      <c r="NP56" s="348">
        <f>Tabla1[[#This Row],[COSTO UNITARIO AÑO 4 19 ]]*(1+BASES!$H$10)</f>
        <v>10455.582754471941</v>
      </c>
      <c r="NQ56" s="348">
        <f>Tabla1[[#This Row],[COSTO POR UNIDAD DE PRODUCTO (19)]]*$D$30*VLOOKUP(Tabla1[[#This Row],[CÓDIGO DEL PRODUCTO Y/O SERVICIO ]],Tabla3[],3)</f>
        <v>0</v>
      </c>
      <c r="NR56" s="348">
        <f>Tabla1[[#This Row],[COSTO POR UNIDAD DE PRODUCTO (19)]]*Tabla1[[#This Row],[COSTO UNITARIO AÑO 2 19 ]]*VLOOKUP(Tabla1[[#This Row],[CÓDIGO DEL PRODUCTO Y/O SERVICIO ]],Tabla3[],6)</f>
        <v>0</v>
      </c>
      <c r="NS56" s="348">
        <f>Tabla1[[#This Row],[COSTO POR UNIDAD DE PRODUCTO (19)]]*Tabla1[[#This Row],[COSTO UNITARIO AÑO 3 19 ]]*VLOOKUP(Tabla1[[#This Row],[CÓDIGO DEL PRODUCTO Y/O SERVICIO ]],Tabla3[],10)</f>
        <v>0</v>
      </c>
      <c r="NT56" s="348">
        <f>Tabla1[[#This Row],[COSTO POR UNIDAD DE PRODUCTO (19)]]*Tabla1[[#This Row],[COSTO UNITARIO AÑO 4 19 ]]*VLOOKUP(Tabla1[[#This Row],[CÓDIGO DEL PRODUCTO Y/O SERVICIO ]],Tabla3[],14)</f>
        <v>0</v>
      </c>
      <c r="NU56" s="348">
        <f>Tabla1[[#This Row],[COSTO POR UNIDAD DE PRODUCTO (19)]]*Tabla1[[#This Row],[COSTO UNITARIO AÑO 5 19 ]]*VLOOKUP(Tabla1[[#This Row],[CÓDIGO DEL PRODUCTO Y/O SERVICIO ]],Tabla3[],18)</f>
        <v>0</v>
      </c>
      <c r="NV56" s="346">
        <f>VLOOKUP(Tabla1[[#This Row],[CÓDIGO DEL PRODUCTO Y/O SERVICIO ]],Tabla3[],3)</f>
        <v>300</v>
      </c>
      <c r="NW56" s="346">
        <f>Tabla1[[#This Row],[UNIDADES PRODUCIDAS AÑO 1 20 ]]*Y40</f>
        <v>0</v>
      </c>
      <c r="NX56" s="347">
        <f>VLOOKUP(Tabla1[[#This Row],[CÓDIGO DEL PRODUCTO Y/O SERVICIO ]],Tabla3[],9)</f>
        <v>0.16666666666666666</v>
      </c>
      <c r="NY56" s="346">
        <f>Tabla1[[#This Row],[CANTIDADES A UTILIZAR AÑO 1 20]]*(1+Tabla1[[#This Row],[CAMBIO PORCENTUAL EN UNIDADES VENDIDAS AÑO 2 20 ]])</f>
        <v>0</v>
      </c>
      <c r="NZ56" s="347">
        <f>VLOOKUP(Tabla1[[#This Row],[CÓDIGO DEL PRODUCTO Y/O SERVICIO ]],Tabla3[],13)</f>
        <v>0.42857142857142855</v>
      </c>
      <c r="OA56" s="346">
        <f>Tabla1[[#This Row],[CANTIDADES A UTILIZAR  AÑO 2 20 ]]*(1+Tabla1[[#This Row],[CAMBIO PORCENTUAL EN UNIDADES VENDIDAS AÑO 3 20 ]])</f>
        <v>0</v>
      </c>
      <c r="OB56" s="347">
        <f>VLOOKUP(Tabla1[[#This Row],[CÓDIGO DEL PRODUCTO Y/O SERVICIO ]],Tabla3[],17)</f>
        <v>0.1</v>
      </c>
      <c r="OC56" s="346">
        <f>Tabla1[[#This Row],[CANTIDADES A UTILIZAR  AÑO 3 20 ]]*(1+Tabla1[[#This Row],[CAMBIO PORCENTUAL EN UNIDADES VENDIDAS AÑO 4 20 ]])</f>
        <v>0</v>
      </c>
      <c r="OD56" s="347">
        <f>VLOOKUP(Tabla1[[#This Row],[CÓDIGO DEL PRODUCTO Y/O SERVICIO ]],Tabla3[],21)</f>
        <v>0.27272727272727271</v>
      </c>
      <c r="OE56" s="346">
        <f>Tabla1[[#This Row],[CANTIDADES A UTILIZAR  AÑO 4 20 ]]*(1+Tabla1[[#This Row],[CAMBIO PORCENTUAL EN UNIDADES VENDIDAS AÑO 5 20 ]])</f>
        <v>0</v>
      </c>
      <c r="OF56" s="348">
        <f>IF(Tabla1[[#This Row],[CANTIDADES A UTILIZAR AÑO 1 20]]=0,0,Tabla1[[#This Row],[CANTIDADES A UTILIZAR AÑO 1 20]]*1/Tabla1[[#This Row],[UNIDADES PRODUCIDAS AÑO 1 20 ]])</f>
        <v>0</v>
      </c>
      <c r="OG56" s="348">
        <f>$D$31*(1+BASES!$E$10)</f>
        <v>758.40000000000009</v>
      </c>
      <c r="OH56" s="348">
        <f>Tabla1[[#This Row],[COSTO UNITARIO AÑO 2 20 ]]*(1+BASES!$F$10)</f>
        <v>766.89408000000014</v>
      </c>
      <c r="OI56" s="348">
        <f>Tabla1[[#This Row],[COSTO UNITARIO AÑO 3 20 ]]*(1+BASES!$G$10)</f>
        <v>775.48329369600026</v>
      </c>
      <c r="OJ56" s="348">
        <f>Tabla1[[#This Row],[COSTO UNITARIO AÑO 4 20 ]]*(1+BASES!$H$10)</f>
        <v>784.16870658539551</v>
      </c>
      <c r="OK56" s="348">
        <f>Tabla1[[#This Row],[COSTO POR UNIDAD DE PRODUCTO (20)]]*$D$31*VLOOKUP(Tabla1[[#This Row],[CÓDIGO DEL PRODUCTO Y/O SERVICIO ]],Tabla3[],3)</f>
        <v>0</v>
      </c>
      <c r="OL56" s="348">
        <f>Tabla1[[#This Row],[COSTO POR UNIDAD DE PRODUCTO (20)]]*Tabla1[[#This Row],[COSTO UNITARIO AÑO 2 20 ]]*VLOOKUP(Tabla1[[#This Row],[CÓDIGO DEL PRODUCTO Y/O SERVICIO ]],Tabla3[],6)</f>
        <v>0</v>
      </c>
      <c r="OM56" s="348">
        <f>Tabla1[[#This Row],[COSTO POR UNIDAD DE PRODUCTO (20)]]*Tabla1[[#This Row],[COSTO UNITARIO AÑO 3 20 ]]*VLOOKUP(Tabla1[[#This Row],[CÓDIGO DEL PRODUCTO Y/O SERVICIO ]],Tabla3[],10)</f>
        <v>0</v>
      </c>
      <c r="ON56" s="348">
        <f>Tabla1[[#This Row],[COSTO POR UNIDAD DE PRODUCTO (20)]]*Tabla1[[#This Row],[COSTO UNITARIO AÑO 4 20 ]]*VLOOKUP(Tabla1[[#This Row],[CÓDIGO DEL PRODUCTO Y/O SERVICIO ]],Tabla3[],14)</f>
        <v>0</v>
      </c>
      <c r="OO56" s="348">
        <f>Tabla1[[#This Row],[COSTO POR UNIDAD DE PRODUCTO (20)]]*Tabla1[[#This Row],[COSTO UNITARIO AÑO 5 20 ]]*VLOOKUP(Tabla1[[#This Row],[CÓDIGO DEL PRODUCTO Y/O SERVICIO ]],Tabla3[],18)</f>
        <v>0</v>
      </c>
      <c r="OP56"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4896000</v>
      </c>
      <c r="OQ56"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5775974.4000000004</v>
      </c>
      <c r="OR56"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8343807.590400002</v>
      </c>
      <c r="OS56"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9280984.0589537323</v>
      </c>
      <c r="OT56"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11944457.738708746</v>
      </c>
    </row>
    <row r="57" spans="3:410" ht="15.75" x14ac:dyDescent="0.25">
      <c r="C57" s="62">
        <v>2</v>
      </c>
      <c r="D57" s="72" t="str">
        <f>VLOOKUP(Tabla1[[#This Row],[CÓDIGO DEL PRODUCTO Y/O SERVICIO ]],Tabla3[],2)</f>
        <v>Tierno Corazón</v>
      </c>
      <c r="E57" s="72"/>
      <c r="F57" s="114">
        <f>VLOOKUP(Tabla1[[#This Row],[CÓDIGO DEL PRODUCTO Y/O SERVICIO ]],Tabla3[],3)</f>
        <v>400</v>
      </c>
      <c r="G57" s="114">
        <f>Tabla1[[#This Row],[UNIDADES PRODUCIDAS AÑO 1 ]]*F40</f>
        <v>6000</v>
      </c>
      <c r="H57" s="112">
        <f>VLOOKUP(Tabla1[[#This Row],[CÓDIGO DEL PRODUCTO Y/O SERVICIO ]],Tabla3[],9)</f>
        <v>0.25</v>
      </c>
      <c r="I57" s="114">
        <f>Tabla1[[#This Row],[CANTIDADES A UTILIZAR EN EL AÑO 1]]*(1+Tabla1[[#This Row],[CAMBIO PORCENTUAL EN UNIDADES VENDIDAS AÑO 2]])</f>
        <v>7500</v>
      </c>
      <c r="J57" s="112">
        <f>VLOOKUP(Tabla1[[#This Row],[CÓDIGO DEL PRODUCTO Y/O SERVICIO ]],Tabla3[],13)</f>
        <v>0.36</v>
      </c>
      <c r="K57" s="114">
        <f>Tabla1[[#This Row],[CANTIDADES A UTILIZAR EN EL AÑO 2]]*(1+Tabla1[[#This Row],[CAMBIO PORCENTUAL EN UNIDADES VENDIDAS AÑO 3]])</f>
        <v>10199.999999999998</v>
      </c>
      <c r="L57" s="112">
        <f>VLOOKUP(Tabla1[[#This Row],[CÓDIGO DEL PRODUCTO Y/O SERVICIO ]],Tabla3[],17)</f>
        <v>5.8823529411764705E-2</v>
      </c>
      <c r="M57" s="114">
        <f>Tabla1[[#This Row],[CANTIDADES A UTILIZAR EN EL AÑO 3]]*(1+Tabla1[[#This Row],[CAMBIO PORCENTUAL EN UNIDADES VENDIDAS AÑO 4]])</f>
        <v>10799.999999999998</v>
      </c>
      <c r="N57" s="112">
        <f>VLOOKUP(Tabla1[[#This Row],[CÓDIGO DEL PRODUCTO Y/O SERVICIO ]],Tabla3[],21)</f>
        <v>0.22222222222222221</v>
      </c>
      <c r="O57" s="114">
        <f>Tabla1[[#This Row],[CANTIDADES A UTILIZAR EN EL AÑO 4]]*(1+Tabla1[[#This Row],[CAMBIO PORCENTUAL EN UNIDADES VENDIDAS AÑO 5]])</f>
        <v>13199.999999999998</v>
      </c>
      <c r="P57" s="359">
        <f>IF(Tabla1[[#This Row],[CANTIDADES A UTILIZAR EN EL AÑO 1]]=0,0,Tabla1[[#This Row],[CANTIDADES A UTILIZAR EN EL AÑO 1]]*1/Tabla1[[#This Row],[UNIDADES PRODUCIDAS AÑO 1 ]])</f>
        <v>15</v>
      </c>
      <c r="Q57" s="344">
        <f>$D$12*(1+BASES!$E$10)</f>
        <v>606.72</v>
      </c>
      <c r="R57" s="344">
        <f>Tabla1[[#This Row],[COSTO UNITARIO AÑO 2]]*(1+BASES!$F$10)</f>
        <v>613.51526400000012</v>
      </c>
      <c r="S57" s="344">
        <f>Tabla1[[#This Row],[COSTO UNITARIO AÑO 3]]*(1+BASES!$G$10)</f>
        <v>620.38663495680021</v>
      </c>
      <c r="T57" s="344">
        <f>Tabla1[[#This Row],[COSTO UNITARIO AÑO 4]]*(1+BASES!$H$10)</f>
        <v>627.33496526831641</v>
      </c>
      <c r="U57" s="344">
        <f>Tabla1[[#This Row],[COSTO POR UNIDAD DE PRODUCTO (1)]]*$D$12*VLOOKUP(Tabla1[[#This Row],[CÓDIGO DEL PRODUCTO Y/O SERVICIO ]],Tabla3[],3)</f>
        <v>3600000</v>
      </c>
      <c r="V57" s="344">
        <f>Tabla1[[#This Row],[COSTO POR UNIDAD DE PRODUCTO (1)]]*Tabla1[[#This Row],[COSTO UNITARIO AÑO 2]]*VLOOKUP(Tabla1[[#This Row],[CÓDIGO DEL PRODUCTO Y/O SERVICIO ]],Tabla3[],6)</f>
        <v>4550400.0000000009</v>
      </c>
      <c r="W57" s="344">
        <f>Tabla1[[#This Row],[COSTO POR UNIDAD DE PRODUCTO (1)]]*Tabla1[[#This Row],[COSTO UNITARIO AÑO 3]]*VLOOKUP(Tabla1[[#This Row],[CÓDIGO DEL PRODUCTO Y/O SERVICIO ]],Tabla3[],10)</f>
        <v>6257855.6928000012</v>
      </c>
      <c r="X57" s="344">
        <f>Tabla1[[#This Row],[COSTO POR UNIDAD DE PRODUCTO (1)]]*Tabla1[[#This Row],[COSTO UNITARIO AÑO 4]]*VLOOKUP(Tabla1[[#This Row],[CÓDIGO DEL PRODUCTO Y/O SERVICIO ]],Tabla3[],14)</f>
        <v>6700175.6575334426</v>
      </c>
      <c r="Y57" s="344">
        <f>Tabla1[[#This Row],[COSTO POR UNIDAD DE PRODUCTO (1)]]*Tabla1[[#This Row],[COSTO UNITARIO AÑO 5]]*VLOOKUP(Tabla1[[#This Row],[CÓDIGO DEL PRODUCTO Y/O SERVICIO ]],Tabla3[],18)</f>
        <v>8280821.5415417757</v>
      </c>
      <c r="Z57" s="345">
        <f>VLOOKUP(Tabla1[[#This Row],[CÓDIGO DEL PRODUCTO Y/O SERVICIO ]],Tabla3[],3)</f>
        <v>400</v>
      </c>
      <c r="AA57" s="114">
        <f>G40*Tabla1[[#This Row],[UNIDADES PRODUCIDAS AÑO 1 2]]</f>
        <v>400</v>
      </c>
      <c r="AB57" s="112">
        <f>VLOOKUP(Tabla1[[#This Row],[CÓDIGO DEL PRODUCTO Y/O SERVICIO ]],Tabla3[],9)</f>
        <v>0.25</v>
      </c>
      <c r="AC57" s="114">
        <f>Tabla1[[#This Row],[CANTIDADES A UTILIZAR EN EL AÑO 1 2]]*(1+Tabla1[[#This Row],[CAMBIO PORCENTUAL EN UNIDADES VENDIDAS AÑO 2 2]])</f>
        <v>500</v>
      </c>
      <c r="AD57" s="112">
        <f>VLOOKUP(Tabla1[[#This Row],[CÓDIGO DEL PRODUCTO Y/O SERVICIO ]],Tabla3[],13)</f>
        <v>0.36</v>
      </c>
      <c r="AE57" s="114">
        <f>Tabla1[[#This Row],[CANTIDADES A UTILIZAR  AÑO 2 2]]*(1+Tabla1[[#This Row],[CAMBIO PORCENTUAL EN UNIDADES VENDIDAS AÑO 3 2]])</f>
        <v>679.99999999999989</v>
      </c>
      <c r="AF57" s="112">
        <f>VLOOKUP(Tabla1[[#This Row],[CÓDIGO DEL PRODUCTO Y/O SERVICIO ]],Tabla3[],17)</f>
        <v>5.8823529411764705E-2</v>
      </c>
      <c r="AG57" s="114">
        <f>Tabla1[[#This Row],[CANTIDADES A UTILIZAR  AÑO 3 2]]*(1+Tabla1[[#This Row],[CAMBIO PORCENTUAL EN UNIDADES VENDIDAS AÑO 4 2]])</f>
        <v>719.99999999999989</v>
      </c>
      <c r="AH57" s="112">
        <f>VLOOKUP(Tabla1[[#This Row],[CÓDIGO DEL PRODUCTO Y/O SERVICIO ]],Tabla3[],21)</f>
        <v>0.22222222222222221</v>
      </c>
      <c r="AI57" s="114">
        <f>Tabla1[[#This Row],[CANTIDADES A UTILIZAR  AÑO 4 2]]*(1+Tabla1[[#This Row],[CAMBIO PORCENTUAL EN UNIDADES VENDIDAS AÑO 5 2]])</f>
        <v>879.99999999999989</v>
      </c>
      <c r="AJ57" s="344">
        <f>IF(Tabla1[[#This Row],[CANTIDADES A UTILIZAR EN EL AÑO 1 2]]=0,0,Tabla1[[#This Row],[CANTIDADES A UTILIZAR EN EL AÑO 1 2]]*1/Tabla1[[#This Row],[UNIDADES PRODUCIDAS AÑO 1 2]])</f>
        <v>1</v>
      </c>
      <c r="AK57" s="344">
        <f>$D$13*(1+BASES!$E$10)</f>
        <v>80.896000000000015</v>
      </c>
      <c r="AL57" s="344">
        <f>Tabla1[[#This Row],[COSTO UNITARIO AÑO 2 2]]*(1+BASES!$F$10)</f>
        <v>81.80203520000002</v>
      </c>
      <c r="AM57" s="344">
        <f>Tabla1[[#This Row],[COSTO UNITARIO AÑO 3 2]]*(1+BASES!$G$10)</f>
        <v>82.718217994240035</v>
      </c>
      <c r="AN57" s="344">
        <f>Tabla1[[#This Row],[COSTO UNITARIO AÑO 4 2]]*(1+BASES!$H$10)</f>
        <v>83.644662035775525</v>
      </c>
      <c r="AO57" s="344">
        <f>Tabla1[[#This Row],[COSTO POR UNIDAD DE PRODUCTO (2)]]*$D$13*VLOOKUP(Tabla1[[#This Row],[CÓDIGO DEL PRODUCTO Y/O SERVICIO ]],Tabla3[],3)</f>
        <v>32000</v>
      </c>
      <c r="AP57" s="344">
        <f>Tabla1[[#This Row],[COSTO POR UNIDAD DE PRODUCTO (2)]]*Tabla1[[#This Row],[COSTO UNITARIO AÑO 2 2]]*VLOOKUP(Tabla1[[#This Row],[CÓDIGO DEL PRODUCTO Y/O SERVICIO ]],Tabla3[],6)</f>
        <v>40448.000000000007</v>
      </c>
      <c r="AQ57" s="344">
        <f>Tabla1[[#This Row],[COSTO POR UNIDAD DE PRODUCTO (2)]]*Tabla1[[#This Row],[COSTO UNITARIO AÑO 3 2]]*VLOOKUP(Tabla1[[#This Row],[CÓDIGO DEL PRODUCTO Y/O SERVICIO ]],Tabla3[],10)</f>
        <v>55625.383936000013</v>
      </c>
      <c r="AR57" s="344">
        <f>Tabla1[[#This Row],[COSTO POR UNIDAD DE PRODUCTO (2)]]*Tabla1[[#This Row],[COSTO UNITARIO AÑO 4 2]]*VLOOKUP(Tabla1[[#This Row],[CÓDIGO DEL PRODUCTO Y/O SERVICIO ]],Tabla3[],14)</f>
        <v>59557.116955852827</v>
      </c>
      <c r="AS57" s="344">
        <f>Tabla1[[#This Row],[COSTO POR UNIDAD DE PRODUCTO (2)]]*Tabla1[[#This Row],[COSTO UNITARIO AÑO 5 2]]*VLOOKUP(Tabla1[[#This Row],[CÓDIGO DEL PRODUCTO Y/O SERVICIO ]],Tabla3[],18)</f>
        <v>73607.302591482468</v>
      </c>
      <c r="AT57" s="114">
        <f>VLOOKUP(Tabla1[[#This Row],[CÓDIGO DEL PRODUCTO Y/O SERVICIO ]],Tabla3[],3)</f>
        <v>400</v>
      </c>
      <c r="AU57" s="114">
        <f>H40*Tabla1[[#This Row],[UNIDADES PRODUCIDAS AÑO 1 3]]</f>
        <v>800</v>
      </c>
      <c r="AV57" s="112">
        <f>VLOOKUP(Tabla1[[#This Row],[CÓDIGO DEL PRODUCTO Y/O SERVICIO ]],Tabla3[],9)</f>
        <v>0.25</v>
      </c>
      <c r="AW57" s="114">
        <f>Tabla1[[#This Row],[CANTIDADES A UTILIZAR  AÑO 1 3]]*(1+Tabla1[[#This Row],[CAMBIO PORCENTUAL EN UNIDADES VENDIDAS AÑO 2 3]])</f>
        <v>1000</v>
      </c>
      <c r="AX57" s="112">
        <f>VLOOKUP(Tabla1[[#This Row],[CÓDIGO DEL PRODUCTO Y/O SERVICIO ]],Tabla3[],13)</f>
        <v>0.36</v>
      </c>
      <c r="AY57" s="114">
        <f>Tabla1[[#This Row],[CANTIDADES A UTILIZAR  AÑO 2 3]]*(1+Tabla1[[#This Row],[CAMBIO PORCENTUAL EN UNIDADES VENDIDAS AÑO 3 3]])</f>
        <v>1359.9999999999998</v>
      </c>
      <c r="AZ57" s="112">
        <f>VLOOKUP(Tabla1[[#This Row],[CÓDIGO DEL PRODUCTO Y/O SERVICIO ]],Tabla3[],17)</f>
        <v>5.8823529411764705E-2</v>
      </c>
      <c r="BA57" s="114">
        <f>Tabla1[[#This Row],[CANTIDADES A UTILIZAR  AÑO 3 3]]*(1+Tabla1[[#This Row],[CAMBIO PORCENTUAL EN UNIDADES VENDIDAS AÑO 4 3]])</f>
        <v>1439.9999999999998</v>
      </c>
      <c r="BB57" s="112">
        <f>VLOOKUP(Tabla1[[#This Row],[CÓDIGO DEL PRODUCTO Y/O SERVICIO ]],Tabla3[],21)</f>
        <v>0.22222222222222221</v>
      </c>
      <c r="BC57" s="114">
        <f>Tabla1[[#This Row],[CANTIDADES A UTILIZAR  AÑO 4 3]]*(1+Tabla1[[#This Row],[CAMBIO PORCENTUAL EN UNIDADES VENDIDAS AÑO 5 3]])</f>
        <v>1759.9999999999998</v>
      </c>
      <c r="BD57" s="344">
        <f>IF(Tabla1[[#This Row],[CANTIDADES A UTILIZAR  AÑO 1 3]]=0,0,Tabla1[[#This Row],[CANTIDADES A UTILIZAR  AÑO 1 3]]*1/Tabla1[[#This Row],[UNIDADES PRODUCIDAS AÑO 1 3]])</f>
        <v>2</v>
      </c>
      <c r="BE57" s="344">
        <f>$D$14*(1+BASES!$E$10)</f>
        <v>50.56</v>
      </c>
      <c r="BF57" s="344">
        <f>Tabla1[[#This Row],[COSTO UNITARIO AÑO 2 3]]*(1+BASES!$F$10)</f>
        <v>51.126272000000007</v>
      </c>
      <c r="BG57" s="344">
        <f>Tabla1[[#This Row],[COSTO UNITARIO AÑO 3 3]]*(1+BASES!$G$10)</f>
        <v>51.698886246400015</v>
      </c>
      <c r="BH57" s="344">
        <f>Tabla1[[#This Row],[COSTO UNITARIO AÑO 4 3]]*(1+BASES!$H$10)</f>
        <v>52.277913772359703</v>
      </c>
      <c r="BI57" s="344">
        <f>Tabla1[[#This Row],[COSTO POR UNIDAD DE PRODUCTO (3)]]*$D$14*VLOOKUP(Tabla1[[#This Row],[CÓDIGO DEL PRODUCTO Y/O SERVICIO ]],Tabla3[],3)</f>
        <v>40000</v>
      </c>
      <c r="BJ57" s="344">
        <f>Tabla1[[#This Row],[COSTO POR UNIDAD DE PRODUCTO (3)]]*Tabla1[[#This Row],[COSTO UNITARIO AÑO 2 3]]*VLOOKUP(Tabla1[[#This Row],[CÓDIGO DEL PRODUCTO Y/O SERVICIO ]],Tabla3[],6)</f>
        <v>50560</v>
      </c>
      <c r="BK57" s="344">
        <f>Tabla1[[#This Row],[COSTO POR UNIDAD DE PRODUCTO (3)]]*Tabla1[[#This Row],[COSTO UNITARIO AÑO 3 3]]*VLOOKUP(Tabla1[[#This Row],[CÓDIGO DEL PRODUCTO Y/O SERVICIO ]],Tabla3[],10)</f>
        <v>69531.729920000012</v>
      </c>
      <c r="BL57" s="344">
        <f>Tabla1[[#This Row],[COSTO POR UNIDAD DE PRODUCTO (3)]]*Tabla1[[#This Row],[COSTO UNITARIO AÑO 4 3]]*VLOOKUP(Tabla1[[#This Row],[CÓDIGO DEL PRODUCTO Y/O SERVICIO ]],Tabla3[],14)</f>
        <v>74446.396194816029</v>
      </c>
      <c r="BM57" s="344">
        <f>Tabla1[[#This Row],[COSTO POR UNIDAD DE PRODUCTO (3)]]*Tabla1[[#This Row],[ COSTO UNITARIO AÑO 5 3]]*VLOOKUP(Tabla1[[#This Row],[CÓDIGO DEL PRODUCTO Y/O SERVICIO ]],Tabla3[],18)</f>
        <v>92009.128239353071</v>
      </c>
      <c r="BN57" s="114">
        <f>VLOOKUP(Tabla1[[#This Row],[CÓDIGO DEL PRODUCTO Y/O SERVICIO ]],Tabla3[],3)</f>
        <v>400</v>
      </c>
      <c r="BO57" s="114">
        <f>I40*Tabla1[[#This Row],[UNIDADES PRODUCIDAS AÑO 1 4]]</f>
        <v>400</v>
      </c>
      <c r="BP57" s="112">
        <f>VLOOKUP(Tabla1[[#This Row],[CÓDIGO DEL PRODUCTO Y/O SERVICIO ]],Tabla3[],9)</f>
        <v>0.25</v>
      </c>
      <c r="BQ57" s="114">
        <f>Tabla1[[#This Row],[CANTIDADES A UTILIZAR  AÑO 1 4]]*(1+Tabla1[[#This Row],[CAMBIO PORCENTUAL EN UNIDADES VENDIDAS AÑO 2 4]])</f>
        <v>500</v>
      </c>
      <c r="BR57" s="112">
        <f>VLOOKUP(Tabla1[[#This Row],[CÓDIGO DEL PRODUCTO Y/O SERVICIO ]],Tabla3[],13)</f>
        <v>0.36</v>
      </c>
      <c r="BS57" s="114">
        <f>Tabla1[[#This Row],[CANTIDADES A UTILIZAR  AÑO 2 4]]*(1+Tabla1[[#This Row],[CAMBIO PORCENTUAL EN UNIDADES VENDIDAS AÑO 3 4]])</f>
        <v>679.99999999999989</v>
      </c>
      <c r="BT57" s="112">
        <f>VLOOKUP(Tabla1[[#This Row],[CÓDIGO DEL PRODUCTO Y/O SERVICIO ]],Tabla3[],17)</f>
        <v>5.8823529411764705E-2</v>
      </c>
      <c r="BU57" s="114">
        <f>Tabla1[[#This Row],[CANTIDADES A UTILIZAR  AÑO 3 4]]*(1+Tabla1[[#This Row],[CAMBIO PORCENTUAL EN UNIDADES VENDIDAS AÑO 4 4]])</f>
        <v>719.99999999999989</v>
      </c>
      <c r="BV57" s="112">
        <f>VLOOKUP(Tabla1[[#This Row],[CÓDIGO DEL PRODUCTO Y/O SERVICIO ]],Tabla3[],21)</f>
        <v>0.22222222222222221</v>
      </c>
      <c r="BW57" s="114">
        <f>Tabla1[[#This Row],[CANTIDADES A UTILIZAR  AÑO 4 4]]*(1+Tabla1[[#This Row],[CAMBIO PORCENTUAL EN UNIDADES VENDIDAS AÑO 5 4]])</f>
        <v>879.99999999999989</v>
      </c>
      <c r="BX57" s="344">
        <f>IF(Tabla1[[#This Row],[CANTIDADES A UTILIZAR  AÑO 1 4]]=0,0,Tabla1[[#This Row],[CANTIDADES A UTILIZAR  AÑO 1 4]]*1/Tabla1[[#This Row],[UNIDADES PRODUCIDAS AÑO 1 4]])</f>
        <v>1</v>
      </c>
      <c r="BY57" s="344">
        <f>$D$15*(1+BASES!$E$10)</f>
        <v>171.90400000000002</v>
      </c>
      <c r="BZ57" s="344">
        <f>Tabla1[[#This Row],[COSTO UNITARIO AÑO 2 4]]*(1+BASES!$F$10)</f>
        <v>173.82932480000005</v>
      </c>
      <c r="CA57" s="344">
        <f>Tabla1[[#This Row],[COSTO UNITARIO AÑO 3 4]]*(1+BASES!$G$10)</f>
        <v>175.77621323776006</v>
      </c>
      <c r="CB57" s="344">
        <f>Tabla1[[#This Row],[COSTO UNITARIO AÑO 4 4]]*(1+BASES!$H$10)</f>
        <v>177.744906826023</v>
      </c>
      <c r="CC57" s="344">
        <f>Tabla1[[#This Row],[COSTO POR UNIDAD DE PRODUCTO (4) ]]*$D$15*VLOOKUP(Tabla1[[#This Row],[CÓDIGO DEL PRODUCTO Y/O SERVICIO ]],Tabla3[],3)</f>
        <v>68000</v>
      </c>
      <c r="CD57" s="344">
        <f>Tabla1[[#This Row],[COSTO POR UNIDAD DE PRODUCTO (4) ]]*Tabla1[[#This Row],[COSTO UNITARIO AÑO 2 4]]*VLOOKUP(Tabla1[[#This Row],[CÓDIGO DEL PRODUCTO Y/O SERVICIO ]],Tabla3[],6)</f>
        <v>85952.000000000015</v>
      </c>
      <c r="CE57" s="344">
        <f>Tabla1[[#This Row],[COSTO POR UNIDAD DE PRODUCTO (4) ]]*Tabla1[[#This Row],[COSTO UNITARIO AÑO 3 4]]*VLOOKUP(Tabla1[[#This Row],[CÓDIGO DEL PRODUCTO Y/O SERVICIO ]],Tabla3[],10)</f>
        <v>118203.94086400003</v>
      </c>
      <c r="CF57" s="344">
        <f>Tabla1[[#This Row],[COSTO POR UNIDAD DE PRODUCTO (4) ]]*Tabla1[[#This Row],[COSTO UNITARIO AÑO 4 4]]*VLOOKUP(Tabla1[[#This Row],[CÓDIGO DEL PRODUCTO Y/O SERVICIO ]],Tabla3[],14)</f>
        <v>126558.87353118724</v>
      </c>
      <c r="CG57" s="344">
        <f>Tabla1[[#This Row],[COSTO POR UNIDAD DE PRODUCTO (4) ]]*Tabla1[[#This Row],[COSTO UNITARIO AÑO 5 4]]*VLOOKUP(Tabla1[[#This Row],[CÓDIGO DEL PRODUCTO Y/O SERVICIO ]],Tabla3[],18)</f>
        <v>156415.51800690024</v>
      </c>
      <c r="CH57" s="114">
        <f>VLOOKUP(Tabla1[[#This Row],[CÓDIGO DEL PRODUCTO Y/O SERVICIO ]],Tabla3[],3)</f>
        <v>400</v>
      </c>
      <c r="CI57" s="114">
        <f>Tabla1[[#This Row],[UNIDAS PRODUCIDAS AÑO 1 5]]*J40</f>
        <v>400</v>
      </c>
      <c r="CJ57" s="112">
        <f>VLOOKUP(Tabla1[[#This Row],[CÓDIGO DEL PRODUCTO Y/O SERVICIO ]],Tabla3[],9)</f>
        <v>0.25</v>
      </c>
      <c r="CK57" s="114">
        <f>Tabla1[[#This Row],[CANTIDADES A UTILIZAR  AÑO 1 5]]*(1+Tabla1[[#This Row],[CAMBIO PORCENTUAL EN UNIDADES VENDIDAS AÑO 2 5]])</f>
        <v>500</v>
      </c>
      <c r="CL57" s="112">
        <f>VLOOKUP(Tabla1[[#This Row],[CÓDIGO DEL PRODUCTO Y/O SERVICIO ]],Tabla3[],13)</f>
        <v>0.36</v>
      </c>
      <c r="CM57" s="114">
        <f>Tabla1[[#This Row],[CANTIDADES A UTILIZAR  AÑO 2 5]]*(1+Tabla1[[#This Row],[CAMBIO PORCENTUAL EN UNIDADES VENDIDAS AÑO 3 5]])</f>
        <v>679.99999999999989</v>
      </c>
      <c r="CN57" s="112">
        <f>VLOOKUP(Tabla1[[#This Row],[CÓDIGO DEL PRODUCTO Y/O SERVICIO ]],Tabla3[],17)</f>
        <v>5.8823529411764705E-2</v>
      </c>
      <c r="CO57" s="114">
        <f>Tabla1[[#This Row],[CANTIDADES A UTILIZAR  AÑO 3 5]]*(1+Tabla1[[#This Row],[CAMBIO PORCENTUAL EN UNIDADES VENDIDAS AÑO 4 5]])</f>
        <v>719.99999999999989</v>
      </c>
      <c r="CP57" s="112">
        <f>VLOOKUP(Tabla1[[#This Row],[CÓDIGO DEL PRODUCTO Y/O SERVICIO ]],Tabla3[],21)</f>
        <v>0.22222222222222221</v>
      </c>
      <c r="CQ57" s="114">
        <f>Tabla1[[#This Row],[CANTIDADES A UTILIZAR  AÑO 4 5]]*(1+Tabla1[[#This Row],[CAMBIO PORCENTUAL EN UNIDADES VENDIDAS AÑO 5 5]])</f>
        <v>879.99999999999989</v>
      </c>
      <c r="CR57" s="344">
        <f>IF(Tabla1[[#This Row],[CANTIDADES A UTILIZAR  AÑO 1 5]]=0,0,Tabla1[[#This Row],[CANTIDADES A UTILIZAR  AÑO 1 5]]*1/Tabla1[[#This Row],[UNIDAS PRODUCIDAS AÑO 1 5]])</f>
        <v>1</v>
      </c>
      <c r="CS57" s="344">
        <f>$D$16*(1+BASES!$E$10)</f>
        <v>3033.6000000000004</v>
      </c>
      <c r="CT57" s="344">
        <f>Tabla1[[#This Row],[COSTO UNITARIO AÑO 2 5]]*(1+BASES!$F$10)</f>
        <v>3067.5763200000006</v>
      </c>
      <c r="CU57" s="344">
        <f>Tabla1[[#This Row],[COSTO UNITARIO AÑO 3 5]]*(1+BASES!$G$10)</f>
        <v>3101.933174784001</v>
      </c>
      <c r="CV57" s="344">
        <f>Tabla1[[#This Row],[COSTO UNITARIO AÑO 4 5]]*(1+BASES!$H$10)</f>
        <v>3136.674826341582</v>
      </c>
      <c r="CW57" s="344">
        <f>Tabla1[[#This Row],[COSTO POR UNIDAD DE PRODUCTO (5)]]*$D$16*VLOOKUP(Tabla1[[#This Row],[CÓDIGO DEL PRODUCTO Y/O SERVICIO ]],Tabla3[],3)</f>
        <v>1200000</v>
      </c>
      <c r="CX57" s="344">
        <f>Tabla1[[#This Row],[COSTO POR UNIDAD DE PRODUCTO (5)]]*Tabla1[[#This Row],[COSTO UNITARIO AÑO 2 5]]*VLOOKUP(Tabla1[[#This Row],[CÓDIGO DEL PRODUCTO Y/O SERVICIO ]],Tabla3[],6)</f>
        <v>1516800.0000000002</v>
      </c>
      <c r="CY57" s="344">
        <f>Tabla1[[#This Row],[COSTO POR UNIDAD DE PRODUCTO (5)]]*Tabla1[[#This Row],[COSTO UNITARIO AÑO 3 5]]*VLOOKUP(Tabla1[[#This Row],[CÓDIGO DEL PRODUCTO Y/O SERVICIO ]],Tabla3[],10)</f>
        <v>2085951.8976000005</v>
      </c>
      <c r="CZ57" s="344">
        <f>Tabla1[[#This Row],[COSTO POR UNIDAD DE PRODUCTO (5)]]*Tabla1[[#This Row],[COSTO UNITARIO AÑO 4 5]]*VLOOKUP(Tabla1[[#This Row],[CÓDIGO DEL PRODUCTO Y/O SERVICIO ]],Tabla3[],14)</f>
        <v>2233391.8858444807</v>
      </c>
      <c r="DA57" s="344">
        <f>Tabla1[[#This Row],[COSTO POR UNIDAD DE PRODUCTO (5)]]*Tabla1[[#This Row],[COSTO UNITARIO AÑO 5 5 ]]*VLOOKUP(Tabla1[[#This Row],[CÓDIGO DEL PRODUCTO Y/O SERVICIO ]],Tabla3[],18)</f>
        <v>2760273.8471805924</v>
      </c>
      <c r="DB57" s="114">
        <f>VLOOKUP(Tabla1[[#This Row],[CÓDIGO DEL PRODUCTO Y/O SERVICIO ]],Tabla3[],3)</f>
        <v>400</v>
      </c>
      <c r="DC57" s="114">
        <f>Tabla1[[#This Row],[UNIDADES PRODUCIDAS AÑO 1 6]]*K40</f>
        <v>400</v>
      </c>
      <c r="DD57" s="112">
        <f>VLOOKUP(Tabla1[[#This Row],[CÓDIGO DEL PRODUCTO Y/O SERVICIO ]],Tabla3[],9)</f>
        <v>0.25</v>
      </c>
      <c r="DE57" s="114">
        <f>Tabla1[[#This Row],[CANTIDADES A UTILIZAR  AÑO 1 6]]*(1+Tabla1[[#This Row],[CAMBIO PORCENTUAL EN UNIDADES VENDIDAS AÑO 2 6]])</f>
        <v>500</v>
      </c>
      <c r="DF57" s="112">
        <f>VLOOKUP(Tabla1[[#This Row],[CÓDIGO DEL PRODUCTO Y/O SERVICIO ]],Tabla3[],13)</f>
        <v>0.36</v>
      </c>
      <c r="DG57" s="114">
        <f>Tabla1[[#This Row],[CANTIDADES A UTILIZAR  AÑO 2 6]]*(1+Tabla1[[#This Row],[CAMBIO PORCENTUAL EN UNIDADES VENDIDAS AÑO 3 6]])</f>
        <v>679.99999999999989</v>
      </c>
      <c r="DH57" s="112">
        <f>VLOOKUP(Tabla1[[#This Row],[CÓDIGO DEL PRODUCTO Y/O SERVICIO ]],Tabla3[],17)</f>
        <v>5.8823529411764705E-2</v>
      </c>
      <c r="DI57" s="114">
        <f>Tabla1[[#This Row],[CANTIDADES A UTILIZAR  AÑO 3 6 ]]*(1+Tabla1[[#This Row],[CAMBIO PORCENTUAL EN UNIDADES VENDIDAS AÑO 4 6]])</f>
        <v>719.99999999999989</v>
      </c>
      <c r="DJ57" s="112">
        <f>VLOOKUP(Tabla1[[#This Row],[CÓDIGO DEL PRODUCTO Y/O SERVICIO ]],Tabla3[],21)</f>
        <v>0.22222222222222221</v>
      </c>
      <c r="DK57" s="114">
        <f>Tabla1[[#This Row],[CANTIDADES A UTILIZAR  AÑO 4 6]]*(1+Tabla1[[#This Row],[CAMBIO PORCENTUAL EN UNIDADES VENDIDAS AÑO 5 6]])</f>
        <v>879.99999999999989</v>
      </c>
      <c r="DL57" s="344">
        <f>IF(Tabla1[[#This Row],[CANTIDADES A UTILIZAR  AÑO 1 6]]=0,0,Tabla1[[#This Row],[CANTIDADES A UTILIZAR  AÑO 1 6]]*1/Tabla1[[#This Row],[UNIDADES PRODUCIDAS AÑO 1 6]])</f>
        <v>1</v>
      </c>
      <c r="DM57" s="344">
        <f>$D$17*(1+BASES!$E$10)</f>
        <v>2528.0000000000005</v>
      </c>
      <c r="DN57" s="344">
        <f>Tabla1[[#This Row],[COSTO UNITARIO AÑO 2 6]]*(1+BASES!$F$10)</f>
        <v>2556.3136000000009</v>
      </c>
      <c r="DO57" s="344">
        <f>Tabla1[[#This Row],[COSTO UNITARIO AÑO 3 6]]*(1+BASES!$G$10)</f>
        <v>2584.9443123200012</v>
      </c>
      <c r="DP57" s="344">
        <f>Tabla1[[#This Row],[COSTO UNITARIO AÑO 4 6 ]]*(1+BASES!$H$10)</f>
        <v>2613.8956886179853</v>
      </c>
      <c r="DQ57" s="344">
        <f>Tabla1[[#This Row],[COSTO POR UNIDAD DE PRODUCTO (6)]]*$D$17*VLOOKUP(Tabla1[[#This Row],[CÓDIGO DEL PRODUCTO Y/O SERVICIO ]],Tabla3[],3)</f>
        <v>1000000</v>
      </c>
      <c r="DR57" s="344">
        <f>Tabla1[[#This Row],[COSTO POR UNIDAD DE PRODUCTO (6)]]*Tabla1[[#This Row],[COSTO UNITARIO AÑO 2 6]]*VLOOKUP(Tabla1[[#This Row],[CÓDIGO DEL PRODUCTO Y/O SERVICIO ]],Tabla3[],6)</f>
        <v>1264000.0000000002</v>
      </c>
      <c r="DS57" s="344">
        <f>Tabla1[[#This Row],[COSTO POR UNIDAD DE PRODUCTO (6)]]*Tabla1[[#This Row],[COSTO UNITARIO AÑO 3 6]]*VLOOKUP(Tabla1[[#This Row],[CÓDIGO DEL PRODUCTO Y/O SERVICIO ]],Tabla3[],10)</f>
        <v>1738293.2480000006</v>
      </c>
      <c r="DT57" s="344">
        <f>Tabla1[[#This Row],[COSTO POR UNIDAD DE PRODUCTO (6)]]*Tabla1[[#This Row],[COSTO UNITARIO AÑO 4 6 ]]*VLOOKUP(Tabla1[[#This Row],[CÓDIGO DEL PRODUCTO Y/O SERVICIO ]],Tabla3[],14)</f>
        <v>1861159.9048704009</v>
      </c>
      <c r="DU57" s="344">
        <f>Tabla1[[#This Row],[COSTO POR UNIDAD DE PRODUCTO (6)]]*Tabla1[[#This Row],[COSTO UNITARIO AÑO 5 6]]*VLOOKUP(Tabla1[[#This Row],[CÓDIGO DEL PRODUCTO Y/O SERVICIO ]],Tabla3[],18)</f>
        <v>2300228.2059838269</v>
      </c>
      <c r="DV57" s="114">
        <f>VLOOKUP(Tabla1[[#This Row],[CÓDIGO DEL PRODUCTO Y/O SERVICIO ]],Tabla3[],3)</f>
        <v>400</v>
      </c>
      <c r="DW57" s="114">
        <f>Tabla1[[#This Row],[UNIDADES PRODUCIDAS AÑO 1 7]]*L40</f>
        <v>400</v>
      </c>
      <c r="DX57" s="112">
        <f>VLOOKUP(Tabla1[[#This Row],[CÓDIGO DEL PRODUCTO Y/O SERVICIO ]],Tabla3[],9)</f>
        <v>0.25</v>
      </c>
      <c r="DY57" s="114">
        <f>Tabla1[[#This Row],[CANTIDADES A UTILIZAR  AÑO 1 7]]*(1+Tabla1[[#This Row],[CAMBIO PORCENTUAL EN UNIDADES VENDIDAS AÑO 2 7]])</f>
        <v>500</v>
      </c>
      <c r="DZ57" s="112">
        <f>VLOOKUP(Tabla1[[#This Row],[CÓDIGO DEL PRODUCTO Y/O SERVICIO ]],Tabla3[],13)</f>
        <v>0.36</v>
      </c>
      <c r="EA57" s="114">
        <f>Tabla1[[#This Row],[CANTIDADES A UTILIZAR  AÑO 2 7]]*(1+Tabla1[[#This Row],[CAMBIO PORCENTUAL EN UNIDADES VENDIDAS AÑO 3 7]])</f>
        <v>679.99999999999989</v>
      </c>
      <c r="EB57" s="112">
        <f>VLOOKUP(Tabla1[[#This Row],[CÓDIGO DEL PRODUCTO Y/O SERVICIO ]],Tabla3[],17)</f>
        <v>5.8823529411764705E-2</v>
      </c>
      <c r="EC57" s="114">
        <f>Tabla1[[#This Row],[CANTIDADES A UTILIZAR  AÑO 3 7 ]]*(1+Tabla1[[#This Row],[CAMBIO PORCENTUAL EN UNIDADES VENDIDAS AÑO 4 7]])</f>
        <v>719.99999999999989</v>
      </c>
      <c r="ED57" s="112">
        <f>VLOOKUP(Tabla1[[#This Row],[CÓDIGO DEL PRODUCTO Y/O SERVICIO ]],Tabla3[],21)</f>
        <v>0.22222222222222221</v>
      </c>
      <c r="EE57" s="114">
        <f>Tabla1[[#This Row],[CANTIDADES A UTILIZAR  AÑO 4 7]]*(1+Tabla1[[#This Row],[CAMBIO PORCENTUAL EN UNIDADES VENDIDAS AÑO 5 7]])</f>
        <v>879.99999999999989</v>
      </c>
      <c r="EF57" s="344">
        <f>IF(Tabla1[[#This Row],[CANTIDADES A UTILIZAR  AÑO 1 7]]=0,0,Tabla1[[#This Row],[CANTIDADES A UTILIZAR  AÑO 1 7]]*1/Tabla1[[#This Row],[UNIDADES PRODUCIDAS AÑO 1 7]])</f>
        <v>1</v>
      </c>
      <c r="EG57" s="344">
        <f>$D$18*(1+BASES!$E$10)</f>
        <v>171.90400000000002</v>
      </c>
      <c r="EH57" s="344">
        <f>Tabla1[[#This Row],[COSTO UNITARIO AÑO 2 7]]*(1+BASES!$F$10)</f>
        <v>173.82932480000005</v>
      </c>
      <c r="EI57" s="344">
        <f>Tabla1[[#This Row],[COSTO UNITARIO AÑO 3 7]]*(1+BASES!$G$10)</f>
        <v>175.77621323776006</v>
      </c>
      <c r="EJ57" s="344">
        <f>Tabla1[[#This Row],[COSTO UNITARIO AÑO 4 7]]*(1+BASES!$H$10)</f>
        <v>177.744906826023</v>
      </c>
      <c r="EK57" s="344">
        <f>Tabla1[[#This Row],[COSTO POR UNIDAD DE PRODUCTO (7)]]*$D$18*VLOOKUP(Tabla1[[#This Row],[CÓDIGO DEL PRODUCTO Y/O SERVICIO ]],Tabla3[],3)</f>
        <v>68000</v>
      </c>
      <c r="EL57" s="344">
        <f>Tabla1[[#This Row],[COSTO POR UNIDAD DE PRODUCTO (7)]]*Tabla1[[#This Row],[COSTO UNITARIO AÑO 2 7]]*VLOOKUP(Tabla1[[#This Row],[CÓDIGO DEL PRODUCTO Y/O SERVICIO ]],Tabla3[],6)</f>
        <v>85952.000000000015</v>
      </c>
      <c r="EM57" s="344">
        <f>Tabla1[[#This Row],[COSTO POR UNIDAD DE PRODUCTO (7)]]*Tabla1[[#This Row],[COSTO UNITARIO AÑO 3 7]]*VLOOKUP(Tabla1[[#This Row],[CÓDIGO DEL PRODUCTO Y/O SERVICIO ]],Tabla3[],10)</f>
        <v>118203.94086400003</v>
      </c>
      <c r="EN57" s="344">
        <f>Tabla1[[#This Row],[COSTO POR UNIDAD DE PRODUCTO (7)]]*Tabla1[[#This Row],[COSTO UNITARIO AÑO 4 7]]*VLOOKUP(Tabla1[[#This Row],[CÓDIGO DEL PRODUCTO Y/O SERVICIO ]],Tabla3[],14)</f>
        <v>126558.87353118724</v>
      </c>
      <c r="EO57" s="344">
        <f>Tabla1[[#This Row],[COSTO POR UNIDAD DE PRODUCTO (7)]]*Tabla1[[#This Row],[COSTO UNITARIO AÑO 5 7]]*VLOOKUP(Tabla1[[#This Row],[CÓDIGO DEL PRODUCTO Y/O SERVICIO ]],Tabla3[],18)</f>
        <v>156415.51800690024</v>
      </c>
      <c r="EP57" s="114">
        <f>VLOOKUP(Tabla1[[#This Row],[CÓDIGO DEL PRODUCTO Y/O SERVICIO ]],Tabla3[],3)</f>
        <v>400</v>
      </c>
      <c r="EQ57" s="114">
        <f>Tabla1[[#This Row],[UNIDADES PRODUCIDAS AÑO 1 8]]*M40</f>
        <v>1600</v>
      </c>
      <c r="ER57" s="112">
        <f>VLOOKUP(Tabla1[[#This Row],[CÓDIGO DEL PRODUCTO Y/O SERVICIO ]],Tabla3[],9)</f>
        <v>0.25</v>
      </c>
      <c r="ES57" s="114">
        <f>Tabla1[[#This Row],[CANTIDADES A UTILIZAR  AÑO 1 8]]*(1+Tabla1[[#This Row],[CAMBIO PORCENTUAL EN UNIDADES VENDIDAS AÑO 2 8]])</f>
        <v>2000</v>
      </c>
      <c r="ET57" s="112">
        <f>VLOOKUP(Tabla1[[#This Row],[CÓDIGO DEL PRODUCTO Y/O SERVICIO ]],Tabla3[],13)</f>
        <v>0.36</v>
      </c>
      <c r="EU57" s="114">
        <f>Tabla1[[#This Row],[CANTIDADES A UTILIZAR  AÑO 2 8]]*(1+Tabla1[[#This Row],[CAMBIO PORCENTUAL EN UNIDADES VENDIDAS AÑO 3 8]])</f>
        <v>2719.9999999999995</v>
      </c>
      <c r="EV57" s="112">
        <f>VLOOKUP(Tabla1[[#This Row],[CÓDIGO DEL PRODUCTO Y/O SERVICIO ]],Tabla3[],17)</f>
        <v>5.8823529411764705E-2</v>
      </c>
      <c r="EW57" s="114">
        <f>Tabla1[[#This Row],[CANTIDADES A UTILIZAR  AÑO 3 8]]*(1+Tabla1[[#This Row],[CAMBIO PORCENTUAL EN UNIDADES VENDIDAS AÑO 4 8]])</f>
        <v>2879.9999999999995</v>
      </c>
      <c r="EX57" s="112">
        <f>VLOOKUP(Tabla1[[#This Row],[CÓDIGO DEL PRODUCTO Y/O SERVICIO ]],Tabla3[],21)</f>
        <v>0.22222222222222221</v>
      </c>
      <c r="EY57" s="114">
        <f>Tabla1[[#This Row],[CANTIDADES A UTILIZAR  AÑO 4 8]]*(1+Tabla1[[#This Row],[CAMBIO PORCENTUAL EN UNIDADES VENDIDAS AÑO 5 8]])</f>
        <v>3519.9999999999995</v>
      </c>
      <c r="EZ57" s="344">
        <f>IF(Tabla1[[#This Row],[CANTIDADES A UTILIZAR  AÑO 1 8]]=0,0,Tabla1[[#This Row],[CANTIDADES A UTILIZAR  AÑO 1 8]]*1/Tabla1[[#This Row],[UNIDADES PRODUCIDAS AÑO 1 8]])</f>
        <v>4</v>
      </c>
      <c r="FA57" s="344">
        <f>$D$19*(1+BASES!$E$10)</f>
        <v>303.36</v>
      </c>
      <c r="FB57" s="344">
        <f>Tabla1[[#This Row],[COSTO UNITARIO AÑO 2 8]]*(1+BASES!$F$10)</f>
        <v>306.75763200000006</v>
      </c>
      <c r="FC57" s="344">
        <f>Tabla1[[#This Row],[COSTO UNITARIO AÑO 3 8]]*(1+BASES!$G$10)</f>
        <v>310.1933174784001</v>
      </c>
      <c r="FD57" s="344">
        <f>Tabla1[[#This Row],[COSTO UNITARIO AÑO 4 8]]*(1+BASES!$H$10)</f>
        <v>313.6674826341582</v>
      </c>
      <c r="FE57" s="344">
        <f>Tabla1[[#This Row],[COSTO POR UNIDAD DE PRODUCTO (8)]]*$D$19*VLOOKUP(Tabla1[[#This Row],[CÓDIGO DEL PRODUCTO Y/O SERVICIO ]],Tabla3[],3)</f>
        <v>480000</v>
      </c>
      <c r="FF57" s="344">
        <f>Tabla1[[#This Row],[COSTO POR UNIDAD DE PRODUCTO (8)]]*Tabla1[[#This Row],[COSTO UNITARIO AÑO 2 8]]*VLOOKUP(Tabla1[[#This Row],[CÓDIGO DEL PRODUCTO Y/O SERVICIO ]],Tabla3[],6)</f>
        <v>606720</v>
      </c>
      <c r="FG57" s="344">
        <f>Tabla1[[#This Row],[COSTO POR UNIDAD DE PRODUCTO (8)]]*Tabla1[[#This Row],[COSTO UNITARIO AÑO 3 8]]*VLOOKUP(Tabla1[[#This Row],[CÓDIGO DEL PRODUCTO Y/O SERVICIO ]],Tabla3[],10)</f>
        <v>834380.75904000015</v>
      </c>
      <c r="FH57" s="344">
        <f>Tabla1[[#This Row],[COSTO POR UNIDAD DE PRODUCTO (8)]]*Tabla1[[#This Row],[COSTO UNITARIO AÑO 4 8]]*VLOOKUP(Tabla1[[#This Row],[CÓDIGO DEL PRODUCTO Y/O SERVICIO ]],Tabla3[],14)</f>
        <v>893356.75433779228</v>
      </c>
      <c r="FI57" s="344">
        <f>Tabla1[[#This Row],[COSTO POR UNIDAD DE PRODUCTO (8)]]*Tabla1[[#This Row],[COSTO UNITARIO AÑO 5 8]]*VLOOKUP(Tabla1[[#This Row],[CÓDIGO DEL PRODUCTO Y/O SERVICIO ]],Tabla3[],18)</f>
        <v>1104109.5388722369</v>
      </c>
      <c r="FJ57" s="346">
        <f>VLOOKUP(Tabla1[[#This Row],[CÓDIGO DEL PRODUCTO Y/O SERVICIO ]],Tabla3[],3)</f>
        <v>400</v>
      </c>
      <c r="FK57" s="346">
        <f>Tabla1[[#This Row],[UNIDADES PRODUCIDAS AÑO 1 9 ]]*N40</f>
        <v>0</v>
      </c>
      <c r="FL57" s="347">
        <f>VLOOKUP(Tabla1[[#This Row],[CÓDIGO DEL PRODUCTO Y/O SERVICIO ]],Tabla3[],9)</f>
        <v>0.25</v>
      </c>
      <c r="FM57" s="346">
        <f>Tabla1[[#This Row],[CANTIDADES A UTILIZAR  AÑO 1 9]]*(1+Tabla1[[#This Row],[CAMBIO PORCENTUAL EN UNIDADES VENDIDAS AÑO 2 9]])</f>
        <v>0</v>
      </c>
      <c r="FN57" s="347">
        <f>VLOOKUP(Tabla1[[#This Row],[CÓDIGO DEL PRODUCTO Y/O SERVICIO ]],Tabla3[],13)</f>
        <v>0.36</v>
      </c>
      <c r="FO57" s="346">
        <f>Tabla1[[#This Row],[CANTIDADES A UTILIZAR  AÑO 2 9]]*(1+Tabla1[[#This Row],[CAMBIO PORCENTUAL EN UNIDADES VENDIDAS AÑO 3 9]])</f>
        <v>0</v>
      </c>
      <c r="FP57" s="347">
        <f>VLOOKUP(Tabla1[[#This Row],[CÓDIGO DEL PRODUCTO Y/O SERVICIO ]],Tabla3[],17)</f>
        <v>5.8823529411764705E-2</v>
      </c>
      <c r="FQ57" s="346">
        <f>Tabla1[[#This Row],[CANTIDADES A UTILIZAR  AÑO 3 9]]*(1+Tabla1[[#This Row],[CAMBIO PORCENTUAL EN UNIDADES VENDIDAS AÑO 4 9 ]])</f>
        <v>0</v>
      </c>
      <c r="FR57" s="347">
        <f>VLOOKUP(Tabla1[[#This Row],[CÓDIGO DEL PRODUCTO Y/O SERVICIO ]],Tabla3[],21)</f>
        <v>0.22222222222222221</v>
      </c>
      <c r="FS57" s="346">
        <f>Tabla1[[#This Row],[CANTIDADES A UTILIZAR  AÑO 4  9]]*(1+Tabla1[[#This Row],[CAMBIO PORCENTUAL EN UNIDADES VENDIDAS AÑO 5 9]])</f>
        <v>0</v>
      </c>
      <c r="FT57" s="348">
        <f>IF(Tabla1[[#This Row],[CANTIDADES A UTILIZAR  AÑO 1 9]]=0,0,Tabla1[[#This Row],[CANTIDADES A UTILIZAR  AÑO 1 9]]*1/Tabla1[[#This Row],[UNIDADES PRODUCIDAS AÑO 1 9 ]])</f>
        <v>0</v>
      </c>
      <c r="FU57" s="348">
        <f>$D$20*(1+BASES!$E$10)</f>
        <v>4550.4000000000005</v>
      </c>
      <c r="FV57" s="348">
        <f>Tabla1[[#This Row],[COSTO UNITARIO AÑO 2 9]]*(1+BASES!$F$10)</f>
        <v>4601.3644800000011</v>
      </c>
      <c r="FW57" s="348">
        <f>Tabla1[[#This Row],[COSTO UNITARIO AÑO 3 9]]*(1+BASES!$G$10)</f>
        <v>4652.8997621760018</v>
      </c>
      <c r="FX57" s="348">
        <f>Tabla1[[#This Row],[COSTO UNITARIO AÑO 4 9]]*(1+BASES!$H$10)</f>
        <v>4705.0122395123735</v>
      </c>
      <c r="FY57" s="348">
        <f>Tabla1[[#This Row],[COSTO POR UNIDAD DE PRODUCTO (9)]]*$D$20*VLOOKUP(Tabla1[[#This Row],[CÓDIGO DEL PRODUCTO Y/O SERVICIO ]],Tabla3[],3)</f>
        <v>0</v>
      </c>
      <c r="FZ57" s="348">
        <f>Tabla1[[#This Row],[COSTO POR UNIDAD DE PRODUCTO (9)]]*Tabla1[[#This Row],[COSTO UNITARIO AÑO 2 9]]*VLOOKUP(Tabla1[[#This Row],[CÓDIGO DEL PRODUCTO Y/O SERVICIO ]],Tabla3[],6)</f>
        <v>0</v>
      </c>
      <c r="GA57" s="348">
        <f>Tabla1[[#This Row],[COSTO POR UNIDAD DE PRODUCTO (9)]]*Tabla1[[#This Row],[COSTO UNITARIO AÑO 3 9]]*VLOOKUP(Tabla1[[#This Row],[CÓDIGO DEL PRODUCTO Y/O SERVICIO ]],Tabla3[],10)</f>
        <v>0</v>
      </c>
      <c r="GB57" s="348">
        <f>Tabla1[[#This Row],[COSTO POR UNIDAD DE PRODUCTO (9)]]*Tabla1[[#This Row],[COSTO UNITARIO AÑO 4 9]]*VLOOKUP(Tabla1[[#This Row],[CÓDIGO DEL PRODUCTO Y/O SERVICIO ]],Tabla3[],14)</f>
        <v>0</v>
      </c>
      <c r="GC57" s="348">
        <f>Tabla1[[#This Row],[COSTO POR UNIDAD DE PRODUCTO (9)]]*Tabla1[[#This Row],[COSTO UNITARIO AÑO 5 9]]*VLOOKUP(Tabla1[[#This Row],[CÓDIGO DEL PRODUCTO Y/O SERVICIO ]],Tabla3[],18)</f>
        <v>0</v>
      </c>
      <c r="GD57" s="346">
        <f>VLOOKUP(Tabla1[[#This Row],[CÓDIGO DEL PRODUCTO Y/O SERVICIO ]],Tabla3[],3)</f>
        <v>400</v>
      </c>
      <c r="GE57" s="346">
        <f>Tabla1[[#This Row],[UNIDADES PRODUCIDAS AÑO 1 10]]*O40</f>
        <v>0</v>
      </c>
      <c r="GF57" s="347">
        <f>VLOOKUP(Tabla1[[#This Row],[CÓDIGO DEL PRODUCTO Y/O SERVICIO ]],Tabla3[],9)</f>
        <v>0.25</v>
      </c>
      <c r="GG57" s="346">
        <f>Tabla1[[#This Row],[CANTIDADES A UTILIZAR  AÑO 1 10]]*(1+Tabla1[[#This Row],[CAMBIO PORCENTUAL EN UNIDADES VENDIDAS AÑO 2 10 ]])</f>
        <v>0</v>
      </c>
      <c r="GH57" s="347">
        <f>VLOOKUP(Tabla1[[#This Row],[CÓDIGO DEL PRODUCTO Y/O SERVICIO ]],Tabla3[],13)</f>
        <v>0.36</v>
      </c>
      <c r="GI57" s="346">
        <f>Tabla1[[#This Row],[CANTIDADES A UTILIZAR  AÑO 2 10]]*(1+Tabla1[[#This Row],[CAMBIO PORCENTUAL EN UNIDADES VENDIDAS AÑO 3 10]])</f>
        <v>0</v>
      </c>
      <c r="GJ57" s="347">
        <f>VLOOKUP(Tabla1[[#This Row],[CÓDIGO DEL PRODUCTO Y/O SERVICIO ]],Tabla3[],17)</f>
        <v>5.8823529411764705E-2</v>
      </c>
      <c r="GK57" s="346">
        <f>Tabla1[[#This Row],[CANTIDADES A UTILIZAR AÑO 3 10 ]]*(1+Tabla1[[#This Row],[CAMBIO PORCENTUAL EN UNIDADES VENDIDAS AÑO 4 10]])</f>
        <v>0</v>
      </c>
      <c r="GL57" s="347">
        <f>VLOOKUP(Tabla1[[#This Row],[CÓDIGO DEL PRODUCTO Y/O SERVICIO ]],Tabla3[],21)</f>
        <v>0.22222222222222221</v>
      </c>
      <c r="GM57" s="346">
        <f>Tabla1[[#This Row],[CANTIDADES A UTILIZAR  AÑO 4 10 ]]*(1+Tabla1[[#This Row],[CAMBIO PORCENTUAL EN UNIDADES VENDIDAS AÑO 5 10]])</f>
        <v>0</v>
      </c>
      <c r="GN57" s="348">
        <f>IF(Tabla1[[#This Row],[CANTIDADES A UTILIZAR  AÑO 1 10]]=0,0,Tabla1[[#This Row],[CANTIDADES A UTILIZAR  AÑO 1 10]]*1/Tabla1[[#This Row],[UNIDADES PRODUCIDAS AÑO 1 10]])</f>
        <v>0</v>
      </c>
      <c r="GO57" s="348">
        <f>$D$21*(1+BASES!$E$10)</f>
        <v>334.81843200000003</v>
      </c>
      <c r="GP57" s="348">
        <f>Tabla1[[#This Row],[COSTO UNITARIO AÑO 2 10 ]]*(1+BASES!$F$10)</f>
        <v>338.56839843840004</v>
      </c>
      <c r="GQ57" s="348">
        <f>Tabla1[[#This Row],[COSTO UNITARIO AÑO 3 10]]*(1+BASES!$G$10)</f>
        <v>342.36036450091018</v>
      </c>
      <c r="GR57" s="348">
        <f>Tabla1[[#This Row],[COSTO UNITARIO AÑO 4 10]]*(1+BASES!$H$10)</f>
        <v>346.19480058332039</v>
      </c>
      <c r="GS57" s="348">
        <f>Tabla1[[#This Row],[COSTO POR UNIDAD DE PRODUCTO (10)]]*$D$21*VLOOKUP(Tabla1[[#This Row],[CÓDIGO DEL PRODUCTO Y/O SERVICIO ]],Tabla3[],3)</f>
        <v>0</v>
      </c>
      <c r="GT57" s="348">
        <f>Tabla1[[#This Row],[COSTO POR UNIDAD DE PRODUCTO (10)]]*Tabla1[[#This Row],[COSTO UNITARIO AÑO 2 10 ]]*VLOOKUP(Tabla1[[#This Row],[CÓDIGO DEL PRODUCTO Y/O SERVICIO ]],Tabla3[],6)</f>
        <v>0</v>
      </c>
      <c r="GU57" s="348">
        <f>Tabla1[[#This Row],[COSTO POR UNIDAD DE PRODUCTO (10)]]*Tabla1[[#This Row],[COSTO UNITARIO AÑO 3 10]]*VLOOKUP(Tabla1[[#This Row],[CÓDIGO DEL PRODUCTO Y/O SERVICIO ]],Tabla3[],10)</f>
        <v>0</v>
      </c>
      <c r="GV57" s="348">
        <f>Tabla1[[#This Row],[COSTO POR UNIDAD DE PRODUCTO (10)]]*Tabla1[[#This Row],[COSTO UNITARIO AÑO 4 10]]*VLOOKUP(Tabla1[[#This Row],[CÓDIGO DEL PRODUCTO Y/O SERVICIO ]],Tabla3[],14)</f>
        <v>0</v>
      </c>
      <c r="GW57" s="348">
        <f>Tabla1[[#This Row],[COSTO POR UNIDAD DE PRODUCTO (10)]]*Tabla1[[#This Row],[COSTO UNITARIO AÑO 5 10 ]]*VLOOKUP(Tabla1[[#This Row],[CÓDIGO DEL PRODUCTO Y/O SERVICIO ]],Tabla3[],18)</f>
        <v>0</v>
      </c>
      <c r="GX57" s="346">
        <f>VLOOKUP(Tabla1[[#This Row],[CÓDIGO DEL PRODUCTO Y/O SERVICIO ]],Tabla3[],3)</f>
        <v>400</v>
      </c>
      <c r="GY57" s="346">
        <f>Tabla1[[#This Row],[UNIDADES PRODUCIDAS AÑO 1 11]]*P40</f>
        <v>0</v>
      </c>
      <c r="GZ57" s="347">
        <f>VLOOKUP(Tabla1[[#This Row],[CÓDIGO DEL PRODUCTO Y/O SERVICIO ]],Tabla3[],9)</f>
        <v>0.25</v>
      </c>
      <c r="HA57" s="346">
        <f>Tabla1[[#This Row],[CANTIDADES A UTILIZAR  AÑO 1 11 ]]*(1+Tabla1[[#This Row],[CAMBIO PORCENTUAL EN UNIDADES VENDIDAS AÑO 2 11 ]])</f>
        <v>0</v>
      </c>
      <c r="HB57" s="347">
        <f>VLOOKUP(Tabla1[[#This Row],[CÓDIGO DEL PRODUCTO Y/O SERVICIO ]],Tabla3[],13)</f>
        <v>0.36</v>
      </c>
      <c r="HC57" s="346">
        <f>Tabla1[[#This Row],[CANTIDADES A UTILIZAR  AÑO 2 11 ]]*(1+Tabla1[[#This Row],[CAMBIO PORCENTUAL EN UNIDADES VENDIDAS AÑO 3 11]])</f>
        <v>0</v>
      </c>
      <c r="HD57" s="347">
        <f>VLOOKUP(Tabla1[[#This Row],[CÓDIGO DEL PRODUCTO Y/O SERVICIO ]],Tabla3[],17)</f>
        <v>5.8823529411764705E-2</v>
      </c>
      <c r="HE57" s="346">
        <f>Tabla1[[#This Row],[CANTIDADES A UTILIZAR  AÑO 3 11]]*(1+Tabla1[[#This Row],[CAMBIO PORCENTUAL EN UNIDADES VENDIDAS AÑO 4 11]])</f>
        <v>0</v>
      </c>
      <c r="HF57" s="347">
        <f>VLOOKUP(Tabla1[[#This Row],[CÓDIGO DEL PRODUCTO Y/O SERVICIO ]],Tabla3[],21)</f>
        <v>0.22222222222222221</v>
      </c>
      <c r="HG57" s="346">
        <f>Tabla1[[#This Row],[CANTIDADES A UTILIZAR  AÑO 4 11]]*(1+Tabla1[[#This Row],[CAMBIO PORCENTUAL EN UNIDADES VENDIDAS AÑO 5 11 ]])</f>
        <v>0</v>
      </c>
      <c r="HH57" s="348">
        <f>IF(Tabla1[[#This Row],[CANTIDADES A UTILIZAR  AÑO 1 11 ]]=0,0,Tabla1[[#This Row],[CANTIDADES A UTILIZAR  AÑO 1 11 ]]*1/Tabla1[[#This Row],[UNIDADES PRODUCIDAS AÑO 1 11]])</f>
        <v>0</v>
      </c>
      <c r="HI57" s="348">
        <f>$D$22*(1+BASES!$E$10)</f>
        <v>1011.2</v>
      </c>
      <c r="HJ57" s="348">
        <f>Tabla1[[#This Row],[COSTO UNITARIO AÑO 2 11]]*(1+BASES!$F$10)</f>
        <v>1022.5254400000001</v>
      </c>
      <c r="HK57" s="348">
        <f>Tabla1[[#This Row],[COSTO UNITARIO AÑO 3 11 ]]*(1+BASES!$G$10)</f>
        <v>1033.9777249280003</v>
      </c>
      <c r="HL57" s="348">
        <f>Tabla1[[#This Row],[COSTO UNITARIO AÑO 4 11 ]]*(1+BASES!$H$10)</f>
        <v>1045.5582754471939</v>
      </c>
      <c r="HM57" s="348">
        <f>Tabla1[[#This Row],[COSTO POR UNIDAD DE PRODUCTO (11)]]*$D$22*VLOOKUP(Tabla1[[#This Row],[CÓDIGO DEL PRODUCTO Y/O SERVICIO ]],Tabla3[],3)</f>
        <v>0</v>
      </c>
      <c r="HN57" s="348">
        <f>Tabla1[[#This Row],[COSTO POR UNIDAD DE PRODUCTO (11)]]*Tabla1[[#This Row],[COSTO UNITARIO AÑO 2 11]]*VLOOKUP(Tabla1[[#This Row],[CÓDIGO DEL PRODUCTO Y/O SERVICIO ]],Tabla3[],6)</f>
        <v>0</v>
      </c>
      <c r="HO57" s="348">
        <f>Tabla1[[#This Row],[COSTO POR UNIDAD DE PRODUCTO (11)]]*Tabla1[[#This Row],[COSTO UNITARIO AÑO 3 11 ]]*VLOOKUP(Tabla1[[#This Row],[CÓDIGO DEL PRODUCTO Y/O SERVICIO ]],Tabla3[],10)</f>
        <v>0</v>
      </c>
      <c r="HP57" s="348">
        <f>Tabla1[[#This Row],[COSTO POR UNIDAD DE PRODUCTO (11)]]*Tabla1[[#This Row],[COSTO UNITARIO AÑO 4 11 ]]*VLOOKUP(Tabla1[[#This Row],[CÓDIGO DEL PRODUCTO Y/O SERVICIO ]],Tabla3[],14)</f>
        <v>0</v>
      </c>
      <c r="HQ57" s="348">
        <f>Tabla1[[#This Row],[COSTO POR UNIDAD DE PRODUCTO (11)]]*Tabla1[[#This Row],[COSTO UNITARIO AÑO 5 11 ]]*VLOOKUP(Tabla1[[#This Row],[CÓDIGO DEL PRODUCTO Y/O SERVICIO ]],Tabla3[],18)</f>
        <v>0</v>
      </c>
      <c r="HR57" s="346">
        <f>VLOOKUP(Tabla1[[#This Row],[CÓDIGO DEL PRODUCTO Y/O SERVICIO ]],Tabla3[],3)</f>
        <v>400</v>
      </c>
      <c r="HS57" s="346">
        <f>Tabla1[[#This Row],[UNIDADES PRODUCIDAS AÑO 1 12]]*Q40</f>
        <v>0</v>
      </c>
      <c r="HT57" s="347">
        <f>VLOOKUP(Tabla1[[#This Row],[CÓDIGO DEL PRODUCTO Y/O SERVICIO ]],Tabla3[],9)</f>
        <v>0.25</v>
      </c>
      <c r="HU57" s="346">
        <f>Tabla1[[#This Row],[CANTIDADES A UTILIZAR  AÑO 1 12]]*(1+Tabla1[[#This Row],[CAMBIO PORCENTUAL EN UNIDADES VENDIDAS AÑO 2 12]])</f>
        <v>0</v>
      </c>
      <c r="HV57" s="347">
        <f>VLOOKUP(Tabla1[[#This Row],[CÓDIGO DEL PRODUCTO Y/O SERVICIO ]],Tabla3[],13)</f>
        <v>0.36</v>
      </c>
      <c r="HW57" s="346">
        <f>Tabla1[[#This Row],[CANTIDADES A UTILIZAR  AÑO 2 12]]*(1+Tabla1[[#This Row],[CAMBIO PORCENTUAL EN UNIDADES VENDIDAS AÑO 3 12]])</f>
        <v>0</v>
      </c>
      <c r="HX57" s="347">
        <f>VLOOKUP(Tabla1[[#This Row],[CÓDIGO DEL PRODUCTO Y/O SERVICIO ]],Tabla3[],17)</f>
        <v>5.8823529411764705E-2</v>
      </c>
      <c r="HY57" s="346">
        <f>Tabla1[[#This Row],[CANTIDADES A UTILIZAR  AÑO 3 12]]*(1+Tabla1[[#This Row],[CAMBIO PORCENTUAL EN UNIDADES VENDIDAS AÑO 4 12]])</f>
        <v>0</v>
      </c>
      <c r="HZ57" s="347">
        <f>VLOOKUP(Tabla1[[#This Row],[CÓDIGO DEL PRODUCTO Y/O SERVICIO ]],Tabla3[],21)</f>
        <v>0.22222222222222221</v>
      </c>
      <c r="IA57" s="346">
        <f>Tabla1[[#This Row],[CANTIDADES A UTILIZAR  AÑO 4 12]]*(1+Tabla1[[#This Row],[CAMBIO PORCENTUAL EN UNIDADES VENDIDAS AÑO 5 12]])</f>
        <v>0</v>
      </c>
      <c r="IB57" s="348">
        <f>IF(Tabla1[[#This Row],[CANTIDADES A UTILIZAR  AÑO 1 12]]=0,0,Tabla1[[#This Row],[CANTIDADES A UTILIZAR  AÑO 1 12]]*1/Tabla1[[#This Row],[UNIDADES PRODUCIDAS AÑO 1 12]])</f>
        <v>0</v>
      </c>
      <c r="IC57" s="348">
        <f>$D$23*(1+BASES!$E$10)</f>
        <v>1011.2</v>
      </c>
      <c r="ID57" s="348">
        <f>Tabla1[[#This Row],[COSTO UNITARIO AÑO 2 12]]*(1+BASES!$F$10)</f>
        <v>1022.5254400000001</v>
      </c>
      <c r="IE57" s="348">
        <f>Tabla1[[#This Row],[COSTO UNITARIO AÑO 3 12]]*(1+BASES!$G$10)</f>
        <v>1033.9777249280003</v>
      </c>
      <c r="IF57" s="348">
        <f>Tabla1[[#This Row],[COSTO UNITARIO AÑO 4 12]]*(1+BASES!$H$10)</f>
        <v>1045.5582754471939</v>
      </c>
      <c r="IG57" s="348">
        <f>Tabla1[[#This Row],[COSTO POR UNIDAD DE PRODUCTO (12)]]*$D$23*VLOOKUP(Tabla1[[#This Row],[CÓDIGO DEL PRODUCTO Y/O SERVICIO ]],Tabla3[],3)</f>
        <v>0</v>
      </c>
      <c r="IH57" s="348">
        <f>Tabla1[[#This Row],[COSTO POR UNIDAD DE PRODUCTO (12)]]*Tabla1[[#This Row],[COSTO UNITARIO AÑO 2 12]]*VLOOKUP(Tabla1[[#This Row],[CÓDIGO DEL PRODUCTO Y/O SERVICIO ]],Tabla3[],6)</f>
        <v>0</v>
      </c>
      <c r="II57" s="348">
        <f>Tabla1[[#This Row],[COSTO POR UNIDAD DE PRODUCTO (12)]]*Tabla1[[#This Row],[COSTO UNITARIO AÑO 3 12]]*VLOOKUP(Tabla1[[#This Row],[CÓDIGO DEL PRODUCTO Y/O SERVICIO ]],Tabla3[],10)</f>
        <v>0</v>
      </c>
      <c r="IJ57" s="348">
        <f>Tabla1[[#This Row],[COSTO POR UNIDAD DE PRODUCTO (12)]]*Tabla1[[#This Row],[COSTO UNITARIO AÑO 4 12]]*VLOOKUP(Tabla1[[#This Row],[CÓDIGO DEL PRODUCTO Y/O SERVICIO ]],Tabla3[],14)</f>
        <v>0</v>
      </c>
      <c r="IK57" s="348">
        <f>Tabla1[[#This Row],[COSTO POR UNIDAD DE PRODUCTO (12)]]*Tabla1[[#This Row],[COSTO UNITARIO AÑO 5 12]]*VLOOKUP(Tabla1[[#This Row],[CÓDIGO DEL PRODUCTO Y/O SERVICIO ]],Tabla3[],18)</f>
        <v>0</v>
      </c>
      <c r="IL57" s="346">
        <f>VLOOKUP(Tabla1[[#This Row],[CÓDIGO DEL PRODUCTO Y/O SERVICIO ]],Tabla3[],3)</f>
        <v>400</v>
      </c>
      <c r="IM57" s="346">
        <f>Tabla1[[#This Row],[UNIDADES PRODUCIDAS AÑO 1 13]]*R40</f>
        <v>400</v>
      </c>
      <c r="IN57" s="347">
        <f>VLOOKUP(Tabla1[[#This Row],[CÓDIGO DEL PRODUCTO Y/O SERVICIO ]],Tabla3[],9)</f>
        <v>0.25</v>
      </c>
      <c r="IO57" s="346">
        <f>Tabla1[[#This Row],[CANTIDADES A UTILIZAR  AÑO 1 13]]*(1+Tabla1[[#This Row],[CAMBIO PORCENTUAL EN UNIDADES VENDIDAS AÑO 2 13]])</f>
        <v>500</v>
      </c>
      <c r="IP57" s="347">
        <f>VLOOKUP(Tabla1[[#This Row],[CÓDIGO DEL PRODUCTO Y/O SERVICIO ]],Tabla3[],13)</f>
        <v>0.36</v>
      </c>
      <c r="IQ57" s="346">
        <f>Tabla1[[#This Row],[CANTIDADES A UTILIZAR  AÑO 2 13]]*(1+Tabla1[[#This Row],[CAMBIO PORCENTUAL EN UNIDADES VENDIDAS AÑO 3 13]])</f>
        <v>679.99999999999989</v>
      </c>
      <c r="IR57" s="346">
        <f>VLOOKUP(Tabla1[[#This Row],[CÓDIGO DEL PRODUCTO Y/O SERVICIO ]],Tabla3[],17)</f>
        <v>5.8823529411764705E-2</v>
      </c>
      <c r="IS57" s="346">
        <f>Tabla1[[#This Row],[CANTIDADES A UTILIZAR  AÑO 3 13]]*(1+Tabla1[[#This Row],[CAMBIO PORCENTUAL EN UNIDADES VENDIDAS AÑO 4 13]])</f>
        <v>719.99999999999989</v>
      </c>
      <c r="IT57" s="347">
        <f>VLOOKUP(Tabla1[[#This Row],[CÓDIGO DEL PRODUCTO Y/O SERVICIO ]],Tabla3[],21)</f>
        <v>0.22222222222222221</v>
      </c>
      <c r="IU57" s="346">
        <f>Tabla1[[#This Row],[CANTIDADES A UTILIZAR  AÑO 4 13]]*(1+Tabla1[[#This Row],[CAMBIO PORCENTUAL EN UNIDADES VENDIDAS AÑO 5 13]])</f>
        <v>879.99999999999989</v>
      </c>
      <c r="IV57" s="348">
        <f>IF(Tabla1[[#This Row],[CANTIDADES A UTILIZAR  AÑO 1 13]]=0,0,Tabla1[[#This Row],[CANTIDADES A UTILIZAR  AÑO 1 13]]*1/Tabla1[[#This Row],[UNIDADES PRODUCIDAS AÑO 1 13]])</f>
        <v>1</v>
      </c>
      <c r="IW57" s="348">
        <f>$D$24*(1+BASES!$E$10)</f>
        <v>101.12</v>
      </c>
      <c r="IX57" s="348">
        <f>Tabla1[[#This Row],[COSTO UNITARIO AÑO 2 13]]*(1+BASES!$F$10)</f>
        <v>102.25254400000001</v>
      </c>
      <c r="IY57" s="348">
        <f>Tabla1[[#This Row],[COSTO UNITARIO AÑO 3 13]]*(1+BASES!$G$10)</f>
        <v>103.39777249280003</v>
      </c>
      <c r="IZ57" s="348">
        <f>Tabla1[[#This Row],[COSTO UNITARIO AÑO 4 13]]*(1+BASES!$H$10)</f>
        <v>104.55582754471941</v>
      </c>
      <c r="JA57" s="348">
        <f>Tabla1[[#This Row],[COSTO POR UNIDAD DE PRODUCTO (13)]]*$D$24*VLOOKUP(Tabla1[[#This Row],[CÓDIGO DEL PRODUCTO Y/O SERVICIO ]],Tabla3[],3)</f>
        <v>40000</v>
      </c>
      <c r="JB57" s="348">
        <f>Tabla1[[#This Row],[COSTO POR UNIDAD DE PRODUCTO (13)]]*Tabla1[[#This Row],[COSTO UNITARIO AÑO 2 13]]*VLOOKUP(Tabla1[[#This Row],[CÓDIGO DEL PRODUCTO Y/O SERVICIO ]],Tabla3[],6)</f>
        <v>50560</v>
      </c>
      <c r="JC57" s="348">
        <f>Tabla1[[#This Row],[COSTO POR UNIDAD DE PRODUCTO (13)]]*Tabla1[[#This Row],[COSTO UNITARIO AÑO 3 13]]*VLOOKUP(Tabla1[[#This Row],[CÓDIGO DEL PRODUCTO Y/O SERVICIO ]],Tabla3[],10)</f>
        <v>69531.729920000012</v>
      </c>
      <c r="JD57" s="348">
        <f>Tabla1[[#This Row],[COSTO POR UNIDAD DE PRODUCTO (13)]]*Tabla1[[#This Row],[COSTO UNITARIO AÑO 4 13]]*VLOOKUP(Tabla1[[#This Row],[CÓDIGO DEL PRODUCTO Y/O SERVICIO ]],Tabla3[],14)</f>
        <v>74446.396194816029</v>
      </c>
      <c r="JE57" s="348">
        <f>Tabla1[[#This Row],[COSTO POR UNIDAD DE PRODUCTO (13)]]*Tabla1[[#This Row],[COSTO UNITARIO AÑO 5 13]]*VLOOKUP(Tabla1[[#This Row],[CÓDIGO DEL PRODUCTO Y/O SERVICIO ]],Tabla3[],18)</f>
        <v>92009.128239353071</v>
      </c>
      <c r="JF57" s="346">
        <f>VLOOKUP(Tabla1[[#This Row],[CÓDIGO DEL PRODUCTO Y/O SERVICIO ]],Tabla3[],3)</f>
        <v>400</v>
      </c>
      <c r="JG57" s="346">
        <f>Tabla1[[#This Row],[UNIDADES PRODUCIDAS AÑO 1 14]]*S40</f>
        <v>0</v>
      </c>
      <c r="JH57" s="347">
        <f>VLOOKUP(Tabla1[[#This Row],[CÓDIGO DEL PRODUCTO Y/O SERVICIO ]],Tabla3[],9)</f>
        <v>0.25</v>
      </c>
      <c r="JI57" s="346">
        <f>Tabla1[[#This Row],[CANTIDADES A UTILIZAR  AÑO 1 14]]*(1+Tabla1[[#This Row],[CAMBIO PORCENTUAL EN UNIDADES VENDIDAS AÑO 2 14]])</f>
        <v>0</v>
      </c>
      <c r="JJ57" s="347">
        <f>VLOOKUP(Tabla1[[#This Row],[CÓDIGO DEL PRODUCTO Y/O SERVICIO ]],Tabla3[],13)</f>
        <v>0.36</v>
      </c>
      <c r="JK57" s="346">
        <f>Tabla1[[#This Row],[CANTIDADES A UTILIZAR  AÑO 2 14]]*(1+Tabla1[[#This Row],[CAMBIO PORCENTUAL EN UNIDADES VENDIDAS AÑO 3 14]])</f>
        <v>0</v>
      </c>
      <c r="JL57" s="347">
        <f>VLOOKUP(Tabla1[[#This Row],[CÓDIGO DEL PRODUCTO Y/O SERVICIO ]],Tabla3[],17)</f>
        <v>5.8823529411764705E-2</v>
      </c>
      <c r="JM57" s="346">
        <f>Tabla1[[#This Row],[CANTIDADES A UTILIZAR AÑO 3 14]]*(1+Tabla1[[#This Row],[CAMBIO PORCENTUAL EN UNIDADES VENDIDAS AÑO 4 14]])</f>
        <v>0</v>
      </c>
      <c r="JN57" s="347">
        <f>VLOOKUP(Tabla1[[#This Row],[CÓDIGO DEL PRODUCTO Y/O SERVICIO ]],Tabla3[],21)</f>
        <v>0.22222222222222221</v>
      </c>
      <c r="JO57" s="346">
        <f>Tabla1[[#This Row],[CANTIDADES A UTILIZAR  AÑO 4 14]]*(1+Tabla1[[#This Row],[CAMBIO PORCENTUAL EN UNIDADES VENDIDAS AÑO 5 14]])</f>
        <v>0</v>
      </c>
      <c r="JP57" s="348">
        <f>IF(Tabla1[[#This Row],[CANTIDADES A UTILIZAR  AÑO 1 14]]=0,0,Tabla1[[#This Row],[CANTIDADES A UTILIZAR  AÑO 1 14]]*1/Tabla1[[#This Row],[UNIDADES PRODUCIDAS AÑO 1 14]])</f>
        <v>0</v>
      </c>
      <c r="JQ57" s="348">
        <f>$D$25*(1+BASES!$E$10)</f>
        <v>1011.2</v>
      </c>
      <c r="JR57" s="348">
        <f>Tabla1[[#This Row],[COSTO UNITARIO AÑO 2 14]]*(1+BASES!$F$10)</f>
        <v>1022.5254400000001</v>
      </c>
      <c r="JS57" s="348">
        <f>Tabla1[[#This Row],[COSTO UNITARIO AÑO 3 14]]*(1+BASES!$G$10)</f>
        <v>1033.9777249280003</v>
      </c>
      <c r="JT57" s="348">
        <f>Tabla1[[#This Row],[COSTO UNITARIO AÑO 4 14]]*(1+BASES!$H$10)</f>
        <v>1045.5582754471939</v>
      </c>
      <c r="JU57" s="348">
        <f>Tabla1[[#This Row],[COSTO POR UNIDAD DE PRODUCTO (14)]]*$D$25*VLOOKUP(Tabla1[[#This Row],[CÓDIGO DEL PRODUCTO Y/O SERVICIO ]],Tabla3[],3)</f>
        <v>0</v>
      </c>
      <c r="JV57" s="348">
        <f>Tabla1[[#This Row],[COSTO POR UNIDAD DE PRODUCTO (14)]]*Tabla1[[#This Row],[COSTO UNITARIO AÑO 2 14]]*VLOOKUP(Tabla1[[#This Row],[CÓDIGO DEL PRODUCTO Y/O SERVICIO ]],Tabla3[],6)</f>
        <v>0</v>
      </c>
      <c r="JW57" s="348">
        <f>Tabla1[[#This Row],[COSTO POR UNIDAD DE PRODUCTO (14)]]*Tabla1[[#This Row],[COSTO UNITARIO AÑO 3 14]]*VLOOKUP(Tabla1[[#This Row],[CÓDIGO DEL PRODUCTO Y/O SERVICIO ]],Tabla3[],10)</f>
        <v>0</v>
      </c>
      <c r="JX57" s="348">
        <f>Tabla1[[#This Row],[COSTO POR UNIDAD DE PRODUCTO (14)]]*Tabla1[[#This Row],[COSTO UNITARIO AÑO 4 14]]*VLOOKUP(Tabla1[[#This Row],[CÓDIGO DEL PRODUCTO Y/O SERVICIO ]],Tabla3[],14)</f>
        <v>0</v>
      </c>
      <c r="JY57" s="348">
        <f>Tabla1[[#This Row],[COSTO POR UNIDAD DE PRODUCTO (14)]]*Tabla1[[#This Row],[COSTO UNITARIO AÑO 5 14]]*VLOOKUP(Tabla1[[#This Row],[CÓDIGO DEL PRODUCTO Y/O SERVICIO ]],Tabla3[],18)</f>
        <v>0</v>
      </c>
      <c r="JZ57" s="346">
        <f>VLOOKUP(Tabla1[[#This Row],[CÓDIGO DEL PRODUCTO Y/O SERVICIO ]],Tabla3[],3)</f>
        <v>400</v>
      </c>
      <c r="KA57" s="346">
        <f>Tabla1[[#This Row],[UNIDADES PRODUCIDAS AÑO 1 15]]*T40</f>
        <v>0</v>
      </c>
      <c r="KB57" s="347">
        <f>VLOOKUP(Tabla1[[#This Row],[CÓDIGO DEL PRODUCTO Y/O SERVICIO ]],Tabla3[],9)</f>
        <v>0.25</v>
      </c>
      <c r="KC57" s="346">
        <f>Tabla1[[#This Row],[CANTIDADES A UTILIZAR  AÑO 1 15]]*(1+Tabla1[[#This Row],[CAMBIO PORCENTUAL EN UNIDADES VENDIDAS AÑO 2 15]])</f>
        <v>0</v>
      </c>
      <c r="KD57" s="347">
        <f>VLOOKUP(Tabla1[[#This Row],[CÓDIGO DEL PRODUCTO Y/O SERVICIO ]],Tabla3[],13)</f>
        <v>0.36</v>
      </c>
      <c r="KE57" s="346">
        <f>Tabla1[[#This Row],[CANTIDADES A UTILIZAR  AÑO 2 15]]*(1+Tabla1[[#This Row],[CAMBIO PORCENTUAL EN UNIDADES VENDIDAS AÑO 3 15]])</f>
        <v>0</v>
      </c>
      <c r="KF57" s="347">
        <f>VLOOKUP(Tabla1[[#This Row],[CÓDIGO DEL PRODUCTO Y/O SERVICIO ]],Tabla3[],17)</f>
        <v>5.8823529411764705E-2</v>
      </c>
      <c r="KG57" s="346">
        <f>Tabla1[[#This Row],[CANTIDADES A UTILIZAR  AÑO 3 15]]*(1+Tabla1[[#This Row],[CAMBIO PORCENTUAL EN UNIDADES VENDIDAS AÑO 4 15]])</f>
        <v>0</v>
      </c>
      <c r="KH57" s="347">
        <f>VLOOKUP(Tabla1[[#This Row],[CÓDIGO DEL PRODUCTO Y/O SERVICIO ]],Tabla3[],21)</f>
        <v>0.22222222222222221</v>
      </c>
      <c r="KI57" s="346">
        <f>Tabla1[[#This Row],[CANTIDADES A UTILIZAR  AÑO 4 15]]*(1+Tabla1[[#This Row],[CAMBIO PORCENTUAL EN UNIDADES VENDIDAS AÑO 5 15]])</f>
        <v>0</v>
      </c>
      <c r="KJ57" s="348">
        <f>IF(Tabla1[[#This Row],[CANTIDADES A UTILIZAR  AÑO 1 15]]=0,0,Tabla1[[#This Row],[CANTIDADES A UTILIZAR  AÑO 1 15]]*1/Tabla1[[#This Row],[UNIDADES PRODUCIDAS AÑO 1 15]])</f>
        <v>0</v>
      </c>
      <c r="KK57" s="348">
        <f>$D$26*(1+BASES!$E$10)</f>
        <v>4044.8</v>
      </c>
      <c r="KL57" s="348">
        <f>Tabla1[[#This Row],[COSTO UNITARIO AÑO 2 15]]*(1+BASES!$F$10)</f>
        <v>4090.1017600000005</v>
      </c>
      <c r="KM57" s="348">
        <f>Tabla1[[#This Row],[COSTO UNITARIO AÑO 3 15]]*(1+BASES!$G$10)</f>
        <v>4135.9108997120011</v>
      </c>
      <c r="KN57" s="348">
        <f>Tabla1[[#This Row],[COSTO UNITARIO AÑO 4 15]]*(1+BASES!$H$10)</f>
        <v>4182.2331017887755</v>
      </c>
      <c r="KO57" s="348">
        <f>Tabla1[[#This Row],[COSTO POR UNIDAD DE PRODUCTO (15)]]*$D$26*VLOOKUP(Tabla1[[#This Row],[CÓDIGO DEL PRODUCTO Y/O SERVICIO ]],Tabla3[],3)</f>
        <v>0</v>
      </c>
      <c r="KP57" s="348">
        <f>Tabla1[[#This Row],[COSTO POR UNIDAD DE PRODUCTO (15)]]*Tabla1[[#This Row],[COSTO UNITARIO AÑO 2 15]]*VLOOKUP(Tabla1[[#This Row],[CÓDIGO DEL PRODUCTO Y/O SERVICIO ]],Tabla3[],6)</f>
        <v>0</v>
      </c>
      <c r="KQ57" s="348">
        <f>Tabla1[[#This Row],[COSTO POR UNIDAD DE PRODUCTO (15)]]*Tabla1[[#This Row],[COSTO UNITARIO AÑO 3 15]]*VLOOKUP(Tabla1[[#This Row],[CÓDIGO DEL PRODUCTO Y/O SERVICIO ]],Tabla3[],10)</f>
        <v>0</v>
      </c>
      <c r="KR57" s="348">
        <f>Tabla1[[#This Row],[COSTO POR UNIDAD DE PRODUCTO (15)]]*Tabla1[[#This Row],[COSTO UNITARIO AÑO 4 15]]*VLOOKUP(Tabla1[[#This Row],[CÓDIGO DEL PRODUCTO Y/O SERVICIO ]],Tabla3[],14)</f>
        <v>0</v>
      </c>
      <c r="KS57" s="348">
        <f>Tabla1[[#This Row],[COSTO POR UNIDAD DE PRODUCTO (15)]]*Tabla1[[#This Row],[COSTO UNITARIO AÑO 5 15]]*VLOOKUP(Tabla1[[#This Row],[CÓDIGO DEL PRODUCTO Y/O SERVICIO ]],Tabla3[],18)</f>
        <v>0</v>
      </c>
      <c r="KT57" s="346">
        <f>VLOOKUP(Tabla1[[#This Row],[CÓDIGO DEL PRODUCTO Y/O SERVICIO ]],Tabla3[],3)</f>
        <v>400</v>
      </c>
      <c r="KU57" s="346">
        <f>Tabla1[[#This Row],[UNIDADES PRODUCIDAS AÑO 1 16]]*U40</f>
        <v>0</v>
      </c>
      <c r="KV57" s="347">
        <f>VLOOKUP(Tabla1[[#This Row],[CÓDIGO DEL PRODUCTO Y/O SERVICIO ]],Tabla3[],9)</f>
        <v>0.25</v>
      </c>
      <c r="KW57" s="346">
        <f>Tabla1[[#This Row],[CANTIDADES A UTILIZAR  AÑO 1 16]]*(1+Tabla1[[#This Row],[CAMBIO PORCENTUAL EN UNIDADES VENDIDAS AÑO 2 16]])</f>
        <v>0</v>
      </c>
      <c r="KX57" s="347">
        <f>VLOOKUP(Tabla1[[#This Row],[CÓDIGO DEL PRODUCTO Y/O SERVICIO ]],Tabla3[],13)</f>
        <v>0.36</v>
      </c>
      <c r="KY57" s="346">
        <f>Tabla1[[#This Row],[CANTIDADES A UTILIZAR  AÑO 2 16]]*(1+Tabla1[[#This Row],[CAMBIO PORCENTUAL EN UNIDADES VENDIDAS AÑO 3 16]])</f>
        <v>0</v>
      </c>
      <c r="KZ57" s="347">
        <f>VLOOKUP(Tabla1[[#This Row],[CÓDIGO DEL PRODUCTO Y/O SERVICIO ]],Tabla3[],17)</f>
        <v>5.8823529411764705E-2</v>
      </c>
      <c r="LA57" s="346">
        <f>Tabla1[[#This Row],[CANTIDADES A UTILIZAR  AÑO 3 16]]*(1+Tabla1[[#This Row],[CAMBIO PORCENTUAL EN UNIDADES VENDIDAS AÑO 4 16]])</f>
        <v>0</v>
      </c>
      <c r="LB57" s="347">
        <f>VLOOKUP(Tabla1[[#This Row],[CÓDIGO DEL PRODUCTO Y/O SERVICIO ]],Tabla3[],21)</f>
        <v>0.22222222222222221</v>
      </c>
      <c r="LC57" s="346">
        <f>Tabla1[[#This Row],[CANTIDADES A UTILIZAR  AÑO 4 16]]*(1+Tabla1[[#This Row],[CAMBIO PORCENTUAL EN UNIDADES VENDIDAS AÑO 5 16]])</f>
        <v>0</v>
      </c>
      <c r="LD57" s="348">
        <f>IF(Tabla1[[#This Row],[CANTIDADES A UTILIZAR  AÑO 1 16]]=0,0,Tabla1[[#This Row],[CANTIDADES A UTILIZAR  AÑO 1 16]]*1/Tabla1[[#This Row],[UNIDADES PRODUCIDAS AÑO 1 16]])</f>
        <v>0</v>
      </c>
      <c r="LE57" s="348">
        <f>$D$27*(1+BASES!$E$10)</f>
        <v>1264.0000000000002</v>
      </c>
      <c r="LF57" s="348">
        <f>Tabla1[[#This Row],[COSTO UNITARIO AÑO 2 16]]*(1+BASES!$F$10)</f>
        <v>1278.1568000000004</v>
      </c>
      <c r="LG57" s="348">
        <f>Tabla1[[#This Row],[COSTO UNITARIO AÑO 3 16]]*(1+BASES!$G$10)</f>
        <v>1292.4721561600006</v>
      </c>
      <c r="LH57" s="348">
        <f>Tabla1[[#This Row],[COSTO UNITARIO AÑO 4 16]]*(1+BASES!$H$10)</f>
        <v>1306.9478443089927</v>
      </c>
      <c r="LI57" s="348">
        <f>Tabla1[[#This Row],[COSTO POR UNIDAD DE PRODUCTO (16)]]*$D$27*VLOOKUP(Tabla1[[#This Row],[CÓDIGO DEL PRODUCTO Y/O SERVICIO ]],Tabla3[],3)</f>
        <v>0</v>
      </c>
      <c r="LJ57" s="348">
        <f>Tabla1[[#This Row],[COSTO POR UNIDAD DE PRODUCTO (16)]]*Tabla1[[#This Row],[COSTO UNITARIO AÑO 2 16]]*VLOOKUP(Tabla1[[#This Row],[CÓDIGO DEL PRODUCTO Y/O SERVICIO ]],Tabla3[],6)</f>
        <v>0</v>
      </c>
      <c r="LK57" s="348">
        <f>Tabla1[[#This Row],[COSTO POR UNIDAD DE PRODUCTO (16)]]*Tabla1[[#This Row],[COSTO UNITARIO AÑO 3 16]]*VLOOKUP(Tabla1[[#This Row],[CÓDIGO DEL PRODUCTO Y/O SERVICIO ]],Tabla3[],10)</f>
        <v>0</v>
      </c>
      <c r="LL57" s="348">
        <f>Tabla1[[#This Row],[COSTO POR UNIDAD DE PRODUCTO (16)]]*Tabla1[[#This Row],[COSTO UNITARIO AÑO 4 16]]*VLOOKUP(Tabla1[[#This Row],[CÓDIGO DEL PRODUCTO Y/O SERVICIO ]],Tabla3[],14)</f>
        <v>0</v>
      </c>
      <c r="LM57" s="348">
        <f>Tabla1[[#This Row],[COSTO POR UNIDAD DE PRODUCTO (16)]]*Tabla1[[#This Row],[COSTO UNITARIO AÑO 5 16]]*VLOOKUP(Tabla1[[#This Row],[CÓDIGO DEL PRODUCTO Y/O SERVICIO ]],Tabla3[],18)</f>
        <v>0</v>
      </c>
      <c r="LN57" s="346">
        <f>VLOOKUP(Tabla1[[#This Row],[CÓDIGO DEL PRODUCTO Y/O SERVICIO ]],Tabla3[],3)</f>
        <v>400</v>
      </c>
      <c r="LO57" s="346">
        <f>Tabla1[[#This Row],[UNIDADES PRODUCIDAS AÑO 1 17]]*V40</f>
        <v>0</v>
      </c>
      <c r="LP57" s="347">
        <f>VLOOKUP(Tabla1[[#This Row],[CÓDIGO DEL PRODUCTO Y/O SERVICIO ]],Tabla3[],9)</f>
        <v>0.25</v>
      </c>
      <c r="LQ57" s="346">
        <f>Tabla1[[#This Row],[CANTIDADES A UTILIZAR  AÑO 1 17]]*(1+Tabla1[[#This Row],[CAMBIO PORCENTUAL EN UNIDADES VENDIDAS AÑO 2 17]])</f>
        <v>0</v>
      </c>
      <c r="LR57" s="347">
        <f>VLOOKUP(Tabla1[[#This Row],[CÓDIGO DEL PRODUCTO Y/O SERVICIO ]],Tabla3[],13)</f>
        <v>0.36</v>
      </c>
      <c r="LS57" s="346">
        <f>Tabla1[[#This Row],[CANTIDADES A UTILIZAR  AÑO 2 17]]*(1+Tabla1[[#This Row],[CAMBIO PORCENTUAL EN UNIDADES VENDIDAS AÑO 3 17]])</f>
        <v>0</v>
      </c>
      <c r="LT57" s="347">
        <f>VLOOKUP(Tabla1[[#This Row],[CÓDIGO DEL PRODUCTO Y/O SERVICIO ]],Tabla3[],17)</f>
        <v>5.8823529411764705E-2</v>
      </c>
      <c r="LU57" s="346">
        <f>Tabla1[[#This Row],[CANTIDADES A UTILIZAR  AÑO 3 17]]*(1+Tabla1[[#This Row],[CAMBIO PORCENTUAL EN UNIDADES VENDIDAS AÑO 4 17 ]])</f>
        <v>0</v>
      </c>
      <c r="LV57" s="347">
        <f>VLOOKUP(Tabla1[[#This Row],[CÓDIGO DEL PRODUCTO Y/O SERVICIO ]],Tabla3[],21)</f>
        <v>0.22222222222222221</v>
      </c>
      <c r="LW57" s="346">
        <f>Tabla1[[#This Row],[CANTIDADES A UTILIZAR  AÑO 4 17]]*(1+Tabla1[[#This Row],[CAMBIO PORCENTUAL EN UNIDADES VENDIDAS AÑO 5 17]])</f>
        <v>0</v>
      </c>
      <c r="LX57" s="348">
        <f>IF(Tabla1[[#This Row],[CANTIDADES A UTILIZAR  AÑO 1 17]]=0,0,Tabla1[[#This Row],[CANTIDADES A UTILIZAR  AÑO 1 17]]*1/Tabla1[[#This Row],[UNIDADES PRODUCIDAS AÑO 1 17]])</f>
        <v>0</v>
      </c>
      <c r="LY57" s="348">
        <f>$D$28*(1+BASES!$E$10)</f>
        <v>222.46400000000003</v>
      </c>
      <c r="LZ57" s="348">
        <f>Tabla1[[#This Row],[COSTO UNITARIO AÑO 2 17]]*(1+BASES!$F$10)</f>
        <v>224.95559680000005</v>
      </c>
      <c r="MA57" s="348">
        <f>Tabla1[[#This Row],[COSTO UNITARIO AÑO 3 17]]*(1+BASES!$G$10)</f>
        <v>227.47509948416007</v>
      </c>
      <c r="MB57" s="348">
        <f>Tabla1[[#This Row],[COSTO UNITARIO AÑO 4 17]]*(1+BASES!$H$10)</f>
        <v>230.02282059838268</v>
      </c>
      <c r="MC57" s="348">
        <f>Tabla1[[#This Row],[COSTO POR UNIDAD DE PRODUCTO (17)]]*$D$28*VLOOKUP(Tabla1[[#This Row],[CÓDIGO DEL PRODUCTO Y/O SERVICIO ]],Tabla3[],3)</f>
        <v>0</v>
      </c>
      <c r="MD57" s="348">
        <f>Tabla1[[#This Row],[COSTO POR UNIDAD DE PRODUCTO (17)]]*Tabla1[[#This Row],[COSTO UNITARIO AÑO 2 17]]*VLOOKUP(Tabla1[[#This Row],[CÓDIGO DEL PRODUCTO Y/O SERVICIO ]],Tabla3[],6)</f>
        <v>0</v>
      </c>
      <c r="ME57" s="348">
        <f>Tabla1[[#This Row],[COSTO POR UNIDAD DE PRODUCTO (17)]]*Tabla1[[#This Row],[COSTO UNITARIO AÑO 3 17]]*VLOOKUP(Tabla1[[#This Row],[CÓDIGO DEL PRODUCTO Y/O SERVICIO ]],Tabla3[],10)</f>
        <v>0</v>
      </c>
      <c r="MF57" s="348">
        <f>Tabla1[[#This Row],[COSTO POR UNIDAD DE PRODUCTO (17)]]*Tabla1[[#This Row],[COSTO UNITARIO AÑO 4 17]]*VLOOKUP(Tabla1[[#This Row],[CÓDIGO DEL PRODUCTO Y/O SERVICIO ]],Tabla3[],14)</f>
        <v>0</v>
      </c>
      <c r="MG57" s="348">
        <f>Tabla1[[#This Row],[COSTO POR UNIDAD DE PRODUCTO (17)]]*Tabla1[[#This Row],[COSTO UNITARIO AÑO 5 17]]*VLOOKUP(Tabla1[[#This Row],[CÓDIGO DEL PRODUCTO Y/O SERVICIO ]],Tabla3[],18)</f>
        <v>0</v>
      </c>
      <c r="MH57" s="346">
        <f>VLOOKUP(Tabla1[[#This Row],[CÓDIGO DEL PRODUCTO Y/O SERVICIO ]],Tabla3[],3)</f>
        <v>400</v>
      </c>
      <c r="MI57" s="346">
        <f>Tabla1[[#This Row],[UNIDADES PRODUCIDAS AÑO 1 18 ]]*W40</f>
        <v>0</v>
      </c>
      <c r="MJ57" s="347">
        <f>VLOOKUP(Tabla1[[#This Row],[CÓDIGO DEL PRODUCTO Y/O SERVICIO ]],Tabla3[],9)</f>
        <v>0.25</v>
      </c>
      <c r="MK57" s="346">
        <f>Tabla1[[#This Row],[CANTIDADES A UTILIZAR  AÑO 1 18]]*(1+Tabla1[[#This Row],[CAMBIO PORCENTUAL EN UNIDADES VENDIDAS AÑO 2 18]])</f>
        <v>0</v>
      </c>
      <c r="ML57" s="347">
        <f>VLOOKUP(Tabla1[[#This Row],[CÓDIGO DEL PRODUCTO Y/O SERVICIO ]],Tabla3[],13)</f>
        <v>0.36</v>
      </c>
      <c r="MM57" s="346">
        <f>Tabla1[[#This Row],[CANTIDADES A UTILIZAR AÑO 2 18]]*(1+Tabla1[[#This Row],[CAMBIO PORCENTUAL EN UNIDADES VENDIDAS AÑO 3 18 ]])</f>
        <v>0</v>
      </c>
      <c r="MN57" s="347">
        <f>VLOOKUP(Tabla1[[#This Row],[CÓDIGO DEL PRODUCTO Y/O SERVICIO ]],Tabla3[],17)</f>
        <v>5.8823529411764705E-2</v>
      </c>
      <c r="MO57" s="346">
        <f>Tabla1[[#This Row],[CANTIDADES A UTILIZAR  AÑO 3 18]]*(1+Tabla1[[#This Row],[CAMBIO PORCENTUAL EN UNIDADES VENDIDAS AÑO 4 18]])</f>
        <v>0</v>
      </c>
      <c r="MP57" s="347">
        <f>VLOOKUP(Tabla1[[#This Row],[CÓDIGO DEL PRODUCTO Y/O SERVICIO ]],Tabla3[],21)</f>
        <v>0.22222222222222221</v>
      </c>
      <c r="MQ57" s="346">
        <f>Tabla1[[#This Row],[CANTIDADES A UTILIZAR  AÑO 4 18 ]]*(1+Tabla1[[#This Row],[CAMBIO PORCENTUAL EN UNIDADES VENDIDAS AÑO 5 18 ]])</f>
        <v>0</v>
      </c>
      <c r="MR57" s="348">
        <f>IF(Tabla1[[#This Row],[CANTIDADES A UTILIZAR  AÑO 1 18]]=0,0,Tabla1[[#This Row],[CANTIDADES A UTILIZAR  AÑO 1 18]]*1/Tabla1[[#This Row],[UNIDADES PRODUCIDAS AÑO 1 18 ]])</f>
        <v>0</v>
      </c>
      <c r="MS57" s="348">
        <f>$D$29*(1+BASES!$E$10)</f>
        <v>505.6</v>
      </c>
      <c r="MT57" s="348">
        <f>Tabla1[[#This Row],[COSTO UNITARIO AÑO 2 18]]*(1+BASES!$F$10)</f>
        <v>511.26272000000006</v>
      </c>
      <c r="MU57" s="348">
        <f>Tabla1[[#This Row],[COSTO UNITARIO AÑO 3 18 ]]*(1+BASES!$G$10)</f>
        <v>516.98886246400014</v>
      </c>
      <c r="MV57" s="348">
        <f>Tabla1[[#This Row],[COSTO UNITARIO AÑO 4 18 ]]*(1+BASES!$H$10)</f>
        <v>522.77913772359693</v>
      </c>
      <c r="MW57" s="348">
        <f>Tabla1[[#This Row],[COSTO POR UNIDAD DE PRODUCTO (18)]]*$D$29*VLOOKUP(Tabla1[[#This Row],[CÓDIGO DEL PRODUCTO Y/O SERVICIO ]],Tabla3[],3)</f>
        <v>0</v>
      </c>
      <c r="MX57" s="348">
        <f>Tabla1[[#This Row],[COSTO POR UNIDAD DE PRODUCTO (18)]]*Tabla1[[#This Row],[COSTO UNITARIO AÑO 2 18]]*VLOOKUP(Tabla1[[#This Row],[CÓDIGO DEL PRODUCTO Y/O SERVICIO ]],Tabla3[],6)</f>
        <v>0</v>
      </c>
      <c r="MY57" s="348">
        <f>Tabla1[[#This Row],[COSTO POR UNIDAD DE PRODUCTO (18)]]*Tabla1[[#This Row],[COSTO UNITARIO AÑO 3 18 ]]*VLOOKUP(Tabla1[[#This Row],[CÓDIGO DEL PRODUCTO Y/O SERVICIO ]],Tabla3[],10)</f>
        <v>0</v>
      </c>
      <c r="MZ57" s="348">
        <f>Tabla1[[#This Row],[COSTO POR UNIDAD DE PRODUCTO (18)]]*Tabla1[[#This Row],[COSTO UNITARIO AÑO 4 18 ]]*VLOOKUP(Tabla1[[#This Row],[CÓDIGO DEL PRODUCTO Y/O SERVICIO ]],Tabla3[],14)</f>
        <v>0</v>
      </c>
      <c r="NA57" s="348">
        <f>Tabla1[[#This Row],[COSTO POR UNIDAD DE PRODUCTO (18)]]*Tabla1[[#This Row],[COSTO UNITARIO AÑO 5 18 ]]*VLOOKUP(Tabla1[[#This Row],[CÓDIGO DEL PRODUCTO Y/O SERVICIO ]],Tabla3[],18)</f>
        <v>0</v>
      </c>
      <c r="NB57" s="346">
        <f>VLOOKUP(Tabla1[[#This Row],[CÓDIGO DEL PRODUCTO Y/O SERVICIO ]],Tabla3[],3)</f>
        <v>400</v>
      </c>
      <c r="NC57" s="346">
        <f>Tabla1[[#This Row],[UNIDADES PRODUCIDAS AÑO 1 19]]*X40</f>
        <v>0</v>
      </c>
      <c r="ND57" s="347">
        <f>VLOOKUP(Tabla1[[#This Row],[CÓDIGO DEL PRODUCTO Y/O SERVICIO ]],Tabla3[],9)</f>
        <v>0.25</v>
      </c>
      <c r="NE57" s="346">
        <f>Tabla1[[#This Row],[CANTIDADES A UTILIZAR  AÑO 1 19 ]]*(1+Tabla1[[#This Row],[CAMBIO PORCENTUAL EN UNIDADES VENDIDAS AÑO 2 19]])</f>
        <v>0</v>
      </c>
      <c r="NF57" s="347">
        <f>VLOOKUP(Tabla1[[#This Row],[CÓDIGO DEL PRODUCTO Y/O SERVICIO ]],Tabla3[],13)</f>
        <v>0.36</v>
      </c>
      <c r="NG57" s="346">
        <f>Tabla1[[#This Row],[CANTIDADES A UTILIZAR  AÑO 2 19 ]]*(1+Tabla1[[#This Row],[CAMBIO PORCENTUAL EN UNIDADES VENDIDAS AÑO 3 19 ]])</f>
        <v>0</v>
      </c>
      <c r="NH57" s="347">
        <f>VLOOKUP(Tabla1[[#This Row],[CÓDIGO DEL PRODUCTO Y/O SERVICIO ]],Tabla3[],17)</f>
        <v>5.8823529411764705E-2</v>
      </c>
      <c r="NI57" s="346">
        <f>Tabla1[[#This Row],[CANTIDADES A UTILIZAR  AÑO 3 19 ]]*(1+Tabla1[[#This Row],[CAMBIO PORCENTUAL EN UNIDADES VENDIDAS AÑO 4 19 ]])</f>
        <v>0</v>
      </c>
      <c r="NJ57" s="347">
        <f>VLOOKUP(Tabla1[[#This Row],[CÓDIGO DEL PRODUCTO Y/O SERVICIO ]],Tabla3[],21)</f>
        <v>0.22222222222222221</v>
      </c>
      <c r="NK57" s="346">
        <f>Tabla1[[#This Row],[CANTIDADES A UTILIZAR AÑO 4 19 ]]*(1+Tabla1[[#This Row],[CAMBIO PORCENTUAL EN UNIDADES VENDIDAS AÑO 5 19 ]])</f>
        <v>0</v>
      </c>
      <c r="NL57" s="348">
        <f>IF(Tabla1[[#This Row],[CANTIDADES A UTILIZAR  AÑO 1 19 ]]=0,0,Tabla1[[#This Row],[CANTIDADES A UTILIZAR  AÑO 1 19 ]]*1/Tabla1[[#This Row],[UNIDADES PRODUCIDAS AÑO 1 19]])</f>
        <v>0</v>
      </c>
      <c r="NM57" s="348">
        <f>$D$30*(1+BASES!$E$10)</f>
        <v>10112.000000000002</v>
      </c>
      <c r="NN57" s="348">
        <f>Tabla1[[#This Row],[COSTO UNITARIO AÑO 2 19 ]]*(1+BASES!$F$10)</f>
        <v>10225.254400000003</v>
      </c>
      <c r="NO57" s="348">
        <f>Tabla1[[#This Row],[COSTO UNITARIO AÑO 3 19 ]]*(1+BASES!$G$10)</f>
        <v>10339.777249280005</v>
      </c>
      <c r="NP57" s="348">
        <f>Tabla1[[#This Row],[COSTO UNITARIO AÑO 4 19 ]]*(1+BASES!$H$10)</f>
        <v>10455.582754471941</v>
      </c>
      <c r="NQ57" s="348">
        <f>Tabla1[[#This Row],[COSTO POR UNIDAD DE PRODUCTO (19)]]*$D$30*VLOOKUP(Tabla1[[#This Row],[CÓDIGO DEL PRODUCTO Y/O SERVICIO ]],Tabla3[],3)</f>
        <v>0</v>
      </c>
      <c r="NR57" s="348">
        <f>Tabla1[[#This Row],[COSTO POR UNIDAD DE PRODUCTO (19)]]*Tabla1[[#This Row],[COSTO UNITARIO AÑO 2 19 ]]*VLOOKUP(Tabla1[[#This Row],[CÓDIGO DEL PRODUCTO Y/O SERVICIO ]],Tabla3[],6)</f>
        <v>0</v>
      </c>
      <c r="NS57" s="348">
        <f>Tabla1[[#This Row],[COSTO POR UNIDAD DE PRODUCTO (19)]]*Tabla1[[#This Row],[COSTO UNITARIO AÑO 3 19 ]]*VLOOKUP(Tabla1[[#This Row],[CÓDIGO DEL PRODUCTO Y/O SERVICIO ]],Tabla3[],10)</f>
        <v>0</v>
      </c>
      <c r="NT57" s="348">
        <f>Tabla1[[#This Row],[COSTO POR UNIDAD DE PRODUCTO (19)]]*Tabla1[[#This Row],[COSTO UNITARIO AÑO 4 19 ]]*VLOOKUP(Tabla1[[#This Row],[CÓDIGO DEL PRODUCTO Y/O SERVICIO ]],Tabla3[],14)</f>
        <v>0</v>
      </c>
      <c r="NU57" s="348">
        <f>Tabla1[[#This Row],[COSTO POR UNIDAD DE PRODUCTO (19)]]*Tabla1[[#This Row],[COSTO UNITARIO AÑO 5 19 ]]*VLOOKUP(Tabla1[[#This Row],[CÓDIGO DEL PRODUCTO Y/O SERVICIO ]],Tabla3[],18)</f>
        <v>0</v>
      </c>
      <c r="NV57" s="346">
        <f>VLOOKUP(Tabla1[[#This Row],[CÓDIGO DEL PRODUCTO Y/O SERVICIO ]],Tabla3[],3)</f>
        <v>400</v>
      </c>
      <c r="NW57" s="346">
        <f>Tabla1[[#This Row],[UNIDADES PRODUCIDAS AÑO 1 20 ]]*Y40</f>
        <v>0</v>
      </c>
      <c r="NX57" s="347">
        <f>VLOOKUP(Tabla1[[#This Row],[CÓDIGO DEL PRODUCTO Y/O SERVICIO ]],Tabla3[],9)</f>
        <v>0.25</v>
      </c>
      <c r="NY57" s="346">
        <f>Tabla1[[#This Row],[CANTIDADES A UTILIZAR AÑO 1 20]]*(1+Tabla1[[#This Row],[CAMBIO PORCENTUAL EN UNIDADES VENDIDAS AÑO 2 20 ]])</f>
        <v>0</v>
      </c>
      <c r="NZ57" s="347">
        <f>VLOOKUP(Tabla1[[#This Row],[CÓDIGO DEL PRODUCTO Y/O SERVICIO ]],Tabla3[],13)</f>
        <v>0.36</v>
      </c>
      <c r="OA57" s="346">
        <f>Tabla1[[#This Row],[CANTIDADES A UTILIZAR  AÑO 2 20 ]]*(1+Tabla1[[#This Row],[CAMBIO PORCENTUAL EN UNIDADES VENDIDAS AÑO 3 20 ]])</f>
        <v>0</v>
      </c>
      <c r="OB57" s="347">
        <f>VLOOKUP(Tabla1[[#This Row],[CÓDIGO DEL PRODUCTO Y/O SERVICIO ]],Tabla3[],17)</f>
        <v>5.8823529411764705E-2</v>
      </c>
      <c r="OC57" s="346">
        <f>Tabla1[[#This Row],[CANTIDADES A UTILIZAR  AÑO 3 20 ]]*(1+Tabla1[[#This Row],[CAMBIO PORCENTUAL EN UNIDADES VENDIDAS AÑO 4 20 ]])</f>
        <v>0</v>
      </c>
      <c r="OD57" s="347">
        <f>VLOOKUP(Tabla1[[#This Row],[CÓDIGO DEL PRODUCTO Y/O SERVICIO ]],Tabla3[],21)</f>
        <v>0.22222222222222221</v>
      </c>
      <c r="OE57" s="346">
        <f>Tabla1[[#This Row],[CANTIDADES A UTILIZAR  AÑO 4 20 ]]*(1+Tabla1[[#This Row],[CAMBIO PORCENTUAL EN UNIDADES VENDIDAS AÑO 5 20 ]])</f>
        <v>0</v>
      </c>
      <c r="OF57" s="348">
        <f>IF(Tabla1[[#This Row],[CANTIDADES A UTILIZAR AÑO 1 20]]=0,0,Tabla1[[#This Row],[CANTIDADES A UTILIZAR AÑO 1 20]]*1/Tabla1[[#This Row],[UNIDADES PRODUCIDAS AÑO 1 20 ]])</f>
        <v>0</v>
      </c>
      <c r="OG57" s="348">
        <f>$D$31*(1+BASES!$E$10)</f>
        <v>758.40000000000009</v>
      </c>
      <c r="OH57" s="348">
        <f>Tabla1[[#This Row],[COSTO UNITARIO AÑO 2 20 ]]*(1+BASES!$F$10)</f>
        <v>766.89408000000014</v>
      </c>
      <c r="OI57" s="348">
        <f>Tabla1[[#This Row],[COSTO UNITARIO AÑO 3 20 ]]*(1+BASES!$G$10)</f>
        <v>775.48329369600026</v>
      </c>
      <c r="OJ57" s="348">
        <f>Tabla1[[#This Row],[COSTO UNITARIO AÑO 4 20 ]]*(1+BASES!$H$10)</f>
        <v>784.16870658539551</v>
      </c>
      <c r="OK57" s="348">
        <f>Tabla1[[#This Row],[COSTO POR UNIDAD DE PRODUCTO (20)]]*$D$31*VLOOKUP(Tabla1[[#This Row],[CÓDIGO DEL PRODUCTO Y/O SERVICIO ]],Tabla3[],3)</f>
        <v>0</v>
      </c>
      <c r="OL57" s="348">
        <f>Tabla1[[#This Row],[COSTO POR UNIDAD DE PRODUCTO (20)]]*Tabla1[[#This Row],[COSTO UNITARIO AÑO 2 20 ]]*VLOOKUP(Tabla1[[#This Row],[CÓDIGO DEL PRODUCTO Y/O SERVICIO ]],Tabla3[],6)</f>
        <v>0</v>
      </c>
      <c r="OM57" s="348">
        <f>Tabla1[[#This Row],[COSTO POR UNIDAD DE PRODUCTO (20)]]*Tabla1[[#This Row],[COSTO UNITARIO AÑO 3 20 ]]*VLOOKUP(Tabla1[[#This Row],[CÓDIGO DEL PRODUCTO Y/O SERVICIO ]],Tabla3[],10)</f>
        <v>0</v>
      </c>
      <c r="ON57" s="348">
        <f>Tabla1[[#This Row],[COSTO POR UNIDAD DE PRODUCTO (20)]]*Tabla1[[#This Row],[COSTO UNITARIO AÑO 4 20 ]]*VLOOKUP(Tabla1[[#This Row],[CÓDIGO DEL PRODUCTO Y/O SERVICIO ]],Tabla3[],14)</f>
        <v>0</v>
      </c>
      <c r="OO57" s="348">
        <f>Tabla1[[#This Row],[COSTO POR UNIDAD DE PRODUCTO (20)]]*Tabla1[[#This Row],[COSTO UNITARIO AÑO 5 20 ]]*VLOOKUP(Tabla1[[#This Row],[CÓDIGO DEL PRODUCTO Y/O SERVICIO ]],Tabla3[],18)</f>
        <v>0</v>
      </c>
      <c r="OP57"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6528000</v>
      </c>
      <c r="OQ57"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8251392.0000000019</v>
      </c>
      <c r="OR57"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11347578.322944004</v>
      </c>
      <c r="OS57"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12149651.858993975</v>
      </c>
      <c r="OT57"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15015889.72866242</v>
      </c>
    </row>
    <row r="58" spans="3:410" ht="15.75" x14ac:dyDescent="0.25">
      <c r="C58" s="62">
        <v>3</v>
      </c>
      <c r="D58" s="72" t="str">
        <f>VLOOKUP(Tabla1[[#This Row],[CÓDIGO DEL PRODUCTO Y/O SERVICIO ]],Tabla3[],2)</f>
        <v>Caja de Rosas</v>
      </c>
      <c r="E58" s="72"/>
      <c r="F58" s="114">
        <f>VLOOKUP(Tabla1[[#This Row],[CÓDIGO DEL PRODUCTO Y/O SERVICIO ]],Tabla3[],3)</f>
        <v>500</v>
      </c>
      <c r="G58" s="114">
        <f>Tabla1[[#This Row],[UNIDADES PRODUCIDAS AÑO 1 ]]*F42</f>
        <v>4500</v>
      </c>
      <c r="H58" s="112">
        <f>VLOOKUP(Tabla1[[#This Row],[CÓDIGO DEL PRODUCTO Y/O SERVICIO ]],Tabla3[],9)</f>
        <v>0.36</v>
      </c>
      <c r="I58" s="114">
        <f>Tabla1[[#This Row],[CANTIDADES A UTILIZAR EN EL AÑO 1]]*(1+Tabla1[[#This Row],[CAMBIO PORCENTUAL EN UNIDADES VENDIDAS AÑO 2]])</f>
        <v>6119.9999999999991</v>
      </c>
      <c r="J58" s="112">
        <f>VLOOKUP(Tabla1[[#This Row],[CÓDIGO DEL PRODUCTO Y/O SERVICIO ]],Tabla3[],13)</f>
        <v>2.9411764705882353E-2</v>
      </c>
      <c r="K58" s="114">
        <f>Tabla1[[#This Row],[CANTIDADES A UTILIZAR EN EL AÑO 2]]*(1+Tabla1[[#This Row],[CAMBIO PORCENTUAL EN UNIDADES VENDIDAS AÑO 3]])</f>
        <v>6299.9999999999982</v>
      </c>
      <c r="L58" s="112">
        <f>VLOOKUP(Tabla1[[#This Row],[CÓDIGO DEL PRODUCTO Y/O SERVICIO ]],Tabla3[],17)</f>
        <v>7.1428571428571425E-2</v>
      </c>
      <c r="M58" s="114">
        <f>Tabla1[[#This Row],[CANTIDADES A UTILIZAR EN EL AÑO 3]]*(1+Tabla1[[#This Row],[CAMBIO PORCENTUAL EN UNIDADES VENDIDAS AÑO 4]])</f>
        <v>6749.9999999999982</v>
      </c>
      <c r="N58" s="112">
        <f>VLOOKUP(Tabla1[[#This Row],[CÓDIGO DEL PRODUCTO Y/O SERVICIO ]],Tabla3[],21)</f>
        <v>6.6666666666666666E-2</v>
      </c>
      <c r="O58" s="114">
        <f>Tabla1[[#This Row],[CANTIDADES A UTILIZAR EN EL AÑO 4]]*(1+Tabla1[[#This Row],[CAMBIO PORCENTUAL EN UNIDADES VENDIDAS AÑO 5]])</f>
        <v>7199.9999999999982</v>
      </c>
      <c r="P58" s="72">
        <f>IF(Tabla1[[#This Row],[CANTIDADES A UTILIZAR EN EL AÑO 1]]=0,0,Tabla1[[#This Row],[CANTIDADES A UTILIZAR EN EL AÑO 1]]*1/Tabla1[[#This Row],[UNIDADES PRODUCIDAS AÑO 1 ]])</f>
        <v>9</v>
      </c>
      <c r="Q58" s="344">
        <f>$D$12*(1+BASES!$E$10)</f>
        <v>606.72</v>
      </c>
      <c r="R58" s="344">
        <f>Tabla1[[#This Row],[COSTO UNITARIO AÑO 2]]*(1+BASES!$F$10)</f>
        <v>613.51526400000012</v>
      </c>
      <c r="S58" s="344">
        <f>Tabla1[[#This Row],[COSTO UNITARIO AÑO 3]]*(1+BASES!$G$10)</f>
        <v>620.38663495680021</v>
      </c>
      <c r="T58" s="344">
        <f>Tabla1[[#This Row],[COSTO UNITARIO AÑO 4]]*(1+BASES!$H$10)</f>
        <v>627.33496526831641</v>
      </c>
      <c r="U58" s="344">
        <f>Tabla1[[#This Row],[COSTO POR UNIDAD DE PRODUCTO (1)]]*$D$12*VLOOKUP(Tabla1[[#This Row],[CÓDIGO DEL PRODUCTO Y/O SERVICIO ]],Tabla3[],3)</f>
        <v>2700000</v>
      </c>
      <c r="V58" s="344">
        <f>Tabla1[[#This Row],[COSTO POR UNIDAD DE PRODUCTO (1)]]*Tabla1[[#This Row],[COSTO UNITARIO AÑO 2]]*VLOOKUP(Tabla1[[#This Row],[CÓDIGO DEL PRODUCTO Y/O SERVICIO ]],Tabla3[],6)</f>
        <v>3713126.4000000004</v>
      </c>
      <c r="W58" s="344">
        <f>Tabla1[[#This Row],[COSTO POR UNIDAD DE PRODUCTO (1)]]*Tabla1[[#This Row],[COSTO UNITARIO AÑO 3]]*VLOOKUP(Tabla1[[#This Row],[CÓDIGO DEL PRODUCTO Y/O SERVICIO ]],Tabla3[],10)</f>
        <v>3865146.1632000003</v>
      </c>
      <c r="X58" s="344">
        <f>Tabla1[[#This Row],[COSTO POR UNIDAD DE PRODUCTO (1)]]*Tabla1[[#This Row],[COSTO UNITARIO AÑO 4]]*VLOOKUP(Tabla1[[#This Row],[CÓDIGO DEL PRODUCTO Y/O SERVICIO ]],Tabla3[],14)</f>
        <v>4187609.7859584009</v>
      </c>
      <c r="Y58" s="344">
        <f>Tabla1[[#This Row],[COSTO POR UNIDAD DE PRODUCTO (1)]]*Tabla1[[#This Row],[COSTO UNITARIO AÑO 5]]*VLOOKUP(Tabla1[[#This Row],[CÓDIGO DEL PRODUCTO Y/O SERVICIO ]],Tabla3[],18)</f>
        <v>4516811.7499318784</v>
      </c>
      <c r="Z58" s="345">
        <f>VLOOKUP(Tabla1[[#This Row],[CÓDIGO DEL PRODUCTO Y/O SERVICIO ]],Tabla3[],3)</f>
        <v>500</v>
      </c>
      <c r="AA58" s="114">
        <f>G42*Tabla1[[#This Row],[UNIDADES PRODUCIDAS AÑO 1 2]]</f>
        <v>500</v>
      </c>
      <c r="AB58" s="112">
        <f>VLOOKUP(Tabla1[[#This Row],[CÓDIGO DEL PRODUCTO Y/O SERVICIO ]],Tabla3[],9)</f>
        <v>0.36</v>
      </c>
      <c r="AC58" s="114">
        <f>Tabla1[[#This Row],[CANTIDADES A UTILIZAR EN EL AÑO 1 2]]*(1+Tabla1[[#This Row],[CAMBIO PORCENTUAL EN UNIDADES VENDIDAS AÑO 2 2]])</f>
        <v>679.99999999999989</v>
      </c>
      <c r="AD58" s="112">
        <f>VLOOKUP(Tabla1[[#This Row],[CÓDIGO DEL PRODUCTO Y/O SERVICIO ]],Tabla3[],13)</f>
        <v>2.9411764705882353E-2</v>
      </c>
      <c r="AE58" s="114">
        <f>Tabla1[[#This Row],[CANTIDADES A UTILIZAR  AÑO 2 2]]*(1+Tabla1[[#This Row],[CAMBIO PORCENTUAL EN UNIDADES VENDIDAS AÑO 3 2]])</f>
        <v>699.99999999999977</v>
      </c>
      <c r="AF58" s="112">
        <f>VLOOKUP(Tabla1[[#This Row],[CÓDIGO DEL PRODUCTO Y/O SERVICIO ]],Tabla3[],17)</f>
        <v>7.1428571428571425E-2</v>
      </c>
      <c r="AG58" s="114">
        <f>Tabla1[[#This Row],[CANTIDADES A UTILIZAR  AÑO 3 2]]*(1+Tabla1[[#This Row],[CAMBIO PORCENTUAL EN UNIDADES VENDIDAS AÑO 4 2]])</f>
        <v>749.99999999999977</v>
      </c>
      <c r="AH58" s="112">
        <f>VLOOKUP(Tabla1[[#This Row],[CÓDIGO DEL PRODUCTO Y/O SERVICIO ]],Tabla3[],21)</f>
        <v>6.6666666666666666E-2</v>
      </c>
      <c r="AI58" s="114">
        <f>Tabla1[[#This Row],[CANTIDADES A UTILIZAR  AÑO 4 2]]*(1+Tabla1[[#This Row],[CAMBIO PORCENTUAL EN UNIDADES VENDIDAS AÑO 5 2]])</f>
        <v>799.99999999999977</v>
      </c>
      <c r="AJ58" s="344">
        <f>IF(Tabla1[[#This Row],[CANTIDADES A UTILIZAR EN EL AÑO 1 2]]=0,0,Tabla1[[#This Row],[CANTIDADES A UTILIZAR EN EL AÑO 1 2]]*1/Tabla1[[#This Row],[UNIDADES PRODUCIDAS AÑO 1 2]])</f>
        <v>1</v>
      </c>
      <c r="AK58" s="344">
        <f>$D$13*(1+BASES!$E$10)</f>
        <v>80.896000000000015</v>
      </c>
      <c r="AL58" s="344">
        <f>Tabla1[[#This Row],[COSTO UNITARIO AÑO 2 2]]*(1+BASES!$F$10)</f>
        <v>81.80203520000002</v>
      </c>
      <c r="AM58" s="344">
        <f>Tabla1[[#This Row],[COSTO UNITARIO AÑO 3 2]]*(1+BASES!$G$10)</f>
        <v>82.718217994240035</v>
      </c>
      <c r="AN58" s="344">
        <f>Tabla1[[#This Row],[COSTO UNITARIO AÑO 4 2]]*(1+BASES!$H$10)</f>
        <v>83.644662035775525</v>
      </c>
      <c r="AO58" s="344">
        <f>Tabla1[[#This Row],[COSTO POR UNIDAD DE PRODUCTO (2)]]*$D$13*VLOOKUP(Tabla1[[#This Row],[CÓDIGO DEL PRODUCTO Y/O SERVICIO ]],Tabla3[],3)</f>
        <v>40000</v>
      </c>
      <c r="AP58" s="344">
        <f>Tabla1[[#This Row],[COSTO POR UNIDAD DE PRODUCTO (2)]]*Tabla1[[#This Row],[COSTO UNITARIO AÑO 2 2]]*VLOOKUP(Tabla1[[#This Row],[CÓDIGO DEL PRODUCTO Y/O SERVICIO ]],Tabla3[],6)</f>
        <v>55009.280000000013</v>
      </c>
      <c r="AQ58" s="344">
        <f>Tabla1[[#This Row],[COSTO POR UNIDAD DE PRODUCTO (2)]]*Tabla1[[#This Row],[COSTO UNITARIO AÑO 3 2]]*VLOOKUP(Tabla1[[#This Row],[CÓDIGO DEL PRODUCTO Y/O SERVICIO ]],Tabla3[],10)</f>
        <v>57261.424640000012</v>
      </c>
      <c r="AR58" s="344">
        <f>Tabla1[[#This Row],[COSTO POR UNIDAD DE PRODUCTO (2)]]*Tabla1[[#This Row],[COSTO UNITARIO AÑO 4 2]]*VLOOKUP(Tabla1[[#This Row],[CÓDIGO DEL PRODUCTO Y/O SERVICIO ]],Tabla3[],14)</f>
        <v>62038.663495680026</v>
      </c>
      <c r="AS58" s="344">
        <f>Tabla1[[#This Row],[COSTO POR UNIDAD DE PRODUCTO (2)]]*Tabla1[[#This Row],[COSTO UNITARIO AÑO 5 2]]*VLOOKUP(Tabla1[[#This Row],[CÓDIGO DEL PRODUCTO Y/O SERVICIO ]],Tabla3[],18)</f>
        <v>66915.729628620422</v>
      </c>
      <c r="AT58" s="114">
        <f>VLOOKUP(Tabla1[[#This Row],[CÓDIGO DEL PRODUCTO Y/O SERVICIO ]],Tabla3[],3)</f>
        <v>500</v>
      </c>
      <c r="AU58" s="114">
        <f>H42*Tabla1[[#This Row],[UNIDADES PRODUCIDAS AÑO 1 3]]</f>
        <v>0</v>
      </c>
      <c r="AV58" s="112">
        <f>VLOOKUP(Tabla1[[#This Row],[CÓDIGO DEL PRODUCTO Y/O SERVICIO ]],Tabla3[],9)</f>
        <v>0.36</v>
      </c>
      <c r="AW58" s="114">
        <f>Tabla1[[#This Row],[CANTIDADES A UTILIZAR  AÑO 1 3]]*(1+Tabla1[[#This Row],[CAMBIO PORCENTUAL EN UNIDADES VENDIDAS AÑO 2 3]])</f>
        <v>0</v>
      </c>
      <c r="AX58" s="112">
        <f>VLOOKUP(Tabla1[[#This Row],[CÓDIGO DEL PRODUCTO Y/O SERVICIO ]],Tabla3[],13)</f>
        <v>2.9411764705882353E-2</v>
      </c>
      <c r="AY58" s="114">
        <f>Tabla1[[#This Row],[CANTIDADES A UTILIZAR  AÑO 2 3]]*(1+Tabla1[[#This Row],[CAMBIO PORCENTUAL EN UNIDADES VENDIDAS AÑO 3 3]])</f>
        <v>0</v>
      </c>
      <c r="AZ58" s="112">
        <f>VLOOKUP(Tabla1[[#This Row],[CÓDIGO DEL PRODUCTO Y/O SERVICIO ]],Tabla3[],17)</f>
        <v>7.1428571428571425E-2</v>
      </c>
      <c r="BA58" s="114">
        <f>Tabla1[[#This Row],[CANTIDADES A UTILIZAR  AÑO 3 3]]*(1+Tabla1[[#This Row],[CAMBIO PORCENTUAL EN UNIDADES VENDIDAS AÑO 4 3]])</f>
        <v>0</v>
      </c>
      <c r="BB58" s="112">
        <f>VLOOKUP(Tabla1[[#This Row],[CÓDIGO DEL PRODUCTO Y/O SERVICIO ]],Tabla3[],21)</f>
        <v>6.6666666666666666E-2</v>
      </c>
      <c r="BC58" s="114">
        <f>Tabla1[[#This Row],[CANTIDADES A UTILIZAR  AÑO 4 3]]*(1+Tabla1[[#This Row],[CAMBIO PORCENTUAL EN UNIDADES VENDIDAS AÑO 5 3]])</f>
        <v>0</v>
      </c>
      <c r="BD58" s="344">
        <f>IF(Tabla1[[#This Row],[CANTIDADES A UTILIZAR  AÑO 1 3]]=0,0,Tabla1[[#This Row],[CANTIDADES A UTILIZAR  AÑO 1 3]]*1/Tabla1[[#This Row],[UNIDADES PRODUCIDAS AÑO 1 3]])</f>
        <v>0</v>
      </c>
      <c r="BE58" s="344">
        <f>$D$14*(1+BASES!$E$10)</f>
        <v>50.56</v>
      </c>
      <c r="BF58" s="344">
        <f>Tabla1[[#This Row],[COSTO UNITARIO AÑO 2 3]]*(1+BASES!$F$10)</f>
        <v>51.126272000000007</v>
      </c>
      <c r="BG58" s="344">
        <f>Tabla1[[#This Row],[COSTO UNITARIO AÑO 3 3]]*(1+BASES!$G$10)</f>
        <v>51.698886246400015</v>
      </c>
      <c r="BH58" s="344">
        <f>Tabla1[[#This Row],[COSTO UNITARIO AÑO 4 3]]*(1+BASES!$H$10)</f>
        <v>52.277913772359703</v>
      </c>
      <c r="BI58" s="344">
        <f>Tabla1[[#This Row],[COSTO POR UNIDAD DE PRODUCTO (3)]]*$D$14*VLOOKUP(Tabla1[[#This Row],[CÓDIGO DEL PRODUCTO Y/O SERVICIO ]],Tabla3[],3)</f>
        <v>0</v>
      </c>
      <c r="BJ58" s="344">
        <f>Tabla1[[#This Row],[COSTO POR UNIDAD DE PRODUCTO (3)]]*Tabla1[[#This Row],[COSTO UNITARIO AÑO 2 3]]*VLOOKUP(Tabla1[[#This Row],[CÓDIGO DEL PRODUCTO Y/O SERVICIO ]],Tabla3[],6)</f>
        <v>0</v>
      </c>
      <c r="BK58" s="344">
        <f>Tabla1[[#This Row],[COSTO POR UNIDAD DE PRODUCTO (3)]]*Tabla1[[#This Row],[COSTO UNITARIO AÑO 3 3]]*VLOOKUP(Tabla1[[#This Row],[CÓDIGO DEL PRODUCTO Y/O SERVICIO ]],Tabla3[],10)</f>
        <v>0</v>
      </c>
      <c r="BL58" s="344">
        <f>Tabla1[[#This Row],[COSTO POR UNIDAD DE PRODUCTO (3)]]*Tabla1[[#This Row],[COSTO UNITARIO AÑO 4 3]]*VLOOKUP(Tabla1[[#This Row],[CÓDIGO DEL PRODUCTO Y/O SERVICIO ]],Tabla3[],14)</f>
        <v>0</v>
      </c>
      <c r="BM58" s="344">
        <f>Tabla1[[#This Row],[COSTO POR UNIDAD DE PRODUCTO (3)]]*Tabla1[[#This Row],[ COSTO UNITARIO AÑO 5 3]]*VLOOKUP(Tabla1[[#This Row],[CÓDIGO DEL PRODUCTO Y/O SERVICIO ]],Tabla3[],18)</f>
        <v>0</v>
      </c>
      <c r="BN58" s="114">
        <f>VLOOKUP(Tabla1[[#This Row],[CÓDIGO DEL PRODUCTO Y/O SERVICIO ]],Tabla3[],3)</f>
        <v>500</v>
      </c>
      <c r="BO58" s="114">
        <f>I42*Tabla1[[#This Row],[UNIDADES PRODUCIDAS AÑO 1 4]]</f>
        <v>0</v>
      </c>
      <c r="BP58" s="112">
        <f>VLOOKUP(Tabla1[[#This Row],[CÓDIGO DEL PRODUCTO Y/O SERVICIO ]],Tabla3[],9)</f>
        <v>0.36</v>
      </c>
      <c r="BQ58" s="114">
        <f>Tabla1[[#This Row],[CANTIDADES A UTILIZAR  AÑO 1 4]]*(1+Tabla1[[#This Row],[CAMBIO PORCENTUAL EN UNIDADES VENDIDAS AÑO 2 4]])</f>
        <v>0</v>
      </c>
      <c r="BR58" s="112">
        <f>VLOOKUP(Tabla1[[#This Row],[CÓDIGO DEL PRODUCTO Y/O SERVICIO ]],Tabla3[],13)</f>
        <v>2.9411764705882353E-2</v>
      </c>
      <c r="BS58" s="114">
        <f>Tabla1[[#This Row],[CANTIDADES A UTILIZAR  AÑO 2 4]]*(1+Tabla1[[#This Row],[CAMBIO PORCENTUAL EN UNIDADES VENDIDAS AÑO 3 4]])</f>
        <v>0</v>
      </c>
      <c r="BT58" s="112">
        <f>VLOOKUP(Tabla1[[#This Row],[CÓDIGO DEL PRODUCTO Y/O SERVICIO ]],Tabla3[],17)</f>
        <v>7.1428571428571425E-2</v>
      </c>
      <c r="BU58" s="114">
        <f>Tabla1[[#This Row],[CANTIDADES A UTILIZAR  AÑO 3 4]]*(1+Tabla1[[#This Row],[CAMBIO PORCENTUAL EN UNIDADES VENDIDAS AÑO 4 4]])</f>
        <v>0</v>
      </c>
      <c r="BV58" s="112">
        <f>VLOOKUP(Tabla1[[#This Row],[CÓDIGO DEL PRODUCTO Y/O SERVICIO ]],Tabla3[],21)</f>
        <v>6.6666666666666666E-2</v>
      </c>
      <c r="BW58" s="114">
        <f>Tabla1[[#This Row],[CANTIDADES A UTILIZAR  AÑO 4 4]]*(1+Tabla1[[#This Row],[CAMBIO PORCENTUAL EN UNIDADES VENDIDAS AÑO 5 4]])</f>
        <v>0</v>
      </c>
      <c r="BX58" s="344">
        <f>IF(Tabla1[[#This Row],[CANTIDADES A UTILIZAR  AÑO 1 4]]=0,0,Tabla1[[#This Row],[CANTIDADES A UTILIZAR  AÑO 1 4]]*1/Tabla1[[#This Row],[UNIDADES PRODUCIDAS AÑO 1 4]])</f>
        <v>0</v>
      </c>
      <c r="BY58" s="344">
        <f>$D$15*(1+BASES!$E$10)</f>
        <v>171.90400000000002</v>
      </c>
      <c r="BZ58" s="344">
        <f>Tabla1[[#This Row],[COSTO UNITARIO AÑO 2 4]]*(1+BASES!$F$10)</f>
        <v>173.82932480000005</v>
      </c>
      <c r="CA58" s="344">
        <f>Tabla1[[#This Row],[COSTO UNITARIO AÑO 3 4]]*(1+BASES!$G$10)</f>
        <v>175.77621323776006</v>
      </c>
      <c r="CB58" s="344">
        <f>Tabla1[[#This Row],[COSTO UNITARIO AÑO 4 4]]*(1+BASES!$H$10)</f>
        <v>177.744906826023</v>
      </c>
      <c r="CC58" s="344">
        <f>Tabla1[[#This Row],[COSTO POR UNIDAD DE PRODUCTO (4) ]]*$D$15*VLOOKUP(Tabla1[[#This Row],[CÓDIGO DEL PRODUCTO Y/O SERVICIO ]],Tabla3[],3)</f>
        <v>0</v>
      </c>
      <c r="CD58" s="344">
        <f>Tabla1[[#This Row],[COSTO POR UNIDAD DE PRODUCTO (4) ]]*Tabla1[[#This Row],[COSTO UNITARIO AÑO 2 4]]*VLOOKUP(Tabla1[[#This Row],[CÓDIGO DEL PRODUCTO Y/O SERVICIO ]],Tabla3[],6)</f>
        <v>0</v>
      </c>
      <c r="CE58" s="344">
        <f>Tabla1[[#This Row],[COSTO POR UNIDAD DE PRODUCTO (4) ]]*Tabla1[[#This Row],[COSTO UNITARIO AÑO 3 4]]*VLOOKUP(Tabla1[[#This Row],[CÓDIGO DEL PRODUCTO Y/O SERVICIO ]],Tabla3[],10)</f>
        <v>0</v>
      </c>
      <c r="CF58" s="344">
        <f>Tabla1[[#This Row],[COSTO POR UNIDAD DE PRODUCTO (4) ]]*Tabla1[[#This Row],[COSTO UNITARIO AÑO 4 4]]*VLOOKUP(Tabla1[[#This Row],[CÓDIGO DEL PRODUCTO Y/O SERVICIO ]],Tabla3[],14)</f>
        <v>0</v>
      </c>
      <c r="CG58" s="344">
        <f>Tabla1[[#This Row],[COSTO POR UNIDAD DE PRODUCTO (4) ]]*Tabla1[[#This Row],[COSTO UNITARIO AÑO 5 4]]*VLOOKUP(Tabla1[[#This Row],[CÓDIGO DEL PRODUCTO Y/O SERVICIO ]],Tabla3[],18)</f>
        <v>0</v>
      </c>
      <c r="CH58" s="114">
        <f>VLOOKUP(Tabla1[[#This Row],[CÓDIGO DEL PRODUCTO Y/O SERVICIO ]],Tabla3[],3)</f>
        <v>500</v>
      </c>
      <c r="CI58" s="114">
        <f>Tabla1[[#This Row],[UNIDAS PRODUCIDAS AÑO 1 5]]*J42</f>
        <v>0</v>
      </c>
      <c r="CJ58" s="112">
        <f>VLOOKUP(Tabla1[[#This Row],[CÓDIGO DEL PRODUCTO Y/O SERVICIO ]],Tabla3[],9)</f>
        <v>0.36</v>
      </c>
      <c r="CK58" s="114">
        <f>Tabla1[[#This Row],[CANTIDADES A UTILIZAR  AÑO 1 5]]*(1+Tabla1[[#This Row],[CAMBIO PORCENTUAL EN UNIDADES VENDIDAS AÑO 2 5]])</f>
        <v>0</v>
      </c>
      <c r="CL58" s="112">
        <f>VLOOKUP(Tabla1[[#This Row],[CÓDIGO DEL PRODUCTO Y/O SERVICIO ]],Tabla3[],13)</f>
        <v>2.9411764705882353E-2</v>
      </c>
      <c r="CM58" s="114">
        <f>Tabla1[[#This Row],[CANTIDADES A UTILIZAR  AÑO 2 5]]*(1+Tabla1[[#This Row],[CAMBIO PORCENTUAL EN UNIDADES VENDIDAS AÑO 3 5]])</f>
        <v>0</v>
      </c>
      <c r="CN58" s="112">
        <f>VLOOKUP(Tabla1[[#This Row],[CÓDIGO DEL PRODUCTO Y/O SERVICIO ]],Tabla3[],17)</f>
        <v>7.1428571428571425E-2</v>
      </c>
      <c r="CO58" s="114">
        <f>Tabla1[[#This Row],[CANTIDADES A UTILIZAR  AÑO 3 5]]*(1+Tabla1[[#This Row],[CAMBIO PORCENTUAL EN UNIDADES VENDIDAS AÑO 4 5]])</f>
        <v>0</v>
      </c>
      <c r="CP58" s="112">
        <f>VLOOKUP(Tabla1[[#This Row],[CÓDIGO DEL PRODUCTO Y/O SERVICIO ]],Tabla3[],21)</f>
        <v>6.6666666666666666E-2</v>
      </c>
      <c r="CQ58" s="114">
        <f>Tabla1[[#This Row],[CANTIDADES A UTILIZAR  AÑO 4 5]]*(1+Tabla1[[#This Row],[CAMBIO PORCENTUAL EN UNIDADES VENDIDAS AÑO 5 5]])</f>
        <v>0</v>
      </c>
      <c r="CR58" s="344">
        <f>IF(Tabla1[[#This Row],[CANTIDADES A UTILIZAR  AÑO 1 5]]=0,0,Tabla1[[#This Row],[CANTIDADES A UTILIZAR  AÑO 1 5]]*1/Tabla1[[#This Row],[UNIDAS PRODUCIDAS AÑO 1 5]])</f>
        <v>0</v>
      </c>
      <c r="CS58" s="344">
        <f>$D$16*(1+BASES!$E$10)</f>
        <v>3033.6000000000004</v>
      </c>
      <c r="CT58" s="344">
        <f>Tabla1[[#This Row],[COSTO UNITARIO AÑO 2 5]]*(1+BASES!$F$10)</f>
        <v>3067.5763200000006</v>
      </c>
      <c r="CU58" s="344">
        <f>Tabla1[[#This Row],[COSTO UNITARIO AÑO 3 5]]*(1+BASES!$G$10)</f>
        <v>3101.933174784001</v>
      </c>
      <c r="CV58" s="344">
        <f>Tabla1[[#This Row],[COSTO UNITARIO AÑO 4 5]]*(1+BASES!$H$10)</f>
        <v>3136.674826341582</v>
      </c>
      <c r="CW58" s="344">
        <f>Tabla1[[#This Row],[COSTO POR UNIDAD DE PRODUCTO (5)]]*$D$16*VLOOKUP(Tabla1[[#This Row],[CÓDIGO DEL PRODUCTO Y/O SERVICIO ]],Tabla3[],3)</f>
        <v>0</v>
      </c>
      <c r="CX58" s="344">
        <f>Tabla1[[#This Row],[COSTO POR UNIDAD DE PRODUCTO (5)]]*Tabla1[[#This Row],[COSTO UNITARIO AÑO 2 5]]*VLOOKUP(Tabla1[[#This Row],[CÓDIGO DEL PRODUCTO Y/O SERVICIO ]],Tabla3[],6)</f>
        <v>0</v>
      </c>
      <c r="CY58" s="344">
        <f>Tabla1[[#This Row],[COSTO POR UNIDAD DE PRODUCTO (5)]]*Tabla1[[#This Row],[COSTO UNITARIO AÑO 3 5]]*VLOOKUP(Tabla1[[#This Row],[CÓDIGO DEL PRODUCTO Y/O SERVICIO ]],Tabla3[],10)</f>
        <v>0</v>
      </c>
      <c r="CZ58" s="344">
        <f>Tabla1[[#This Row],[COSTO POR UNIDAD DE PRODUCTO (5)]]*Tabla1[[#This Row],[COSTO UNITARIO AÑO 4 5]]*VLOOKUP(Tabla1[[#This Row],[CÓDIGO DEL PRODUCTO Y/O SERVICIO ]],Tabla3[],14)</f>
        <v>0</v>
      </c>
      <c r="DA58" s="344">
        <f>Tabla1[[#This Row],[COSTO POR UNIDAD DE PRODUCTO (5)]]*Tabla1[[#This Row],[COSTO UNITARIO AÑO 5 5 ]]*VLOOKUP(Tabla1[[#This Row],[CÓDIGO DEL PRODUCTO Y/O SERVICIO ]],Tabla3[],18)</f>
        <v>0</v>
      </c>
      <c r="DB58" s="114">
        <f>VLOOKUP(Tabla1[[#This Row],[CÓDIGO DEL PRODUCTO Y/O SERVICIO ]],Tabla3[],3)</f>
        <v>500</v>
      </c>
      <c r="DC58" s="114">
        <f>Tabla1[[#This Row],[UNIDADES PRODUCIDAS AÑO 1 6]]*K42</f>
        <v>0</v>
      </c>
      <c r="DD58" s="112">
        <f>VLOOKUP(Tabla1[[#This Row],[CÓDIGO DEL PRODUCTO Y/O SERVICIO ]],Tabla3[],9)</f>
        <v>0.36</v>
      </c>
      <c r="DE58" s="114">
        <f>Tabla1[[#This Row],[CANTIDADES A UTILIZAR  AÑO 1 6]]*(1+Tabla1[[#This Row],[CAMBIO PORCENTUAL EN UNIDADES VENDIDAS AÑO 2 6]])</f>
        <v>0</v>
      </c>
      <c r="DF58" s="112">
        <f>VLOOKUP(Tabla1[[#This Row],[CÓDIGO DEL PRODUCTO Y/O SERVICIO ]],Tabla3[],13)</f>
        <v>2.9411764705882353E-2</v>
      </c>
      <c r="DG58" s="114">
        <f>Tabla1[[#This Row],[CANTIDADES A UTILIZAR  AÑO 2 6]]*(1+Tabla1[[#This Row],[CAMBIO PORCENTUAL EN UNIDADES VENDIDAS AÑO 3 6]])</f>
        <v>0</v>
      </c>
      <c r="DH58" s="112">
        <f>VLOOKUP(Tabla1[[#This Row],[CÓDIGO DEL PRODUCTO Y/O SERVICIO ]],Tabla3[],17)</f>
        <v>7.1428571428571425E-2</v>
      </c>
      <c r="DI58" s="114">
        <f>Tabla1[[#This Row],[CANTIDADES A UTILIZAR  AÑO 3 6 ]]*(1+Tabla1[[#This Row],[CAMBIO PORCENTUAL EN UNIDADES VENDIDAS AÑO 4 6]])</f>
        <v>0</v>
      </c>
      <c r="DJ58" s="112">
        <f>VLOOKUP(Tabla1[[#This Row],[CÓDIGO DEL PRODUCTO Y/O SERVICIO ]],Tabla3[],21)</f>
        <v>6.6666666666666666E-2</v>
      </c>
      <c r="DK58" s="114">
        <f>Tabla1[[#This Row],[CANTIDADES A UTILIZAR  AÑO 4 6]]*(1+Tabla1[[#This Row],[CAMBIO PORCENTUAL EN UNIDADES VENDIDAS AÑO 5 6]])</f>
        <v>0</v>
      </c>
      <c r="DL58" s="344">
        <f>IF(Tabla1[[#This Row],[CANTIDADES A UTILIZAR  AÑO 1 6]]=0,0,Tabla1[[#This Row],[CANTIDADES A UTILIZAR  AÑO 1 6]]*1/Tabla1[[#This Row],[UNIDADES PRODUCIDAS AÑO 1 6]])</f>
        <v>0</v>
      </c>
      <c r="DM58" s="344">
        <f>$D$17*(1+BASES!$E$10)</f>
        <v>2528.0000000000005</v>
      </c>
      <c r="DN58" s="344">
        <f>Tabla1[[#This Row],[COSTO UNITARIO AÑO 2 6]]*(1+BASES!$F$10)</f>
        <v>2556.3136000000009</v>
      </c>
      <c r="DO58" s="344">
        <f>Tabla1[[#This Row],[COSTO UNITARIO AÑO 3 6]]*(1+BASES!$G$10)</f>
        <v>2584.9443123200012</v>
      </c>
      <c r="DP58" s="344">
        <f>Tabla1[[#This Row],[COSTO UNITARIO AÑO 4 6 ]]*(1+BASES!$H$10)</f>
        <v>2613.8956886179853</v>
      </c>
      <c r="DQ58" s="344">
        <f>Tabla1[[#This Row],[COSTO POR UNIDAD DE PRODUCTO (6)]]*$D$17*VLOOKUP(Tabla1[[#This Row],[CÓDIGO DEL PRODUCTO Y/O SERVICIO ]],Tabla3[],3)</f>
        <v>0</v>
      </c>
      <c r="DR58" s="344">
        <f>Tabla1[[#This Row],[COSTO POR UNIDAD DE PRODUCTO (6)]]*Tabla1[[#This Row],[COSTO UNITARIO AÑO 2 6]]*VLOOKUP(Tabla1[[#This Row],[CÓDIGO DEL PRODUCTO Y/O SERVICIO ]],Tabla3[],6)</f>
        <v>0</v>
      </c>
      <c r="DS58" s="344">
        <f>Tabla1[[#This Row],[COSTO POR UNIDAD DE PRODUCTO (6)]]*Tabla1[[#This Row],[COSTO UNITARIO AÑO 3 6]]*VLOOKUP(Tabla1[[#This Row],[CÓDIGO DEL PRODUCTO Y/O SERVICIO ]],Tabla3[],10)</f>
        <v>0</v>
      </c>
      <c r="DT58" s="344">
        <f>Tabla1[[#This Row],[COSTO POR UNIDAD DE PRODUCTO (6)]]*Tabla1[[#This Row],[COSTO UNITARIO AÑO 4 6 ]]*VLOOKUP(Tabla1[[#This Row],[CÓDIGO DEL PRODUCTO Y/O SERVICIO ]],Tabla3[],14)</f>
        <v>0</v>
      </c>
      <c r="DU58" s="344">
        <f>Tabla1[[#This Row],[COSTO POR UNIDAD DE PRODUCTO (6)]]*Tabla1[[#This Row],[COSTO UNITARIO AÑO 5 6]]*VLOOKUP(Tabla1[[#This Row],[CÓDIGO DEL PRODUCTO Y/O SERVICIO ]],Tabla3[],18)</f>
        <v>0</v>
      </c>
      <c r="DV58" s="114">
        <f>VLOOKUP(Tabla1[[#This Row],[CÓDIGO DEL PRODUCTO Y/O SERVICIO ]],Tabla3[],3)</f>
        <v>500</v>
      </c>
      <c r="DW58" s="114">
        <f>Tabla1[[#This Row],[UNIDADES PRODUCIDAS AÑO 1 7]]*L42</f>
        <v>500</v>
      </c>
      <c r="DX58" s="112">
        <f>VLOOKUP(Tabla1[[#This Row],[CÓDIGO DEL PRODUCTO Y/O SERVICIO ]],Tabla3[],9)</f>
        <v>0.36</v>
      </c>
      <c r="DY58" s="114">
        <f>Tabla1[[#This Row],[CANTIDADES A UTILIZAR  AÑO 1 7]]*(1+Tabla1[[#This Row],[CAMBIO PORCENTUAL EN UNIDADES VENDIDAS AÑO 2 7]])</f>
        <v>679.99999999999989</v>
      </c>
      <c r="DZ58" s="112">
        <f>VLOOKUP(Tabla1[[#This Row],[CÓDIGO DEL PRODUCTO Y/O SERVICIO ]],Tabla3[],13)</f>
        <v>2.9411764705882353E-2</v>
      </c>
      <c r="EA58" s="114">
        <f>Tabla1[[#This Row],[CANTIDADES A UTILIZAR  AÑO 2 7]]*(1+Tabla1[[#This Row],[CAMBIO PORCENTUAL EN UNIDADES VENDIDAS AÑO 3 7]])</f>
        <v>699.99999999999977</v>
      </c>
      <c r="EB58" s="112">
        <f>VLOOKUP(Tabla1[[#This Row],[CÓDIGO DEL PRODUCTO Y/O SERVICIO ]],Tabla3[],17)</f>
        <v>7.1428571428571425E-2</v>
      </c>
      <c r="EC58" s="114">
        <f>Tabla1[[#This Row],[CANTIDADES A UTILIZAR  AÑO 3 7 ]]*(1+Tabla1[[#This Row],[CAMBIO PORCENTUAL EN UNIDADES VENDIDAS AÑO 4 7]])</f>
        <v>749.99999999999977</v>
      </c>
      <c r="ED58" s="112">
        <f>VLOOKUP(Tabla1[[#This Row],[CÓDIGO DEL PRODUCTO Y/O SERVICIO ]],Tabla3[],21)</f>
        <v>6.6666666666666666E-2</v>
      </c>
      <c r="EE58" s="114">
        <f>Tabla1[[#This Row],[CANTIDADES A UTILIZAR  AÑO 4 7]]*(1+Tabla1[[#This Row],[CAMBIO PORCENTUAL EN UNIDADES VENDIDAS AÑO 5 7]])</f>
        <v>799.99999999999977</v>
      </c>
      <c r="EF58" s="344">
        <f>IF(Tabla1[[#This Row],[CANTIDADES A UTILIZAR  AÑO 1 7]]=0,0,Tabla1[[#This Row],[CANTIDADES A UTILIZAR  AÑO 1 7]]*1/Tabla1[[#This Row],[UNIDADES PRODUCIDAS AÑO 1 7]])</f>
        <v>1</v>
      </c>
      <c r="EG58" s="344">
        <f>$D$18*(1+BASES!$E$10)</f>
        <v>171.90400000000002</v>
      </c>
      <c r="EH58" s="344">
        <f>Tabla1[[#This Row],[COSTO UNITARIO AÑO 2 7]]*(1+BASES!$F$10)</f>
        <v>173.82932480000005</v>
      </c>
      <c r="EI58" s="344">
        <f>Tabla1[[#This Row],[COSTO UNITARIO AÑO 3 7]]*(1+BASES!$G$10)</f>
        <v>175.77621323776006</v>
      </c>
      <c r="EJ58" s="344">
        <f>Tabla1[[#This Row],[COSTO UNITARIO AÑO 4 7]]*(1+BASES!$H$10)</f>
        <v>177.744906826023</v>
      </c>
      <c r="EK58" s="344">
        <f>Tabla1[[#This Row],[COSTO POR UNIDAD DE PRODUCTO (7)]]*$D$18*VLOOKUP(Tabla1[[#This Row],[CÓDIGO DEL PRODUCTO Y/O SERVICIO ]],Tabla3[],3)</f>
        <v>85000</v>
      </c>
      <c r="EL58" s="344">
        <f>Tabla1[[#This Row],[COSTO POR UNIDAD DE PRODUCTO (7)]]*Tabla1[[#This Row],[COSTO UNITARIO AÑO 2 7]]*VLOOKUP(Tabla1[[#This Row],[CÓDIGO DEL PRODUCTO Y/O SERVICIO ]],Tabla3[],6)</f>
        <v>116894.72000000002</v>
      </c>
      <c r="EM58" s="344">
        <f>Tabla1[[#This Row],[COSTO POR UNIDAD DE PRODUCTO (7)]]*Tabla1[[#This Row],[COSTO UNITARIO AÑO 3 7]]*VLOOKUP(Tabla1[[#This Row],[CÓDIGO DEL PRODUCTO Y/O SERVICIO ]],Tabla3[],10)</f>
        <v>121680.52736000004</v>
      </c>
      <c r="EN58" s="344">
        <f>Tabla1[[#This Row],[COSTO POR UNIDAD DE PRODUCTO (7)]]*Tabla1[[#This Row],[COSTO UNITARIO AÑO 4 7]]*VLOOKUP(Tabla1[[#This Row],[CÓDIGO DEL PRODUCTO Y/O SERVICIO ]],Tabla3[],14)</f>
        <v>131832.15992832003</v>
      </c>
      <c r="EO58" s="344">
        <f>Tabla1[[#This Row],[COSTO POR UNIDAD DE PRODUCTO (7)]]*Tabla1[[#This Row],[COSTO UNITARIO AÑO 5 7]]*VLOOKUP(Tabla1[[#This Row],[CÓDIGO DEL PRODUCTO Y/O SERVICIO ]],Tabla3[],18)</f>
        <v>142195.9254608184</v>
      </c>
      <c r="EP58" s="114">
        <f>VLOOKUP(Tabla1[[#This Row],[CÓDIGO DEL PRODUCTO Y/O SERVICIO ]],Tabla3[],3)</f>
        <v>500</v>
      </c>
      <c r="EQ58" s="114">
        <f>Tabla1[[#This Row],[UNIDADES PRODUCIDAS AÑO 1 8]]*M42</f>
        <v>0</v>
      </c>
      <c r="ER58" s="112">
        <f>VLOOKUP(Tabla1[[#This Row],[CÓDIGO DEL PRODUCTO Y/O SERVICIO ]],Tabla3[],9)</f>
        <v>0.36</v>
      </c>
      <c r="ES58" s="114">
        <f>Tabla1[[#This Row],[CANTIDADES A UTILIZAR  AÑO 1 8]]*(1+Tabla1[[#This Row],[CAMBIO PORCENTUAL EN UNIDADES VENDIDAS AÑO 2 8]])</f>
        <v>0</v>
      </c>
      <c r="ET58" s="112">
        <f>VLOOKUP(Tabla1[[#This Row],[CÓDIGO DEL PRODUCTO Y/O SERVICIO ]],Tabla3[],13)</f>
        <v>2.9411764705882353E-2</v>
      </c>
      <c r="EU58" s="114">
        <f>Tabla1[[#This Row],[CANTIDADES A UTILIZAR  AÑO 2 8]]*(1+Tabla1[[#This Row],[CAMBIO PORCENTUAL EN UNIDADES VENDIDAS AÑO 3 8]])</f>
        <v>0</v>
      </c>
      <c r="EV58" s="112">
        <f>VLOOKUP(Tabla1[[#This Row],[CÓDIGO DEL PRODUCTO Y/O SERVICIO ]],Tabla3[],17)</f>
        <v>7.1428571428571425E-2</v>
      </c>
      <c r="EW58" s="114">
        <f>Tabla1[[#This Row],[CANTIDADES A UTILIZAR  AÑO 3 8]]*(1+Tabla1[[#This Row],[CAMBIO PORCENTUAL EN UNIDADES VENDIDAS AÑO 4 8]])</f>
        <v>0</v>
      </c>
      <c r="EX58" s="112">
        <f>VLOOKUP(Tabla1[[#This Row],[CÓDIGO DEL PRODUCTO Y/O SERVICIO ]],Tabla3[],21)</f>
        <v>6.6666666666666666E-2</v>
      </c>
      <c r="EY58" s="114">
        <f>Tabla1[[#This Row],[CANTIDADES A UTILIZAR  AÑO 4 8]]*(1+Tabla1[[#This Row],[CAMBIO PORCENTUAL EN UNIDADES VENDIDAS AÑO 5 8]])</f>
        <v>0</v>
      </c>
      <c r="EZ58" s="344">
        <f>IF(Tabla1[[#This Row],[CANTIDADES A UTILIZAR  AÑO 1 8]]=0,0,Tabla1[[#This Row],[CANTIDADES A UTILIZAR  AÑO 1 8]]*1/Tabla1[[#This Row],[UNIDADES PRODUCIDAS AÑO 1 8]])</f>
        <v>0</v>
      </c>
      <c r="FA58" s="344">
        <f>$D$19*(1+BASES!$E$10)</f>
        <v>303.36</v>
      </c>
      <c r="FB58" s="344">
        <f>Tabla1[[#This Row],[COSTO UNITARIO AÑO 2 8]]*(1+BASES!$F$10)</f>
        <v>306.75763200000006</v>
      </c>
      <c r="FC58" s="344">
        <f>Tabla1[[#This Row],[COSTO UNITARIO AÑO 3 8]]*(1+BASES!$G$10)</f>
        <v>310.1933174784001</v>
      </c>
      <c r="FD58" s="344">
        <f>Tabla1[[#This Row],[COSTO UNITARIO AÑO 4 8]]*(1+BASES!$H$10)</f>
        <v>313.6674826341582</v>
      </c>
      <c r="FE58" s="344">
        <f>Tabla1[[#This Row],[COSTO POR UNIDAD DE PRODUCTO (8)]]*$D$19*VLOOKUP(Tabla1[[#This Row],[CÓDIGO DEL PRODUCTO Y/O SERVICIO ]],Tabla3[],3)</f>
        <v>0</v>
      </c>
      <c r="FF58" s="344">
        <f>Tabla1[[#This Row],[COSTO POR UNIDAD DE PRODUCTO (8)]]*Tabla1[[#This Row],[COSTO UNITARIO AÑO 2 8]]*VLOOKUP(Tabla1[[#This Row],[CÓDIGO DEL PRODUCTO Y/O SERVICIO ]],Tabla3[],6)</f>
        <v>0</v>
      </c>
      <c r="FG58" s="344">
        <f>Tabla1[[#This Row],[COSTO POR UNIDAD DE PRODUCTO (8)]]*Tabla1[[#This Row],[COSTO UNITARIO AÑO 3 8]]*VLOOKUP(Tabla1[[#This Row],[CÓDIGO DEL PRODUCTO Y/O SERVICIO ]],Tabla3[],10)</f>
        <v>0</v>
      </c>
      <c r="FH58" s="344">
        <f>Tabla1[[#This Row],[COSTO POR UNIDAD DE PRODUCTO (8)]]*Tabla1[[#This Row],[COSTO UNITARIO AÑO 4 8]]*VLOOKUP(Tabla1[[#This Row],[CÓDIGO DEL PRODUCTO Y/O SERVICIO ]],Tabla3[],14)</f>
        <v>0</v>
      </c>
      <c r="FI58" s="344">
        <f>Tabla1[[#This Row],[COSTO POR UNIDAD DE PRODUCTO (8)]]*Tabla1[[#This Row],[COSTO UNITARIO AÑO 5 8]]*VLOOKUP(Tabla1[[#This Row],[CÓDIGO DEL PRODUCTO Y/O SERVICIO ]],Tabla3[],18)</f>
        <v>0</v>
      </c>
      <c r="FJ58" s="346">
        <f>VLOOKUP(Tabla1[[#This Row],[CÓDIGO DEL PRODUCTO Y/O SERVICIO ]],Tabla3[],3)</f>
        <v>500</v>
      </c>
      <c r="FK58" s="346">
        <f>Tabla1[[#This Row],[UNIDADES PRODUCIDAS AÑO 1 9 ]]*N42</f>
        <v>0</v>
      </c>
      <c r="FL58" s="347">
        <f>VLOOKUP(Tabla1[[#This Row],[CÓDIGO DEL PRODUCTO Y/O SERVICIO ]],Tabla3[],9)</f>
        <v>0.36</v>
      </c>
      <c r="FM58" s="346">
        <f>Tabla1[[#This Row],[CANTIDADES A UTILIZAR  AÑO 1 9]]*(1+Tabla1[[#This Row],[CAMBIO PORCENTUAL EN UNIDADES VENDIDAS AÑO 2 9]])</f>
        <v>0</v>
      </c>
      <c r="FN58" s="347">
        <f>VLOOKUP(Tabla1[[#This Row],[CÓDIGO DEL PRODUCTO Y/O SERVICIO ]],Tabla3[],13)</f>
        <v>2.9411764705882353E-2</v>
      </c>
      <c r="FO58" s="346">
        <f>Tabla1[[#This Row],[CANTIDADES A UTILIZAR  AÑO 2 9]]*(1+Tabla1[[#This Row],[CAMBIO PORCENTUAL EN UNIDADES VENDIDAS AÑO 3 9]])</f>
        <v>0</v>
      </c>
      <c r="FP58" s="347">
        <f>VLOOKUP(Tabla1[[#This Row],[CÓDIGO DEL PRODUCTO Y/O SERVICIO ]],Tabla3[],17)</f>
        <v>7.1428571428571425E-2</v>
      </c>
      <c r="FQ58" s="346">
        <f>Tabla1[[#This Row],[CANTIDADES A UTILIZAR  AÑO 3 9]]*(1+Tabla1[[#This Row],[CAMBIO PORCENTUAL EN UNIDADES VENDIDAS AÑO 4 9 ]])</f>
        <v>0</v>
      </c>
      <c r="FR58" s="347">
        <f>VLOOKUP(Tabla1[[#This Row],[CÓDIGO DEL PRODUCTO Y/O SERVICIO ]],Tabla3[],21)</f>
        <v>6.6666666666666666E-2</v>
      </c>
      <c r="FS58" s="346">
        <f>Tabla1[[#This Row],[CANTIDADES A UTILIZAR  AÑO 4  9]]*(1+Tabla1[[#This Row],[CAMBIO PORCENTUAL EN UNIDADES VENDIDAS AÑO 5 9]])</f>
        <v>0</v>
      </c>
      <c r="FT58" s="348">
        <f>IF(Tabla1[[#This Row],[CANTIDADES A UTILIZAR  AÑO 1 9]]=0,0,Tabla1[[#This Row],[CANTIDADES A UTILIZAR  AÑO 1 9]]*1/Tabla1[[#This Row],[UNIDADES PRODUCIDAS AÑO 1 9 ]])</f>
        <v>0</v>
      </c>
      <c r="FU58" s="348">
        <f>$D$20*(1+BASES!$E$10)</f>
        <v>4550.4000000000005</v>
      </c>
      <c r="FV58" s="348">
        <f>Tabla1[[#This Row],[COSTO UNITARIO AÑO 2 9]]*(1+BASES!$F$10)</f>
        <v>4601.3644800000011</v>
      </c>
      <c r="FW58" s="348">
        <f>Tabla1[[#This Row],[COSTO UNITARIO AÑO 3 9]]*(1+BASES!$G$10)</f>
        <v>4652.8997621760018</v>
      </c>
      <c r="FX58" s="348">
        <f>Tabla1[[#This Row],[COSTO UNITARIO AÑO 4 9]]*(1+BASES!$H$10)</f>
        <v>4705.0122395123735</v>
      </c>
      <c r="FY58" s="348">
        <f>Tabla1[[#This Row],[COSTO POR UNIDAD DE PRODUCTO (9)]]*$D$20*VLOOKUP(Tabla1[[#This Row],[CÓDIGO DEL PRODUCTO Y/O SERVICIO ]],Tabla3[],3)</f>
        <v>0</v>
      </c>
      <c r="FZ58" s="348">
        <f>Tabla1[[#This Row],[COSTO POR UNIDAD DE PRODUCTO (9)]]*Tabla1[[#This Row],[COSTO UNITARIO AÑO 2 9]]*VLOOKUP(Tabla1[[#This Row],[CÓDIGO DEL PRODUCTO Y/O SERVICIO ]],Tabla3[],6)</f>
        <v>0</v>
      </c>
      <c r="GA58" s="348">
        <f>Tabla1[[#This Row],[COSTO POR UNIDAD DE PRODUCTO (9)]]*Tabla1[[#This Row],[COSTO UNITARIO AÑO 3 9]]*VLOOKUP(Tabla1[[#This Row],[CÓDIGO DEL PRODUCTO Y/O SERVICIO ]],Tabla3[],10)</f>
        <v>0</v>
      </c>
      <c r="GB58" s="348">
        <f>Tabla1[[#This Row],[COSTO POR UNIDAD DE PRODUCTO (9)]]*Tabla1[[#This Row],[COSTO UNITARIO AÑO 4 9]]*VLOOKUP(Tabla1[[#This Row],[CÓDIGO DEL PRODUCTO Y/O SERVICIO ]],Tabla3[],14)</f>
        <v>0</v>
      </c>
      <c r="GC58" s="348">
        <f>Tabla1[[#This Row],[COSTO POR UNIDAD DE PRODUCTO (9)]]*Tabla1[[#This Row],[COSTO UNITARIO AÑO 5 9]]*VLOOKUP(Tabla1[[#This Row],[CÓDIGO DEL PRODUCTO Y/O SERVICIO ]],Tabla3[],18)</f>
        <v>0</v>
      </c>
      <c r="GD58" s="346">
        <f>VLOOKUP(Tabla1[[#This Row],[CÓDIGO DEL PRODUCTO Y/O SERVICIO ]],Tabla3[],3)</f>
        <v>500</v>
      </c>
      <c r="GE58" s="346">
        <f>Tabla1[[#This Row],[UNIDADES PRODUCIDAS AÑO 1 10]]*O42</f>
        <v>0</v>
      </c>
      <c r="GF58" s="347">
        <f>VLOOKUP(Tabla1[[#This Row],[CÓDIGO DEL PRODUCTO Y/O SERVICIO ]],Tabla3[],9)</f>
        <v>0.36</v>
      </c>
      <c r="GG58" s="346">
        <f>Tabla1[[#This Row],[CANTIDADES A UTILIZAR  AÑO 1 10]]*(1+Tabla1[[#This Row],[CAMBIO PORCENTUAL EN UNIDADES VENDIDAS AÑO 2 10 ]])</f>
        <v>0</v>
      </c>
      <c r="GH58" s="347">
        <f>VLOOKUP(Tabla1[[#This Row],[CÓDIGO DEL PRODUCTO Y/O SERVICIO ]],Tabla3[],13)</f>
        <v>2.9411764705882353E-2</v>
      </c>
      <c r="GI58" s="346">
        <f>Tabla1[[#This Row],[CANTIDADES A UTILIZAR  AÑO 2 10]]*(1+Tabla1[[#This Row],[CAMBIO PORCENTUAL EN UNIDADES VENDIDAS AÑO 3 10]])</f>
        <v>0</v>
      </c>
      <c r="GJ58" s="347">
        <f>VLOOKUP(Tabla1[[#This Row],[CÓDIGO DEL PRODUCTO Y/O SERVICIO ]],Tabla3[],17)</f>
        <v>7.1428571428571425E-2</v>
      </c>
      <c r="GK58" s="346">
        <f>Tabla1[[#This Row],[CANTIDADES A UTILIZAR AÑO 3 10 ]]*(1+Tabla1[[#This Row],[CAMBIO PORCENTUAL EN UNIDADES VENDIDAS AÑO 4 10]])</f>
        <v>0</v>
      </c>
      <c r="GL58" s="347">
        <f>VLOOKUP(Tabla1[[#This Row],[CÓDIGO DEL PRODUCTO Y/O SERVICIO ]],Tabla3[],21)</f>
        <v>6.6666666666666666E-2</v>
      </c>
      <c r="GM58" s="346">
        <f>Tabla1[[#This Row],[CANTIDADES A UTILIZAR  AÑO 4 10 ]]*(1+Tabla1[[#This Row],[CAMBIO PORCENTUAL EN UNIDADES VENDIDAS AÑO 5 10]])</f>
        <v>0</v>
      </c>
      <c r="GN58" s="348">
        <f>IF(Tabla1[[#This Row],[CANTIDADES A UTILIZAR  AÑO 1 10]]=0,0,Tabla1[[#This Row],[CANTIDADES A UTILIZAR  AÑO 1 10]]*1/Tabla1[[#This Row],[UNIDADES PRODUCIDAS AÑO 1 10]])</f>
        <v>0</v>
      </c>
      <c r="GO58" s="348">
        <f>$D$21*(1+BASES!$E$10)</f>
        <v>334.81843200000003</v>
      </c>
      <c r="GP58" s="348">
        <f>Tabla1[[#This Row],[COSTO UNITARIO AÑO 2 10 ]]*(1+BASES!$F$10)</f>
        <v>338.56839843840004</v>
      </c>
      <c r="GQ58" s="348">
        <f>Tabla1[[#This Row],[COSTO UNITARIO AÑO 3 10]]*(1+BASES!$G$10)</f>
        <v>342.36036450091018</v>
      </c>
      <c r="GR58" s="348">
        <f>Tabla1[[#This Row],[COSTO UNITARIO AÑO 4 10]]*(1+BASES!$H$10)</f>
        <v>346.19480058332039</v>
      </c>
      <c r="GS58" s="348">
        <f>Tabla1[[#This Row],[COSTO POR UNIDAD DE PRODUCTO (10)]]*$D$21*VLOOKUP(Tabla1[[#This Row],[CÓDIGO DEL PRODUCTO Y/O SERVICIO ]],Tabla3[],3)</f>
        <v>0</v>
      </c>
      <c r="GT58" s="348">
        <f>Tabla1[[#This Row],[COSTO POR UNIDAD DE PRODUCTO (10)]]*Tabla1[[#This Row],[COSTO UNITARIO AÑO 2 10 ]]*VLOOKUP(Tabla1[[#This Row],[CÓDIGO DEL PRODUCTO Y/O SERVICIO ]],Tabla3[],6)</f>
        <v>0</v>
      </c>
      <c r="GU58" s="348">
        <f>Tabla1[[#This Row],[COSTO POR UNIDAD DE PRODUCTO (10)]]*Tabla1[[#This Row],[COSTO UNITARIO AÑO 3 10]]*VLOOKUP(Tabla1[[#This Row],[CÓDIGO DEL PRODUCTO Y/O SERVICIO ]],Tabla3[],10)</f>
        <v>0</v>
      </c>
      <c r="GV58" s="348">
        <f>Tabla1[[#This Row],[COSTO POR UNIDAD DE PRODUCTO (10)]]*Tabla1[[#This Row],[COSTO UNITARIO AÑO 4 10]]*VLOOKUP(Tabla1[[#This Row],[CÓDIGO DEL PRODUCTO Y/O SERVICIO ]],Tabla3[],14)</f>
        <v>0</v>
      </c>
      <c r="GW58" s="348">
        <f>Tabla1[[#This Row],[COSTO POR UNIDAD DE PRODUCTO (10)]]*Tabla1[[#This Row],[COSTO UNITARIO AÑO 5 10 ]]*VLOOKUP(Tabla1[[#This Row],[CÓDIGO DEL PRODUCTO Y/O SERVICIO ]],Tabla3[],18)</f>
        <v>0</v>
      </c>
      <c r="GX58" s="346">
        <f>VLOOKUP(Tabla1[[#This Row],[CÓDIGO DEL PRODUCTO Y/O SERVICIO ]],Tabla3[],3)</f>
        <v>500</v>
      </c>
      <c r="GY58" s="346">
        <f>Tabla1[[#This Row],[UNIDADES PRODUCIDAS AÑO 1 11]]*P42</f>
        <v>0</v>
      </c>
      <c r="GZ58" s="347">
        <f>VLOOKUP(Tabla1[[#This Row],[CÓDIGO DEL PRODUCTO Y/O SERVICIO ]],Tabla3[],9)</f>
        <v>0.36</v>
      </c>
      <c r="HA58" s="346">
        <f>Tabla1[[#This Row],[CANTIDADES A UTILIZAR  AÑO 1 11 ]]*(1+Tabla1[[#This Row],[CAMBIO PORCENTUAL EN UNIDADES VENDIDAS AÑO 2 11 ]])</f>
        <v>0</v>
      </c>
      <c r="HB58" s="347">
        <f>VLOOKUP(Tabla1[[#This Row],[CÓDIGO DEL PRODUCTO Y/O SERVICIO ]],Tabla3[],13)</f>
        <v>2.9411764705882353E-2</v>
      </c>
      <c r="HC58" s="346">
        <f>Tabla1[[#This Row],[CANTIDADES A UTILIZAR  AÑO 2 11 ]]*(1+Tabla1[[#This Row],[CAMBIO PORCENTUAL EN UNIDADES VENDIDAS AÑO 3 11]])</f>
        <v>0</v>
      </c>
      <c r="HD58" s="347">
        <f>VLOOKUP(Tabla1[[#This Row],[CÓDIGO DEL PRODUCTO Y/O SERVICIO ]],Tabla3[],17)</f>
        <v>7.1428571428571425E-2</v>
      </c>
      <c r="HE58" s="346">
        <f>Tabla1[[#This Row],[CANTIDADES A UTILIZAR  AÑO 3 11]]*(1+Tabla1[[#This Row],[CAMBIO PORCENTUAL EN UNIDADES VENDIDAS AÑO 4 11]])</f>
        <v>0</v>
      </c>
      <c r="HF58" s="347">
        <f>VLOOKUP(Tabla1[[#This Row],[CÓDIGO DEL PRODUCTO Y/O SERVICIO ]],Tabla3[],21)</f>
        <v>6.6666666666666666E-2</v>
      </c>
      <c r="HG58" s="346">
        <f>Tabla1[[#This Row],[CANTIDADES A UTILIZAR  AÑO 4 11]]*(1+Tabla1[[#This Row],[CAMBIO PORCENTUAL EN UNIDADES VENDIDAS AÑO 5 11 ]])</f>
        <v>0</v>
      </c>
      <c r="HH58" s="348">
        <f>IF(Tabla1[[#This Row],[CANTIDADES A UTILIZAR  AÑO 1 11 ]]=0,0,Tabla1[[#This Row],[CANTIDADES A UTILIZAR  AÑO 1 11 ]]*1/Tabla1[[#This Row],[UNIDADES PRODUCIDAS AÑO 1 11]])</f>
        <v>0</v>
      </c>
      <c r="HI58" s="348">
        <f>$D$22*(1+BASES!$E$10)</f>
        <v>1011.2</v>
      </c>
      <c r="HJ58" s="348">
        <f>Tabla1[[#This Row],[COSTO UNITARIO AÑO 2 11]]*(1+BASES!$F$10)</f>
        <v>1022.5254400000001</v>
      </c>
      <c r="HK58" s="348">
        <f>Tabla1[[#This Row],[COSTO UNITARIO AÑO 3 11 ]]*(1+BASES!$G$10)</f>
        <v>1033.9777249280003</v>
      </c>
      <c r="HL58" s="348">
        <f>Tabla1[[#This Row],[COSTO UNITARIO AÑO 4 11 ]]*(1+BASES!$H$10)</f>
        <v>1045.5582754471939</v>
      </c>
      <c r="HM58" s="348">
        <f>Tabla1[[#This Row],[COSTO POR UNIDAD DE PRODUCTO (11)]]*$D$22*VLOOKUP(Tabla1[[#This Row],[CÓDIGO DEL PRODUCTO Y/O SERVICIO ]],Tabla3[],3)</f>
        <v>0</v>
      </c>
      <c r="HN58" s="348">
        <f>Tabla1[[#This Row],[COSTO POR UNIDAD DE PRODUCTO (11)]]*Tabla1[[#This Row],[COSTO UNITARIO AÑO 2 11]]*VLOOKUP(Tabla1[[#This Row],[CÓDIGO DEL PRODUCTO Y/O SERVICIO ]],Tabla3[],6)</f>
        <v>0</v>
      </c>
      <c r="HO58" s="348">
        <f>Tabla1[[#This Row],[COSTO POR UNIDAD DE PRODUCTO (11)]]*Tabla1[[#This Row],[COSTO UNITARIO AÑO 3 11 ]]*VLOOKUP(Tabla1[[#This Row],[CÓDIGO DEL PRODUCTO Y/O SERVICIO ]],Tabla3[],10)</f>
        <v>0</v>
      </c>
      <c r="HP58" s="348">
        <f>Tabla1[[#This Row],[COSTO POR UNIDAD DE PRODUCTO (11)]]*Tabla1[[#This Row],[COSTO UNITARIO AÑO 4 11 ]]*VLOOKUP(Tabla1[[#This Row],[CÓDIGO DEL PRODUCTO Y/O SERVICIO ]],Tabla3[],14)</f>
        <v>0</v>
      </c>
      <c r="HQ58" s="348">
        <f>Tabla1[[#This Row],[COSTO POR UNIDAD DE PRODUCTO (11)]]*Tabla1[[#This Row],[COSTO UNITARIO AÑO 5 11 ]]*VLOOKUP(Tabla1[[#This Row],[CÓDIGO DEL PRODUCTO Y/O SERVICIO ]],Tabla3[],18)</f>
        <v>0</v>
      </c>
      <c r="HR58" s="346">
        <f>VLOOKUP(Tabla1[[#This Row],[CÓDIGO DEL PRODUCTO Y/O SERVICIO ]],Tabla3[],3)</f>
        <v>500</v>
      </c>
      <c r="HS58" s="346">
        <f>Tabla1[[#This Row],[UNIDADES PRODUCIDAS AÑO 1 12]]*Q42</f>
        <v>6500</v>
      </c>
      <c r="HT58" s="347">
        <f>VLOOKUP(Tabla1[[#This Row],[CÓDIGO DEL PRODUCTO Y/O SERVICIO ]],Tabla3[],9)</f>
        <v>0.36</v>
      </c>
      <c r="HU58" s="346">
        <f>Tabla1[[#This Row],[CANTIDADES A UTILIZAR  AÑO 1 12]]*(1+Tabla1[[#This Row],[CAMBIO PORCENTUAL EN UNIDADES VENDIDAS AÑO 2 12]])</f>
        <v>8840</v>
      </c>
      <c r="HV58" s="347">
        <f>VLOOKUP(Tabla1[[#This Row],[CÓDIGO DEL PRODUCTO Y/O SERVICIO ]],Tabla3[],13)</f>
        <v>2.9411764705882353E-2</v>
      </c>
      <c r="HW58" s="346">
        <f>Tabla1[[#This Row],[CANTIDADES A UTILIZAR  AÑO 2 12]]*(1+Tabla1[[#This Row],[CAMBIO PORCENTUAL EN UNIDADES VENDIDAS AÑO 3 12]])</f>
        <v>9099.9999999999982</v>
      </c>
      <c r="HX58" s="347">
        <f>VLOOKUP(Tabla1[[#This Row],[CÓDIGO DEL PRODUCTO Y/O SERVICIO ]],Tabla3[],17)</f>
        <v>7.1428571428571425E-2</v>
      </c>
      <c r="HY58" s="346">
        <f>Tabla1[[#This Row],[CANTIDADES A UTILIZAR  AÑO 3 12]]*(1+Tabla1[[#This Row],[CAMBIO PORCENTUAL EN UNIDADES VENDIDAS AÑO 4 12]])</f>
        <v>9749.9999999999982</v>
      </c>
      <c r="HZ58" s="347">
        <f>VLOOKUP(Tabla1[[#This Row],[CÓDIGO DEL PRODUCTO Y/O SERVICIO ]],Tabla3[],21)</f>
        <v>6.6666666666666666E-2</v>
      </c>
      <c r="IA58" s="346">
        <f>Tabla1[[#This Row],[CANTIDADES A UTILIZAR  AÑO 4 12]]*(1+Tabla1[[#This Row],[CAMBIO PORCENTUAL EN UNIDADES VENDIDAS AÑO 5 12]])</f>
        <v>10399.999999999998</v>
      </c>
      <c r="IB58" s="348">
        <f>IF(Tabla1[[#This Row],[CANTIDADES A UTILIZAR  AÑO 1 12]]=0,0,Tabla1[[#This Row],[CANTIDADES A UTILIZAR  AÑO 1 12]]*1/Tabla1[[#This Row],[UNIDADES PRODUCIDAS AÑO 1 12]])</f>
        <v>13</v>
      </c>
      <c r="IC58" s="348">
        <f>$D$23*(1+BASES!$E$10)</f>
        <v>1011.2</v>
      </c>
      <c r="ID58" s="348">
        <f>Tabla1[[#This Row],[COSTO UNITARIO AÑO 2 12]]*(1+BASES!$F$10)</f>
        <v>1022.5254400000001</v>
      </c>
      <c r="IE58" s="348">
        <f>Tabla1[[#This Row],[COSTO UNITARIO AÑO 3 12]]*(1+BASES!$G$10)</f>
        <v>1033.9777249280003</v>
      </c>
      <c r="IF58" s="348">
        <f>Tabla1[[#This Row],[COSTO UNITARIO AÑO 4 12]]*(1+BASES!$H$10)</f>
        <v>1045.5582754471939</v>
      </c>
      <c r="IG58" s="348">
        <f>Tabla1[[#This Row],[COSTO POR UNIDAD DE PRODUCTO (12)]]*$D$23*VLOOKUP(Tabla1[[#This Row],[CÓDIGO DEL PRODUCTO Y/O SERVICIO ]],Tabla3[],3)</f>
        <v>6500000</v>
      </c>
      <c r="IH58" s="348">
        <f>Tabla1[[#This Row],[COSTO POR UNIDAD DE PRODUCTO (12)]]*Tabla1[[#This Row],[COSTO UNITARIO AÑO 2 12]]*VLOOKUP(Tabla1[[#This Row],[CÓDIGO DEL PRODUCTO Y/O SERVICIO ]],Tabla3[],6)</f>
        <v>8939008</v>
      </c>
      <c r="II58" s="348">
        <f>Tabla1[[#This Row],[COSTO POR UNIDAD DE PRODUCTO (12)]]*Tabla1[[#This Row],[COSTO UNITARIO AÑO 3 12]]*VLOOKUP(Tabla1[[#This Row],[CÓDIGO DEL PRODUCTO Y/O SERVICIO ]],Tabla3[],10)</f>
        <v>9304981.5040000007</v>
      </c>
      <c r="IJ58" s="348">
        <f>Tabla1[[#This Row],[COSTO POR UNIDAD DE PRODUCTO (12)]]*Tabla1[[#This Row],[COSTO UNITARIO AÑO 4 12]]*VLOOKUP(Tabla1[[#This Row],[CÓDIGO DEL PRODUCTO Y/O SERVICIO ]],Tabla3[],14)</f>
        <v>10081282.818048002</v>
      </c>
      <c r="IK58" s="348">
        <f>Tabla1[[#This Row],[COSTO POR UNIDAD DE PRODUCTO (12)]]*Tabla1[[#This Row],[COSTO UNITARIO AÑO 5 12]]*VLOOKUP(Tabla1[[#This Row],[CÓDIGO DEL PRODUCTO Y/O SERVICIO ]],Tabla3[],18)</f>
        <v>10873806.064650817</v>
      </c>
      <c r="IL58" s="346">
        <f>VLOOKUP(Tabla1[[#This Row],[CÓDIGO DEL PRODUCTO Y/O SERVICIO ]],Tabla3[],3)</f>
        <v>500</v>
      </c>
      <c r="IM58" s="346">
        <f>Tabla1[[#This Row],[UNIDADES PRODUCIDAS AÑO 1 13]]*R42</f>
        <v>500</v>
      </c>
      <c r="IN58" s="347">
        <f>VLOOKUP(Tabla1[[#This Row],[CÓDIGO DEL PRODUCTO Y/O SERVICIO ]],Tabla3[],9)</f>
        <v>0.36</v>
      </c>
      <c r="IO58" s="346">
        <f>Tabla1[[#This Row],[CANTIDADES A UTILIZAR  AÑO 1 13]]*(1+Tabla1[[#This Row],[CAMBIO PORCENTUAL EN UNIDADES VENDIDAS AÑO 2 13]])</f>
        <v>679.99999999999989</v>
      </c>
      <c r="IP58" s="347">
        <f>VLOOKUP(Tabla1[[#This Row],[CÓDIGO DEL PRODUCTO Y/O SERVICIO ]],Tabla3[],13)</f>
        <v>2.9411764705882353E-2</v>
      </c>
      <c r="IQ58" s="346">
        <f>Tabla1[[#This Row],[CANTIDADES A UTILIZAR  AÑO 2 13]]*(1+Tabla1[[#This Row],[CAMBIO PORCENTUAL EN UNIDADES VENDIDAS AÑO 3 13]])</f>
        <v>699.99999999999977</v>
      </c>
      <c r="IR58" s="346">
        <f>VLOOKUP(Tabla1[[#This Row],[CÓDIGO DEL PRODUCTO Y/O SERVICIO ]],Tabla3[],17)</f>
        <v>7.1428571428571425E-2</v>
      </c>
      <c r="IS58" s="346">
        <f>Tabla1[[#This Row],[CANTIDADES A UTILIZAR  AÑO 3 13]]*(1+Tabla1[[#This Row],[CAMBIO PORCENTUAL EN UNIDADES VENDIDAS AÑO 4 13]])</f>
        <v>749.99999999999977</v>
      </c>
      <c r="IT58" s="347">
        <f>VLOOKUP(Tabla1[[#This Row],[CÓDIGO DEL PRODUCTO Y/O SERVICIO ]],Tabla3[],21)</f>
        <v>6.6666666666666666E-2</v>
      </c>
      <c r="IU58" s="346">
        <f>Tabla1[[#This Row],[CANTIDADES A UTILIZAR  AÑO 4 13]]*(1+Tabla1[[#This Row],[CAMBIO PORCENTUAL EN UNIDADES VENDIDAS AÑO 5 13]])</f>
        <v>799.99999999999977</v>
      </c>
      <c r="IV58" s="348">
        <f>IF(Tabla1[[#This Row],[CANTIDADES A UTILIZAR  AÑO 1 13]]=0,0,Tabla1[[#This Row],[CANTIDADES A UTILIZAR  AÑO 1 13]]*1/Tabla1[[#This Row],[UNIDADES PRODUCIDAS AÑO 1 13]])</f>
        <v>1</v>
      </c>
      <c r="IW58" s="348">
        <f>$D$24*(1+BASES!$E$10)</f>
        <v>101.12</v>
      </c>
      <c r="IX58" s="348">
        <f>Tabla1[[#This Row],[COSTO UNITARIO AÑO 2 13]]*(1+BASES!$F$10)</f>
        <v>102.25254400000001</v>
      </c>
      <c r="IY58" s="348">
        <f>Tabla1[[#This Row],[COSTO UNITARIO AÑO 3 13]]*(1+BASES!$G$10)</f>
        <v>103.39777249280003</v>
      </c>
      <c r="IZ58" s="348">
        <f>Tabla1[[#This Row],[COSTO UNITARIO AÑO 4 13]]*(1+BASES!$H$10)</f>
        <v>104.55582754471941</v>
      </c>
      <c r="JA58" s="348">
        <f>Tabla1[[#This Row],[COSTO POR UNIDAD DE PRODUCTO (13)]]*$D$24*VLOOKUP(Tabla1[[#This Row],[CÓDIGO DEL PRODUCTO Y/O SERVICIO ]],Tabla3[],3)</f>
        <v>50000</v>
      </c>
      <c r="JB58" s="348">
        <f>Tabla1[[#This Row],[COSTO POR UNIDAD DE PRODUCTO (13)]]*Tabla1[[#This Row],[COSTO UNITARIO AÑO 2 13]]*VLOOKUP(Tabla1[[#This Row],[CÓDIGO DEL PRODUCTO Y/O SERVICIO ]],Tabla3[],6)</f>
        <v>68761.600000000006</v>
      </c>
      <c r="JC58" s="348">
        <f>Tabla1[[#This Row],[COSTO POR UNIDAD DE PRODUCTO (13)]]*Tabla1[[#This Row],[COSTO UNITARIO AÑO 3 13]]*VLOOKUP(Tabla1[[#This Row],[CÓDIGO DEL PRODUCTO Y/O SERVICIO ]],Tabla3[],10)</f>
        <v>71576.780800000008</v>
      </c>
      <c r="JD58" s="348">
        <f>Tabla1[[#This Row],[COSTO POR UNIDAD DE PRODUCTO (13)]]*Tabla1[[#This Row],[COSTO UNITARIO AÑO 4 13]]*VLOOKUP(Tabla1[[#This Row],[CÓDIGO DEL PRODUCTO Y/O SERVICIO ]],Tabla3[],14)</f>
        <v>77548.329369600018</v>
      </c>
      <c r="JE58" s="348">
        <f>Tabla1[[#This Row],[COSTO POR UNIDAD DE PRODUCTO (13)]]*Tabla1[[#This Row],[COSTO UNITARIO AÑO 5 13]]*VLOOKUP(Tabla1[[#This Row],[CÓDIGO DEL PRODUCTO Y/O SERVICIO ]],Tabla3[],18)</f>
        <v>83644.662035775531</v>
      </c>
      <c r="JF58" s="346">
        <f>VLOOKUP(Tabla1[[#This Row],[CÓDIGO DEL PRODUCTO Y/O SERVICIO ]],Tabla3[],3)</f>
        <v>500</v>
      </c>
      <c r="JG58" s="346">
        <f>Tabla1[[#This Row],[UNIDADES PRODUCIDAS AÑO 1 14]]*S42</f>
        <v>500</v>
      </c>
      <c r="JH58" s="347">
        <f>VLOOKUP(Tabla1[[#This Row],[CÓDIGO DEL PRODUCTO Y/O SERVICIO ]],Tabla3[],9)</f>
        <v>0.36</v>
      </c>
      <c r="JI58" s="346">
        <f>Tabla1[[#This Row],[CANTIDADES A UTILIZAR  AÑO 1 14]]*(1+Tabla1[[#This Row],[CAMBIO PORCENTUAL EN UNIDADES VENDIDAS AÑO 2 14]])</f>
        <v>679.99999999999989</v>
      </c>
      <c r="JJ58" s="347">
        <f>VLOOKUP(Tabla1[[#This Row],[CÓDIGO DEL PRODUCTO Y/O SERVICIO ]],Tabla3[],13)</f>
        <v>2.9411764705882353E-2</v>
      </c>
      <c r="JK58" s="346">
        <f>Tabla1[[#This Row],[CANTIDADES A UTILIZAR  AÑO 2 14]]*(1+Tabla1[[#This Row],[CAMBIO PORCENTUAL EN UNIDADES VENDIDAS AÑO 3 14]])</f>
        <v>699.99999999999977</v>
      </c>
      <c r="JL58" s="347">
        <f>VLOOKUP(Tabla1[[#This Row],[CÓDIGO DEL PRODUCTO Y/O SERVICIO ]],Tabla3[],17)</f>
        <v>7.1428571428571425E-2</v>
      </c>
      <c r="JM58" s="346">
        <f>Tabla1[[#This Row],[CANTIDADES A UTILIZAR AÑO 3 14]]*(1+Tabla1[[#This Row],[CAMBIO PORCENTUAL EN UNIDADES VENDIDAS AÑO 4 14]])</f>
        <v>749.99999999999977</v>
      </c>
      <c r="JN58" s="347">
        <f>VLOOKUP(Tabla1[[#This Row],[CÓDIGO DEL PRODUCTO Y/O SERVICIO ]],Tabla3[],21)</f>
        <v>6.6666666666666666E-2</v>
      </c>
      <c r="JO58" s="346">
        <f>Tabla1[[#This Row],[CANTIDADES A UTILIZAR  AÑO 4 14]]*(1+Tabla1[[#This Row],[CAMBIO PORCENTUAL EN UNIDADES VENDIDAS AÑO 5 14]])</f>
        <v>799.99999999999977</v>
      </c>
      <c r="JP58" s="348">
        <f>IF(Tabla1[[#This Row],[CANTIDADES A UTILIZAR  AÑO 1 14]]=0,0,Tabla1[[#This Row],[CANTIDADES A UTILIZAR  AÑO 1 14]]*1/Tabla1[[#This Row],[UNIDADES PRODUCIDAS AÑO 1 14]])</f>
        <v>1</v>
      </c>
      <c r="JQ58" s="348">
        <f>$D$25*(1+BASES!$E$10)</f>
        <v>1011.2</v>
      </c>
      <c r="JR58" s="348">
        <f>Tabla1[[#This Row],[COSTO UNITARIO AÑO 2 14]]*(1+BASES!$F$10)</f>
        <v>1022.5254400000001</v>
      </c>
      <c r="JS58" s="348">
        <f>Tabla1[[#This Row],[COSTO UNITARIO AÑO 3 14]]*(1+BASES!$G$10)</f>
        <v>1033.9777249280003</v>
      </c>
      <c r="JT58" s="348">
        <f>Tabla1[[#This Row],[COSTO UNITARIO AÑO 4 14]]*(1+BASES!$H$10)</f>
        <v>1045.5582754471939</v>
      </c>
      <c r="JU58" s="348">
        <f>Tabla1[[#This Row],[COSTO POR UNIDAD DE PRODUCTO (14)]]*$D$25*VLOOKUP(Tabla1[[#This Row],[CÓDIGO DEL PRODUCTO Y/O SERVICIO ]],Tabla3[],3)</f>
        <v>500000</v>
      </c>
      <c r="JV58" s="348">
        <f>Tabla1[[#This Row],[COSTO POR UNIDAD DE PRODUCTO (14)]]*Tabla1[[#This Row],[COSTO UNITARIO AÑO 2 14]]*VLOOKUP(Tabla1[[#This Row],[CÓDIGO DEL PRODUCTO Y/O SERVICIO ]],Tabla3[],6)</f>
        <v>687616</v>
      </c>
      <c r="JW58" s="348">
        <f>Tabla1[[#This Row],[COSTO POR UNIDAD DE PRODUCTO (14)]]*Tabla1[[#This Row],[COSTO UNITARIO AÑO 3 14]]*VLOOKUP(Tabla1[[#This Row],[CÓDIGO DEL PRODUCTO Y/O SERVICIO ]],Tabla3[],10)</f>
        <v>715767.80800000008</v>
      </c>
      <c r="JX58" s="348">
        <f>Tabla1[[#This Row],[COSTO POR UNIDAD DE PRODUCTO (14)]]*Tabla1[[#This Row],[COSTO UNITARIO AÑO 4 14]]*VLOOKUP(Tabla1[[#This Row],[CÓDIGO DEL PRODUCTO Y/O SERVICIO ]],Tabla3[],14)</f>
        <v>775483.29369600024</v>
      </c>
      <c r="JY58" s="348">
        <f>Tabla1[[#This Row],[COSTO POR UNIDAD DE PRODUCTO (14)]]*Tabla1[[#This Row],[COSTO UNITARIO AÑO 5 14]]*VLOOKUP(Tabla1[[#This Row],[CÓDIGO DEL PRODUCTO Y/O SERVICIO ]],Tabla3[],18)</f>
        <v>836446.62035775511</v>
      </c>
      <c r="JZ58" s="346">
        <f>VLOOKUP(Tabla1[[#This Row],[CÓDIGO DEL PRODUCTO Y/O SERVICIO ]],Tabla3[],3)</f>
        <v>500</v>
      </c>
      <c r="KA58" s="346">
        <f>Tabla1[[#This Row],[UNIDADES PRODUCIDAS AÑO 1 15]]*T42</f>
        <v>500</v>
      </c>
      <c r="KB58" s="347">
        <f>VLOOKUP(Tabla1[[#This Row],[CÓDIGO DEL PRODUCTO Y/O SERVICIO ]],Tabla3[],9)</f>
        <v>0.36</v>
      </c>
      <c r="KC58" s="346">
        <f>Tabla1[[#This Row],[CANTIDADES A UTILIZAR  AÑO 1 15]]*(1+Tabla1[[#This Row],[CAMBIO PORCENTUAL EN UNIDADES VENDIDAS AÑO 2 15]])</f>
        <v>679.99999999999989</v>
      </c>
      <c r="KD58" s="347">
        <f>VLOOKUP(Tabla1[[#This Row],[CÓDIGO DEL PRODUCTO Y/O SERVICIO ]],Tabla3[],13)</f>
        <v>2.9411764705882353E-2</v>
      </c>
      <c r="KE58" s="346">
        <f>Tabla1[[#This Row],[CANTIDADES A UTILIZAR  AÑO 2 15]]*(1+Tabla1[[#This Row],[CAMBIO PORCENTUAL EN UNIDADES VENDIDAS AÑO 3 15]])</f>
        <v>699.99999999999977</v>
      </c>
      <c r="KF58" s="347">
        <f>VLOOKUP(Tabla1[[#This Row],[CÓDIGO DEL PRODUCTO Y/O SERVICIO ]],Tabla3[],17)</f>
        <v>7.1428571428571425E-2</v>
      </c>
      <c r="KG58" s="346">
        <f>Tabla1[[#This Row],[CANTIDADES A UTILIZAR  AÑO 3 15]]*(1+Tabla1[[#This Row],[CAMBIO PORCENTUAL EN UNIDADES VENDIDAS AÑO 4 15]])</f>
        <v>749.99999999999977</v>
      </c>
      <c r="KH58" s="347">
        <f>VLOOKUP(Tabla1[[#This Row],[CÓDIGO DEL PRODUCTO Y/O SERVICIO ]],Tabla3[],21)</f>
        <v>6.6666666666666666E-2</v>
      </c>
      <c r="KI58" s="346">
        <f>Tabla1[[#This Row],[CANTIDADES A UTILIZAR  AÑO 4 15]]*(1+Tabla1[[#This Row],[CAMBIO PORCENTUAL EN UNIDADES VENDIDAS AÑO 5 15]])</f>
        <v>799.99999999999977</v>
      </c>
      <c r="KJ58" s="348">
        <f>IF(Tabla1[[#This Row],[CANTIDADES A UTILIZAR  AÑO 1 15]]=0,0,Tabla1[[#This Row],[CANTIDADES A UTILIZAR  AÑO 1 15]]*1/Tabla1[[#This Row],[UNIDADES PRODUCIDAS AÑO 1 15]])</f>
        <v>1</v>
      </c>
      <c r="KK58" s="348">
        <f>$D$26*(1+BASES!$E$10)</f>
        <v>4044.8</v>
      </c>
      <c r="KL58" s="348">
        <f>Tabla1[[#This Row],[COSTO UNITARIO AÑO 2 15]]*(1+BASES!$F$10)</f>
        <v>4090.1017600000005</v>
      </c>
      <c r="KM58" s="348">
        <f>Tabla1[[#This Row],[COSTO UNITARIO AÑO 3 15]]*(1+BASES!$G$10)</f>
        <v>4135.9108997120011</v>
      </c>
      <c r="KN58" s="348">
        <f>Tabla1[[#This Row],[COSTO UNITARIO AÑO 4 15]]*(1+BASES!$H$10)</f>
        <v>4182.2331017887755</v>
      </c>
      <c r="KO58" s="348">
        <f>Tabla1[[#This Row],[COSTO POR UNIDAD DE PRODUCTO (15)]]*$D$26*VLOOKUP(Tabla1[[#This Row],[CÓDIGO DEL PRODUCTO Y/O SERVICIO ]],Tabla3[],3)</f>
        <v>2000000</v>
      </c>
      <c r="KP58" s="348">
        <f>Tabla1[[#This Row],[COSTO POR UNIDAD DE PRODUCTO (15)]]*Tabla1[[#This Row],[COSTO UNITARIO AÑO 2 15]]*VLOOKUP(Tabla1[[#This Row],[CÓDIGO DEL PRODUCTO Y/O SERVICIO ]],Tabla3[],6)</f>
        <v>2750464</v>
      </c>
      <c r="KQ58" s="348">
        <f>Tabla1[[#This Row],[COSTO POR UNIDAD DE PRODUCTO (15)]]*Tabla1[[#This Row],[COSTO UNITARIO AÑO 3 15]]*VLOOKUP(Tabla1[[#This Row],[CÓDIGO DEL PRODUCTO Y/O SERVICIO ]],Tabla3[],10)</f>
        <v>2863071.2320000003</v>
      </c>
      <c r="KR58" s="348">
        <f>Tabla1[[#This Row],[COSTO POR UNIDAD DE PRODUCTO (15)]]*Tabla1[[#This Row],[COSTO UNITARIO AÑO 4 15]]*VLOOKUP(Tabla1[[#This Row],[CÓDIGO DEL PRODUCTO Y/O SERVICIO ]],Tabla3[],14)</f>
        <v>3101933.174784001</v>
      </c>
      <c r="KS58" s="348">
        <f>Tabla1[[#This Row],[COSTO POR UNIDAD DE PRODUCTO (15)]]*Tabla1[[#This Row],[COSTO UNITARIO AÑO 5 15]]*VLOOKUP(Tabla1[[#This Row],[CÓDIGO DEL PRODUCTO Y/O SERVICIO ]],Tabla3[],18)</f>
        <v>3345786.4814310204</v>
      </c>
      <c r="KT58" s="346">
        <f>VLOOKUP(Tabla1[[#This Row],[CÓDIGO DEL PRODUCTO Y/O SERVICIO ]],Tabla3[],3)</f>
        <v>500</v>
      </c>
      <c r="KU58" s="346">
        <f>Tabla1[[#This Row],[UNIDADES PRODUCIDAS AÑO 1 16]]*U42</f>
        <v>500</v>
      </c>
      <c r="KV58" s="347">
        <f>VLOOKUP(Tabla1[[#This Row],[CÓDIGO DEL PRODUCTO Y/O SERVICIO ]],Tabla3[],9)</f>
        <v>0.36</v>
      </c>
      <c r="KW58" s="346">
        <f>Tabla1[[#This Row],[CANTIDADES A UTILIZAR  AÑO 1 16]]*(1+Tabla1[[#This Row],[CAMBIO PORCENTUAL EN UNIDADES VENDIDAS AÑO 2 16]])</f>
        <v>679.99999999999989</v>
      </c>
      <c r="KX58" s="347">
        <f>VLOOKUP(Tabla1[[#This Row],[CÓDIGO DEL PRODUCTO Y/O SERVICIO ]],Tabla3[],13)</f>
        <v>2.9411764705882353E-2</v>
      </c>
      <c r="KY58" s="346">
        <f>Tabla1[[#This Row],[CANTIDADES A UTILIZAR  AÑO 2 16]]*(1+Tabla1[[#This Row],[CAMBIO PORCENTUAL EN UNIDADES VENDIDAS AÑO 3 16]])</f>
        <v>699.99999999999977</v>
      </c>
      <c r="KZ58" s="347">
        <f>VLOOKUP(Tabla1[[#This Row],[CÓDIGO DEL PRODUCTO Y/O SERVICIO ]],Tabla3[],17)</f>
        <v>7.1428571428571425E-2</v>
      </c>
      <c r="LA58" s="346">
        <f>Tabla1[[#This Row],[CANTIDADES A UTILIZAR  AÑO 3 16]]*(1+Tabla1[[#This Row],[CAMBIO PORCENTUAL EN UNIDADES VENDIDAS AÑO 4 16]])</f>
        <v>749.99999999999977</v>
      </c>
      <c r="LB58" s="347">
        <f>VLOOKUP(Tabla1[[#This Row],[CÓDIGO DEL PRODUCTO Y/O SERVICIO ]],Tabla3[],21)</f>
        <v>6.6666666666666666E-2</v>
      </c>
      <c r="LC58" s="346">
        <f>Tabla1[[#This Row],[CANTIDADES A UTILIZAR  AÑO 4 16]]*(1+Tabla1[[#This Row],[CAMBIO PORCENTUAL EN UNIDADES VENDIDAS AÑO 5 16]])</f>
        <v>799.99999999999977</v>
      </c>
      <c r="LD58" s="348">
        <f>IF(Tabla1[[#This Row],[CANTIDADES A UTILIZAR  AÑO 1 16]]=0,0,Tabla1[[#This Row],[CANTIDADES A UTILIZAR  AÑO 1 16]]*1/Tabla1[[#This Row],[UNIDADES PRODUCIDAS AÑO 1 16]])</f>
        <v>1</v>
      </c>
      <c r="LE58" s="348">
        <f>$D$27*(1+BASES!$E$10)</f>
        <v>1264.0000000000002</v>
      </c>
      <c r="LF58" s="348">
        <f>Tabla1[[#This Row],[COSTO UNITARIO AÑO 2 16]]*(1+BASES!$F$10)</f>
        <v>1278.1568000000004</v>
      </c>
      <c r="LG58" s="348">
        <f>Tabla1[[#This Row],[COSTO UNITARIO AÑO 3 16]]*(1+BASES!$G$10)</f>
        <v>1292.4721561600006</v>
      </c>
      <c r="LH58" s="348">
        <f>Tabla1[[#This Row],[COSTO UNITARIO AÑO 4 16]]*(1+BASES!$H$10)</f>
        <v>1306.9478443089927</v>
      </c>
      <c r="LI58" s="348">
        <f>Tabla1[[#This Row],[COSTO POR UNIDAD DE PRODUCTO (16)]]*$D$27*VLOOKUP(Tabla1[[#This Row],[CÓDIGO DEL PRODUCTO Y/O SERVICIO ]],Tabla3[],3)</f>
        <v>625000</v>
      </c>
      <c r="LJ58" s="348">
        <f>Tabla1[[#This Row],[COSTO POR UNIDAD DE PRODUCTO (16)]]*Tabla1[[#This Row],[COSTO UNITARIO AÑO 2 16]]*VLOOKUP(Tabla1[[#This Row],[CÓDIGO DEL PRODUCTO Y/O SERVICIO ]],Tabla3[],6)</f>
        <v>859520.00000000012</v>
      </c>
      <c r="LK58" s="348">
        <f>Tabla1[[#This Row],[COSTO POR UNIDAD DE PRODUCTO (16)]]*Tabla1[[#This Row],[COSTO UNITARIO AÑO 3 16]]*VLOOKUP(Tabla1[[#This Row],[CÓDIGO DEL PRODUCTO Y/O SERVICIO ]],Tabla3[],10)</f>
        <v>894709.76000000036</v>
      </c>
      <c r="LL58" s="348">
        <f>Tabla1[[#This Row],[COSTO POR UNIDAD DE PRODUCTO (16)]]*Tabla1[[#This Row],[COSTO UNITARIO AÑO 4 16]]*VLOOKUP(Tabla1[[#This Row],[CÓDIGO DEL PRODUCTO Y/O SERVICIO ]],Tabla3[],14)</f>
        <v>969354.11712000042</v>
      </c>
      <c r="LM58" s="348">
        <f>Tabla1[[#This Row],[COSTO POR UNIDAD DE PRODUCTO (16)]]*Tabla1[[#This Row],[COSTO UNITARIO AÑO 5 16]]*VLOOKUP(Tabla1[[#This Row],[CÓDIGO DEL PRODUCTO Y/O SERVICIO ]],Tabla3[],18)</f>
        <v>1045558.2754471941</v>
      </c>
      <c r="LN58" s="346">
        <f>VLOOKUP(Tabla1[[#This Row],[CÓDIGO DEL PRODUCTO Y/O SERVICIO ]],Tabla3[],3)</f>
        <v>500</v>
      </c>
      <c r="LO58" s="346">
        <f>Tabla1[[#This Row],[UNIDADES PRODUCIDAS AÑO 1 17]]*V42</f>
        <v>1500</v>
      </c>
      <c r="LP58" s="347">
        <f>VLOOKUP(Tabla1[[#This Row],[CÓDIGO DEL PRODUCTO Y/O SERVICIO ]],Tabla3[],9)</f>
        <v>0.36</v>
      </c>
      <c r="LQ58" s="346">
        <f>Tabla1[[#This Row],[CANTIDADES A UTILIZAR  AÑO 1 17]]*(1+Tabla1[[#This Row],[CAMBIO PORCENTUAL EN UNIDADES VENDIDAS AÑO 2 17]])</f>
        <v>2039.9999999999998</v>
      </c>
      <c r="LR58" s="347">
        <f>VLOOKUP(Tabla1[[#This Row],[CÓDIGO DEL PRODUCTO Y/O SERVICIO ]],Tabla3[],13)</f>
        <v>2.9411764705882353E-2</v>
      </c>
      <c r="LS58" s="346">
        <f>Tabla1[[#This Row],[CANTIDADES A UTILIZAR  AÑO 2 17]]*(1+Tabla1[[#This Row],[CAMBIO PORCENTUAL EN UNIDADES VENDIDAS AÑO 3 17]])</f>
        <v>2099.9999999999995</v>
      </c>
      <c r="LT58" s="347">
        <f>VLOOKUP(Tabla1[[#This Row],[CÓDIGO DEL PRODUCTO Y/O SERVICIO ]],Tabla3[],17)</f>
        <v>7.1428571428571425E-2</v>
      </c>
      <c r="LU58" s="346">
        <f>Tabla1[[#This Row],[CANTIDADES A UTILIZAR  AÑO 3 17]]*(1+Tabla1[[#This Row],[CAMBIO PORCENTUAL EN UNIDADES VENDIDAS AÑO 4 17 ]])</f>
        <v>2249.9999999999995</v>
      </c>
      <c r="LV58" s="347">
        <f>VLOOKUP(Tabla1[[#This Row],[CÓDIGO DEL PRODUCTO Y/O SERVICIO ]],Tabla3[],21)</f>
        <v>6.6666666666666666E-2</v>
      </c>
      <c r="LW58" s="346">
        <f>Tabla1[[#This Row],[CANTIDADES A UTILIZAR  AÑO 4 17]]*(1+Tabla1[[#This Row],[CAMBIO PORCENTUAL EN UNIDADES VENDIDAS AÑO 5 17]])</f>
        <v>2399.9999999999995</v>
      </c>
      <c r="LX58" s="348">
        <f>IF(Tabla1[[#This Row],[CANTIDADES A UTILIZAR  AÑO 1 17]]=0,0,Tabla1[[#This Row],[CANTIDADES A UTILIZAR  AÑO 1 17]]*1/Tabla1[[#This Row],[UNIDADES PRODUCIDAS AÑO 1 17]])</f>
        <v>3</v>
      </c>
      <c r="LY58" s="348">
        <f>$D$28*(1+BASES!$E$10)</f>
        <v>222.46400000000003</v>
      </c>
      <c r="LZ58" s="348">
        <f>Tabla1[[#This Row],[COSTO UNITARIO AÑO 2 17]]*(1+BASES!$F$10)</f>
        <v>224.95559680000005</v>
      </c>
      <c r="MA58" s="348">
        <f>Tabla1[[#This Row],[COSTO UNITARIO AÑO 3 17]]*(1+BASES!$G$10)</f>
        <v>227.47509948416007</v>
      </c>
      <c r="MB58" s="348">
        <f>Tabla1[[#This Row],[COSTO UNITARIO AÑO 4 17]]*(1+BASES!$H$10)</f>
        <v>230.02282059838268</v>
      </c>
      <c r="MC58" s="348">
        <f>Tabla1[[#This Row],[COSTO POR UNIDAD DE PRODUCTO (17)]]*$D$28*VLOOKUP(Tabla1[[#This Row],[CÓDIGO DEL PRODUCTO Y/O SERVICIO ]],Tabla3[],3)</f>
        <v>330000</v>
      </c>
      <c r="MD58" s="348">
        <f>Tabla1[[#This Row],[COSTO POR UNIDAD DE PRODUCTO (17)]]*Tabla1[[#This Row],[COSTO UNITARIO AÑO 2 17]]*VLOOKUP(Tabla1[[#This Row],[CÓDIGO DEL PRODUCTO Y/O SERVICIO ]],Tabla3[],6)</f>
        <v>453826.56000000006</v>
      </c>
      <c r="ME58" s="348">
        <f>Tabla1[[#This Row],[COSTO POR UNIDAD DE PRODUCTO (17)]]*Tabla1[[#This Row],[COSTO UNITARIO AÑO 3 17]]*VLOOKUP(Tabla1[[#This Row],[CÓDIGO DEL PRODUCTO Y/O SERVICIO ]],Tabla3[],10)</f>
        <v>472406.75328000006</v>
      </c>
      <c r="MF58" s="348">
        <f>Tabla1[[#This Row],[COSTO POR UNIDAD DE PRODUCTO (17)]]*Tabla1[[#This Row],[COSTO UNITARIO AÑO 4 17]]*VLOOKUP(Tabla1[[#This Row],[CÓDIGO DEL PRODUCTO Y/O SERVICIO ]],Tabla3[],14)</f>
        <v>511818.97383936017</v>
      </c>
      <c r="MG58" s="348">
        <f>Tabla1[[#This Row],[COSTO POR UNIDAD DE PRODUCTO (17)]]*Tabla1[[#This Row],[COSTO UNITARIO AÑO 5 17]]*VLOOKUP(Tabla1[[#This Row],[CÓDIGO DEL PRODUCTO Y/O SERVICIO ]],Tabla3[],18)</f>
        <v>552054.76943611843</v>
      </c>
      <c r="MH58" s="346">
        <f>VLOOKUP(Tabla1[[#This Row],[CÓDIGO DEL PRODUCTO Y/O SERVICIO ]],Tabla3[],3)</f>
        <v>500</v>
      </c>
      <c r="MI58" s="346">
        <f>Tabla1[[#This Row],[UNIDADES PRODUCIDAS AÑO 1 18 ]]*W42</f>
        <v>0</v>
      </c>
      <c r="MJ58" s="347">
        <f>VLOOKUP(Tabla1[[#This Row],[CÓDIGO DEL PRODUCTO Y/O SERVICIO ]],Tabla3[],9)</f>
        <v>0.36</v>
      </c>
      <c r="MK58" s="346">
        <f>Tabla1[[#This Row],[CANTIDADES A UTILIZAR  AÑO 1 18]]*(1+Tabla1[[#This Row],[CAMBIO PORCENTUAL EN UNIDADES VENDIDAS AÑO 2 18]])</f>
        <v>0</v>
      </c>
      <c r="ML58" s="347">
        <f>VLOOKUP(Tabla1[[#This Row],[CÓDIGO DEL PRODUCTO Y/O SERVICIO ]],Tabla3[],13)</f>
        <v>2.9411764705882353E-2</v>
      </c>
      <c r="MM58" s="346">
        <f>Tabla1[[#This Row],[CANTIDADES A UTILIZAR AÑO 2 18]]*(1+Tabla1[[#This Row],[CAMBIO PORCENTUAL EN UNIDADES VENDIDAS AÑO 3 18 ]])</f>
        <v>0</v>
      </c>
      <c r="MN58" s="347">
        <f>VLOOKUP(Tabla1[[#This Row],[CÓDIGO DEL PRODUCTO Y/O SERVICIO ]],Tabla3[],17)</f>
        <v>7.1428571428571425E-2</v>
      </c>
      <c r="MO58" s="346">
        <f>Tabla1[[#This Row],[CANTIDADES A UTILIZAR  AÑO 3 18]]*(1+Tabla1[[#This Row],[CAMBIO PORCENTUAL EN UNIDADES VENDIDAS AÑO 4 18]])</f>
        <v>0</v>
      </c>
      <c r="MP58" s="347">
        <f>VLOOKUP(Tabla1[[#This Row],[CÓDIGO DEL PRODUCTO Y/O SERVICIO ]],Tabla3[],21)</f>
        <v>6.6666666666666666E-2</v>
      </c>
      <c r="MQ58" s="346">
        <f>Tabla1[[#This Row],[CANTIDADES A UTILIZAR  AÑO 4 18 ]]*(1+Tabla1[[#This Row],[CAMBIO PORCENTUAL EN UNIDADES VENDIDAS AÑO 5 18 ]])</f>
        <v>0</v>
      </c>
      <c r="MR58" s="348">
        <f>IF(Tabla1[[#This Row],[CANTIDADES A UTILIZAR  AÑO 1 18]]=0,0,Tabla1[[#This Row],[CANTIDADES A UTILIZAR  AÑO 1 18]]*1/Tabla1[[#This Row],[UNIDADES PRODUCIDAS AÑO 1 18 ]])</f>
        <v>0</v>
      </c>
      <c r="MS58" s="348">
        <f>$D$29*(1+BASES!$E$10)</f>
        <v>505.6</v>
      </c>
      <c r="MT58" s="348">
        <f>Tabla1[[#This Row],[COSTO UNITARIO AÑO 2 18]]*(1+BASES!$F$10)</f>
        <v>511.26272000000006</v>
      </c>
      <c r="MU58" s="348">
        <f>Tabla1[[#This Row],[COSTO UNITARIO AÑO 3 18 ]]*(1+BASES!$G$10)</f>
        <v>516.98886246400014</v>
      </c>
      <c r="MV58" s="348">
        <f>Tabla1[[#This Row],[COSTO UNITARIO AÑO 4 18 ]]*(1+BASES!$H$10)</f>
        <v>522.77913772359693</v>
      </c>
      <c r="MW58" s="348">
        <f>Tabla1[[#This Row],[COSTO POR UNIDAD DE PRODUCTO (18)]]*$D$29*VLOOKUP(Tabla1[[#This Row],[CÓDIGO DEL PRODUCTO Y/O SERVICIO ]],Tabla3[],3)</f>
        <v>0</v>
      </c>
      <c r="MX58" s="348">
        <f>Tabla1[[#This Row],[COSTO POR UNIDAD DE PRODUCTO (18)]]*Tabla1[[#This Row],[COSTO UNITARIO AÑO 2 18]]*VLOOKUP(Tabla1[[#This Row],[CÓDIGO DEL PRODUCTO Y/O SERVICIO ]],Tabla3[],6)</f>
        <v>0</v>
      </c>
      <c r="MY58" s="348">
        <f>Tabla1[[#This Row],[COSTO POR UNIDAD DE PRODUCTO (18)]]*Tabla1[[#This Row],[COSTO UNITARIO AÑO 3 18 ]]*VLOOKUP(Tabla1[[#This Row],[CÓDIGO DEL PRODUCTO Y/O SERVICIO ]],Tabla3[],10)</f>
        <v>0</v>
      </c>
      <c r="MZ58" s="348">
        <f>Tabla1[[#This Row],[COSTO POR UNIDAD DE PRODUCTO (18)]]*Tabla1[[#This Row],[COSTO UNITARIO AÑO 4 18 ]]*VLOOKUP(Tabla1[[#This Row],[CÓDIGO DEL PRODUCTO Y/O SERVICIO ]],Tabla3[],14)</f>
        <v>0</v>
      </c>
      <c r="NA58" s="348">
        <f>Tabla1[[#This Row],[COSTO POR UNIDAD DE PRODUCTO (18)]]*Tabla1[[#This Row],[COSTO UNITARIO AÑO 5 18 ]]*VLOOKUP(Tabla1[[#This Row],[CÓDIGO DEL PRODUCTO Y/O SERVICIO ]],Tabla3[],18)</f>
        <v>0</v>
      </c>
      <c r="NB58" s="346">
        <f>VLOOKUP(Tabla1[[#This Row],[CÓDIGO DEL PRODUCTO Y/O SERVICIO ]],Tabla3[],3)</f>
        <v>500</v>
      </c>
      <c r="NC58" s="346">
        <f>Tabla1[[#This Row],[UNIDADES PRODUCIDAS AÑO 1 19]]*X42</f>
        <v>0</v>
      </c>
      <c r="ND58" s="347">
        <f>VLOOKUP(Tabla1[[#This Row],[CÓDIGO DEL PRODUCTO Y/O SERVICIO ]],Tabla3[],9)</f>
        <v>0.36</v>
      </c>
      <c r="NE58" s="346">
        <f>Tabla1[[#This Row],[CANTIDADES A UTILIZAR  AÑO 1 19 ]]*(1+Tabla1[[#This Row],[CAMBIO PORCENTUAL EN UNIDADES VENDIDAS AÑO 2 19]])</f>
        <v>0</v>
      </c>
      <c r="NF58" s="347">
        <f>VLOOKUP(Tabla1[[#This Row],[CÓDIGO DEL PRODUCTO Y/O SERVICIO ]],Tabla3[],13)</f>
        <v>2.9411764705882353E-2</v>
      </c>
      <c r="NG58" s="346">
        <f>Tabla1[[#This Row],[CANTIDADES A UTILIZAR  AÑO 2 19 ]]*(1+Tabla1[[#This Row],[CAMBIO PORCENTUAL EN UNIDADES VENDIDAS AÑO 3 19 ]])</f>
        <v>0</v>
      </c>
      <c r="NH58" s="347">
        <f>VLOOKUP(Tabla1[[#This Row],[CÓDIGO DEL PRODUCTO Y/O SERVICIO ]],Tabla3[],17)</f>
        <v>7.1428571428571425E-2</v>
      </c>
      <c r="NI58" s="346">
        <f>Tabla1[[#This Row],[CANTIDADES A UTILIZAR  AÑO 3 19 ]]*(1+Tabla1[[#This Row],[CAMBIO PORCENTUAL EN UNIDADES VENDIDAS AÑO 4 19 ]])</f>
        <v>0</v>
      </c>
      <c r="NJ58" s="347">
        <f>VLOOKUP(Tabla1[[#This Row],[CÓDIGO DEL PRODUCTO Y/O SERVICIO ]],Tabla3[],21)</f>
        <v>6.6666666666666666E-2</v>
      </c>
      <c r="NK58" s="346">
        <f>Tabla1[[#This Row],[CANTIDADES A UTILIZAR AÑO 4 19 ]]*(1+Tabla1[[#This Row],[CAMBIO PORCENTUAL EN UNIDADES VENDIDAS AÑO 5 19 ]])</f>
        <v>0</v>
      </c>
      <c r="NL58" s="348">
        <f>IF(Tabla1[[#This Row],[CANTIDADES A UTILIZAR  AÑO 1 19 ]]=0,0,Tabla1[[#This Row],[CANTIDADES A UTILIZAR  AÑO 1 19 ]]*1/Tabla1[[#This Row],[UNIDADES PRODUCIDAS AÑO 1 19]])</f>
        <v>0</v>
      </c>
      <c r="NM58" s="348">
        <f>$D$30*(1+BASES!$E$10)</f>
        <v>10112.000000000002</v>
      </c>
      <c r="NN58" s="348">
        <f>Tabla1[[#This Row],[COSTO UNITARIO AÑO 2 19 ]]*(1+BASES!$F$10)</f>
        <v>10225.254400000003</v>
      </c>
      <c r="NO58" s="348">
        <f>Tabla1[[#This Row],[COSTO UNITARIO AÑO 3 19 ]]*(1+BASES!$G$10)</f>
        <v>10339.777249280005</v>
      </c>
      <c r="NP58" s="348">
        <f>Tabla1[[#This Row],[COSTO UNITARIO AÑO 4 19 ]]*(1+BASES!$H$10)</f>
        <v>10455.582754471941</v>
      </c>
      <c r="NQ58" s="348">
        <f>Tabla1[[#This Row],[COSTO POR UNIDAD DE PRODUCTO (19)]]*$D$30*VLOOKUP(Tabla1[[#This Row],[CÓDIGO DEL PRODUCTO Y/O SERVICIO ]],Tabla3[],3)</f>
        <v>0</v>
      </c>
      <c r="NR58" s="348">
        <f>Tabla1[[#This Row],[COSTO POR UNIDAD DE PRODUCTO (19)]]*Tabla1[[#This Row],[COSTO UNITARIO AÑO 2 19 ]]*VLOOKUP(Tabla1[[#This Row],[CÓDIGO DEL PRODUCTO Y/O SERVICIO ]],Tabla3[],6)</f>
        <v>0</v>
      </c>
      <c r="NS58" s="348">
        <f>Tabla1[[#This Row],[COSTO POR UNIDAD DE PRODUCTO (19)]]*Tabla1[[#This Row],[COSTO UNITARIO AÑO 3 19 ]]*VLOOKUP(Tabla1[[#This Row],[CÓDIGO DEL PRODUCTO Y/O SERVICIO ]],Tabla3[],10)</f>
        <v>0</v>
      </c>
      <c r="NT58" s="348">
        <f>Tabla1[[#This Row],[COSTO POR UNIDAD DE PRODUCTO (19)]]*Tabla1[[#This Row],[COSTO UNITARIO AÑO 4 19 ]]*VLOOKUP(Tabla1[[#This Row],[CÓDIGO DEL PRODUCTO Y/O SERVICIO ]],Tabla3[],14)</f>
        <v>0</v>
      </c>
      <c r="NU58" s="348">
        <f>Tabla1[[#This Row],[COSTO POR UNIDAD DE PRODUCTO (19)]]*Tabla1[[#This Row],[COSTO UNITARIO AÑO 5 19 ]]*VLOOKUP(Tabla1[[#This Row],[CÓDIGO DEL PRODUCTO Y/O SERVICIO ]],Tabla3[],18)</f>
        <v>0</v>
      </c>
      <c r="NV58" s="346">
        <f>VLOOKUP(Tabla1[[#This Row],[CÓDIGO DEL PRODUCTO Y/O SERVICIO ]],Tabla3[],3)</f>
        <v>500</v>
      </c>
      <c r="NW58" s="346">
        <f>Tabla1[[#This Row],[UNIDADES PRODUCIDAS AÑO 1 20 ]]*Y42</f>
        <v>0</v>
      </c>
      <c r="NX58" s="347">
        <f>VLOOKUP(Tabla1[[#This Row],[CÓDIGO DEL PRODUCTO Y/O SERVICIO ]],Tabla3[],9)</f>
        <v>0.36</v>
      </c>
      <c r="NY58" s="346">
        <f>Tabla1[[#This Row],[CANTIDADES A UTILIZAR AÑO 1 20]]*(1+Tabla1[[#This Row],[CAMBIO PORCENTUAL EN UNIDADES VENDIDAS AÑO 2 20 ]])</f>
        <v>0</v>
      </c>
      <c r="NZ58" s="347">
        <f>VLOOKUP(Tabla1[[#This Row],[CÓDIGO DEL PRODUCTO Y/O SERVICIO ]],Tabla3[],13)</f>
        <v>2.9411764705882353E-2</v>
      </c>
      <c r="OA58" s="346">
        <f>Tabla1[[#This Row],[CANTIDADES A UTILIZAR  AÑO 2 20 ]]*(1+Tabla1[[#This Row],[CAMBIO PORCENTUAL EN UNIDADES VENDIDAS AÑO 3 20 ]])</f>
        <v>0</v>
      </c>
      <c r="OB58" s="347">
        <f>VLOOKUP(Tabla1[[#This Row],[CÓDIGO DEL PRODUCTO Y/O SERVICIO ]],Tabla3[],17)</f>
        <v>7.1428571428571425E-2</v>
      </c>
      <c r="OC58" s="346">
        <f>Tabla1[[#This Row],[CANTIDADES A UTILIZAR  AÑO 3 20 ]]*(1+Tabla1[[#This Row],[CAMBIO PORCENTUAL EN UNIDADES VENDIDAS AÑO 4 20 ]])</f>
        <v>0</v>
      </c>
      <c r="OD58" s="347">
        <f>VLOOKUP(Tabla1[[#This Row],[CÓDIGO DEL PRODUCTO Y/O SERVICIO ]],Tabla3[],21)</f>
        <v>6.6666666666666666E-2</v>
      </c>
      <c r="OE58" s="346">
        <f>Tabla1[[#This Row],[CANTIDADES A UTILIZAR  AÑO 4 20 ]]*(1+Tabla1[[#This Row],[CAMBIO PORCENTUAL EN UNIDADES VENDIDAS AÑO 5 20 ]])</f>
        <v>0</v>
      </c>
      <c r="OF58" s="348">
        <f>IF(Tabla1[[#This Row],[CANTIDADES A UTILIZAR AÑO 1 20]]=0,0,Tabla1[[#This Row],[CANTIDADES A UTILIZAR AÑO 1 20]]*1/Tabla1[[#This Row],[UNIDADES PRODUCIDAS AÑO 1 20 ]])</f>
        <v>0</v>
      </c>
      <c r="OG58" s="348">
        <f>$D$31*(1+BASES!$E$10)</f>
        <v>758.40000000000009</v>
      </c>
      <c r="OH58" s="348">
        <f>Tabla1[[#This Row],[COSTO UNITARIO AÑO 2 20 ]]*(1+BASES!$F$10)</f>
        <v>766.89408000000014</v>
      </c>
      <c r="OI58" s="348">
        <f>Tabla1[[#This Row],[COSTO UNITARIO AÑO 3 20 ]]*(1+BASES!$G$10)</f>
        <v>775.48329369600026</v>
      </c>
      <c r="OJ58" s="348">
        <f>Tabla1[[#This Row],[COSTO UNITARIO AÑO 4 20 ]]*(1+BASES!$H$10)</f>
        <v>784.16870658539551</v>
      </c>
      <c r="OK58" s="348">
        <f>Tabla1[[#This Row],[COSTO POR UNIDAD DE PRODUCTO (20)]]*$D$31*VLOOKUP(Tabla1[[#This Row],[CÓDIGO DEL PRODUCTO Y/O SERVICIO ]],Tabla3[],3)</f>
        <v>0</v>
      </c>
      <c r="OL58" s="348">
        <f>Tabla1[[#This Row],[COSTO POR UNIDAD DE PRODUCTO (20)]]*Tabla1[[#This Row],[COSTO UNITARIO AÑO 2 20 ]]*VLOOKUP(Tabla1[[#This Row],[CÓDIGO DEL PRODUCTO Y/O SERVICIO ]],Tabla3[],6)</f>
        <v>0</v>
      </c>
      <c r="OM58" s="348">
        <f>Tabla1[[#This Row],[COSTO POR UNIDAD DE PRODUCTO (20)]]*Tabla1[[#This Row],[COSTO UNITARIO AÑO 3 20 ]]*VLOOKUP(Tabla1[[#This Row],[CÓDIGO DEL PRODUCTO Y/O SERVICIO ]],Tabla3[],10)</f>
        <v>0</v>
      </c>
      <c r="ON58" s="348">
        <f>Tabla1[[#This Row],[COSTO POR UNIDAD DE PRODUCTO (20)]]*Tabla1[[#This Row],[COSTO UNITARIO AÑO 4 20 ]]*VLOOKUP(Tabla1[[#This Row],[CÓDIGO DEL PRODUCTO Y/O SERVICIO ]],Tabla3[],14)</f>
        <v>0</v>
      </c>
      <c r="OO58" s="348">
        <f>Tabla1[[#This Row],[COSTO POR UNIDAD DE PRODUCTO (20)]]*Tabla1[[#This Row],[COSTO UNITARIO AÑO 5 20 ]]*VLOOKUP(Tabla1[[#This Row],[CÓDIGO DEL PRODUCTO Y/O SERVICIO ]],Tabla3[],18)</f>
        <v>0</v>
      </c>
      <c r="OP58"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12830000</v>
      </c>
      <c r="OQ58"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17644226.560000002</v>
      </c>
      <c r="OR58"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18366601.953280002</v>
      </c>
      <c r="OS58"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19898901.316239364</v>
      </c>
      <c r="OT58"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21463220.278379999</v>
      </c>
    </row>
    <row r="59" spans="3:410" ht="15.75" x14ac:dyDescent="0.25">
      <c r="C59" s="62">
        <v>4</v>
      </c>
      <c r="D59" s="72" t="str">
        <f>VLOOKUP(Tabla1[[#This Row],[CÓDIGO DEL PRODUCTO Y/O SERVICIO ]],Tabla3[],2)</f>
        <v>Pureza Amor</v>
      </c>
      <c r="E59" s="72"/>
      <c r="F59" s="114">
        <f>VLOOKUP(Tabla1[[#This Row],[CÓDIGO DEL PRODUCTO Y/O SERVICIO ]],Tabla3[],3)</f>
        <v>450</v>
      </c>
      <c r="G59" s="114">
        <f>Tabla1[[#This Row],[UNIDADES PRODUCIDAS AÑO 1 ]]*F43</f>
        <v>10800</v>
      </c>
      <c r="H59" s="112">
        <f>VLOOKUP(Tabla1[[#This Row],[CÓDIGO DEL PRODUCTO Y/O SERVICIO ]],Tabla3[],9)</f>
        <v>0.1111111111111111</v>
      </c>
      <c r="I59" s="114">
        <f>Tabla1[[#This Row],[CANTIDADES A UTILIZAR EN EL AÑO 1]]*(1+Tabla1[[#This Row],[CAMBIO PORCENTUAL EN UNIDADES VENDIDAS AÑO 2]])</f>
        <v>12000</v>
      </c>
      <c r="J59" s="112">
        <f>VLOOKUP(Tabla1[[#This Row],[CÓDIGO DEL PRODUCTO Y/O SERVICIO ]],Tabla3[],13)</f>
        <v>0.12</v>
      </c>
      <c r="K59" s="114">
        <f>Tabla1[[#This Row],[CANTIDADES A UTILIZAR EN EL AÑO 2]]*(1+Tabla1[[#This Row],[CAMBIO PORCENTUAL EN UNIDADES VENDIDAS AÑO 3]])</f>
        <v>13440.000000000002</v>
      </c>
      <c r="L59" s="112">
        <f>VLOOKUP(Tabla1[[#This Row],[CÓDIGO DEL PRODUCTO Y/O SERVICIO ]],Tabla3[],17)</f>
        <v>8.9285714285714288E-2</v>
      </c>
      <c r="M59" s="114">
        <f>Tabla1[[#This Row],[CANTIDADES A UTILIZAR EN EL AÑO 3]]*(1+Tabla1[[#This Row],[CAMBIO PORCENTUAL EN UNIDADES VENDIDAS AÑO 4]])</f>
        <v>14640</v>
      </c>
      <c r="N59" s="112">
        <f>VLOOKUP(Tabla1[[#This Row],[CÓDIGO DEL PRODUCTO Y/O SERVICIO ]],Tabla3[],21)</f>
        <v>6.5573770491803282E-2</v>
      </c>
      <c r="O59" s="114">
        <f>Tabla1[[#This Row],[CANTIDADES A UTILIZAR EN EL AÑO 4]]*(1+Tabla1[[#This Row],[CAMBIO PORCENTUAL EN UNIDADES VENDIDAS AÑO 5]])</f>
        <v>15600.000000000002</v>
      </c>
      <c r="P59" s="359">
        <f>IF(Tabla1[[#This Row],[CANTIDADES A UTILIZAR EN EL AÑO 1]]=0,0,Tabla1[[#This Row],[CANTIDADES A UTILIZAR EN EL AÑO 1]]*1/Tabla1[[#This Row],[UNIDADES PRODUCIDAS AÑO 1 ]])</f>
        <v>24</v>
      </c>
      <c r="Q59" s="344">
        <f>$D$12*(1+BASES!$E$10)</f>
        <v>606.72</v>
      </c>
      <c r="R59" s="344">
        <f>Tabla1[[#This Row],[COSTO UNITARIO AÑO 2]]*(1+BASES!$F$10)</f>
        <v>613.51526400000012</v>
      </c>
      <c r="S59" s="344">
        <f>Tabla1[[#This Row],[COSTO UNITARIO AÑO 3]]*(1+BASES!$G$10)</f>
        <v>620.38663495680021</v>
      </c>
      <c r="T59" s="344">
        <f>Tabla1[[#This Row],[COSTO UNITARIO AÑO 4]]*(1+BASES!$H$10)</f>
        <v>627.33496526831641</v>
      </c>
      <c r="U59" s="344">
        <f>Tabla1[[#This Row],[COSTO POR UNIDAD DE PRODUCTO (1)]]*$D$12*VLOOKUP(Tabla1[[#This Row],[CÓDIGO DEL PRODUCTO Y/O SERVICIO ]],Tabla3[],3)</f>
        <v>6480000</v>
      </c>
      <c r="V59" s="344">
        <f>Tabla1[[#This Row],[COSTO POR UNIDAD DE PRODUCTO (1)]]*Tabla1[[#This Row],[COSTO UNITARIO AÑO 2]]*VLOOKUP(Tabla1[[#This Row],[CÓDIGO DEL PRODUCTO Y/O SERVICIO ]],Tabla3[],6)</f>
        <v>7280640</v>
      </c>
      <c r="W59" s="344">
        <f>Tabla1[[#This Row],[COSTO POR UNIDAD DE PRODUCTO (1)]]*Tabla1[[#This Row],[COSTO UNITARIO AÑO 3]]*VLOOKUP(Tabla1[[#This Row],[CÓDIGO DEL PRODUCTO Y/O SERVICIO ]],Tabla3[],10)</f>
        <v>8245645.1481600013</v>
      </c>
      <c r="X59" s="344">
        <f>Tabla1[[#This Row],[COSTO POR UNIDAD DE PRODUCTO (1)]]*Tabla1[[#This Row],[COSTO UNITARIO AÑO 4]]*VLOOKUP(Tabla1[[#This Row],[CÓDIGO DEL PRODUCTO Y/O SERVICIO ]],Tabla3[],14)</f>
        <v>9082460.3357675541</v>
      </c>
      <c r="Y59" s="344">
        <f>Tabla1[[#This Row],[COSTO POR UNIDAD DE PRODUCTO (1)]]*Tabla1[[#This Row],[COSTO UNITARIO AÑO 5]]*VLOOKUP(Tabla1[[#This Row],[CÓDIGO DEL PRODUCTO Y/O SERVICIO ]],Tabla3[],18)</f>
        <v>9786425.4581857361</v>
      </c>
      <c r="Z59" s="345">
        <f>VLOOKUP(Tabla1[[#This Row],[CÓDIGO DEL PRODUCTO Y/O SERVICIO ]],Tabla3[],3)</f>
        <v>450</v>
      </c>
      <c r="AA59" s="114">
        <f>G43*Tabla1[[#This Row],[UNIDADES PRODUCIDAS AÑO 1 2]]</f>
        <v>450</v>
      </c>
      <c r="AB59" s="112">
        <f>VLOOKUP(Tabla1[[#This Row],[CÓDIGO DEL PRODUCTO Y/O SERVICIO ]],Tabla3[],9)</f>
        <v>0.1111111111111111</v>
      </c>
      <c r="AC59" s="114">
        <f>Tabla1[[#This Row],[CANTIDADES A UTILIZAR EN EL AÑO 1 2]]*(1+Tabla1[[#This Row],[CAMBIO PORCENTUAL EN UNIDADES VENDIDAS AÑO 2 2]])</f>
        <v>500</v>
      </c>
      <c r="AD59" s="112">
        <f>VLOOKUP(Tabla1[[#This Row],[CÓDIGO DEL PRODUCTO Y/O SERVICIO ]],Tabla3[],13)</f>
        <v>0.12</v>
      </c>
      <c r="AE59" s="114">
        <f>Tabla1[[#This Row],[CANTIDADES A UTILIZAR  AÑO 2 2]]*(1+Tabla1[[#This Row],[CAMBIO PORCENTUAL EN UNIDADES VENDIDAS AÑO 3 2]])</f>
        <v>560</v>
      </c>
      <c r="AF59" s="112">
        <f>VLOOKUP(Tabla1[[#This Row],[CÓDIGO DEL PRODUCTO Y/O SERVICIO ]],Tabla3[],17)</f>
        <v>8.9285714285714288E-2</v>
      </c>
      <c r="AG59" s="114">
        <f>Tabla1[[#This Row],[CANTIDADES A UTILIZAR  AÑO 3 2]]*(1+Tabla1[[#This Row],[CAMBIO PORCENTUAL EN UNIDADES VENDIDAS AÑO 4 2]])</f>
        <v>610</v>
      </c>
      <c r="AH59" s="112">
        <f>VLOOKUP(Tabla1[[#This Row],[CÓDIGO DEL PRODUCTO Y/O SERVICIO ]],Tabla3[],21)</f>
        <v>6.5573770491803282E-2</v>
      </c>
      <c r="AI59" s="114">
        <f>Tabla1[[#This Row],[CANTIDADES A UTILIZAR  AÑO 4 2]]*(1+Tabla1[[#This Row],[CAMBIO PORCENTUAL EN UNIDADES VENDIDAS AÑO 5 2]])</f>
        <v>650</v>
      </c>
      <c r="AJ59" s="344">
        <f>IF(Tabla1[[#This Row],[CANTIDADES A UTILIZAR EN EL AÑO 1 2]]=0,0,Tabla1[[#This Row],[CANTIDADES A UTILIZAR EN EL AÑO 1 2]]*1/Tabla1[[#This Row],[UNIDADES PRODUCIDAS AÑO 1 2]])</f>
        <v>1</v>
      </c>
      <c r="AK59" s="344">
        <f>$D$13*(1+BASES!$E$10)</f>
        <v>80.896000000000015</v>
      </c>
      <c r="AL59" s="344">
        <f>Tabla1[[#This Row],[COSTO UNITARIO AÑO 2 2]]*(1+BASES!$F$10)</f>
        <v>81.80203520000002</v>
      </c>
      <c r="AM59" s="344">
        <f>Tabla1[[#This Row],[COSTO UNITARIO AÑO 3 2]]*(1+BASES!$G$10)</f>
        <v>82.718217994240035</v>
      </c>
      <c r="AN59" s="344">
        <f>Tabla1[[#This Row],[COSTO UNITARIO AÑO 4 2]]*(1+BASES!$H$10)</f>
        <v>83.644662035775525</v>
      </c>
      <c r="AO59" s="344">
        <f>Tabla1[[#This Row],[COSTO POR UNIDAD DE PRODUCTO (2)]]*$D$13*VLOOKUP(Tabla1[[#This Row],[CÓDIGO DEL PRODUCTO Y/O SERVICIO ]],Tabla3[],3)</f>
        <v>36000</v>
      </c>
      <c r="AP59" s="344">
        <f>Tabla1[[#This Row],[COSTO POR UNIDAD DE PRODUCTO (2)]]*Tabla1[[#This Row],[COSTO UNITARIO AÑO 2 2]]*VLOOKUP(Tabla1[[#This Row],[CÓDIGO DEL PRODUCTO Y/O SERVICIO ]],Tabla3[],6)</f>
        <v>40448.000000000007</v>
      </c>
      <c r="AQ59" s="344">
        <f>Tabla1[[#This Row],[COSTO POR UNIDAD DE PRODUCTO (2)]]*Tabla1[[#This Row],[COSTO UNITARIO AÑO 3 2]]*VLOOKUP(Tabla1[[#This Row],[CÓDIGO DEL PRODUCTO Y/O SERVICIO ]],Tabla3[],10)</f>
        <v>45809.139712000011</v>
      </c>
      <c r="AR59" s="344">
        <f>Tabla1[[#This Row],[COSTO POR UNIDAD DE PRODUCTO (2)]]*Tabla1[[#This Row],[COSTO UNITARIO AÑO 4 2]]*VLOOKUP(Tabla1[[#This Row],[CÓDIGO DEL PRODUCTO Y/O SERVICIO ]],Tabla3[],14)</f>
        <v>50458.112976486424</v>
      </c>
      <c r="AS59" s="344">
        <f>Tabla1[[#This Row],[COSTO POR UNIDAD DE PRODUCTO (2)]]*Tabla1[[#This Row],[COSTO UNITARIO AÑO 5 2]]*VLOOKUP(Tabla1[[#This Row],[CÓDIGO DEL PRODUCTO Y/O SERVICIO ]],Tabla3[],18)</f>
        <v>54369.03032325409</v>
      </c>
      <c r="AT59" s="114">
        <f>VLOOKUP(Tabla1[[#This Row],[CÓDIGO DEL PRODUCTO Y/O SERVICIO ]],Tabla3[],3)</f>
        <v>450</v>
      </c>
      <c r="AU59" s="114">
        <f>H43*Tabla1[[#This Row],[UNIDADES PRODUCIDAS AÑO 1 3]]</f>
        <v>0</v>
      </c>
      <c r="AV59" s="112">
        <f>VLOOKUP(Tabla1[[#This Row],[CÓDIGO DEL PRODUCTO Y/O SERVICIO ]],Tabla3[],9)</f>
        <v>0.1111111111111111</v>
      </c>
      <c r="AW59" s="114">
        <f>Tabla1[[#This Row],[CANTIDADES A UTILIZAR  AÑO 1 3]]*(1+Tabla1[[#This Row],[CAMBIO PORCENTUAL EN UNIDADES VENDIDAS AÑO 2 3]])</f>
        <v>0</v>
      </c>
      <c r="AX59" s="112">
        <f>VLOOKUP(Tabla1[[#This Row],[CÓDIGO DEL PRODUCTO Y/O SERVICIO ]],Tabla3[],13)</f>
        <v>0.12</v>
      </c>
      <c r="AY59" s="114">
        <f>Tabla1[[#This Row],[CANTIDADES A UTILIZAR  AÑO 2 3]]*(1+Tabla1[[#This Row],[CAMBIO PORCENTUAL EN UNIDADES VENDIDAS AÑO 3 3]])</f>
        <v>0</v>
      </c>
      <c r="AZ59" s="112">
        <f>VLOOKUP(Tabla1[[#This Row],[CÓDIGO DEL PRODUCTO Y/O SERVICIO ]],Tabla3[],17)</f>
        <v>8.9285714285714288E-2</v>
      </c>
      <c r="BA59" s="114">
        <f>Tabla1[[#This Row],[CANTIDADES A UTILIZAR  AÑO 3 3]]*(1+Tabla1[[#This Row],[CAMBIO PORCENTUAL EN UNIDADES VENDIDAS AÑO 4 3]])</f>
        <v>0</v>
      </c>
      <c r="BB59" s="112">
        <f>VLOOKUP(Tabla1[[#This Row],[CÓDIGO DEL PRODUCTO Y/O SERVICIO ]],Tabla3[],21)</f>
        <v>6.5573770491803282E-2</v>
      </c>
      <c r="BC59" s="114">
        <f>Tabla1[[#This Row],[CANTIDADES A UTILIZAR  AÑO 4 3]]*(1+Tabla1[[#This Row],[CAMBIO PORCENTUAL EN UNIDADES VENDIDAS AÑO 5 3]])</f>
        <v>0</v>
      </c>
      <c r="BD59" s="344">
        <f>IF(Tabla1[[#This Row],[CANTIDADES A UTILIZAR  AÑO 1 3]]=0,0,Tabla1[[#This Row],[CANTIDADES A UTILIZAR  AÑO 1 3]]*1/Tabla1[[#This Row],[UNIDADES PRODUCIDAS AÑO 1 3]])</f>
        <v>0</v>
      </c>
      <c r="BE59" s="344">
        <f>$D$14*(1+BASES!$E$10)</f>
        <v>50.56</v>
      </c>
      <c r="BF59" s="344">
        <f>Tabla1[[#This Row],[COSTO UNITARIO AÑO 2 3]]*(1+BASES!$F$10)</f>
        <v>51.126272000000007</v>
      </c>
      <c r="BG59" s="344">
        <f>Tabla1[[#This Row],[COSTO UNITARIO AÑO 3 3]]*(1+BASES!$G$10)</f>
        <v>51.698886246400015</v>
      </c>
      <c r="BH59" s="344">
        <f>Tabla1[[#This Row],[COSTO UNITARIO AÑO 4 3]]*(1+BASES!$H$10)</f>
        <v>52.277913772359703</v>
      </c>
      <c r="BI59" s="344">
        <f>Tabla1[[#This Row],[COSTO POR UNIDAD DE PRODUCTO (3)]]*$D$14*VLOOKUP(Tabla1[[#This Row],[CÓDIGO DEL PRODUCTO Y/O SERVICIO ]],Tabla3[],3)</f>
        <v>0</v>
      </c>
      <c r="BJ59" s="344">
        <f>Tabla1[[#This Row],[COSTO POR UNIDAD DE PRODUCTO (3)]]*Tabla1[[#This Row],[COSTO UNITARIO AÑO 2 3]]*VLOOKUP(Tabla1[[#This Row],[CÓDIGO DEL PRODUCTO Y/O SERVICIO ]],Tabla3[],6)</f>
        <v>0</v>
      </c>
      <c r="BK59" s="344">
        <f>Tabla1[[#This Row],[COSTO POR UNIDAD DE PRODUCTO (3)]]*Tabla1[[#This Row],[COSTO UNITARIO AÑO 3 3]]*VLOOKUP(Tabla1[[#This Row],[CÓDIGO DEL PRODUCTO Y/O SERVICIO ]],Tabla3[],10)</f>
        <v>0</v>
      </c>
      <c r="BL59" s="344">
        <f>Tabla1[[#This Row],[COSTO POR UNIDAD DE PRODUCTO (3)]]*Tabla1[[#This Row],[COSTO UNITARIO AÑO 4 3]]*VLOOKUP(Tabla1[[#This Row],[CÓDIGO DEL PRODUCTO Y/O SERVICIO ]],Tabla3[],14)</f>
        <v>0</v>
      </c>
      <c r="BM59" s="344">
        <f>Tabla1[[#This Row],[COSTO POR UNIDAD DE PRODUCTO (3)]]*Tabla1[[#This Row],[ COSTO UNITARIO AÑO 5 3]]*VLOOKUP(Tabla1[[#This Row],[CÓDIGO DEL PRODUCTO Y/O SERVICIO ]],Tabla3[],18)</f>
        <v>0</v>
      </c>
      <c r="BN59" s="114">
        <f>VLOOKUP(Tabla1[[#This Row],[CÓDIGO DEL PRODUCTO Y/O SERVICIO ]],Tabla3[],3)</f>
        <v>450</v>
      </c>
      <c r="BO59" s="114">
        <f>I43*Tabla1[[#This Row],[UNIDADES PRODUCIDAS AÑO 1 4]]</f>
        <v>0</v>
      </c>
      <c r="BP59" s="112">
        <f>VLOOKUP(Tabla1[[#This Row],[CÓDIGO DEL PRODUCTO Y/O SERVICIO ]],Tabla3[],9)</f>
        <v>0.1111111111111111</v>
      </c>
      <c r="BQ59" s="114">
        <f>Tabla1[[#This Row],[CANTIDADES A UTILIZAR  AÑO 1 4]]*(1+Tabla1[[#This Row],[CAMBIO PORCENTUAL EN UNIDADES VENDIDAS AÑO 2 4]])</f>
        <v>0</v>
      </c>
      <c r="BR59" s="112">
        <f>VLOOKUP(Tabla1[[#This Row],[CÓDIGO DEL PRODUCTO Y/O SERVICIO ]],Tabla3[],13)</f>
        <v>0.12</v>
      </c>
      <c r="BS59" s="114">
        <f>Tabla1[[#This Row],[CANTIDADES A UTILIZAR  AÑO 2 4]]*(1+Tabla1[[#This Row],[CAMBIO PORCENTUAL EN UNIDADES VENDIDAS AÑO 3 4]])</f>
        <v>0</v>
      </c>
      <c r="BT59" s="112">
        <f>VLOOKUP(Tabla1[[#This Row],[CÓDIGO DEL PRODUCTO Y/O SERVICIO ]],Tabla3[],17)</f>
        <v>8.9285714285714288E-2</v>
      </c>
      <c r="BU59" s="114">
        <f>Tabla1[[#This Row],[CANTIDADES A UTILIZAR  AÑO 3 4]]*(1+Tabla1[[#This Row],[CAMBIO PORCENTUAL EN UNIDADES VENDIDAS AÑO 4 4]])</f>
        <v>0</v>
      </c>
      <c r="BV59" s="112">
        <f>VLOOKUP(Tabla1[[#This Row],[CÓDIGO DEL PRODUCTO Y/O SERVICIO ]],Tabla3[],21)</f>
        <v>6.5573770491803282E-2</v>
      </c>
      <c r="BW59" s="114">
        <f>Tabla1[[#This Row],[CANTIDADES A UTILIZAR  AÑO 4 4]]*(1+Tabla1[[#This Row],[CAMBIO PORCENTUAL EN UNIDADES VENDIDAS AÑO 5 4]])</f>
        <v>0</v>
      </c>
      <c r="BX59" s="344">
        <f>IF(Tabla1[[#This Row],[CANTIDADES A UTILIZAR  AÑO 1 4]]=0,0,Tabla1[[#This Row],[CANTIDADES A UTILIZAR  AÑO 1 4]]*1/Tabla1[[#This Row],[UNIDADES PRODUCIDAS AÑO 1 4]])</f>
        <v>0</v>
      </c>
      <c r="BY59" s="344">
        <f>$D$15*(1+BASES!$E$10)</f>
        <v>171.90400000000002</v>
      </c>
      <c r="BZ59" s="344">
        <f>Tabla1[[#This Row],[COSTO UNITARIO AÑO 2 4]]*(1+BASES!$F$10)</f>
        <v>173.82932480000005</v>
      </c>
      <c r="CA59" s="344">
        <f>Tabla1[[#This Row],[COSTO UNITARIO AÑO 3 4]]*(1+BASES!$G$10)</f>
        <v>175.77621323776006</v>
      </c>
      <c r="CB59" s="344">
        <f>Tabla1[[#This Row],[COSTO UNITARIO AÑO 4 4]]*(1+BASES!$H$10)</f>
        <v>177.744906826023</v>
      </c>
      <c r="CC59" s="344">
        <f>Tabla1[[#This Row],[COSTO POR UNIDAD DE PRODUCTO (4) ]]*$D$15*VLOOKUP(Tabla1[[#This Row],[CÓDIGO DEL PRODUCTO Y/O SERVICIO ]],Tabla3[],3)</f>
        <v>0</v>
      </c>
      <c r="CD59" s="344">
        <f>Tabla1[[#This Row],[COSTO POR UNIDAD DE PRODUCTO (4) ]]*Tabla1[[#This Row],[COSTO UNITARIO AÑO 2 4]]*VLOOKUP(Tabla1[[#This Row],[CÓDIGO DEL PRODUCTO Y/O SERVICIO ]],Tabla3[],6)</f>
        <v>0</v>
      </c>
      <c r="CE59" s="344">
        <f>Tabla1[[#This Row],[COSTO POR UNIDAD DE PRODUCTO (4) ]]*Tabla1[[#This Row],[COSTO UNITARIO AÑO 3 4]]*VLOOKUP(Tabla1[[#This Row],[CÓDIGO DEL PRODUCTO Y/O SERVICIO ]],Tabla3[],10)</f>
        <v>0</v>
      </c>
      <c r="CF59" s="344">
        <f>Tabla1[[#This Row],[COSTO POR UNIDAD DE PRODUCTO (4) ]]*Tabla1[[#This Row],[COSTO UNITARIO AÑO 4 4]]*VLOOKUP(Tabla1[[#This Row],[CÓDIGO DEL PRODUCTO Y/O SERVICIO ]],Tabla3[],14)</f>
        <v>0</v>
      </c>
      <c r="CG59" s="344">
        <f>Tabla1[[#This Row],[COSTO POR UNIDAD DE PRODUCTO (4) ]]*Tabla1[[#This Row],[COSTO UNITARIO AÑO 5 4]]*VLOOKUP(Tabla1[[#This Row],[CÓDIGO DEL PRODUCTO Y/O SERVICIO ]],Tabla3[],18)</f>
        <v>0</v>
      </c>
      <c r="CH59" s="114">
        <f>VLOOKUP(Tabla1[[#This Row],[CÓDIGO DEL PRODUCTO Y/O SERVICIO ]],Tabla3[],3)</f>
        <v>450</v>
      </c>
      <c r="CI59" s="114">
        <f>Tabla1[[#This Row],[UNIDAS PRODUCIDAS AÑO 1 5]]*J43</f>
        <v>0</v>
      </c>
      <c r="CJ59" s="112">
        <f>VLOOKUP(Tabla1[[#This Row],[CÓDIGO DEL PRODUCTO Y/O SERVICIO ]],Tabla3[],9)</f>
        <v>0.1111111111111111</v>
      </c>
      <c r="CK59" s="114">
        <f>Tabla1[[#This Row],[CANTIDADES A UTILIZAR  AÑO 1 5]]*(1+Tabla1[[#This Row],[CAMBIO PORCENTUAL EN UNIDADES VENDIDAS AÑO 2 5]])</f>
        <v>0</v>
      </c>
      <c r="CL59" s="112">
        <f>VLOOKUP(Tabla1[[#This Row],[CÓDIGO DEL PRODUCTO Y/O SERVICIO ]],Tabla3[],13)</f>
        <v>0.12</v>
      </c>
      <c r="CM59" s="114">
        <f>Tabla1[[#This Row],[CANTIDADES A UTILIZAR  AÑO 2 5]]*(1+Tabla1[[#This Row],[CAMBIO PORCENTUAL EN UNIDADES VENDIDAS AÑO 3 5]])</f>
        <v>0</v>
      </c>
      <c r="CN59" s="112">
        <f>VLOOKUP(Tabla1[[#This Row],[CÓDIGO DEL PRODUCTO Y/O SERVICIO ]],Tabla3[],17)</f>
        <v>8.9285714285714288E-2</v>
      </c>
      <c r="CO59" s="114">
        <f>Tabla1[[#This Row],[CANTIDADES A UTILIZAR  AÑO 3 5]]*(1+Tabla1[[#This Row],[CAMBIO PORCENTUAL EN UNIDADES VENDIDAS AÑO 4 5]])</f>
        <v>0</v>
      </c>
      <c r="CP59" s="112">
        <f>VLOOKUP(Tabla1[[#This Row],[CÓDIGO DEL PRODUCTO Y/O SERVICIO ]],Tabla3[],21)</f>
        <v>6.5573770491803282E-2</v>
      </c>
      <c r="CQ59" s="114">
        <f>Tabla1[[#This Row],[CANTIDADES A UTILIZAR  AÑO 4 5]]*(1+Tabla1[[#This Row],[CAMBIO PORCENTUAL EN UNIDADES VENDIDAS AÑO 5 5]])</f>
        <v>0</v>
      </c>
      <c r="CR59" s="344">
        <f>IF(Tabla1[[#This Row],[CANTIDADES A UTILIZAR  AÑO 1 5]]=0,0,Tabla1[[#This Row],[CANTIDADES A UTILIZAR  AÑO 1 5]]*1/Tabla1[[#This Row],[UNIDAS PRODUCIDAS AÑO 1 5]])</f>
        <v>0</v>
      </c>
      <c r="CS59" s="344">
        <f>$D$16*(1+BASES!$E$10)</f>
        <v>3033.6000000000004</v>
      </c>
      <c r="CT59" s="344">
        <f>Tabla1[[#This Row],[COSTO UNITARIO AÑO 2 5]]*(1+BASES!$F$10)</f>
        <v>3067.5763200000006</v>
      </c>
      <c r="CU59" s="344">
        <f>Tabla1[[#This Row],[COSTO UNITARIO AÑO 3 5]]*(1+BASES!$G$10)</f>
        <v>3101.933174784001</v>
      </c>
      <c r="CV59" s="344">
        <f>Tabla1[[#This Row],[COSTO UNITARIO AÑO 4 5]]*(1+BASES!$H$10)</f>
        <v>3136.674826341582</v>
      </c>
      <c r="CW59" s="344">
        <f>Tabla1[[#This Row],[COSTO POR UNIDAD DE PRODUCTO (5)]]*$D$16*VLOOKUP(Tabla1[[#This Row],[CÓDIGO DEL PRODUCTO Y/O SERVICIO ]],Tabla3[],3)</f>
        <v>0</v>
      </c>
      <c r="CX59" s="344">
        <f>Tabla1[[#This Row],[COSTO POR UNIDAD DE PRODUCTO (5)]]*Tabla1[[#This Row],[COSTO UNITARIO AÑO 2 5]]*VLOOKUP(Tabla1[[#This Row],[CÓDIGO DEL PRODUCTO Y/O SERVICIO ]],Tabla3[],6)</f>
        <v>0</v>
      </c>
      <c r="CY59" s="344">
        <f>Tabla1[[#This Row],[COSTO POR UNIDAD DE PRODUCTO (5)]]*Tabla1[[#This Row],[COSTO UNITARIO AÑO 3 5]]*VLOOKUP(Tabla1[[#This Row],[CÓDIGO DEL PRODUCTO Y/O SERVICIO ]],Tabla3[],10)</f>
        <v>0</v>
      </c>
      <c r="CZ59" s="344">
        <f>Tabla1[[#This Row],[COSTO POR UNIDAD DE PRODUCTO (5)]]*Tabla1[[#This Row],[COSTO UNITARIO AÑO 4 5]]*VLOOKUP(Tabla1[[#This Row],[CÓDIGO DEL PRODUCTO Y/O SERVICIO ]],Tabla3[],14)</f>
        <v>0</v>
      </c>
      <c r="DA59" s="344">
        <f>Tabla1[[#This Row],[COSTO POR UNIDAD DE PRODUCTO (5)]]*Tabla1[[#This Row],[COSTO UNITARIO AÑO 5 5 ]]*VLOOKUP(Tabla1[[#This Row],[CÓDIGO DEL PRODUCTO Y/O SERVICIO ]],Tabla3[],18)</f>
        <v>0</v>
      </c>
      <c r="DB59" s="114">
        <f>VLOOKUP(Tabla1[[#This Row],[CÓDIGO DEL PRODUCTO Y/O SERVICIO ]],Tabla3[],3)</f>
        <v>450</v>
      </c>
      <c r="DC59" s="114">
        <f>Tabla1[[#This Row],[UNIDADES PRODUCIDAS AÑO 1 6]]*K43</f>
        <v>0</v>
      </c>
      <c r="DD59" s="112">
        <f>VLOOKUP(Tabla1[[#This Row],[CÓDIGO DEL PRODUCTO Y/O SERVICIO ]],Tabla3[],9)</f>
        <v>0.1111111111111111</v>
      </c>
      <c r="DE59" s="114">
        <f>Tabla1[[#This Row],[CANTIDADES A UTILIZAR  AÑO 1 6]]*(1+Tabla1[[#This Row],[CAMBIO PORCENTUAL EN UNIDADES VENDIDAS AÑO 2 6]])</f>
        <v>0</v>
      </c>
      <c r="DF59" s="112">
        <f>VLOOKUP(Tabla1[[#This Row],[CÓDIGO DEL PRODUCTO Y/O SERVICIO ]],Tabla3[],13)</f>
        <v>0.12</v>
      </c>
      <c r="DG59" s="114">
        <f>Tabla1[[#This Row],[CANTIDADES A UTILIZAR  AÑO 2 6]]*(1+Tabla1[[#This Row],[CAMBIO PORCENTUAL EN UNIDADES VENDIDAS AÑO 3 6]])</f>
        <v>0</v>
      </c>
      <c r="DH59" s="112">
        <f>VLOOKUP(Tabla1[[#This Row],[CÓDIGO DEL PRODUCTO Y/O SERVICIO ]],Tabla3[],17)</f>
        <v>8.9285714285714288E-2</v>
      </c>
      <c r="DI59" s="114">
        <f>Tabla1[[#This Row],[CANTIDADES A UTILIZAR  AÑO 3 6 ]]*(1+Tabla1[[#This Row],[CAMBIO PORCENTUAL EN UNIDADES VENDIDAS AÑO 4 6]])</f>
        <v>0</v>
      </c>
      <c r="DJ59" s="112">
        <f>VLOOKUP(Tabla1[[#This Row],[CÓDIGO DEL PRODUCTO Y/O SERVICIO ]],Tabla3[],21)</f>
        <v>6.5573770491803282E-2</v>
      </c>
      <c r="DK59" s="114">
        <f>Tabla1[[#This Row],[CANTIDADES A UTILIZAR  AÑO 4 6]]*(1+Tabla1[[#This Row],[CAMBIO PORCENTUAL EN UNIDADES VENDIDAS AÑO 5 6]])</f>
        <v>0</v>
      </c>
      <c r="DL59" s="344">
        <f>IF(Tabla1[[#This Row],[CANTIDADES A UTILIZAR  AÑO 1 6]]=0,0,Tabla1[[#This Row],[CANTIDADES A UTILIZAR  AÑO 1 6]]*1/Tabla1[[#This Row],[UNIDADES PRODUCIDAS AÑO 1 6]])</f>
        <v>0</v>
      </c>
      <c r="DM59" s="344">
        <f>$D$17*(1+BASES!$E$10)</f>
        <v>2528.0000000000005</v>
      </c>
      <c r="DN59" s="344">
        <f>Tabla1[[#This Row],[COSTO UNITARIO AÑO 2 6]]*(1+BASES!$F$10)</f>
        <v>2556.3136000000009</v>
      </c>
      <c r="DO59" s="344">
        <f>Tabla1[[#This Row],[COSTO UNITARIO AÑO 3 6]]*(1+BASES!$G$10)</f>
        <v>2584.9443123200012</v>
      </c>
      <c r="DP59" s="344">
        <f>Tabla1[[#This Row],[COSTO UNITARIO AÑO 4 6 ]]*(1+BASES!$H$10)</f>
        <v>2613.8956886179853</v>
      </c>
      <c r="DQ59" s="344">
        <f>Tabla1[[#This Row],[COSTO POR UNIDAD DE PRODUCTO (6)]]*$D$17*VLOOKUP(Tabla1[[#This Row],[CÓDIGO DEL PRODUCTO Y/O SERVICIO ]],Tabla3[],3)</f>
        <v>0</v>
      </c>
      <c r="DR59" s="344">
        <f>Tabla1[[#This Row],[COSTO POR UNIDAD DE PRODUCTO (6)]]*Tabla1[[#This Row],[COSTO UNITARIO AÑO 2 6]]*VLOOKUP(Tabla1[[#This Row],[CÓDIGO DEL PRODUCTO Y/O SERVICIO ]],Tabla3[],6)</f>
        <v>0</v>
      </c>
      <c r="DS59" s="344">
        <f>Tabla1[[#This Row],[COSTO POR UNIDAD DE PRODUCTO (6)]]*Tabla1[[#This Row],[COSTO UNITARIO AÑO 3 6]]*VLOOKUP(Tabla1[[#This Row],[CÓDIGO DEL PRODUCTO Y/O SERVICIO ]],Tabla3[],10)</f>
        <v>0</v>
      </c>
      <c r="DT59" s="344">
        <f>Tabla1[[#This Row],[COSTO POR UNIDAD DE PRODUCTO (6)]]*Tabla1[[#This Row],[COSTO UNITARIO AÑO 4 6 ]]*VLOOKUP(Tabla1[[#This Row],[CÓDIGO DEL PRODUCTO Y/O SERVICIO ]],Tabla3[],14)</f>
        <v>0</v>
      </c>
      <c r="DU59" s="344">
        <f>Tabla1[[#This Row],[COSTO POR UNIDAD DE PRODUCTO (6)]]*Tabla1[[#This Row],[COSTO UNITARIO AÑO 5 6]]*VLOOKUP(Tabla1[[#This Row],[CÓDIGO DEL PRODUCTO Y/O SERVICIO ]],Tabla3[],18)</f>
        <v>0</v>
      </c>
      <c r="DV59" s="114">
        <f>VLOOKUP(Tabla1[[#This Row],[CÓDIGO DEL PRODUCTO Y/O SERVICIO ]],Tabla3[],3)</f>
        <v>450</v>
      </c>
      <c r="DW59" s="114">
        <f>Tabla1[[#This Row],[UNIDADES PRODUCIDAS AÑO 1 7]]*L43</f>
        <v>450</v>
      </c>
      <c r="DX59" s="112">
        <f>VLOOKUP(Tabla1[[#This Row],[CÓDIGO DEL PRODUCTO Y/O SERVICIO ]],Tabla3[],9)</f>
        <v>0.1111111111111111</v>
      </c>
      <c r="DY59" s="114">
        <f>Tabla1[[#This Row],[CANTIDADES A UTILIZAR  AÑO 1 7]]*(1+Tabla1[[#This Row],[CAMBIO PORCENTUAL EN UNIDADES VENDIDAS AÑO 2 7]])</f>
        <v>500</v>
      </c>
      <c r="DZ59" s="112">
        <f>VLOOKUP(Tabla1[[#This Row],[CÓDIGO DEL PRODUCTO Y/O SERVICIO ]],Tabla3[],13)</f>
        <v>0.12</v>
      </c>
      <c r="EA59" s="114">
        <f>Tabla1[[#This Row],[CANTIDADES A UTILIZAR  AÑO 2 7]]*(1+Tabla1[[#This Row],[CAMBIO PORCENTUAL EN UNIDADES VENDIDAS AÑO 3 7]])</f>
        <v>560</v>
      </c>
      <c r="EB59" s="112">
        <f>VLOOKUP(Tabla1[[#This Row],[CÓDIGO DEL PRODUCTO Y/O SERVICIO ]],Tabla3[],17)</f>
        <v>8.9285714285714288E-2</v>
      </c>
      <c r="EC59" s="114">
        <f>Tabla1[[#This Row],[CANTIDADES A UTILIZAR  AÑO 3 7 ]]*(1+Tabla1[[#This Row],[CAMBIO PORCENTUAL EN UNIDADES VENDIDAS AÑO 4 7]])</f>
        <v>610</v>
      </c>
      <c r="ED59" s="112">
        <f>VLOOKUP(Tabla1[[#This Row],[CÓDIGO DEL PRODUCTO Y/O SERVICIO ]],Tabla3[],21)</f>
        <v>6.5573770491803282E-2</v>
      </c>
      <c r="EE59" s="114">
        <f>Tabla1[[#This Row],[CANTIDADES A UTILIZAR  AÑO 4 7]]*(1+Tabla1[[#This Row],[CAMBIO PORCENTUAL EN UNIDADES VENDIDAS AÑO 5 7]])</f>
        <v>650</v>
      </c>
      <c r="EF59" s="344">
        <f>IF(Tabla1[[#This Row],[CANTIDADES A UTILIZAR  AÑO 1 7]]=0,0,Tabla1[[#This Row],[CANTIDADES A UTILIZAR  AÑO 1 7]]*1/Tabla1[[#This Row],[UNIDADES PRODUCIDAS AÑO 1 7]])</f>
        <v>1</v>
      </c>
      <c r="EG59" s="344">
        <f>$D$18*(1+BASES!$E$10)</f>
        <v>171.90400000000002</v>
      </c>
      <c r="EH59" s="344">
        <f>Tabla1[[#This Row],[COSTO UNITARIO AÑO 2 7]]*(1+BASES!$F$10)</f>
        <v>173.82932480000005</v>
      </c>
      <c r="EI59" s="344">
        <f>Tabla1[[#This Row],[COSTO UNITARIO AÑO 3 7]]*(1+BASES!$G$10)</f>
        <v>175.77621323776006</v>
      </c>
      <c r="EJ59" s="344">
        <f>Tabla1[[#This Row],[COSTO UNITARIO AÑO 4 7]]*(1+BASES!$H$10)</f>
        <v>177.744906826023</v>
      </c>
      <c r="EK59" s="344">
        <f>Tabla1[[#This Row],[COSTO POR UNIDAD DE PRODUCTO (7)]]*$D$18*VLOOKUP(Tabla1[[#This Row],[CÓDIGO DEL PRODUCTO Y/O SERVICIO ]],Tabla3[],3)</f>
        <v>76500</v>
      </c>
      <c r="EL59" s="344">
        <f>Tabla1[[#This Row],[COSTO POR UNIDAD DE PRODUCTO (7)]]*Tabla1[[#This Row],[COSTO UNITARIO AÑO 2 7]]*VLOOKUP(Tabla1[[#This Row],[CÓDIGO DEL PRODUCTO Y/O SERVICIO ]],Tabla3[],6)</f>
        <v>85952.000000000015</v>
      </c>
      <c r="EM59" s="344">
        <f>Tabla1[[#This Row],[COSTO POR UNIDAD DE PRODUCTO (7)]]*Tabla1[[#This Row],[COSTO UNITARIO AÑO 3 7]]*VLOOKUP(Tabla1[[#This Row],[CÓDIGO DEL PRODUCTO Y/O SERVICIO ]],Tabla3[],10)</f>
        <v>97344.421888000026</v>
      </c>
      <c r="EN59" s="344">
        <f>Tabla1[[#This Row],[COSTO POR UNIDAD DE PRODUCTO (7)]]*Tabla1[[#This Row],[COSTO UNITARIO AÑO 4 7]]*VLOOKUP(Tabla1[[#This Row],[CÓDIGO DEL PRODUCTO Y/O SERVICIO ]],Tabla3[],14)</f>
        <v>107223.49007503364</v>
      </c>
      <c r="EO59" s="344">
        <f>Tabla1[[#This Row],[COSTO POR UNIDAD DE PRODUCTO (7)]]*Tabla1[[#This Row],[COSTO UNITARIO AÑO 5 7]]*VLOOKUP(Tabla1[[#This Row],[CÓDIGO DEL PRODUCTO Y/O SERVICIO ]],Tabla3[],18)</f>
        <v>115534.18943691495</v>
      </c>
      <c r="EP59" s="114">
        <f>VLOOKUP(Tabla1[[#This Row],[CÓDIGO DEL PRODUCTO Y/O SERVICIO ]],Tabla3[],3)</f>
        <v>450</v>
      </c>
      <c r="EQ59" s="114">
        <f>Tabla1[[#This Row],[UNIDADES PRODUCIDAS AÑO 1 8]]*M43</f>
        <v>0</v>
      </c>
      <c r="ER59" s="112">
        <f>VLOOKUP(Tabla1[[#This Row],[CÓDIGO DEL PRODUCTO Y/O SERVICIO ]],Tabla3[],9)</f>
        <v>0.1111111111111111</v>
      </c>
      <c r="ES59" s="114">
        <f>Tabla1[[#This Row],[CANTIDADES A UTILIZAR  AÑO 1 8]]*(1+Tabla1[[#This Row],[CAMBIO PORCENTUAL EN UNIDADES VENDIDAS AÑO 2 8]])</f>
        <v>0</v>
      </c>
      <c r="ET59" s="112">
        <f>VLOOKUP(Tabla1[[#This Row],[CÓDIGO DEL PRODUCTO Y/O SERVICIO ]],Tabla3[],13)</f>
        <v>0.12</v>
      </c>
      <c r="EU59" s="114">
        <f>Tabla1[[#This Row],[CANTIDADES A UTILIZAR  AÑO 2 8]]*(1+Tabla1[[#This Row],[CAMBIO PORCENTUAL EN UNIDADES VENDIDAS AÑO 3 8]])</f>
        <v>0</v>
      </c>
      <c r="EV59" s="112">
        <f>VLOOKUP(Tabla1[[#This Row],[CÓDIGO DEL PRODUCTO Y/O SERVICIO ]],Tabla3[],17)</f>
        <v>8.9285714285714288E-2</v>
      </c>
      <c r="EW59" s="114">
        <f>Tabla1[[#This Row],[CANTIDADES A UTILIZAR  AÑO 3 8]]*(1+Tabla1[[#This Row],[CAMBIO PORCENTUAL EN UNIDADES VENDIDAS AÑO 4 8]])</f>
        <v>0</v>
      </c>
      <c r="EX59" s="112">
        <f>VLOOKUP(Tabla1[[#This Row],[CÓDIGO DEL PRODUCTO Y/O SERVICIO ]],Tabla3[],21)</f>
        <v>6.5573770491803282E-2</v>
      </c>
      <c r="EY59" s="114">
        <f>Tabla1[[#This Row],[CANTIDADES A UTILIZAR  AÑO 4 8]]*(1+Tabla1[[#This Row],[CAMBIO PORCENTUAL EN UNIDADES VENDIDAS AÑO 5 8]])</f>
        <v>0</v>
      </c>
      <c r="EZ59" s="344">
        <f>IF(Tabla1[[#This Row],[CANTIDADES A UTILIZAR  AÑO 1 8]]=0,0,Tabla1[[#This Row],[CANTIDADES A UTILIZAR  AÑO 1 8]]*1/Tabla1[[#This Row],[UNIDADES PRODUCIDAS AÑO 1 8]])</f>
        <v>0</v>
      </c>
      <c r="FA59" s="344">
        <f>$D$19*(1+BASES!$E$10)</f>
        <v>303.36</v>
      </c>
      <c r="FB59" s="344">
        <f>Tabla1[[#This Row],[COSTO UNITARIO AÑO 2 8]]*(1+BASES!$F$10)</f>
        <v>306.75763200000006</v>
      </c>
      <c r="FC59" s="344">
        <f>Tabla1[[#This Row],[COSTO UNITARIO AÑO 3 8]]*(1+BASES!$G$10)</f>
        <v>310.1933174784001</v>
      </c>
      <c r="FD59" s="344">
        <f>Tabla1[[#This Row],[COSTO UNITARIO AÑO 4 8]]*(1+BASES!$H$10)</f>
        <v>313.6674826341582</v>
      </c>
      <c r="FE59" s="344">
        <f>Tabla1[[#This Row],[COSTO POR UNIDAD DE PRODUCTO (8)]]*$D$19*VLOOKUP(Tabla1[[#This Row],[CÓDIGO DEL PRODUCTO Y/O SERVICIO ]],Tabla3[],3)</f>
        <v>0</v>
      </c>
      <c r="FF59" s="344">
        <f>Tabla1[[#This Row],[COSTO POR UNIDAD DE PRODUCTO (8)]]*Tabla1[[#This Row],[COSTO UNITARIO AÑO 2 8]]*VLOOKUP(Tabla1[[#This Row],[CÓDIGO DEL PRODUCTO Y/O SERVICIO ]],Tabla3[],6)</f>
        <v>0</v>
      </c>
      <c r="FG59" s="344">
        <f>Tabla1[[#This Row],[COSTO POR UNIDAD DE PRODUCTO (8)]]*Tabla1[[#This Row],[COSTO UNITARIO AÑO 3 8]]*VLOOKUP(Tabla1[[#This Row],[CÓDIGO DEL PRODUCTO Y/O SERVICIO ]],Tabla3[],10)</f>
        <v>0</v>
      </c>
      <c r="FH59" s="344">
        <f>Tabla1[[#This Row],[COSTO POR UNIDAD DE PRODUCTO (8)]]*Tabla1[[#This Row],[COSTO UNITARIO AÑO 4 8]]*VLOOKUP(Tabla1[[#This Row],[CÓDIGO DEL PRODUCTO Y/O SERVICIO ]],Tabla3[],14)</f>
        <v>0</v>
      </c>
      <c r="FI59" s="344">
        <f>Tabla1[[#This Row],[COSTO POR UNIDAD DE PRODUCTO (8)]]*Tabla1[[#This Row],[COSTO UNITARIO AÑO 5 8]]*VLOOKUP(Tabla1[[#This Row],[CÓDIGO DEL PRODUCTO Y/O SERVICIO ]],Tabla3[],18)</f>
        <v>0</v>
      </c>
      <c r="FJ59" s="346">
        <f>VLOOKUP(Tabla1[[#This Row],[CÓDIGO DEL PRODUCTO Y/O SERVICIO ]],Tabla3[],3)</f>
        <v>450</v>
      </c>
      <c r="FK59" s="346">
        <f>Tabla1[[#This Row],[UNIDADES PRODUCIDAS AÑO 1 9 ]]*N43</f>
        <v>0</v>
      </c>
      <c r="FL59" s="347">
        <f>VLOOKUP(Tabla1[[#This Row],[CÓDIGO DEL PRODUCTO Y/O SERVICIO ]],Tabla3[],9)</f>
        <v>0.1111111111111111</v>
      </c>
      <c r="FM59" s="346">
        <f>Tabla1[[#This Row],[CANTIDADES A UTILIZAR  AÑO 1 9]]*(1+Tabla1[[#This Row],[CAMBIO PORCENTUAL EN UNIDADES VENDIDAS AÑO 2 9]])</f>
        <v>0</v>
      </c>
      <c r="FN59" s="347">
        <f>VLOOKUP(Tabla1[[#This Row],[CÓDIGO DEL PRODUCTO Y/O SERVICIO ]],Tabla3[],13)</f>
        <v>0.12</v>
      </c>
      <c r="FO59" s="346">
        <f>Tabla1[[#This Row],[CANTIDADES A UTILIZAR  AÑO 2 9]]*(1+Tabla1[[#This Row],[CAMBIO PORCENTUAL EN UNIDADES VENDIDAS AÑO 3 9]])</f>
        <v>0</v>
      </c>
      <c r="FP59" s="347">
        <f>VLOOKUP(Tabla1[[#This Row],[CÓDIGO DEL PRODUCTO Y/O SERVICIO ]],Tabla3[],17)</f>
        <v>8.9285714285714288E-2</v>
      </c>
      <c r="FQ59" s="346">
        <f>Tabla1[[#This Row],[CANTIDADES A UTILIZAR  AÑO 3 9]]*(1+Tabla1[[#This Row],[CAMBIO PORCENTUAL EN UNIDADES VENDIDAS AÑO 4 9 ]])</f>
        <v>0</v>
      </c>
      <c r="FR59" s="347">
        <f>VLOOKUP(Tabla1[[#This Row],[CÓDIGO DEL PRODUCTO Y/O SERVICIO ]],Tabla3[],21)</f>
        <v>6.5573770491803282E-2</v>
      </c>
      <c r="FS59" s="346">
        <f>Tabla1[[#This Row],[CANTIDADES A UTILIZAR  AÑO 4  9]]*(1+Tabla1[[#This Row],[CAMBIO PORCENTUAL EN UNIDADES VENDIDAS AÑO 5 9]])</f>
        <v>0</v>
      </c>
      <c r="FT59" s="348">
        <f>IF(Tabla1[[#This Row],[CANTIDADES A UTILIZAR  AÑO 1 9]]=0,0,Tabla1[[#This Row],[CANTIDADES A UTILIZAR  AÑO 1 9]]*1/Tabla1[[#This Row],[UNIDADES PRODUCIDAS AÑO 1 9 ]])</f>
        <v>0</v>
      </c>
      <c r="FU59" s="348">
        <f>$D$20*(1+BASES!$E$10)</f>
        <v>4550.4000000000005</v>
      </c>
      <c r="FV59" s="348">
        <f>Tabla1[[#This Row],[COSTO UNITARIO AÑO 2 9]]*(1+BASES!$F$10)</f>
        <v>4601.3644800000011</v>
      </c>
      <c r="FW59" s="348">
        <f>Tabla1[[#This Row],[COSTO UNITARIO AÑO 3 9]]*(1+BASES!$G$10)</f>
        <v>4652.8997621760018</v>
      </c>
      <c r="FX59" s="348">
        <f>Tabla1[[#This Row],[COSTO UNITARIO AÑO 4 9]]*(1+BASES!$H$10)</f>
        <v>4705.0122395123735</v>
      </c>
      <c r="FY59" s="348">
        <f>Tabla1[[#This Row],[COSTO POR UNIDAD DE PRODUCTO (9)]]*$D$20*VLOOKUP(Tabla1[[#This Row],[CÓDIGO DEL PRODUCTO Y/O SERVICIO ]],Tabla3[],3)</f>
        <v>0</v>
      </c>
      <c r="FZ59" s="348">
        <f>Tabla1[[#This Row],[COSTO POR UNIDAD DE PRODUCTO (9)]]*Tabla1[[#This Row],[COSTO UNITARIO AÑO 2 9]]*VLOOKUP(Tabla1[[#This Row],[CÓDIGO DEL PRODUCTO Y/O SERVICIO ]],Tabla3[],6)</f>
        <v>0</v>
      </c>
      <c r="GA59" s="348">
        <f>Tabla1[[#This Row],[COSTO POR UNIDAD DE PRODUCTO (9)]]*Tabla1[[#This Row],[COSTO UNITARIO AÑO 3 9]]*VLOOKUP(Tabla1[[#This Row],[CÓDIGO DEL PRODUCTO Y/O SERVICIO ]],Tabla3[],10)</f>
        <v>0</v>
      </c>
      <c r="GB59" s="348">
        <f>Tabla1[[#This Row],[COSTO POR UNIDAD DE PRODUCTO (9)]]*Tabla1[[#This Row],[COSTO UNITARIO AÑO 4 9]]*VLOOKUP(Tabla1[[#This Row],[CÓDIGO DEL PRODUCTO Y/O SERVICIO ]],Tabla3[],14)</f>
        <v>0</v>
      </c>
      <c r="GC59" s="348">
        <f>Tabla1[[#This Row],[COSTO POR UNIDAD DE PRODUCTO (9)]]*Tabla1[[#This Row],[COSTO UNITARIO AÑO 5 9]]*VLOOKUP(Tabla1[[#This Row],[CÓDIGO DEL PRODUCTO Y/O SERVICIO ]],Tabla3[],18)</f>
        <v>0</v>
      </c>
      <c r="GD59" s="346">
        <f>VLOOKUP(Tabla1[[#This Row],[CÓDIGO DEL PRODUCTO Y/O SERVICIO ]],Tabla3[],3)</f>
        <v>450</v>
      </c>
      <c r="GE59" s="346">
        <f>Tabla1[[#This Row],[UNIDADES PRODUCIDAS AÑO 1 10]]*O43</f>
        <v>0</v>
      </c>
      <c r="GF59" s="347">
        <f>VLOOKUP(Tabla1[[#This Row],[CÓDIGO DEL PRODUCTO Y/O SERVICIO ]],Tabla3[],9)</f>
        <v>0.1111111111111111</v>
      </c>
      <c r="GG59" s="346">
        <f>Tabla1[[#This Row],[CANTIDADES A UTILIZAR  AÑO 1 10]]*(1+Tabla1[[#This Row],[CAMBIO PORCENTUAL EN UNIDADES VENDIDAS AÑO 2 10 ]])</f>
        <v>0</v>
      </c>
      <c r="GH59" s="347">
        <f>VLOOKUP(Tabla1[[#This Row],[CÓDIGO DEL PRODUCTO Y/O SERVICIO ]],Tabla3[],13)</f>
        <v>0.12</v>
      </c>
      <c r="GI59" s="346">
        <f>Tabla1[[#This Row],[CANTIDADES A UTILIZAR  AÑO 2 10]]*(1+Tabla1[[#This Row],[CAMBIO PORCENTUAL EN UNIDADES VENDIDAS AÑO 3 10]])</f>
        <v>0</v>
      </c>
      <c r="GJ59" s="347">
        <f>VLOOKUP(Tabla1[[#This Row],[CÓDIGO DEL PRODUCTO Y/O SERVICIO ]],Tabla3[],17)</f>
        <v>8.9285714285714288E-2</v>
      </c>
      <c r="GK59" s="346">
        <f>Tabla1[[#This Row],[CANTIDADES A UTILIZAR AÑO 3 10 ]]*(1+Tabla1[[#This Row],[CAMBIO PORCENTUAL EN UNIDADES VENDIDAS AÑO 4 10]])</f>
        <v>0</v>
      </c>
      <c r="GL59" s="347">
        <f>VLOOKUP(Tabla1[[#This Row],[CÓDIGO DEL PRODUCTO Y/O SERVICIO ]],Tabla3[],21)</f>
        <v>6.5573770491803282E-2</v>
      </c>
      <c r="GM59" s="346">
        <f>Tabla1[[#This Row],[CANTIDADES A UTILIZAR  AÑO 4 10 ]]*(1+Tabla1[[#This Row],[CAMBIO PORCENTUAL EN UNIDADES VENDIDAS AÑO 5 10]])</f>
        <v>0</v>
      </c>
      <c r="GN59" s="348">
        <f>IF(Tabla1[[#This Row],[CANTIDADES A UTILIZAR  AÑO 1 10]]=0,0,Tabla1[[#This Row],[CANTIDADES A UTILIZAR  AÑO 1 10]]*1/Tabla1[[#This Row],[UNIDADES PRODUCIDAS AÑO 1 10]])</f>
        <v>0</v>
      </c>
      <c r="GO59" s="348">
        <f>$D$21*(1+BASES!$E$10)</f>
        <v>334.81843200000003</v>
      </c>
      <c r="GP59" s="348">
        <f>Tabla1[[#This Row],[COSTO UNITARIO AÑO 2 10 ]]*(1+BASES!$F$10)</f>
        <v>338.56839843840004</v>
      </c>
      <c r="GQ59" s="348">
        <f>Tabla1[[#This Row],[COSTO UNITARIO AÑO 3 10]]*(1+BASES!$G$10)</f>
        <v>342.36036450091018</v>
      </c>
      <c r="GR59" s="348">
        <f>Tabla1[[#This Row],[COSTO UNITARIO AÑO 4 10]]*(1+BASES!$H$10)</f>
        <v>346.19480058332039</v>
      </c>
      <c r="GS59" s="348">
        <f>Tabla1[[#This Row],[COSTO POR UNIDAD DE PRODUCTO (10)]]*$D$21*VLOOKUP(Tabla1[[#This Row],[CÓDIGO DEL PRODUCTO Y/O SERVICIO ]],Tabla3[],3)</f>
        <v>0</v>
      </c>
      <c r="GT59" s="348">
        <f>Tabla1[[#This Row],[COSTO POR UNIDAD DE PRODUCTO (10)]]*Tabla1[[#This Row],[COSTO UNITARIO AÑO 2 10 ]]*VLOOKUP(Tabla1[[#This Row],[CÓDIGO DEL PRODUCTO Y/O SERVICIO ]],Tabla3[],6)</f>
        <v>0</v>
      </c>
      <c r="GU59" s="348">
        <f>Tabla1[[#This Row],[COSTO POR UNIDAD DE PRODUCTO (10)]]*Tabla1[[#This Row],[COSTO UNITARIO AÑO 3 10]]*VLOOKUP(Tabla1[[#This Row],[CÓDIGO DEL PRODUCTO Y/O SERVICIO ]],Tabla3[],10)</f>
        <v>0</v>
      </c>
      <c r="GV59" s="348">
        <f>Tabla1[[#This Row],[COSTO POR UNIDAD DE PRODUCTO (10)]]*Tabla1[[#This Row],[COSTO UNITARIO AÑO 4 10]]*VLOOKUP(Tabla1[[#This Row],[CÓDIGO DEL PRODUCTO Y/O SERVICIO ]],Tabla3[],14)</f>
        <v>0</v>
      </c>
      <c r="GW59" s="348">
        <f>Tabla1[[#This Row],[COSTO POR UNIDAD DE PRODUCTO (10)]]*Tabla1[[#This Row],[COSTO UNITARIO AÑO 5 10 ]]*VLOOKUP(Tabla1[[#This Row],[CÓDIGO DEL PRODUCTO Y/O SERVICIO ]],Tabla3[],18)</f>
        <v>0</v>
      </c>
      <c r="GX59" s="346">
        <f>VLOOKUP(Tabla1[[#This Row],[CÓDIGO DEL PRODUCTO Y/O SERVICIO ]],Tabla3[],3)</f>
        <v>450</v>
      </c>
      <c r="GY59" s="346">
        <f>Tabla1[[#This Row],[UNIDADES PRODUCIDAS AÑO 1 11]]*P43</f>
        <v>0</v>
      </c>
      <c r="GZ59" s="347">
        <f>VLOOKUP(Tabla1[[#This Row],[CÓDIGO DEL PRODUCTO Y/O SERVICIO ]],Tabla3[],9)</f>
        <v>0.1111111111111111</v>
      </c>
      <c r="HA59" s="346">
        <f>Tabla1[[#This Row],[CANTIDADES A UTILIZAR  AÑO 1 11 ]]*(1+Tabla1[[#This Row],[CAMBIO PORCENTUAL EN UNIDADES VENDIDAS AÑO 2 11 ]])</f>
        <v>0</v>
      </c>
      <c r="HB59" s="347">
        <f>VLOOKUP(Tabla1[[#This Row],[CÓDIGO DEL PRODUCTO Y/O SERVICIO ]],Tabla3[],13)</f>
        <v>0.12</v>
      </c>
      <c r="HC59" s="346">
        <f>Tabla1[[#This Row],[CANTIDADES A UTILIZAR  AÑO 2 11 ]]*(1+Tabla1[[#This Row],[CAMBIO PORCENTUAL EN UNIDADES VENDIDAS AÑO 3 11]])</f>
        <v>0</v>
      </c>
      <c r="HD59" s="347">
        <f>VLOOKUP(Tabla1[[#This Row],[CÓDIGO DEL PRODUCTO Y/O SERVICIO ]],Tabla3[],17)</f>
        <v>8.9285714285714288E-2</v>
      </c>
      <c r="HE59" s="346">
        <f>Tabla1[[#This Row],[CANTIDADES A UTILIZAR  AÑO 3 11]]*(1+Tabla1[[#This Row],[CAMBIO PORCENTUAL EN UNIDADES VENDIDAS AÑO 4 11]])</f>
        <v>0</v>
      </c>
      <c r="HF59" s="347">
        <f>VLOOKUP(Tabla1[[#This Row],[CÓDIGO DEL PRODUCTO Y/O SERVICIO ]],Tabla3[],21)</f>
        <v>6.5573770491803282E-2</v>
      </c>
      <c r="HG59" s="346">
        <f>Tabla1[[#This Row],[CANTIDADES A UTILIZAR  AÑO 4 11]]*(1+Tabla1[[#This Row],[CAMBIO PORCENTUAL EN UNIDADES VENDIDAS AÑO 5 11 ]])</f>
        <v>0</v>
      </c>
      <c r="HH59" s="348">
        <f>IF(Tabla1[[#This Row],[CANTIDADES A UTILIZAR  AÑO 1 11 ]]=0,0,Tabla1[[#This Row],[CANTIDADES A UTILIZAR  AÑO 1 11 ]]*1/Tabla1[[#This Row],[UNIDADES PRODUCIDAS AÑO 1 11]])</f>
        <v>0</v>
      </c>
      <c r="HI59" s="348">
        <f>$D$22*(1+BASES!$E$10)</f>
        <v>1011.2</v>
      </c>
      <c r="HJ59" s="348">
        <f>Tabla1[[#This Row],[COSTO UNITARIO AÑO 2 11]]*(1+BASES!$F$10)</f>
        <v>1022.5254400000001</v>
      </c>
      <c r="HK59" s="348">
        <f>Tabla1[[#This Row],[COSTO UNITARIO AÑO 3 11 ]]*(1+BASES!$G$10)</f>
        <v>1033.9777249280003</v>
      </c>
      <c r="HL59" s="348">
        <f>Tabla1[[#This Row],[COSTO UNITARIO AÑO 4 11 ]]*(1+BASES!$H$10)</f>
        <v>1045.5582754471939</v>
      </c>
      <c r="HM59" s="348">
        <f>Tabla1[[#This Row],[COSTO POR UNIDAD DE PRODUCTO (11)]]*$D$22*VLOOKUP(Tabla1[[#This Row],[CÓDIGO DEL PRODUCTO Y/O SERVICIO ]],Tabla3[],3)</f>
        <v>0</v>
      </c>
      <c r="HN59" s="348">
        <f>Tabla1[[#This Row],[COSTO POR UNIDAD DE PRODUCTO (11)]]*Tabla1[[#This Row],[COSTO UNITARIO AÑO 2 11]]*VLOOKUP(Tabla1[[#This Row],[CÓDIGO DEL PRODUCTO Y/O SERVICIO ]],Tabla3[],6)</f>
        <v>0</v>
      </c>
      <c r="HO59" s="348">
        <f>Tabla1[[#This Row],[COSTO POR UNIDAD DE PRODUCTO (11)]]*Tabla1[[#This Row],[COSTO UNITARIO AÑO 3 11 ]]*VLOOKUP(Tabla1[[#This Row],[CÓDIGO DEL PRODUCTO Y/O SERVICIO ]],Tabla3[],10)</f>
        <v>0</v>
      </c>
      <c r="HP59" s="348">
        <f>Tabla1[[#This Row],[COSTO POR UNIDAD DE PRODUCTO (11)]]*Tabla1[[#This Row],[COSTO UNITARIO AÑO 4 11 ]]*VLOOKUP(Tabla1[[#This Row],[CÓDIGO DEL PRODUCTO Y/O SERVICIO ]],Tabla3[],14)</f>
        <v>0</v>
      </c>
      <c r="HQ59" s="348">
        <f>Tabla1[[#This Row],[COSTO POR UNIDAD DE PRODUCTO (11)]]*Tabla1[[#This Row],[COSTO UNITARIO AÑO 5 11 ]]*VLOOKUP(Tabla1[[#This Row],[CÓDIGO DEL PRODUCTO Y/O SERVICIO ]],Tabla3[],18)</f>
        <v>0</v>
      </c>
      <c r="HR59" s="346">
        <f>VLOOKUP(Tabla1[[#This Row],[CÓDIGO DEL PRODUCTO Y/O SERVICIO ]],Tabla3[],3)</f>
        <v>450</v>
      </c>
      <c r="HS59" s="346">
        <f>Tabla1[[#This Row],[UNIDADES PRODUCIDAS AÑO 1 12]]*Q43</f>
        <v>0</v>
      </c>
      <c r="HT59" s="347">
        <f>VLOOKUP(Tabla1[[#This Row],[CÓDIGO DEL PRODUCTO Y/O SERVICIO ]],Tabla3[],9)</f>
        <v>0.1111111111111111</v>
      </c>
      <c r="HU59" s="346">
        <f>Tabla1[[#This Row],[CANTIDADES A UTILIZAR  AÑO 1 12]]*(1+Tabla1[[#This Row],[CAMBIO PORCENTUAL EN UNIDADES VENDIDAS AÑO 2 12]])</f>
        <v>0</v>
      </c>
      <c r="HV59" s="347">
        <f>VLOOKUP(Tabla1[[#This Row],[CÓDIGO DEL PRODUCTO Y/O SERVICIO ]],Tabla3[],13)</f>
        <v>0.12</v>
      </c>
      <c r="HW59" s="346">
        <f>Tabla1[[#This Row],[CANTIDADES A UTILIZAR  AÑO 2 12]]*(1+Tabla1[[#This Row],[CAMBIO PORCENTUAL EN UNIDADES VENDIDAS AÑO 3 12]])</f>
        <v>0</v>
      </c>
      <c r="HX59" s="347">
        <f>VLOOKUP(Tabla1[[#This Row],[CÓDIGO DEL PRODUCTO Y/O SERVICIO ]],Tabla3[],17)</f>
        <v>8.9285714285714288E-2</v>
      </c>
      <c r="HY59" s="346">
        <f>Tabla1[[#This Row],[CANTIDADES A UTILIZAR  AÑO 3 12]]*(1+Tabla1[[#This Row],[CAMBIO PORCENTUAL EN UNIDADES VENDIDAS AÑO 4 12]])</f>
        <v>0</v>
      </c>
      <c r="HZ59" s="347">
        <f>VLOOKUP(Tabla1[[#This Row],[CÓDIGO DEL PRODUCTO Y/O SERVICIO ]],Tabla3[],21)</f>
        <v>6.5573770491803282E-2</v>
      </c>
      <c r="IA59" s="346">
        <f>Tabla1[[#This Row],[CANTIDADES A UTILIZAR  AÑO 4 12]]*(1+Tabla1[[#This Row],[CAMBIO PORCENTUAL EN UNIDADES VENDIDAS AÑO 5 12]])</f>
        <v>0</v>
      </c>
      <c r="IB59" s="348">
        <f>IF(Tabla1[[#This Row],[CANTIDADES A UTILIZAR  AÑO 1 12]]=0,0,Tabla1[[#This Row],[CANTIDADES A UTILIZAR  AÑO 1 12]]*1/Tabla1[[#This Row],[UNIDADES PRODUCIDAS AÑO 1 12]])</f>
        <v>0</v>
      </c>
      <c r="IC59" s="348">
        <f>$D$23*(1+BASES!$E$10)</f>
        <v>1011.2</v>
      </c>
      <c r="ID59" s="348">
        <f>Tabla1[[#This Row],[COSTO UNITARIO AÑO 2 12]]*(1+BASES!$F$10)</f>
        <v>1022.5254400000001</v>
      </c>
      <c r="IE59" s="348">
        <f>Tabla1[[#This Row],[COSTO UNITARIO AÑO 3 12]]*(1+BASES!$G$10)</f>
        <v>1033.9777249280003</v>
      </c>
      <c r="IF59" s="348">
        <f>Tabla1[[#This Row],[COSTO UNITARIO AÑO 4 12]]*(1+BASES!$H$10)</f>
        <v>1045.5582754471939</v>
      </c>
      <c r="IG59" s="348">
        <f>Tabla1[[#This Row],[COSTO POR UNIDAD DE PRODUCTO (12)]]*$D$23*VLOOKUP(Tabla1[[#This Row],[CÓDIGO DEL PRODUCTO Y/O SERVICIO ]],Tabla3[],3)</f>
        <v>0</v>
      </c>
      <c r="IH59" s="348">
        <f>Tabla1[[#This Row],[COSTO POR UNIDAD DE PRODUCTO (12)]]*Tabla1[[#This Row],[COSTO UNITARIO AÑO 2 12]]*VLOOKUP(Tabla1[[#This Row],[CÓDIGO DEL PRODUCTO Y/O SERVICIO ]],Tabla3[],6)</f>
        <v>0</v>
      </c>
      <c r="II59" s="348">
        <f>Tabla1[[#This Row],[COSTO POR UNIDAD DE PRODUCTO (12)]]*Tabla1[[#This Row],[COSTO UNITARIO AÑO 3 12]]*VLOOKUP(Tabla1[[#This Row],[CÓDIGO DEL PRODUCTO Y/O SERVICIO ]],Tabla3[],10)</f>
        <v>0</v>
      </c>
      <c r="IJ59" s="348">
        <f>Tabla1[[#This Row],[COSTO POR UNIDAD DE PRODUCTO (12)]]*Tabla1[[#This Row],[COSTO UNITARIO AÑO 4 12]]*VLOOKUP(Tabla1[[#This Row],[CÓDIGO DEL PRODUCTO Y/O SERVICIO ]],Tabla3[],14)</f>
        <v>0</v>
      </c>
      <c r="IK59" s="348">
        <f>Tabla1[[#This Row],[COSTO POR UNIDAD DE PRODUCTO (12)]]*Tabla1[[#This Row],[COSTO UNITARIO AÑO 5 12]]*VLOOKUP(Tabla1[[#This Row],[CÓDIGO DEL PRODUCTO Y/O SERVICIO ]],Tabla3[],18)</f>
        <v>0</v>
      </c>
      <c r="IL59" s="346">
        <f>VLOOKUP(Tabla1[[#This Row],[CÓDIGO DEL PRODUCTO Y/O SERVICIO ]],Tabla3[],3)</f>
        <v>450</v>
      </c>
      <c r="IM59" s="346">
        <f>Tabla1[[#This Row],[UNIDADES PRODUCIDAS AÑO 1 13]]*R43</f>
        <v>450</v>
      </c>
      <c r="IN59" s="347">
        <f>VLOOKUP(Tabla1[[#This Row],[CÓDIGO DEL PRODUCTO Y/O SERVICIO ]],Tabla3[],9)</f>
        <v>0.1111111111111111</v>
      </c>
      <c r="IO59" s="346">
        <f>Tabla1[[#This Row],[CANTIDADES A UTILIZAR  AÑO 1 13]]*(1+Tabla1[[#This Row],[CAMBIO PORCENTUAL EN UNIDADES VENDIDAS AÑO 2 13]])</f>
        <v>500</v>
      </c>
      <c r="IP59" s="347">
        <f>VLOOKUP(Tabla1[[#This Row],[CÓDIGO DEL PRODUCTO Y/O SERVICIO ]],Tabla3[],13)</f>
        <v>0.12</v>
      </c>
      <c r="IQ59" s="346">
        <f>Tabla1[[#This Row],[CANTIDADES A UTILIZAR  AÑO 2 13]]*(1+Tabla1[[#This Row],[CAMBIO PORCENTUAL EN UNIDADES VENDIDAS AÑO 3 13]])</f>
        <v>560</v>
      </c>
      <c r="IR59" s="346">
        <f>VLOOKUP(Tabla1[[#This Row],[CÓDIGO DEL PRODUCTO Y/O SERVICIO ]],Tabla3[],17)</f>
        <v>8.9285714285714288E-2</v>
      </c>
      <c r="IS59" s="346">
        <f>Tabla1[[#This Row],[CANTIDADES A UTILIZAR  AÑO 3 13]]*(1+Tabla1[[#This Row],[CAMBIO PORCENTUAL EN UNIDADES VENDIDAS AÑO 4 13]])</f>
        <v>610</v>
      </c>
      <c r="IT59" s="347">
        <f>VLOOKUP(Tabla1[[#This Row],[CÓDIGO DEL PRODUCTO Y/O SERVICIO ]],Tabla3[],21)</f>
        <v>6.5573770491803282E-2</v>
      </c>
      <c r="IU59" s="346">
        <f>Tabla1[[#This Row],[CANTIDADES A UTILIZAR  AÑO 4 13]]*(1+Tabla1[[#This Row],[CAMBIO PORCENTUAL EN UNIDADES VENDIDAS AÑO 5 13]])</f>
        <v>650</v>
      </c>
      <c r="IV59" s="348">
        <f>IF(Tabla1[[#This Row],[CANTIDADES A UTILIZAR  AÑO 1 13]]=0,0,Tabla1[[#This Row],[CANTIDADES A UTILIZAR  AÑO 1 13]]*1/Tabla1[[#This Row],[UNIDADES PRODUCIDAS AÑO 1 13]])</f>
        <v>1</v>
      </c>
      <c r="IW59" s="348">
        <f>$D$24*(1+BASES!$E$10)</f>
        <v>101.12</v>
      </c>
      <c r="IX59" s="348">
        <f>Tabla1[[#This Row],[COSTO UNITARIO AÑO 2 13]]*(1+BASES!$F$10)</f>
        <v>102.25254400000001</v>
      </c>
      <c r="IY59" s="348">
        <f>Tabla1[[#This Row],[COSTO UNITARIO AÑO 3 13]]*(1+BASES!$G$10)</f>
        <v>103.39777249280003</v>
      </c>
      <c r="IZ59" s="348">
        <f>Tabla1[[#This Row],[COSTO UNITARIO AÑO 4 13]]*(1+BASES!$H$10)</f>
        <v>104.55582754471941</v>
      </c>
      <c r="JA59" s="348">
        <f>Tabla1[[#This Row],[COSTO POR UNIDAD DE PRODUCTO (13)]]*$D$24*VLOOKUP(Tabla1[[#This Row],[CÓDIGO DEL PRODUCTO Y/O SERVICIO ]],Tabla3[],3)</f>
        <v>45000</v>
      </c>
      <c r="JB59" s="348">
        <f>Tabla1[[#This Row],[COSTO POR UNIDAD DE PRODUCTO (13)]]*Tabla1[[#This Row],[COSTO UNITARIO AÑO 2 13]]*VLOOKUP(Tabla1[[#This Row],[CÓDIGO DEL PRODUCTO Y/O SERVICIO ]],Tabla3[],6)</f>
        <v>50560</v>
      </c>
      <c r="JC59" s="348">
        <f>Tabla1[[#This Row],[COSTO POR UNIDAD DE PRODUCTO (13)]]*Tabla1[[#This Row],[COSTO UNITARIO AÑO 3 13]]*VLOOKUP(Tabla1[[#This Row],[CÓDIGO DEL PRODUCTO Y/O SERVICIO ]],Tabla3[],10)</f>
        <v>57261.424640000005</v>
      </c>
      <c r="JD59" s="348">
        <f>Tabla1[[#This Row],[COSTO POR UNIDAD DE PRODUCTO (13)]]*Tabla1[[#This Row],[COSTO UNITARIO AÑO 4 13]]*VLOOKUP(Tabla1[[#This Row],[CÓDIGO DEL PRODUCTO Y/O SERVICIO ]],Tabla3[],14)</f>
        <v>63072.64122060802</v>
      </c>
      <c r="JE59" s="348">
        <f>Tabla1[[#This Row],[COSTO POR UNIDAD DE PRODUCTO (13)]]*Tabla1[[#This Row],[COSTO UNITARIO AÑO 5 13]]*VLOOKUP(Tabla1[[#This Row],[CÓDIGO DEL PRODUCTO Y/O SERVICIO ]],Tabla3[],18)</f>
        <v>67961.28790406762</v>
      </c>
      <c r="JF59" s="346">
        <f>VLOOKUP(Tabla1[[#This Row],[CÓDIGO DEL PRODUCTO Y/O SERVICIO ]],Tabla3[],3)</f>
        <v>450</v>
      </c>
      <c r="JG59" s="346">
        <f>Tabla1[[#This Row],[UNIDADES PRODUCIDAS AÑO 1 14]]*S43</f>
        <v>0</v>
      </c>
      <c r="JH59" s="347">
        <f>VLOOKUP(Tabla1[[#This Row],[CÓDIGO DEL PRODUCTO Y/O SERVICIO ]],Tabla3[],9)</f>
        <v>0.1111111111111111</v>
      </c>
      <c r="JI59" s="346">
        <f>Tabla1[[#This Row],[CANTIDADES A UTILIZAR  AÑO 1 14]]*(1+Tabla1[[#This Row],[CAMBIO PORCENTUAL EN UNIDADES VENDIDAS AÑO 2 14]])</f>
        <v>0</v>
      </c>
      <c r="JJ59" s="347">
        <f>VLOOKUP(Tabla1[[#This Row],[CÓDIGO DEL PRODUCTO Y/O SERVICIO ]],Tabla3[],13)</f>
        <v>0.12</v>
      </c>
      <c r="JK59" s="346">
        <f>Tabla1[[#This Row],[CANTIDADES A UTILIZAR  AÑO 2 14]]*(1+Tabla1[[#This Row],[CAMBIO PORCENTUAL EN UNIDADES VENDIDAS AÑO 3 14]])</f>
        <v>0</v>
      </c>
      <c r="JL59" s="347">
        <f>VLOOKUP(Tabla1[[#This Row],[CÓDIGO DEL PRODUCTO Y/O SERVICIO ]],Tabla3[],17)</f>
        <v>8.9285714285714288E-2</v>
      </c>
      <c r="JM59" s="346">
        <f>Tabla1[[#This Row],[CANTIDADES A UTILIZAR AÑO 3 14]]*(1+Tabla1[[#This Row],[CAMBIO PORCENTUAL EN UNIDADES VENDIDAS AÑO 4 14]])</f>
        <v>0</v>
      </c>
      <c r="JN59" s="347">
        <f>VLOOKUP(Tabla1[[#This Row],[CÓDIGO DEL PRODUCTO Y/O SERVICIO ]],Tabla3[],21)</f>
        <v>6.5573770491803282E-2</v>
      </c>
      <c r="JO59" s="346">
        <f>Tabla1[[#This Row],[CANTIDADES A UTILIZAR  AÑO 4 14]]*(1+Tabla1[[#This Row],[CAMBIO PORCENTUAL EN UNIDADES VENDIDAS AÑO 5 14]])</f>
        <v>0</v>
      </c>
      <c r="JP59" s="348">
        <f>IF(Tabla1[[#This Row],[CANTIDADES A UTILIZAR  AÑO 1 14]]=0,0,Tabla1[[#This Row],[CANTIDADES A UTILIZAR  AÑO 1 14]]*1/Tabla1[[#This Row],[UNIDADES PRODUCIDAS AÑO 1 14]])</f>
        <v>0</v>
      </c>
      <c r="JQ59" s="348">
        <f>$D$25*(1+BASES!$E$10)</f>
        <v>1011.2</v>
      </c>
      <c r="JR59" s="348">
        <f>Tabla1[[#This Row],[COSTO UNITARIO AÑO 2 14]]*(1+BASES!$F$10)</f>
        <v>1022.5254400000001</v>
      </c>
      <c r="JS59" s="348">
        <f>Tabla1[[#This Row],[COSTO UNITARIO AÑO 3 14]]*(1+BASES!$G$10)</f>
        <v>1033.9777249280003</v>
      </c>
      <c r="JT59" s="348">
        <f>Tabla1[[#This Row],[COSTO UNITARIO AÑO 4 14]]*(1+BASES!$H$10)</f>
        <v>1045.5582754471939</v>
      </c>
      <c r="JU59" s="348">
        <f>Tabla1[[#This Row],[COSTO POR UNIDAD DE PRODUCTO (14)]]*$D$25*VLOOKUP(Tabla1[[#This Row],[CÓDIGO DEL PRODUCTO Y/O SERVICIO ]],Tabla3[],3)</f>
        <v>0</v>
      </c>
      <c r="JV59" s="348">
        <f>Tabla1[[#This Row],[COSTO POR UNIDAD DE PRODUCTO (14)]]*Tabla1[[#This Row],[COSTO UNITARIO AÑO 2 14]]*VLOOKUP(Tabla1[[#This Row],[CÓDIGO DEL PRODUCTO Y/O SERVICIO ]],Tabla3[],6)</f>
        <v>0</v>
      </c>
      <c r="JW59" s="348">
        <f>Tabla1[[#This Row],[COSTO POR UNIDAD DE PRODUCTO (14)]]*Tabla1[[#This Row],[COSTO UNITARIO AÑO 3 14]]*VLOOKUP(Tabla1[[#This Row],[CÓDIGO DEL PRODUCTO Y/O SERVICIO ]],Tabla3[],10)</f>
        <v>0</v>
      </c>
      <c r="JX59" s="348">
        <f>Tabla1[[#This Row],[COSTO POR UNIDAD DE PRODUCTO (14)]]*Tabla1[[#This Row],[COSTO UNITARIO AÑO 4 14]]*VLOOKUP(Tabla1[[#This Row],[CÓDIGO DEL PRODUCTO Y/O SERVICIO ]],Tabla3[],14)</f>
        <v>0</v>
      </c>
      <c r="JY59" s="348">
        <f>Tabla1[[#This Row],[COSTO POR UNIDAD DE PRODUCTO (14)]]*Tabla1[[#This Row],[COSTO UNITARIO AÑO 5 14]]*VLOOKUP(Tabla1[[#This Row],[CÓDIGO DEL PRODUCTO Y/O SERVICIO ]],Tabla3[],18)</f>
        <v>0</v>
      </c>
      <c r="JZ59" s="346">
        <f>VLOOKUP(Tabla1[[#This Row],[CÓDIGO DEL PRODUCTO Y/O SERVICIO ]],Tabla3[],3)</f>
        <v>450</v>
      </c>
      <c r="KA59" s="346">
        <f>Tabla1[[#This Row],[UNIDADES PRODUCIDAS AÑO 1 15]]*T43</f>
        <v>0</v>
      </c>
      <c r="KB59" s="347">
        <f>VLOOKUP(Tabla1[[#This Row],[CÓDIGO DEL PRODUCTO Y/O SERVICIO ]],Tabla3[],9)</f>
        <v>0.1111111111111111</v>
      </c>
      <c r="KC59" s="346">
        <f>Tabla1[[#This Row],[CANTIDADES A UTILIZAR  AÑO 1 15]]*(1+Tabla1[[#This Row],[CAMBIO PORCENTUAL EN UNIDADES VENDIDAS AÑO 2 15]])</f>
        <v>0</v>
      </c>
      <c r="KD59" s="347">
        <f>VLOOKUP(Tabla1[[#This Row],[CÓDIGO DEL PRODUCTO Y/O SERVICIO ]],Tabla3[],13)</f>
        <v>0.12</v>
      </c>
      <c r="KE59" s="346">
        <f>Tabla1[[#This Row],[CANTIDADES A UTILIZAR  AÑO 2 15]]*(1+Tabla1[[#This Row],[CAMBIO PORCENTUAL EN UNIDADES VENDIDAS AÑO 3 15]])</f>
        <v>0</v>
      </c>
      <c r="KF59" s="347">
        <f>VLOOKUP(Tabla1[[#This Row],[CÓDIGO DEL PRODUCTO Y/O SERVICIO ]],Tabla3[],17)</f>
        <v>8.9285714285714288E-2</v>
      </c>
      <c r="KG59" s="346">
        <f>Tabla1[[#This Row],[CANTIDADES A UTILIZAR  AÑO 3 15]]*(1+Tabla1[[#This Row],[CAMBIO PORCENTUAL EN UNIDADES VENDIDAS AÑO 4 15]])</f>
        <v>0</v>
      </c>
      <c r="KH59" s="347">
        <f>VLOOKUP(Tabla1[[#This Row],[CÓDIGO DEL PRODUCTO Y/O SERVICIO ]],Tabla3[],21)</f>
        <v>6.5573770491803282E-2</v>
      </c>
      <c r="KI59" s="346">
        <f>Tabla1[[#This Row],[CANTIDADES A UTILIZAR  AÑO 4 15]]*(1+Tabla1[[#This Row],[CAMBIO PORCENTUAL EN UNIDADES VENDIDAS AÑO 5 15]])</f>
        <v>0</v>
      </c>
      <c r="KJ59" s="348">
        <f>IF(Tabla1[[#This Row],[CANTIDADES A UTILIZAR  AÑO 1 15]]=0,0,Tabla1[[#This Row],[CANTIDADES A UTILIZAR  AÑO 1 15]]*1/Tabla1[[#This Row],[UNIDADES PRODUCIDAS AÑO 1 15]])</f>
        <v>0</v>
      </c>
      <c r="KK59" s="348">
        <f>$D$26*(1+BASES!$E$10)</f>
        <v>4044.8</v>
      </c>
      <c r="KL59" s="348">
        <f>Tabla1[[#This Row],[COSTO UNITARIO AÑO 2 15]]*(1+BASES!$F$10)</f>
        <v>4090.1017600000005</v>
      </c>
      <c r="KM59" s="348">
        <f>Tabla1[[#This Row],[COSTO UNITARIO AÑO 3 15]]*(1+BASES!$G$10)</f>
        <v>4135.9108997120011</v>
      </c>
      <c r="KN59" s="348">
        <f>Tabla1[[#This Row],[COSTO UNITARIO AÑO 4 15]]*(1+BASES!$H$10)</f>
        <v>4182.2331017887755</v>
      </c>
      <c r="KO59" s="348">
        <f>Tabla1[[#This Row],[COSTO POR UNIDAD DE PRODUCTO (15)]]*$D$26*VLOOKUP(Tabla1[[#This Row],[CÓDIGO DEL PRODUCTO Y/O SERVICIO ]],Tabla3[],3)</f>
        <v>0</v>
      </c>
      <c r="KP59" s="348">
        <f>Tabla1[[#This Row],[COSTO POR UNIDAD DE PRODUCTO (15)]]*Tabla1[[#This Row],[COSTO UNITARIO AÑO 2 15]]*VLOOKUP(Tabla1[[#This Row],[CÓDIGO DEL PRODUCTO Y/O SERVICIO ]],Tabla3[],6)</f>
        <v>0</v>
      </c>
      <c r="KQ59" s="348">
        <f>Tabla1[[#This Row],[COSTO POR UNIDAD DE PRODUCTO (15)]]*Tabla1[[#This Row],[COSTO UNITARIO AÑO 3 15]]*VLOOKUP(Tabla1[[#This Row],[CÓDIGO DEL PRODUCTO Y/O SERVICIO ]],Tabla3[],10)</f>
        <v>0</v>
      </c>
      <c r="KR59" s="348">
        <f>Tabla1[[#This Row],[COSTO POR UNIDAD DE PRODUCTO (15)]]*Tabla1[[#This Row],[COSTO UNITARIO AÑO 4 15]]*VLOOKUP(Tabla1[[#This Row],[CÓDIGO DEL PRODUCTO Y/O SERVICIO ]],Tabla3[],14)</f>
        <v>0</v>
      </c>
      <c r="KS59" s="348">
        <f>Tabla1[[#This Row],[COSTO POR UNIDAD DE PRODUCTO (15)]]*Tabla1[[#This Row],[COSTO UNITARIO AÑO 5 15]]*VLOOKUP(Tabla1[[#This Row],[CÓDIGO DEL PRODUCTO Y/O SERVICIO ]],Tabla3[],18)</f>
        <v>0</v>
      </c>
      <c r="KT59" s="346">
        <f>VLOOKUP(Tabla1[[#This Row],[CÓDIGO DEL PRODUCTO Y/O SERVICIO ]],Tabla3[],3)</f>
        <v>450</v>
      </c>
      <c r="KU59" s="346">
        <f>Tabla1[[#This Row],[UNIDADES PRODUCIDAS AÑO 1 16]]*U43</f>
        <v>0</v>
      </c>
      <c r="KV59" s="347">
        <f>VLOOKUP(Tabla1[[#This Row],[CÓDIGO DEL PRODUCTO Y/O SERVICIO ]],Tabla3[],9)</f>
        <v>0.1111111111111111</v>
      </c>
      <c r="KW59" s="346">
        <f>Tabla1[[#This Row],[CANTIDADES A UTILIZAR  AÑO 1 16]]*(1+Tabla1[[#This Row],[CAMBIO PORCENTUAL EN UNIDADES VENDIDAS AÑO 2 16]])</f>
        <v>0</v>
      </c>
      <c r="KX59" s="347">
        <f>VLOOKUP(Tabla1[[#This Row],[CÓDIGO DEL PRODUCTO Y/O SERVICIO ]],Tabla3[],13)</f>
        <v>0.12</v>
      </c>
      <c r="KY59" s="346">
        <f>Tabla1[[#This Row],[CANTIDADES A UTILIZAR  AÑO 2 16]]*(1+Tabla1[[#This Row],[CAMBIO PORCENTUAL EN UNIDADES VENDIDAS AÑO 3 16]])</f>
        <v>0</v>
      </c>
      <c r="KZ59" s="347">
        <f>VLOOKUP(Tabla1[[#This Row],[CÓDIGO DEL PRODUCTO Y/O SERVICIO ]],Tabla3[],17)</f>
        <v>8.9285714285714288E-2</v>
      </c>
      <c r="LA59" s="346">
        <f>Tabla1[[#This Row],[CANTIDADES A UTILIZAR  AÑO 3 16]]*(1+Tabla1[[#This Row],[CAMBIO PORCENTUAL EN UNIDADES VENDIDAS AÑO 4 16]])</f>
        <v>0</v>
      </c>
      <c r="LB59" s="347">
        <f>VLOOKUP(Tabla1[[#This Row],[CÓDIGO DEL PRODUCTO Y/O SERVICIO ]],Tabla3[],21)</f>
        <v>6.5573770491803282E-2</v>
      </c>
      <c r="LC59" s="346">
        <f>Tabla1[[#This Row],[CANTIDADES A UTILIZAR  AÑO 4 16]]*(1+Tabla1[[#This Row],[CAMBIO PORCENTUAL EN UNIDADES VENDIDAS AÑO 5 16]])</f>
        <v>0</v>
      </c>
      <c r="LD59" s="348">
        <f>IF(Tabla1[[#This Row],[CANTIDADES A UTILIZAR  AÑO 1 16]]=0,0,Tabla1[[#This Row],[CANTIDADES A UTILIZAR  AÑO 1 16]]*1/Tabla1[[#This Row],[UNIDADES PRODUCIDAS AÑO 1 16]])</f>
        <v>0</v>
      </c>
      <c r="LE59" s="348">
        <f>$D$27*(1+BASES!$E$10)</f>
        <v>1264.0000000000002</v>
      </c>
      <c r="LF59" s="348">
        <f>Tabla1[[#This Row],[COSTO UNITARIO AÑO 2 16]]*(1+BASES!$F$10)</f>
        <v>1278.1568000000004</v>
      </c>
      <c r="LG59" s="348">
        <f>Tabla1[[#This Row],[COSTO UNITARIO AÑO 3 16]]*(1+BASES!$G$10)</f>
        <v>1292.4721561600006</v>
      </c>
      <c r="LH59" s="348">
        <f>Tabla1[[#This Row],[COSTO UNITARIO AÑO 4 16]]*(1+BASES!$H$10)</f>
        <v>1306.9478443089927</v>
      </c>
      <c r="LI59" s="348">
        <f>Tabla1[[#This Row],[COSTO POR UNIDAD DE PRODUCTO (16)]]*$D$27*VLOOKUP(Tabla1[[#This Row],[CÓDIGO DEL PRODUCTO Y/O SERVICIO ]],Tabla3[],3)</f>
        <v>0</v>
      </c>
      <c r="LJ59" s="348">
        <f>Tabla1[[#This Row],[COSTO POR UNIDAD DE PRODUCTO (16)]]*Tabla1[[#This Row],[COSTO UNITARIO AÑO 2 16]]*VLOOKUP(Tabla1[[#This Row],[CÓDIGO DEL PRODUCTO Y/O SERVICIO ]],Tabla3[],6)</f>
        <v>0</v>
      </c>
      <c r="LK59" s="348">
        <f>Tabla1[[#This Row],[COSTO POR UNIDAD DE PRODUCTO (16)]]*Tabla1[[#This Row],[COSTO UNITARIO AÑO 3 16]]*VLOOKUP(Tabla1[[#This Row],[CÓDIGO DEL PRODUCTO Y/O SERVICIO ]],Tabla3[],10)</f>
        <v>0</v>
      </c>
      <c r="LL59" s="348">
        <f>Tabla1[[#This Row],[COSTO POR UNIDAD DE PRODUCTO (16)]]*Tabla1[[#This Row],[COSTO UNITARIO AÑO 4 16]]*VLOOKUP(Tabla1[[#This Row],[CÓDIGO DEL PRODUCTO Y/O SERVICIO ]],Tabla3[],14)</f>
        <v>0</v>
      </c>
      <c r="LM59" s="348">
        <f>Tabla1[[#This Row],[COSTO POR UNIDAD DE PRODUCTO (16)]]*Tabla1[[#This Row],[COSTO UNITARIO AÑO 5 16]]*VLOOKUP(Tabla1[[#This Row],[CÓDIGO DEL PRODUCTO Y/O SERVICIO ]],Tabla3[],18)</f>
        <v>0</v>
      </c>
      <c r="LN59" s="346">
        <f>VLOOKUP(Tabla1[[#This Row],[CÓDIGO DEL PRODUCTO Y/O SERVICIO ]],Tabla3[],3)</f>
        <v>450</v>
      </c>
      <c r="LO59" s="346">
        <f>Tabla1[[#This Row],[UNIDADES PRODUCIDAS AÑO 1 17]]*V43</f>
        <v>0</v>
      </c>
      <c r="LP59" s="347">
        <f>VLOOKUP(Tabla1[[#This Row],[CÓDIGO DEL PRODUCTO Y/O SERVICIO ]],Tabla3[],9)</f>
        <v>0.1111111111111111</v>
      </c>
      <c r="LQ59" s="346">
        <f>Tabla1[[#This Row],[CANTIDADES A UTILIZAR  AÑO 1 17]]*(1+Tabla1[[#This Row],[CAMBIO PORCENTUAL EN UNIDADES VENDIDAS AÑO 2 17]])</f>
        <v>0</v>
      </c>
      <c r="LR59" s="347">
        <f>VLOOKUP(Tabla1[[#This Row],[CÓDIGO DEL PRODUCTO Y/O SERVICIO ]],Tabla3[],13)</f>
        <v>0.12</v>
      </c>
      <c r="LS59" s="346">
        <f>Tabla1[[#This Row],[CANTIDADES A UTILIZAR  AÑO 2 17]]*(1+Tabla1[[#This Row],[CAMBIO PORCENTUAL EN UNIDADES VENDIDAS AÑO 3 17]])</f>
        <v>0</v>
      </c>
      <c r="LT59" s="347">
        <f>VLOOKUP(Tabla1[[#This Row],[CÓDIGO DEL PRODUCTO Y/O SERVICIO ]],Tabla3[],17)</f>
        <v>8.9285714285714288E-2</v>
      </c>
      <c r="LU59" s="346">
        <f>Tabla1[[#This Row],[CANTIDADES A UTILIZAR  AÑO 3 17]]*(1+Tabla1[[#This Row],[CAMBIO PORCENTUAL EN UNIDADES VENDIDAS AÑO 4 17 ]])</f>
        <v>0</v>
      </c>
      <c r="LV59" s="347">
        <f>VLOOKUP(Tabla1[[#This Row],[CÓDIGO DEL PRODUCTO Y/O SERVICIO ]],Tabla3[],21)</f>
        <v>6.5573770491803282E-2</v>
      </c>
      <c r="LW59" s="346">
        <f>Tabla1[[#This Row],[CANTIDADES A UTILIZAR  AÑO 4 17]]*(1+Tabla1[[#This Row],[CAMBIO PORCENTUAL EN UNIDADES VENDIDAS AÑO 5 17]])</f>
        <v>0</v>
      </c>
      <c r="LX59" s="348">
        <f>IF(Tabla1[[#This Row],[CANTIDADES A UTILIZAR  AÑO 1 17]]=0,0,Tabla1[[#This Row],[CANTIDADES A UTILIZAR  AÑO 1 17]]*1/Tabla1[[#This Row],[UNIDADES PRODUCIDAS AÑO 1 17]])</f>
        <v>0</v>
      </c>
      <c r="LY59" s="348">
        <f>$D$28*(1+BASES!$E$10)</f>
        <v>222.46400000000003</v>
      </c>
      <c r="LZ59" s="348">
        <f>Tabla1[[#This Row],[COSTO UNITARIO AÑO 2 17]]*(1+BASES!$F$10)</f>
        <v>224.95559680000005</v>
      </c>
      <c r="MA59" s="348">
        <f>Tabla1[[#This Row],[COSTO UNITARIO AÑO 3 17]]*(1+BASES!$G$10)</f>
        <v>227.47509948416007</v>
      </c>
      <c r="MB59" s="348">
        <f>Tabla1[[#This Row],[COSTO UNITARIO AÑO 4 17]]*(1+BASES!$H$10)</f>
        <v>230.02282059838268</v>
      </c>
      <c r="MC59" s="348">
        <f>Tabla1[[#This Row],[COSTO POR UNIDAD DE PRODUCTO (17)]]*$D$28*VLOOKUP(Tabla1[[#This Row],[CÓDIGO DEL PRODUCTO Y/O SERVICIO ]],Tabla3[],3)</f>
        <v>0</v>
      </c>
      <c r="MD59" s="348">
        <f>Tabla1[[#This Row],[COSTO POR UNIDAD DE PRODUCTO (17)]]*Tabla1[[#This Row],[COSTO UNITARIO AÑO 2 17]]*VLOOKUP(Tabla1[[#This Row],[CÓDIGO DEL PRODUCTO Y/O SERVICIO ]],Tabla3[],6)</f>
        <v>0</v>
      </c>
      <c r="ME59" s="348">
        <f>Tabla1[[#This Row],[COSTO POR UNIDAD DE PRODUCTO (17)]]*Tabla1[[#This Row],[COSTO UNITARIO AÑO 3 17]]*VLOOKUP(Tabla1[[#This Row],[CÓDIGO DEL PRODUCTO Y/O SERVICIO ]],Tabla3[],10)</f>
        <v>0</v>
      </c>
      <c r="MF59" s="348">
        <f>Tabla1[[#This Row],[COSTO POR UNIDAD DE PRODUCTO (17)]]*Tabla1[[#This Row],[COSTO UNITARIO AÑO 4 17]]*VLOOKUP(Tabla1[[#This Row],[CÓDIGO DEL PRODUCTO Y/O SERVICIO ]],Tabla3[],14)</f>
        <v>0</v>
      </c>
      <c r="MG59" s="348">
        <f>Tabla1[[#This Row],[COSTO POR UNIDAD DE PRODUCTO (17)]]*Tabla1[[#This Row],[COSTO UNITARIO AÑO 5 17]]*VLOOKUP(Tabla1[[#This Row],[CÓDIGO DEL PRODUCTO Y/O SERVICIO ]],Tabla3[],18)</f>
        <v>0</v>
      </c>
      <c r="MH59" s="346">
        <f>VLOOKUP(Tabla1[[#This Row],[CÓDIGO DEL PRODUCTO Y/O SERVICIO ]],Tabla3[],3)</f>
        <v>450</v>
      </c>
      <c r="MI59" s="346">
        <f>Tabla1[[#This Row],[UNIDADES PRODUCIDAS AÑO 1 18 ]]*W43</f>
        <v>10800</v>
      </c>
      <c r="MJ59" s="347">
        <f>VLOOKUP(Tabla1[[#This Row],[CÓDIGO DEL PRODUCTO Y/O SERVICIO ]],Tabla3[],9)</f>
        <v>0.1111111111111111</v>
      </c>
      <c r="MK59" s="346">
        <f>Tabla1[[#This Row],[CANTIDADES A UTILIZAR  AÑO 1 18]]*(1+Tabla1[[#This Row],[CAMBIO PORCENTUAL EN UNIDADES VENDIDAS AÑO 2 18]])</f>
        <v>12000</v>
      </c>
      <c r="ML59" s="347">
        <f>VLOOKUP(Tabla1[[#This Row],[CÓDIGO DEL PRODUCTO Y/O SERVICIO ]],Tabla3[],13)</f>
        <v>0.12</v>
      </c>
      <c r="MM59" s="346">
        <f>Tabla1[[#This Row],[CANTIDADES A UTILIZAR AÑO 2 18]]*(1+Tabla1[[#This Row],[CAMBIO PORCENTUAL EN UNIDADES VENDIDAS AÑO 3 18 ]])</f>
        <v>13440.000000000002</v>
      </c>
      <c r="MN59" s="347">
        <f>VLOOKUP(Tabla1[[#This Row],[CÓDIGO DEL PRODUCTO Y/O SERVICIO ]],Tabla3[],17)</f>
        <v>8.9285714285714288E-2</v>
      </c>
      <c r="MO59" s="346">
        <f>Tabla1[[#This Row],[CANTIDADES A UTILIZAR  AÑO 3 18]]*(1+Tabla1[[#This Row],[CAMBIO PORCENTUAL EN UNIDADES VENDIDAS AÑO 4 18]])</f>
        <v>14640</v>
      </c>
      <c r="MP59" s="347">
        <f>VLOOKUP(Tabla1[[#This Row],[CÓDIGO DEL PRODUCTO Y/O SERVICIO ]],Tabla3[],21)</f>
        <v>6.5573770491803282E-2</v>
      </c>
      <c r="MQ59" s="346">
        <f>Tabla1[[#This Row],[CANTIDADES A UTILIZAR  AÑO 4 18 ]]*(1+Tabla1[[#This Row],[CAMBIO PORCENTUAL EN UNIDADES VENDIDAS AÑO 5 18 ]])</f>
        <v>15600.000000000002</v>
      </c>
      <c r="MR59" s="348">
        <f>IF(Tabla1[[#This Row],[CANTIDADES A UTILIZAR  AÑO 1 18]]=0,0,Tabla1[[#This Row],[CANTIDADES A UTILIZAR  AÑO 1 18]]*1/Tabla1[[#This Row],[UNIDADES PRODUCIDAS AÑO 1 18 ]])</f>
        <v>24</v>
      </c>
      <c r="MS59" s="348">
        <f>$D$29*(1+BASES!$E$10)</f>
        <v>505.6</v>
      </c>
      <c r="MT59" s="348">
        <f>Tabla1[[#This Row],[COSTO UNITARIO AÑO 2 18]]*(1+BASES!$F$10)</f>
        <v>511.26272000000006</v>
      </c>
      <c r="MU59" s="348">
        <f>Tabla1[[#This Row],[COSTO UNITARIO AÑO 3 18 ]]*(1+BASES!$G$10)</f>
        <v>516.98886246400014</v>
      </c>
      <c r="MV59" s="348">
        <f>Tabla1[[#This Row],[COSTO UNITARIO AÑO 4 18 ]]*(1+BASES!$H$10)</f>
        <v>522.77913772359693</v>
      </c>
      <c r="MW59" s="348">
        <f>Tabla1[[#This Row],[COSTO POR UNIDAD DE PRODUCTO (18)]]*$D$29*VLOOKUP(Tabla1[[#This Row],[CÓDIGO DEL PRODUCTO Y/O SERVICIO ]],Tabla3[],3)</f>
        <v>5400000</v>
      </c>
      <c r="MX59" s="348">
        <f>Tabla1[[#This Row],[COSTO POR UNIDAD DE PRODUCTO (18)]]*Tabla1[[#This Row],[COSTO UNITARIO AÑO 2 18]]*VLOOKUP(Tabla1[[#This Row],[CÓDIGO DEL PRODUCTO Y/O SERVICIO ]],Tabla3[],6)</f>
        <v>6067200.0000000009</v>
      </c>
      <c r="MY59" s="348">
        <f>Tabla1[[#This Row],[COSTO POR UNIDAD DE PRODUCTO (18)]]*Tabla1[[#This Row],[COSTO UNITARIO AÑO 3 18 ]]*VLOOKUP(Tabla1[[#This Row],[CÓDIGO DEL PRODUCTO Y/O SERVICIO ]],Tabla3[],10)</f>
        <v>6871370.9568000007</v>
      </c>
      <c r="MZ59" s="348">
        <f>Tabla1[[#This Row],[COSTO POR UNIDAD DE PRODUCTO (18)]]*Tabla1[[#This Row],[COSTO UNITARIO AÑO 4 18 ]]*VLOOKUP(Tabla1[[#This Row],[CÓDIGO DEL PRODUCTO Y/O SERVICIO ]],Tabla3[],14)</f>
        <v>7568716.9464729615</v>
      </c>
      <c r="NA59" s="348">
        <f>Tabla1[[#This Row],[COSTO POR UNIDAD DE PRODUCTO (18)]]*Tabla1[[#This Row],[COSTO UNITARIO AÑO 5 18 ]]*VLOOKUP(Tabla1[[#This Row],[CÓDIGO DEL PRODUCTO Y/O SERVICIO ]],Tabla3[],18)</f>
        <v>8155354.5484881122</v>
      </c>
      <c r="NB59" s="346">
        <f>VLOOKUP(Tabla1[[#This Row],[CÓDIGO DEL PRODUCTO Y/O SERVICIO ]],Tabla3[],3)</f>
        <v>450</v>
      </c>
      <c r="NC59" s="346">
        <f>Tabla1[[#This Row],[UNIDADES PRODUCIDAS AÑO 1 19]]*X43</f>
        <v>450</v>
      </c>
      <c r="ND59" s="347">
        <f>VLOOKUP(Tabla1[[#This Row],[CÓDIGO DEL PRODUCTO Y/O SERVICIO ]],Tabla3[],9)</f>
        <v>0.1111111111111111</v>
      </c>
      <c r="NE59" s="346">
        <f>Tabla1[[#This Row],[CANTIDADES A UTILIZAR  AÑO 1 19 ]]*(1+Tabla1[[#This Row],[CAMBIO PORCENTUAL EN UNIDADES VENDIDAS AÑO 2 19]])</f>
        <v>500</v>
      </c>
      <c r="NF59" s="347">
        <f>VLOOKUP(Tabla1[[#This Row],[CÓDIGO DEL PRODUCTO Y/O SERVICIO ]],Tabla3[],13)</f>
        <v>0.12</v>
      </c>
      <c r="NG59" s="346">
        <f>Tabla1[[#This Row],[CANTIDADES A UTILIZAR  AÑO 2 19 ]]*(1+Tabla1[[#This Row],[CAMBIO PORCENTUAL EN UNIDADES VENDIDAS AÑO 3 19 ]])</f>
        <v>560</v>
      </c>
      <c r="NH59" s="347">
        <f>VLOOKUP(Tabla1[[#This Row],[CÓDIGO DEL PRODUCTO Y/O SERVICIO ]],Tabla3[],17)</f>
        <v>8.9285714285714288E-2</v>
      </c>
      <c r="NI59" s="346">
        <f>Tabla1[[#This Row],[CANTIDADES A UTILIZAR  AÑO 3 19 ]]*(1+Tabla1[[#This Row],[CAMBIO PORCENTUAL EN UNIDADES VENDIDAS AÑO 4 19 ]])</f>
        <v>610</v>
      </c>
      <c r="NJ59" s="347">
        <f>VLOOKUP(Tabla1[[#This Row],[CÓDIGO DEL PRODUCTO Y/O SERVICIO ]],Tabla3[],21)</f>
        <v>6.5573770491803282E-2</v>
      </c>
      <c r="NK59" s="346">
        <f>Tabla1[[#This Row],[CANTIDADES A UTILIZAR AÑO 4 19 ]]*(1+Tabla1[[#This Row],[CAMBIO PORCENTUAL EN UNIDADES VENDIDAS AÑO 5 19 ]])</f>
        <v>650</v>
      </c>
      <c r="NL59" s="348">
        <f>IF(Tabla1[[#This Row],[CANTIDADES A UTILIZAR  AÑO 1 19 ]]=0,0,Tabla1[[#This Row],[CANTIDADES A UTILIZAR  AÑO 1 19 ]]*1/Tabla1[[#This Row],[UNIDADES PRODUCIDAS AÑO 1 19]])</f>
        <v>1</v>
      </c>
      <c r="NM59" s="348">
        <f>$D$30*(1+BASES!$E$10)</f>
        <v>10112.000000000002</v>
      </c>
      <c r="NN59" s="348">
        <f>Tabla1[[#This Row],[COSTO UNITARIO AÑO 2 19 ]]*(1+BASES!$F$10)</f>
        <v>10225.254400000003</v>
      </c>
      <c r="NO59" s="348">
        <f>Tabla1[[#This Row],[COSTO UNITARIO AÑO 3 19 ]]*(1+BASES!$G$10)</f>
        <v>10339.777249280005</v>
      </c>
      <c r="NP59" s="348">
        <f>Tabla1[[#This Row],[COSTO UNITARIO AÑO 4 19 ]]*(1+BASES!$H$10)</f>
        <v>10455.582754471941</v>
      </c>
      <c r="NQ59" s="348">
        <f>Tabla1[[#This Row],[COSTO POR UNIDAD DE PRODUCTO (19)]]*$D$30*VLOOKUP(Tabla1[[#This Row],[CÓDIGO DEL PRODUCTO Y/O SERVICIO ]],Tabla3[],3)</f>
        <v>4500000</v>
      </c>
      <c r="NR59" s="348">
        <f>Tabla1[[#This Row],[COSTO POR UNIDAD DE PRODUCTO (19)]]*Tabla1[[#This Row],[COSTO UNITARIO AÑO 2 19 ]]*VLOOKUP(Tabla1[[#This Row],[CÓDIGO DEL PRODUCTO Y/O SERVICIO ]],Tabla3[],6)</f>
        <v>5056000.0000000009</v>
      </c>
      <c r="NS59" s="348">
        <f>Tabla1[[#This Row],[COSTO POR UNIDAD DE PRODUCTO (19)]]*Tabla1[[#This Row],[COSTO UNITARIO AÑO 3 19 ]]*VLOOKUP(Tabla1[[#This Row],[CÓDIGO DEL PRODUCTO Y/O SERVICIO ]],Tabla3[],10)</f>
        <v>5726142.4640000015</v>
      </c>
      <c r="NT59" s="348">
        <f>Tabla1[[#This Row],[COSTO POR UNIDAD DE PRODUCTO (19)]]*Tabla1[[#This Row],[COSTO UNITARIO AÑO 4 19 ]]*VLOOKUP(Tabla1[[#This Row],[CÓDIGO DEL PRODUCTO Y/O SERVICIO ]],Tabla3[],14)</f>
        <v>6307264.1220608028</v>
      </c>
      <c r="NU59" s="348">
        <f>Tabla1[[#This Row],[COSTO POR UNIDAD DE PRODUCTO (19)]]*Tabla1[[#This Row],[COSTO UNITARIO AÑO 5 19 ]]*VLOOKUP(Tabla1[[#This Row],[CÓDIGO DEL PRODUCTO Y/O SERVICIO ]],Tabla3[],18)</f>
        <v>6796128.7904067617</v>
      </c>
      <c r="NV59" s="346">
        <f>VLOOKUP(Tabla1[[#This Row],[CÓDIGO DEL PRODUCTO Y/O SERVICIO ]],Tabla3[],3)</f>
        <v>450</v>
      </c>
      <c r="NW59" s="346">
        <f>Tabla1[[#This Row],[UNIDADES PRODUCIDAS AÑO 1 20 ]]*Y43</f>
        <v>450</v>
      </c>
      <c r="NX59" s="347">
        <f>VLOOKUP(Tabla1[[#This Row],[CÓDIGO DEL PRODUCTO Y/O SERVICIO ]],Tabla3[],9)</f>
        <v>0.1111111111111111</v>
      </c>
      <c r="NY59" s="346">
        <f>Tabla1[[#This Row],[CANTIDADES A UTILIZAR AÑO 1 20]]*(1+Tabla1[[#This Row],[CAMBIO PORCENTUAL EN UNIDADES VENDIDAS AÑO 2 20 ]])</f>
        <v>500</v>
      </c>
      <c r="NZ59" s="347">
        <f>VLOOKUP(Tabla1[[#This Row],[CÓDIGO DEL PRODUCTO Y/O SERVICIO ]],Tabla3[],13)</f>
        <v>0.12</v>
      </c>
      <c r="OA59" s="346">
        <f>Tabla1[[#This Row],[CANTIDADES A UTILIZAR  AÑO 2 20 ]]*(1+Tabla1[[#This Row],[CAMBIO PORCENTUAL EN UNIDADES VENDIDAS AÑO 3 20 ]])</f>
        <v>560</v>
      </c>
      <c r="OB59" s="347">
        <f>VLOOKUP(Tabla1[[#This Row],[CÓDIGO DEL PRODUCTO Y/O SERVICIO ]],Tabla3[],17)</f>
        <v>8.9285714285714288E-2</v>
      </c>
      <c r="OC59" s="346">
        <f>Tabla1[[#This Row],[CANTIDADES A UTILIZAR  AÑO 3 20 ]]*(1+Tabla1[[#This Row],[CAMBIO PORCENTUAL EN UNIDADES VENDIDAS AÑO 4 20 ]])</f>
        <v>610</v>
      </c>
      <c r="OD59" s="347">
        <f>VLOOKUP(Tabla1[[#This Row],[CÓDIGO DEL PRODUCTO Y/O SERVICIO ]],Tabla3[],21)</f>
        <v>6.5573770491803282E-2</v>
      </c>
      <c r="OE59" s="346">
        <f>Tabla1[[#This Row],[CANTIDADES A UTILIZAR  AÑO 4 20 ]]*(1+Tabla1[[#This Row],[CAMBIO PORCENTUAL EN UNIDADES VENDIDAS AÑO 5 20 ]])</f>
        <v>650</v>
      </c>
      <c r="OF59" s="348">
        <f>IF(Tabla1[[#This Row],[CANTIDADES A UTILIZAR AÑO 1 20]]=0,0,Tabla1[[#This Row],[CANTIDADES A UTILIZAR AÑO 1 20]]*1/Tabla1[[#This Row],[UNIDADES PRODUCIDAS AÑO 1 20 ]])</f>
        <v>1</v>
      </c>
      <c r="OG59" s="348">
        <f>$D$31*(1+BASES!$E$10)</f>
        <v>758.40000000000009</v>
      </c>
      <c r="OH59" s="348">
        <f>Tabla1[[#This Row],[COSTO UNITARIO AÑO 2 20 ]]*(1+BASES!$F$10)</f>
        <v>766.89408000000014</v>
      </c>
      <c r="OI59" s="348">
        <f>Tabla1[[#This Row],[COSTO UNITARIO AÑO 3 20 ]]*(1+BASES!$G$10)</f>
        <v>775.48329369600026</v>
      </c>
      <c r="OJ59" s="348">
        <f>Tabla1[[#This Row],[COSTO UNITARIO AÑO 4 20 ]]*(1+BASES!$H$10)</f>
        <v>784.16870658539551</v>
      </c>
      <c r="OK59" s="348">
        <f>Tabla1[[#This Row],[COSTO POR UNIDAD DE PRODUCTO (20)]]*$D$31*VLOOKUP(Tabla1[[#This Row],[CÓDIGO DEL PRODUCTO Y/O SERVICIO ]],Tabla3[],3)</f>
        <v>337500</v>
      </c>
      <c r="OL59" s="348">
        <f>Tabla1[[#This Row],[COSTO POR UNIDAD DE PRODUCTO (20)]]*Tabla1[[#This Row],[COSTO UNITARIO AÑO 2 20 ]]*VLOOKUP(Tabla1[[#This Row],[CÓDIGO DEL PRODUCTO Y/O SERVICIO ]],Tabla3[],6)</f>
        <v>379200.00000000006</v>
      </c>
      <c r="OM59" s="348">
        <f>Tabla1[[#This Row],[COSTO POR UNIDAD DE PRODUCTO (20)]]*Tabla1[[#This Row],[COSTO UNITARIO AÑO 3 20 ]]*VLOOKUP(Tabla1[[#This Row],[CÓDIGO DEL PRODUCTO Y/O SERVICIO ]],Tabla3[],10)</f>
        <v>429460.6848000001</v>
      </c>
      <c r="ON59" s="348">
        <f>Tabla1[[#This Row],[COSTO POR UNIDAD DE PRODUCTO (20)]]*Tabla1[[#This Row],[COSTO UNITARIO AÑO 4 20 ]]*VLOOKUP(Tabla1[[#This Row],[CÓDIGO DEL PRODUCTO Y/O SERVICIO ]],Tabla3[],14)</f>
        <v>473044.80915456015</v>
      </c>
      <c r="OO59" s="348">
        <f>Tabla1[[#This Row],[COSTO POR UNIDAD DE PRODUCTO (20)]]*Tabla1[[#This Row],[COSTO UNITARIO AÑO 5 20 ]]*VLOOKUP(Tabla1[[#This Row],[CÓDIGO DEL PRODUCTO Y/O SERVICIO ]],Tabla3[],18)</f>
        <v>509709.65928050707</v>
      </c>
      <c r="OP59"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16875000</v>
      </c>
      <c r="OQ59"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18960000</v>
      </c>
      <c r="OR59"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21473034.240000002</v>
      </c>
      <c r="OS59"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23652240.457728006</v>
      </c>
      <c r="OT59"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25485482.964025352</v>
      </c>
    </row>
    <row r="62" spans="3:410" x14ac:dyDescent="0.25">
      <c r="F62" s="326"/>
    </row>
    <row r="63" spans="3:410" x14ac:dyDescent="0.25">
      <c r="E63" s="326"/>
      <c r="F63" s="326"/>
    </row>
    <row r="66" spans="1:405" x14ac:dyDescent="0.25">
      <c r="C66" s="330"/>
      <c r="D66" s="330"/>
    </row>
    <row r="67" spans="1:405" x14ac:dyDescent="0.25">
      <c r="C67" s="330"/>
      <c r="D67" s="330"/>
    </row>
    <row r="68" spans="1:405" ht="15.75" x14ac:dyDescent="0.25">
      <c r="C68" s="330"/>
      <c r="D68" s="330"/>
      <c r="U68" s="380"/>
      <c r="V68" s="380"/>
      <c r="W68" s="380"/>
      <c r="X68" s="380"/>
      <c r="Y68" s="380"/>
      <c r="AO68" s="380"/>
      <c r="AP68" s="380"/>
      <c r="AQ68" s="380"/>
      <c r="AR68" s="380"/>
      <c r="AS68" s="380"/>
    </row>
    <row r="69" spans="1:405" ht="15.75" hidden="1" x14ac:dyDescent="0.25">
      <c r="A69" s="7"/>
      <c r="B69" s="7"/>
      <c r="C69" s="381"/>
      <c r="D69" s="381"/>
      <c r="E69" s="7"/>
      <c r="F69" s="7"/>
      <c r="G69" s="7"/>
      <c r="H69" s="7"/>
      <c r="I69" s="7"/>
      <c r="J69" s="7"/>
      <c r="K69" s="7"/>
      <c r="L69" s="7"/>
      <c r="M69" s="7"/>
      <c r="N69" s="7"/>
      <c r="O69" s="7"/>
      <c r="P69" s="7"/>
      <c r="Q69" s="7"/>
      <c r="R69" s="7"/>
      <c r="S69" s="7"/>
      <c r="T69" s="7"/>
      <c r="U69" s="382">
        <f>SUM(Tabla1[AÑO 1])</f>
        <v>15480000</v>
      </c>
      <c r="V69" s="382">
        <f>SUM(Tabla1[AÑO 2])</f>
        <v>18729446.400000002</v>
      </c>
      <c r="W69" s="382">
        <f>SUM(Tabla1[[AÑO 3 ]])</f>
        <v>22970011.484160006</v>
      </c>
      <c r="X69" s="382">
        <f>SUM(Tabla1[[AÑO 4 ]])</f>
        <v>25088435.517653003</v>
      </c>
      <c r="Y69" s="382">
        <f>SUM(Tabla1[[AÑO 5 ]])</f>
        <v>29171075.884976711</v>
      </c>
      <c r="Z69" s="7"/>
      <c r="AA69" s="7"/>
      <c r="AB69" s="7"/>
      <c r="AC69" s="7"/>
      <c r="AD69" s="7"/>
      <c r="AE69" s="7"/>
      <c r="AF69" s="7"/>
      <c r="AG69" s="7"/>
      <c r="AH69" s="7"/>
      <c r="AI69" s="7"/>
      <c r="AJ69" s="7"/>
      <c r="AK69" s="7"/>
      <c r="AL69" s="7"/>
      <c r="AM69" s="7"/>
      <c r="AN69" s="7"/>
      <c r="AO69" s="382">
        <f>SUM(Tabla1[AÑO 1 2])</f>
        <v>132000</v>
      </c>
      <c r="AP69" s="382">
        <f>SUM(Tabla1[AÑO 2 2])</f>
        <v>164218.88000000003</v>
      </c>
      <c r="AQ69" s="382">
        <f>SUM(Tabla1[AÑO 3 2])</f>
        <v>199596.96588800004</v>
      </c>
      <c r="AR69" s="382">
        <f>SUM(Tabla1[AÑO 4 2])</f>
        <v>217548.91332485128</v>
      </c>
      <c r="AS69" s="382">
        <f>SUM(Tabla1[AÑO 5 2])</f>
        <v>253443.32596839985</v>
      </c>
      <c r="AT69" s="7"/>
      <c r="AU69" s="7"/>
      <c r="AV69" s="7"/>
      <c r="AW69" s="7"/>
      <c r="AX69" s="7"/>
      <c r="AY69" s="7"/>
      <c r="AZ69" s="7"/>
      <c r="BA69" s="7"/>
      <c r="BB69" s="7"/>
      <c r="BC69" s="7"/>
      <c r="BD69" s="7"/>
      <c r="BE69" s="7"/>
      <c r="BF69" s="7"/>
      <c r="BG69" s="7"/>
      <c r="BH69" s="7"/>
      <c r="BI69" s="382">
        <f>SUM(Tabla1[AÑO 1 3])</f>
        <v>70000</v>
      </c>
      <c r="BJ69" s="382">
        <f>SUM(Tabla1[AÑO 2 3])</f>
        <v>85952</v>
      </c>
      <c r="BK69" s="382">
        <f>SUM(Tabla1[AÑO 3 3])</f>
        <v>120658.00192000001</v>
      </c>
      <c r="BL69" s="382">
        <f>SUM(Tabla1[AÑO 4 3])</f>
        <v>131315.17106585606</v>
      </c>
      <c r="BM69" s="382">
        <f>SUM(Tabla1[AÑO 5 3])</f>
        <v>165198.20752065664</v>
      </c>
      <c r="BN69" s="7"/>
      <c r="BO69" s="7"/>
      <c r="BP69" s="7"/>
      <c r="BQ69" s="7"/>
      <c r="BR69" s="7"/>
      <c r="BS69" s="7"/>
      <c r="BT69" s="7"/>
      <c r="BU69" s="7"/>
      <c r="BV69" s="7"/>
      <c r="BW69" s="7"/>
      <c r="BX69" s="7"/>
      <c r="BY69" s="7"/>
      <c r="BZ69" s="7"/>
      <c r="CA69" s="7"/>
      <c r="CB69" s="7"/>
      <c r="CC69" s="382">
        <f>SUM(Tabla1[AÑO 1 4])</f>
        <v>119000</v>
      </c>
      <c r="CD69" s="382">
        <f>SUM(Tabla1[AÑO 2 4])</f>
        <v>146118.40000000002</v>
      </c>
      <c r="CE69" s="382">
        <f>SUM(Tabla1[AÑO 3 4])</f>
        <v>205118.60326400006</v>
      </c>
      <c r="CF69" s="382">
        <f>SUM(Tabla1[AÑO 4 4])</f>
        <v>223235.79081195529</v>
      </c>
      <c r="CG69" s="382">
        <f>SUM(Tabla1[AÑO 5 4])</f>
        <v>280836.95278511633</v>
      </c>
      <c r="CH69" s="7"/>
      <c r="CI69" s="7"/>
      <c r="CJ69" s="7"/>
      <c r="CK69" s="7"/>
      <c r="CL69" s="7"/>
      <c r="CM69" s="7"/>
      <c r="CN69" s="7"/>
      <c r="CO69" s="7"/>
      <c r="CP69" s="7"/>
      <c r="CQ69" s="7"/>
      <c r="CR69" s="7"/>
      <c r="CS69" s="7"/>
      <c r="CT69" s="7"/>
      <c r="CU69" s="7"/>
      <c r="CV69" s="7"/>
      <c r="CW69" s="382">
        <f>SUM(Tabla1[AÑO 1 5])</f>
        <v>2100000</v>
      </c>
      <c r="CX69" s="382">
        <f>SUM(Tabla1[AÑO 2 5])</f>
        <v>2578560.0000000005</v>
      </c>
      <c r="CY69" s="382">
        <f>SUM(Tabla1[[AÑO 3 5 ]])</f>
        <v>3619740.0576000009</v>
      </c>
      <c r="CZ69" s="382">
        <f>SUM(Tabla1[AÑO 4 5])</f>
        <v>3939455.1319756815</v>
      </c>
      <c r="DA69" s="382">
        <f>SUM(Tabla1[AÑO 5 5])</f>
        <v>4955946.2256196998</v>
      </c>
      <c r="DB69" s="7"/>
      <c r="DC69" s="7"/>
      <c r="DD69" s="7"/>
      <c r="DE69" s="7"/>
      <c r="DF69" s="7"/>
      <c r="DG69" s="7"/>
      <c r="DH69" s="7"/>
      <c r="DI69" s="7"/>
      <c r="DJ69" s="7"/>
      <c r="DK69" s="7"/>
      <c r="DL69" s="7"/>
      <c r="DM69" s="7"/>
      <c r="DN69" s="7"/>
      <c r="DO69" s="7"/>
      <c r="DP69" s="7"/>
      <c r="DQ69" s="382">
        <f>SUM(Tabla1[AÑO 1 6])</f>
        <v>1750000</v>
      </c>
      <c r="DR69" s="382">
        <f>SUM(Tabla1[AÑO 2 6])</f>
        <v>2148800.0000000005</v>
      </c>
      <c r="DS69" s="382">
        <f>SUM(Tabla1[AÑO 3 6])</f>
        <v>3016450.0480000013</v>
      </c>
      <c r="DT69" s="382">
        <f>SUM(Tabla1[AÑO 4 6])</f>
        <v>3282879.2766464017</v>
      </c>
      <c r="DU69" s="382">
        <f>SUM(Tabla1[AÑO 5 6])</f>
        <v>4129955.1880164165</v>
      </c>
      <c r="DV69" s="7"/>
      <c r="DW69" s="7"/>
      <c r="DX69" s="7"/>
      <c r="DY69" s="7"/>
      <c r="DZ69" s="7"/>
      <c r="EA69" s="7"/>
      <c r="EB69" s="7"/>
      <c r="EC69" s="7"/>
      <c r="ED69" s="7"/>
      <c r="EE69" s="7"/>
      <c r="EF69" s="7"/>
      <c r="EG69" s="7"/>
      <c r="EH69" s="7"/>
      <c r="EI69" s="7"/>
      <c r="EJ69" s="7"/>
      <c r="EK69" s="382">
        <f>SUM(Tabla1[AÑO 1 7])</f>
        <v>280500</v>
      </c>
      <c r="EL69" s="382">
        <f>SUM(Tabla1[AÑO 2 7])</f>
        <v>348965.12000000005</v>
      </c>
      <c r="EM69" s="382">
        <f>SUM(Tabla1[AÑO 3 7])</f>
        <v>424143.55251200014</v>
      </c>
      <c r="EN69" s="382">
        <f>SUM(Tabla1[[AÑO 4 7 ]])</f>
        <v>462291.44081530895</v>
      </c>
      <c r="EO69" s="382">
        <f>SUM(Tabla1[AÑO 5 7])</f>
        <v>538567.06768284971</v>
      </c>
      <c r="EP69" s="7"/>
      <c r="EQ69" s="7"/>
      <c r="ER69" s="7"/>
      <c r="ES69" s="7"/>
      <c r="ET69" s="7"/>
      <c r="EU69" s="7"/>
      <c r="EV69" s="7"/>
      <c r="EW69" s="7"/>
      <c r="EX69" s="7"/>
      <c r="EY69" s="7"/>
      <c r="EZ69" s="7"/>
      <c r="FA69" s="7"/>
      <c r="FB69" s="7"/>
      <c r="FC69" s="7"/>
      <c r="FD69" s="7"/>
      <c r="FE69" s="382">
        <f>SUM(Tabla1[AÑO 1 8])</f>
        <v>840000</v>
      </c>
      <c r="FF69" s="382">
        <f>SUM(Tabla1[AÑO 2 8])</f>
        <v>1031424</v>
      </c>
      <c r="FG69" s="382">
        <f>SUM(Tabla1[AÑO 3 8])</f>
        <v>1447896.0230400003</v>
      </c>
      <c r="FH69" s="382">
        <f>SUM(Tabla1[AÑO 4 8])</f>
        <v>1575782.0527902725</v>
      </c>
      <c r="FI69" s="382">
        <f>SUM(Tabla1[AÑO 5 8])</f>
        <v>1982378.4902478799</v>
      </c>
      <c r="FJ69" s="7"/>
      <c r="FK69" s="7"/>
      <c r="FL69" s="7"/>
      <c r="FM69" s="7"/>
      <c r="FN69" s="7"/>
      <c r="FO69" s="7"/>
      <c r="FP69" s="7"/>
      <c r="FQ69" s="7"/>
      <c r="FR69" s="7"/>
      <c r="FS69" s="7"/>
      <c r="FT69" s="7"/>
      <c r="FU69" s="7"/>
      <c r="FV69" s="7"/>
      <c r="FW69" s="7"/>
      <c r="FX69" s="7"/>
      <c r="FY69" s="382">
        <f>SUM(Tabla1[AÑO 1 9])</f>
        <v>0</v>
      </c>
      <c r="FZ69" s="382">
        <f>SUM(Tabla1[[AÑO 2 9 ]])</f>
        <v>0</v>
      </c>
      <c r="GA69" s="382">
        <f>SUM(Tabla1[AÑO 3 9])</f>
        <v>0</v>
      </c>
      <c r="GB69" s="382">
        <f>SUM(Tabla1[[AÑO 4 9 ]])</f>
        <v>0</v>
      </c>
      <c r="GC69" s="382">
        <f>SUM(Tabla1[[AÑO 5 9 ]])</f>
        <v>0</v>
      </c>
      <c r="GD69" s="7"/>
      <c r="GE69" s="7"/>
      <c r="GF69" s="7"/>
      <c r="GG69" s="7"/>
      <c r="GH69" s="7"/>
      <c r="GI69" s="7"/>
      <c r="GJ69" s="7"/>
      <c r="GK69" s="7"/>
      <c r="GL69" s="7"/>
      <c r="GM69" s="7"/>
      <c r="GN69" s="7"/>
      <c r="GO69" s="7"/>
      <c r="GP69" s="7"/>
      <c r="GQ69" s="7"/>
      <c r="GR69" s="7"/>
      <c r="GS69" s="382">
        <f>SUM(Tabla1[[AÑO 1 10 ]])</f>
        <v>0</v>
      </c>
      <c r="GT69" s="382">
        <f>SUM(Tabla1[[AÑO 2 10 ]])</f>
        <v>0</v>
      </c>
      <c r="GU69" s="382">
        <f>SUM(Tabla1[[AÑO 3 10 ]])</f>
        <v>0</v>
      </c>
      <c r="GV69" s="382">
        <f>SUM(Tabla1[[AÑO 4 10 ]])</f>
        <v>0</v>
      </c>
      <c r="GW69" s="382">
        <f>SUM(Tabla1[[AÑO 5 10 ]])</f>
        <v>0</v>
      </c>
      <c r="GX69" s="7"/>
      <c r="GY69" s="7"/>
      <c r="GZ69" s="7"/>
      <c r="HA69" s="7"/>
      <c r="HB69" s="7"/>
      <c r="HC69" s="7"/>
      <c r="HD69" s="7"/>
      <c r="HE69" s="7"/>
      <c r="HF69" s="7"/>
      <c r="HG69" s="7"/>
      <c r="HH69" s="7"/>
      <c r="HI69" s="7"/>
      <c r="HJ69" s="7"/>
      <c r="HK69" s="7"/>
      <c r="HL69" s="7"/>
      <c r="HM69" s="382">
        <f>SUM(Tabla1[[AÑO 1 11 ]])</f>
        <v>0</v>
      </c>
      <c r="HN69" s="382">
        <f>SUM(Tabla1[[AÑO 2 11 ]])</f>
        <v>0</v>
      </c>
      <c r="HO69" s="382">
        <f>SUM(Tabla1[AÑO 3 11])</f>
        <v>0</v>
      </c>
      <c r="HP69" s="382">
        <f>SUM(Tabla1[[AÑO 4 11 ]])</f>
        <v>0</v>
      </c>
      <c r="HQ69" s="382">
        <f>SUM(Tabla1[[AÑO 5 11 ]])</f>
        <v>0</v>
      </c>
      <c r="HR69" s="7"/>
      <c r="HS69" s="7"/>
      <c r="HT69" s="7"/>
      <c r="HU69" s="7"/>
      <c r="HV69" s="7"/>
      <c r="HW69" s="7"/>
      <c r="HX69" s="7"/>
      <c r="HY69" s="7"/>
      <c r="HZ69" s="7"/>
      <c r="IA69" s="7"/>
      <c r="IB69" s="7"/>
      <c r="IC69" s="7"/>
      <c r="ID69" s="7"/>
      <c r="IE69" s="7"/>
      <c r="IF69" s="7"/>
      <c r="IG69" s="382">
        <f>SUM(Tabla1[AÑO 1 12])</f>
        <v>6500000</v>
      </c>
      <c r="IH69" s="382">
        <f>SUM(Tabla1[AÑO 2 12])</f>
        <v>8939008</v>
      </c>
      <c r="II69" s="382">
        <f>SUM(Tabla1[AÑO 3 12])</f>
        <v>9304981.5040000007</v>
      </c>
      <c r="IJ69" s="382">
        <f>SUM(Tabla1[AÑO 4 12])</f>
        <v>10081282.818048002</v>
      </c>
      <c r="IK69" s="382">
        <f>SUM(Tabla1[AÑO 5 12])</f>
        <v>10873806.064650817</v>
      </c>
      <c r="IL69" s="7"/>
      <c r="IM69" s="7"/>
      <c r="IN69" s="7"/>
      <c r="IO69" s="7"/>
      <c r="IP69" s="7"/>
      <c r="IQ69" s="7"/>
      <c r="IR69" s="7"/>
      <c r="IS69" s="7"/>
      <c r="IT69" s="7"/>
      <c r="IU69" s="7"/>
      <c r="IV69" s="7"/>
      <c r="IW69" s="7"/>
      <c r="IX69" s="7"/>
      <c r="IY69" s="7"/>
      <c r="IZ69" s="7"/>
      <c r="JA69" s="382">
        <f>SUM(Tabla1[AÑO 1 13])</f>
        <v>165000</v>
      </c>
      <c r="JB69" s="382">
        <f>SUM(Tabla1[AÑO 2 13])</f>
        <v>205273.60000000001</v>
      </c>
      <c r="JC69" s="382">
        <f>SUM(Tabla1[AÑO 3 13])</f>
        <v>249496.20736000003</v>
      </c>
      <c r="JD69" s="382">
        <f>SUM(Tabla1[AÑO 4 13])</f>
        <v>271936.14165606408</v>
      </c>
      <c r="JE69" s="382">
        <f>SUM(Tabla1[AÑO 5 13])</f>
        <v>316804.15746049979</v>
      </c>
      <c r="JF69" s="7"/>
      <c r="JG69" s="7"/>
      <c r="JH69" s="7"/>
      <c r="JI69" s="7"/>
      <c r="JJ69" s="7"/>
      <c r="JK69" s="7"/>
      <c r="JL69" s="7"/>
      <c r="JM69" s="7"/>
      <c r="JN69" s="7"/>
      <c r="JO69" s="7"/>
      <c r="JP69" s="7"/>
      <c r="JQ69" s="7"/>
      <c r="JR69" s="7"/>
      <c r="JS69" s="7"/>
      <c r="JT69" s="7"/>
      <c r="JU69" s="382">
        <f>SUM(Tabla1[AÑO 1 14])</f>
        <v>500000</v>
      </c>
      <c r="JV69" s="382">
        <f>SUM(Tabla1[AÑO 2 14])</f>
        <v>687616</v>
      </c>
      <c r="JW69" s="382">
        <f>SUM(Tabla1[AÑO 3 14])</f>
        <v>715767.80800000008</v>
      </c>
      <c r="JX69" s="382">
        <f>SUM(Tabla1[AÑO 4 14])</f>
        <v>775483.29369600024</v>
      </c>
      <c r="JY69" s="382">
        <f>SUM(Tabla1[AÑO 5 14])</f>
        <v>836446.62035775511</v>
      </c>
      <c r="JZ69" s="7"/>
      <c r="KA69" s="7"/>
      <c r="KB69" s="7"/>
      <c r="KC69" s="7"/>
      <c r="KD69" s="7"/>
      <c r="KE69" s="7"/>
      <c r="KF69" s="7"/>
      <c r="KG69" s="7"/>
      <c r="KH69" s="7"/>
      <c r="KI69" s="7"/>
      <c r="KJ69" s="7"/>
      <c r="KK69" s="7"/>
      <c r="KL69" s="7"/>
      <c r="KM69" s="7"/>
      <c r="KN69" s="7"/>
      <c r="KO69" s="382">
        <f>SUM(Tabla1[AÑO 1 15])</f>
        <v>2000000</v>
      </c>
      <c r="KP69" s="382">
        <f>SUM(Tabla1[AÑO 2 15])</f>
        <v>2750464</v>
      </c>
      <c r="KQ69" s="382">
        <f>SUM(Tabla1[AÑO 3 15])</f>
        <v>2863071.2320000003</v>
      </c>
      <c r="KR69" s="382">
        <f>SUM(Tabla1[AÑO 4 15])</f>
        <v>3101933.174784001</v>
      </c>
      <c r="KS69" s="382">
        <f>SUM(Tabla1[AÑO 5 15])</f>
        <v>3345786.4814310204</v>
      </c>
      <c r="KT69" s="7"/>
      <c r="KU69" s="7"/>
      <c r="KV69" s="7"/>
      <c r="KW69" s="7"/>
      <c r="KX69" s="7"/>
      <c r="KY69" s="7"/>
      <c r="KZ69" s="7"/>
      <c r="LA69" s="7"/>
      <c r="LB69" s="7"/>
      <c r="LC69" s="7"/>
      <c r="LD69" s="7"/>
      <c r="LE69" s="7"/>
      <c r="LF69" s="7"/>
      <c r="LG69" s="7"/>
      <c r="LH69" s="7"/>
      <c r="LI69" s="382">
        <f>SUM(Tabla1[AÑO 1 16])</f>
        <v>625000</v>
      </c>
      <c r="LJ69" s="382">
        <f>SUM(Tabla1[AÑO 2 16])</f>
        <v>859520.00000000012</v>
      </c>
      <c r="LK69" s="382">
        <f>SUM(Tabla1[AÑO 3 16])</f>
        <v>894709.76000000036</v>
      </c>
      <c r="LL69" s="382">
        <f>SUM(Tabla1[AÑO 4 16])</f>
        <v>969354.11712000042</v>
      </c>
      <c r="LM69" s="382">
        <f>SUM(Tabla1[AÑO 5 16])</f>
        <v>1045558.2754471941</v>
      </c>
      <c r="LN69" s="7"/>
      <c r="LO69" s="7"/>
      <c r="LP69" s="7"/>
      <c r="LQ69" s="7"/>
      <c r="LR69" s="7"/>
      <c r="LS69" s="7"/>
      <c r="LT69" s="7"/>
      <c r="LU69" s="7"/>
      <c r="LV69" s="7"/>
      <c r="LW69" s="7"/>
      <c r="LX69" s="7"/>
      <c r="LY69" s="7"/>
      <c r="LZ69" s="7"/>
      <c r="MA69" s="7"/>
      <c r="MB69" s="7"/>
      <c r="MC69" s="382">
        <f>SUM(Tabla1[AÑO 1 17])</f>
        <v>330000</v>
      </c>
      <c r="MD69" s="382">
        <f>SUM(Tabla1[AÑO 2 17])</f>
        <v>453826.56000000006</v>
      </c>
      <c r="ME69" s="382">
        <f>SUM(Tabla1[AÑO 3 17])</f>
        <v>472406.75328000006</v>
      </c>
      <c r="MF69" s="382">
        <f>SUM(Tabla1[AÑO 4 17])</f>
        <v>511818.97383936017</v>
      </c>
      <c r="MG69" s="382">
        <f>SUM(Tabla1[AÑO 5 17])</f>
        <v>552054.76943611843</v>
      </c>
      <c r="MH69" s="7"/>
      <c r="MI69" s="7"/>
      <c r="MJ69" s="7"/>
      <c r="MK69" s="7"/>
      <c r="ML69" s="7"/>
      <c r="MM69" s="7"/>
      <c r="MN69" s="7"/>
      <c r="MO69" s="7"/>
      <c r="MP69" s="7"/>
      <c r="MQ69" s="7"/>
      <c r="MR69" s="7"/>
      <c r="MS69" s="7"/>
      <c r="MT69" s="7"/>
      <c r="MU69" s="7"/>
      <c r="MV69" s="7"/>
      <c r="MW69" s="382">
        <f>SUM(Tabla1[[AÑO 1 18 ]])</f>
        <v>5400000</v>
      </c>
      <c r="MX69" s="382">
        <f>SUM(Tabla1[[AÑO 2 18 ]])</f>
        <v>6067200.0000000009</v>
      </c>
      <c r="MY69" s="382">
        <f>SUM(Tabla1[[AÑO 3 18 ]])</f>
        <v>6871370.9568000007</v>
      </c>
      <c r="MZ69" s="382">
        <f>SUM(Tabla1[[AÑO 4 18 ]])</f>
        <v>7568716.9464729615</v>
      </c>
      <c r="NA69" s="382">
        <f>SUM(Tabla1[[AÑO 5 18 ]])</f>
        <v>8155354.5484881122</v>
      </c>
      <c r="NQ69" s="380">
        <f>SUM(Tabla1[[AÑO 1 19 ]])</f>
        <v>4500000</v>
      </c>
      <c r="NR69" s="380">
        <f>SUM(Tabla1[[AÑO 2 19 ]])</f>
        <v>5056000.0000000009</v>
      </c>
      <c r="NS69" s="380">
        <f>SUM(Tabla1[[AÑO 3 19 ]])</f>
        <v>5726142.4640000015</v>
      </c>
      <c r="NT69" s="380">
        <f>SUM(Tabla1[[AÑO 4 19 ]])</f>
        <v>6307264.1220608028</v>
      </c>
      <c r="NU69" s="380">
        <f>SUM(Tabla1[[AÑO 5 19 ]])</f>
        <v>6796128.7904067617</v>
      </c>
      <c r="OK69" s="380">
        <f>SUM(Tabla1[[AÑO 1 20 ]])</f>
        <v>337500</v>
      </c>
      <c r="OL69" s="380">
        <f>SUM(Tabla1[[AÑO 2 20 ]])</f>
        <v>379200.00000000006</v>
      </c>
      <c r="OM69" s="380">
        <f>SUM(Tabla1[[AÑO 3 20 ]])</f>
        <v>429460.6848000001</v>
      </c>
      <c r="ON69" s="380">
        <f>SUM(Tabla1[[AÑO 4 20 ]])</f>
        <v>473044.80915456015</v>
      </c>
      <c r="OO69" s="380">
        <f>SUM(Tabla1[[AÑO 5 20 ]])</f>
        <v>509709.65928050707</v>
      </c>
    </row>
    <row r="70" spans="1:405" x14ac:dyDescent="0.25">
      <c r="C70" s="330"/>
      <c r="D70" s="330"/>
    </row>
    <row r="71" spans="1:405" x14ac:dyDescent="0.25">
      <c r="C71" s="330"/>
      <c r="D71" s="330"/>
    </row>
    <row r="72" spans="1:405" x14ac:dyDescent="0.25">
      <c r="C72" s="330"/>
      <c r="D72" s="330"/>
    </row>
    <row r="73" spans="1:405" x14ac:dyDescent="0.25">
      <c r="C73" s="330"/>
      <c r="D73" s="330"/>
    </row>
    <row r="74" spans="1:405" ht="15.75" x14ac:dyDescent="0.25">
      <c r="B74" s="69" t="s">
        <v>42</v>
      </c>
      <c r="C74" s="368" t="s">
        <v>445</v>
      </c>
      <c r="D74" s="330"/>
    </row>
    <row r="75" spans="1:405" ht="15.75" x14ac:dyDescent="0.25">
      <c r="B75" s="333" t="s">
        <v>1241</v>
      </c>
      <c r="C75" s="365">
        <v>4229</v>
      </c>
      <c r="D75" s="330"/>
    </row>
    <row r="76" spans="1:405" ht="15.75" x14ac:dyDescent="0.25">
      <c r="B76" s="336"/>
      <c r="C76" s="366"/>
      <c r="D76" s="330"/>
    </row>
    <row r="77" spans="1:405" ht="15.75" x14ac:dyDescent="0.25">
      <c r="B77" s="336"/>
      <c r="C77" s="366"/>
      <c r="D77" s="330"/>
    </row>
    <row r="78" spans="1:405" ht="15.75" x14ac:dyDescent="0.25">
      <c r="B78" s="336"/>
      <c r="C78" s="366"/>
      <c r="D78" s="330"/>
    </row>
    <row r="79" spans="1:405" ht="15.75" x14ac:dyDescent="0.25">
      <c r="B79" s="336"/>
      <c r="C79" s="366"/>
      <c r="D79" s="330"/>
    </row>
    <row r="80" spans="1:405" ht="15.75" x14ac:dyDescent="0.25">
      <c r="B80" s="336"/>
      <c r="C80" s="366"/>
      <c r="D80" s="330"/>
    </row>
    <row r="81" spans="2:15" ht="15.75" x14ac:dyDescent="0.25">
      <c r="B81" s="336"/>
      <c r="C81" s="366"/>
      <c r="D81" s="330"/>
    </row>
    <row r="82" spans="2:15" ht="15.75" x14ac:dyDescent="0.25">
      <c r="B82" s="336"/>
      <c r="C82" s="366"/>
      <c r="D82" s="330"/>
    </row>
    <row r="83" spans="2:15" ht="15.75" x14ac:dyDescent="0.25">
      <c r="B83" s="336"/>
      <c r="C83" s="366"/>
      <c r="D83" s="330"/>
    </row>
    <row r="84" spans="2:15" ht="15.75" x14ac:dyDescent="0.25">
      <c r="B84" s="339"/>
      <c r="C84" s="367"/>
      <c r="D84" s="330"/>
    </row>
    <row r="85" spans="2:15" x14ac:dyDescent="0.25">
      <c r="C85" s="330"/>
      <c r="D85" s="330"/>
    </row>
    <row r="86" spans="2:15" x14ac:dyDescent="0.25">
      <c r="C86" s="330"/>
      <c r="D86" s="330"/>
    </row>
    <row r="87" spans="2:15" x14ac:dyDescent="0.25">
      <c r="C87" s="330"/>
      <c r="D87" s="330"/>
    </row>
    <row r="88" spans="2:15" x14ac:dyDescent="0.25">
      <c r="C88" s="330"/>
      <c r="D88" s="330"/>
    </row>
    <row r="89" spans="2:15" x14ac:dyDescent="0.25">
      <c r="C89" s="330"/>
      <c r="D89" s="330"/>
    </row>
    <row r="90" spans="2:15" ht="15.75" x14ac:dyDescent="0.25">
      <c r="C90" s="330"/>
      <c r="D90" s="330"/>
      <c r="F90" s="614" t="s">
        <v>656</v>
      </c>
      <c r="G90" s="614"/>
      <c r="H90" s="614"/>
      <c r="I90" s="614"/>
      <c r="J90" s="614"/>
      <c r="K90" s="614"/>
      <c r="L90" s="614"/>
      <c r="M90" s="614"/>
      <c r="N90" s="614"/>
      <c r="O90" s="614"/>
    </row>
    <row r="91" spans="2:15" ht="15.75" x14ac:dyDescent="0.25">
      <c r="C91" s="368" t="s">
        <v>442</v>
      </c>
      <c r="D91" s="368" t="s">
        <v>443</v>
      </c>
      <c r="E91" s="52"/>
      <c r="F91" s="369" t="str" cm="1">
        <f t="array" ref="F91:O91">TRANSPOSE(Tabla4[[MANO DE OBRA DIRECTA ]])</f>
        <v xml:space="preserve">Operario </v>
      </c>
      <c r="G91" s="369">
        <v>0</v>
      </c>
      <c r="H91" s="369">
        <v>0</v>
      </c>
      <c r="I91" s="369">
        <v>0</v>
      </c>
      <c r="J91" s="369">
        <v>0</v>
      </c>
      <c r="K91" s="369">
        <v>0</v>
      </c>
      <c r="L91" s="369">
        <v>0</v>
      </c>
      <c r="M91" s="369">
        <v>0</v>
      </c>
      <c r="N91" s="369">
        <v>0</v>
      </c>
      <c r="O91" s="369">
        <v>0</v>
      </c>
    </row>
    <row r="92" spans="2:15" ht="15.75" x14ac:dyDescent="0.25">
      <c r="C92" s="438">
        <v>0</v>
      </c>
      <c r="D92" s="370" t="str">
        <f>VLOOKUP(Tabla10[[#This Row],[CÓDIGO DEL PRODUCTO Y/O SERVICIO ]],Tabla3[],2)</f>
        <v xml:space="preserve">Seleccionar producto o servicio </v>
      </c>
      <c r="E92" s="104"/>
      <c r="F92" s="92"/>
      <c r="G92" s="92"/>
      <c r="H92" s="92"/>
      <c r="I92" s="92"/>
      <c r="J92" s="92"/>
      <c r="K92" s="92"/>
      <c r="L92" s="92"/>
      <c r="M92" s="92"/>
      <c r="N92" s="92"/>
      <c r="O92" s="92"/>
    </row>
    <row r="93" spans="2:15" ht="15.75" x14ac:dyDescent="0.25">
      <c r="C93" s="362">
        <v>1</v>
      </c>
      <c r="D93" s="370" t="str">
        <f>VLOOKUP(Tabla10[[#This Row],[CÓDIGO DEL PRODUCTO Y/O SERVICIO ]],Tabla3[],2)</f>
        <v>Amor Amor</v>
      </c>
      <c r="E93" s="104"/>
      <c r="F93" s="509">
        <v>2</v>
      </c>
      <c r="G93" s="509"/>
      <c r="H93" s="509"/>
      <c r="I93" s="509"/>
      <c r="J93" s="509"/>
      <c r="K93" s="509"/>
      <c r="L93" s="509"/>
      <c r="M93" s="509"/>
      <c r="N93" s="509"/>
      <c r="O93" s="509"/>
    </row>
    <row r="94" spans="2:15" ht="15.75" x14ac:dyDescent="0.25">
      <c r="C94" s="362">
        <v>2</v>
      </c>
      <c r="D94" s="370" t="str">
        <f>VLOOKUP(Tabla10[[#This Row],[CÓDIGO DEL PRODUCTO Y/O SERVICIO ]],Tabla3[],2)</f>
        <v>Tierno Corazón</v>
      </c>
      <c r="E94" s="104"/>
      <c r="F94" s="509">
        <v>2</v>
      </c>
      <c r="G94" s="509"/>
      <c r="H94" s="509"/>
      <c r="I94" s="509"/>
      <c r="J94" s="509"/>
      <c r="K94" s="509"/>
      <c r="L94" s="509"/>
      <c r="M94" s="509"/>
      <c r="N94" s="509"/>
      <c r="O94" s="509"/>
    </row>
    <row r="95" spans="2:15" ht="15.75" x14ac:dyDescent="0.25">
      <c r="C95" s="362">
        <v>3</v>
      </c>
      <c r="D95" s="370" t="str">
        <f>VLOOKUP(Tabla10[[#This Row],[CÓDIGO DEL PRODUCTO Y/O SERVICIO ]],Tabla3[],2)</f>
        <v>Caja de Rosas</v>
      </c>
      <c r="E95" s="104"/>
      <c r="F95" s="509">
        <v>2</v>
      </c>
      <c r="G95" s="509"/>
      <c r="H95" s="509"/>
      <c r="I95" s="509"/>
      <c r="J95" s="509"/>
      <c r="K95" s="509"/>
      <c r="L95" s="509"/>
      <c r="M95" s="509"/>
      <c r="N95" s="509"/>
      <c r="O95" s="509"/>
    </row>
    <row r="96" spans="2:15" ht="15.75" x14ac:dyDescent="0.25">
      <c r="C96" s="362">
        <v>4</v>
      </c>
      <c r="D96" s="370" t="str">
        <f>VLOOKUP(Tabla10[[#This Row],[CÓDIGO DEL PRODUCTO Y/O SERVICIO ]],Tabla3[],2)</f>
        <v>Pureza Amor</v>
      </c>
      <c r="E96" s="361"/>
      <c r="F96" s="509">
        <v>2</v>
      </c>
      <c r="G96" s="509"/>
      <c r="H96" s="509"/>
      <c r="I96" s="509"/>
      <c r="J96" s="509"/>
      <c r="K96" s="509"/>
      <c r="L96" s="509"/>
      <c r="M96" s="509"/>
      <c r="N96" s="509"/>
      <c r="O96" s="509"/>
    </row>
    <row r="97" spans="3:210" x14ac:dyDescent="0.25">
      <c r="C97" s="330"/>
      <c r="D97" s="330"/>
    </row>
    <row r="98" spans="3:210" x14ac:dyDescent="0.25">
      <c r="C98" s="330"/>
      <c r="D98" s="330"/>
    </row>
    <row r="99" spans="3:210" x14ac:dyDescent="0.25">
      <c r="C99" s="330"/>
      <c r="D99" s="330"/>
    </row>
    <row r="100" spans="3:210" x14ac:dyDescent="0.25">
      <c r="C100" s="330"/>
      <c r="D100" s="330"/>
    </row>
    <row r="101" spans="3:210" x14ac:dyDescent="0.25">
      <c r="C101" s="330"/>
      <c r="D101" s="330"/>
    </row>
    <row r="102" spans="3:210" x14ac:dyDescent="0.25">
      <c r="C102" s="330"/>
      <c r="D102" s="330"/>
    </row>
    <row r="103" spans="3:210" x14ac:dyDescent="0.25">
      <c r="C103" s="330"/>
      <c r="D103" s="330"/>
    </row>
    <row r="104" spans="3:210" x14ac:dyDescent="0.25">
      <c r="C104" s="330"/>
      <c r="D104" s="330"/>
    </row>
    <row r="105" spans="3:210" x14ac:dyDescent="0.25">
      <c r="C105" s="330"/>
      <c r="D105" s="330"/>
    </row>
    <row r="106" spans="3:210" x14ac:dyDescent="0.25">
      <c r="C106" s="330"/>
      <c r="D106" s="330"/>
    </row>
    <row r="107" spans="3:210" ht="15.75" customHeight="1" x14ac:dyDescent="0.25"/>
    <row r="108" spans="3:210" ht="15.75" customHeight="1" thickBot="1" x14ac:dyDescent="0.3"/>
    <row r="109" spans="3:210" ht="16.5" thickBot="1" x14ac:dyDescent="0.3">
      <c r="F109" s="565" t="str">
        <f>B75</f>
        <v xml:space="preserve">Operario </v>
      </c>
      <c r="G109" s="566"/>
      <c r="H109" s="566"/>
      <c r="I109" s="566"/>
      <c r="J109" s="566"/>
      <c r="K109" s="566"/>
      <c r="L109" s="566"/>
      <c r="M109" s="566"/>
      <c r="N109" s="566"/>
      <c r="O109" s="566"/>
      <c r="P109" s="566"/>
      <c r="Q109" s="566"/>
      <c r="R109" s="566"/>
      <c r="S109" s="566"/>
      <c r="T109" s="566"/>
      <c r="U109" s="566"/>
      <c r="V109" s="566"/>
      <c r="W109" s="566"/>
      <c r="X109" s="566"/>
      <c r="Y109" s="567"/>
      <c r="Z109" s="561">
        <f>B76</f>
        <v>0</v>
      </c>
      <c r="AA109" s="562"/>
      <c r="AB109" s="562"/>
      <c r="AC109" s="562"/>
      <c r="AD109" s="562"/>
      <c r="AE109" s="562"/>
      <c r="AF109" s="562"/>
      <c r="AG109" s="562"/>
      <c r="AH109" s="562"/>
      <c r="AI109" s="562"/>
      <c r="AJ109" s="562"/>
      <c r="AK109" s="562"/>
      <c r="AL109" s="562"/>
      <c r="AM109" s="562"/>
      <c r="AN109" s="562"/>
      <c r="AO109" s="562"/>
      <c r="AP109" s="562"/>
      <c r="AQ109" s="562"/>
      <c r="AR109" s="562"/>
      <c r="AS109" s="573"/>
      <c r="AT109" s="565">
        <f>B77</f>
        <v>0</v>
      </c>
      <c r="AU109" s="566"/>
      <c r="AV109" s="566"/>
      <c r="AW109" s="566"/>
      <c r="AX109" s="566"/>
      <c r="AY109" s="566"/>
      <c r="AZ109" s="566"/>
      <c r="BA109" s="566"/>
      <c r="BB109" s="566"/>
      <c r="BC109" s="566"/>
      <c r="BD109" s="566"/>
      <c r="BE109" s="566"/>
      <c r="BF109" s="566"/>
      <c r="BG109" s="566"/>
      <c r="BH109" s="566"/>
      <c r="BI109" s="566"/>
      <c r="BJ109" s="566"/>
      <c r="BK109" s="566"/>
      <c r="BL109" s="566"/>
      <c r="BM109" s="567"/>
      <c r="BN109" s="616">
        <f>B78</f>
        <v>0</v>
      </c>
      <c r="BO109" s="617"/>
      <c r="BP109" s="617"/>
      <c r="BQ109" s="617"/>
      <c r="BR109" s="617"/>
      <c r="BS109" s="617"/>
      <c r="BT109" s="617"/>
      <c r="BU109" s="617"/>
      <c r="BV109" s="617"/>
      <c r="BW109" s="617"/>
      <c r="BX109" s="617"/>
      <c r="BY109" s="617"/>
      <c r="BZ109" s="617"/>
      <c r="CA109" s="617"/>
      <c r="CB109" s="617"/>
      <c r="CC109" s="617"/>
      <c r="CD109" s="617"/>
      <c r="CE109" s="617"/>
      <c r="CF109" s="617"/>
      <c r="CG109" s="618"/>
      <c r="CH109" s="581">
        <f>B79</f>
        <v>0</v>
      </c>
      <c r="CI109" s="582"/>
      <c r="CJ109" s="582"/>
      <c r="CK109" s="582"/>
      <c r="CL109" s="582"/>
      <c r="CM109" s="582"/>
      <c r="CN109" s="582"/>
      <c r="CO109" s="582"/>
      <c r="CP109" s="582"/>
      <c r="CQ109" s="582"/>
      <c r="CR109" s="582"/>
      <c r="CS109" s="582"/>
      <c r="CT109" s="582"/>
      <c r="CU109" s="582"/>
      <c r="CV109" s="582"/>
      <c r="CW109" s="582"/>
      <c r="CX109" s="582"/>
      <c r="CY109" s="582"/>
      <c r="CZ109" s="582"/>
      <c r="DA109" s="583"/>
      <c r="DB109" s="578">
        <f>B80</f>
        <v>0</v>
      </c>
      <c r="DC109" s="579"/>
      <c r="DD109" s="579"/>
      <c r="DE109" s="579"/>
      <c r="DF109" s="579"/>
      <c r="DG109" s="579"/>
      <c r="DH109" s="579"/>
      <c r="DI109" s="579"/>
      <c r="DJ109" s="579"/>
      <c r="DK109" s="579"/>
      <c r="DL109" s="579"/>
      <c r="DM109" s="579"/>
      <c r="DN109" s="579"/>
      <c r="DO109" s="579"/>
      <c r="DP109" s="579"/>
      <c r="DQ109" s="579"/>
      <c r="DR109" s="579"/>
      <c r="DS109" s="579"/>
      <c r="DT109" s="579"/>
      <c r="DU109" s="580"/>
      <c r="DV109" s="581">
        <f>B81</f>
        <v>0</v>
      </c>
      <c r="DW109" s="582"/>
      <c r="DX109" s="582"/>
      <c r="DY109" s="582"/>
      <c r="DZ109" s="582"/>
      <c r="EA109" s="582"/>
      <c r="EB109" s="582"/>
      <c r="EC109" s="582"/>
      <c r="ED109" s="582"/>
      <c r="EE109" s="582"/>
      <c r="EF109" s="582"/>
      <c r="EG109" s="582"/>
      <c r="EH109" s="582"/>
      <c r="EI109" s="582"/>
      <c r="EJ109" s="582"/>
      <c r="EK109" s="582"/>
      <c r="EL109" s="582"/>
      <c r="EM109" s="582"/>
      <c r="EN109" s="582"/>
      <c r="EO109" s="583"/>
      <c r="EP109" s="571">
        <f>B82</f>
        <v>0</v>
      </c>
      <c r="EQ109" s="572"/>
      <c r="ER109" s="572"/>
      <c r="ES109" s="572"/>
      <c r="ET109" s="572"/>
      <c r="EU109" s="572"/>
      <c r="EV109" s="572"/>
      <c r="EW109" s="572"/>
      <c r="EX109" s="572"/>
      <c r="EY109" s="572"/>
      <c r="EZ109" s="572"/>
      <c r="FA109" s="572"/>
      <c r="FB109" s="572"/>
      <c r="FC109" s="572"/>
      <c r="FD109" s="572"/>
      <c r="FE109" s="572"/>
      <c r="FF109" s="572"/>
      <c r="FG109" s="572"/>
      <c r="FH109" s="572"/>
      <c r="FI109" s="575"/>
      <c r="FJ109" s="565">
        <f>B83</f>
        <v>0</v>
      </c>
      <c r="FK109" s="566"/>
      <c r="FL109" s="566"/>
      <c r="FM109" s="566"/>
      <c r="FN109" s="566"/>
      <c r="FO109" s="566"/>
      <c r="FP109" s="566"/>
      <c r="FQ109" s="566"/>
      <c r="FR109" s="566"/>
      <c r="FS109" s="566"/>
      <c r="FT109" s="566"/>
      <c r="FU109" s="566"/>
      <c r="FV109" s="566"/>
      <c r="FW109" s="566"/>
      <c r="FX109" s="566"/>
      <c r="FY109" s="566"/>
      <c r="FZ109" s="566"/>
      <c r="GA109" s="566"/>
      <c r="GB109" s="566"/>
      <c r="GC109" s="567"/>
      <c r="GD109" s="571">
        <f>B84</f>
        <v>0</v>
      </c>
      <c r="GE109" s="572"/>
      <c r="GF109" s="572"/>
      <c r="GG109" s="572"/>
      <c r="GH109" s="572"/>
      <c r="GI109" s="572"/>
      <c r="GJ109" s="572"/>
      <c r="GK109" s="572"/>
      <c r="GL109" s="572"/>
      <c r="GM109" s="572"/>
      <c r="GN109" s="572"/>
      <c r="GO109" s="572"/>
      <c r="GP109" s="572"/>
      <c r="GQ109" s="572"/>
      <c r="GR109" s="572"/>
      <c r="GS109" s="572"/>
      <c r="GT109" s="572"/>
      <c r="GU109" s="572"/>
      <c r="GV109" s="572"/>
      <c r="GW109" s="572"/>
      <c r="GX109" s="557" t="s">
        <v>878</v>
      </c>
      <c r="GY109" s="557"/>
      <c r="GZ109" s="557"/>
      <c r="HA109" s="557"/>
      <c r="HB109" s="557"/>
    </row>
    <row r="110" spans="3:210" ht="15.75" x14ac:dyDescent="0.25">
      <c r="F110" s="371"/>
      <c r="G110" s="371"/>
      <c r="H110" s="371"/>
      <c r="I110" s="371"/>
      <c r="J110" s="371"/>
      <c r="K110" s="371"/>
      <c r="L110" s="371"/>
      <c r="M110" s="371"/>
      <c r="N110" s="371"/>
      <c r="O110" s="371"/>
      <c r="P110" s="574" t="s">
        <v>448</v>
      </c>
      <c r="Q110" s="574"/>
      <c r="R110" s="574"/>
      <c r="S110" s="574"/>
      <c r="T110" s="574"/>
      <c r="U110" s="574" t="s">
        <v>449</v>
      </c>
      <c r="V110" s="574"/>
      <c r="W110" s="574"/>
      <c r="X110" s="574"/>
      <c r="Y110" s="574"/>
      <c r="Z110" s="372"/>
      <c r="AA110" s="372"/>
      <c r="AB110" s="372"/>
      <c r="AC110" s="372"/>
      <c r="AD110" s="372"/>
      <c r="AE110" s="372"/>
      <c r="AF110" s="372"/>
      <c r="AG110" s="372"/>
      <c r="AH110" s="372"/>
      <c r="AI110" s="372"/>
      <c r="AJ110" s="559" t="s">
        <v>448</v>
      </c>
      <c r="AK110" s="559"/>
      <c r="AL110" s="559"/>
      <c r="AM110" s="559"/>
      <c r="AN110" s="559"/>
      <c r="AO110" s="559" t="s">
        <v>449</v>
      </c>
      <c r="AP110" s="559"/>
      <c r="AQ110" s="559"/>
      <c r="AR110" s="559"/>
      <c r="AS110" s="559"/>
      <c r="AT110" s="619"/>
      <c r="AU110" s="620"/>
      <c r="AV110" s="620"/>
      <c r="AW110" s="620"/>
      <c r="AX110" s="620"/>
      <c r="AY110" s="620"/>
      <c r="AZ110" s="620"/>
      <c r="BA110" s="620"/>
      <c r="BB110" s="620"/>
      <c r="BC110" s="621"/>
      <c r="BD110" s="563" t="s">
        <v>448</v>
      </c>
      <c r="BE110" s="563"/>
      <c r="BF110" s="563"/>
      <c r="BG110" s="563"/>
      <c r="BH110" s="563"/>
      <c r="BI110" s="563" t="s">
        <v>449</v>
      </c>
      <c r="BJ110" s="563"/>
      <c r="BK110" s="563"/>
      <c r="BL110" s="563"/>
      <c r="BM110" s="563"/>
      <c r="BN110" s="570"/>
      <c r="BO110" s="625"/>
      <c r="BP110" s="625"/>
      <c r="BQ110" s="625"/>
      <c r="BR110" s="625"/>
      <c r="BS110" s="625"/>
      <c r="BT110" s="625"/>
      <c r="BU110" s="625"/>
      <c r="BV110" s="625"/>
      <c r="BW110" s="626"/>
      <c r="BX110" s="568" t="s">
        <v>448</v>
      </c>
      <c r="BY110" s="569"/>
      <c r="BZ110" s="569"/>
      <c r="CA110" s="569"/>
      <c r="CB110" s="569"/>
      <c r="CC110" s="576" t="s">
        <v>632</v>
      </c>
      <c r="CD110" s="577"/>
      <c r="CE110" s="577"/>
      <c r="CF110" s="577"/>
      <c r="CG110" s="577"/>
      <c r="CH110" s="564"/>
      <c r="CI110" s="564"/>
      <c r="CJ110" s="564"/>
      <c r="CK110" s="564"/>
      <c r="CL110" s="564"/>
      <c r="CM110" s="564"/>
      <c r="CN110" s="564"/>
      <c r="CO110" s="564"/>
      <c r="CP110" s="564"/>
      <c r="CQ110" s="564"/>
      <c r="CR110" s="622" t="s">
        <v>566</v>
      </c>
      <c r="CS110" s="623"/>
      <c r="CT110" s="623"/>
      <c r="CU110" s="623"/>
      <c r="CV110" s="624"/>
      <c r="CW110" s="563" t="s">
        <v>632</v>
      </c>
      <c r="CX110" s="564"/>
      <c r="CY110" s="564"/>
      <c r="CZ110" s="564"/>
      <c r="DA110" s="564"/>
      <c r="DB110" s="577"/>
      <c r="DC110" s="577"/>
      <c r="DD110" s="577"/>
      <c r="DE110" s="577"/>
      <c r="DF110" s="577"/>
      <c r="DG110" s="577"/>
      <c r="DH110" s="577"/>
      <c r="DI110" s="577"/>
      <c r="DJ110" s="577"/>
      <c r="DK110" s="577"/>
      <c r="DL110" s="576" t="s">
        <v>566</v>
      </c>
      <c r="DM110" s="577"/>
      <c r="DN110" s="577"/>
      <c r="DO110" s="577"/>
      <c r="DP110" s="577"/>
      <c r="DQ110" s="576" t="s">
        <v>449</v>
      </c>
      <c r="DR110" s="577"/>
      <c r="DS110" s="577"/>
      <c r="DT110" s="577"/>
      <c r="DU110" s="577"/>
      <c r="DV110" s="564"/>
      <c r="DW110" s="564"/>
      <c r="DX110" s="564"/>
      <c r="DY110" s="564"/>
      <c r="DZ110" s="564"/>
      <c r="EA110" s="564"/>
      <c r="EB110" s="564"/>
      <c r="EC110" s="564"/>
      <c r="ED110" s="564"/>
      <c r="EE110" s="564"/>
      <c r="EF110" s="564"/>
      <c r="EG110" s="563" t="s">
        <v>566</v>
      </c>
      <c r="EH110" s="564"/>
      <c r="EI110" s="564"/>
      <c r="EJ110" s="564"/>
      <c r="EK110" s="563" t="s">
        <v>632</v>
      </c>
      <c r="EL110" s="564"/>
      <c r="EM110" s="564"/>
      <c r="EN110" s="564"/>
      <c r="EO110" s="564"/>
      <c r="EP110" s="569"/>
      <c r="EQ110" s="569"/>
      <c r="ER110" s="569"/>
      <c r="ES110" s="569"/>
      <c r="ET110" s="569"/>
      <c r="EU110" s="569"/>
      <c r="EV110" s="569"/>
      <c r="EW110" s="569"/>
      <c r="EX110" s="569"/>
      <c r="EY110" s="569"/>
      <c r="EZ110" s="568" t="s">
        <v>566</v>
      </c>
      <c r="FA110" s="569"/>
      <c r="FB110" s="569"/>
      <c r="FC110" s="569"/>
      <c r="FD110" s="569"/>
      <c r="FE110" s="568" t="s">
        <v>449</v>
      </c>
      <c r="FF110" s="569"/>
      <c r="FG110" s="569"/>
      <c r="FH110" s="569"/>
      <c r="FI110" s="569"/>
      <c r="FJ110" s="564"/>
      <c r="FK110" s="564"/>
      <c r="FL110" s="564"/>
      <c r="FM110" s="564"/>
      <c r="FN110" s="564"/>
      <c r="FO110" s="564"/>
      <c r="FP110" s="564"/>
      <c r="FQ110" s="564"/>
      <c r="FR110" s="564"/>
      <c r="FS110" s="564"/>
      <c r="FT110" s="563" t="s">
        <v>566</v>
      </c>
      <c r="FU110" s="564"/>
      <c r="FV110" s="564"/>
      <c r="FW110" s="564"/>
      <c r="FX110" s="564"/>
      <c r="FY110" s="563" t="s">
        <v>632</v>
      </c>
      <c r="FZ110" s="564"/>
      <c r="GA110" s="564"/>
      <c r="GB110" s="564"/>
      <c r="GC110" s="564"/>
      <c r="GD110" s="569"/>
      <c r="GE110" s="569"/>
      <c r="GF110" s="569"/>
      <c r="GG110" s="569"/>
      <c r="GH110" s="569"/>
      <c r="GI110" s="569"/>
      <c r="GJ110" s="569"/>
      <c r="GK110" s="569"/>
      <c r="GL110" s="569"/>
      <c r="GM110" s="569"/>
      <c r="GN110" s="568" t="s">
        <v>566</v>
      </c>
      <c r="GO110" s="569"/>
      <c r="GP110" s="569"/>
      <c r="GQ110" s="569"/>
      <c r="GR110" s="569"/>
      <c r="GS110" s="568" t="s">
        <v>632</v>
      </c>
      <c r="GT110" s="569"/>
      <c r="GU110" s="569"/>
      <c r="GV110" s="569"/>
      <c r="GW110" s="570"/>
      <c r="GX110" s="557"/>
      <c r="GY110" s="557"/>
      <c r="GZ110" s="557"/>
      <c r="HA110" s="557"/>
      <c r="HB110" s="557"/>
    </row>
    <row r="111" spans="3:210" ht="45" customHeight="1" x14ac:dyDescent="0.25">
      <c r="C111" s="368" t="s">
        <v>442</v>
      </c>
      <c r="D111" s="368" t="s">
        <v>443</v>
      </c>
      <c r="E111" s="52" t="s">
        <v>447</v>
      </c>
      <c r="F111" s="373" t="s">
        <v>658</v>
      </c>
      <c r="G111" s="373" t="s">
        <v>659</v>
      </c>
      <c r="H111" s="373" t="s">
        <v>660</v>
      </c>
      <c r="I111" s="373" t="s">
        <v>661</v>
      </c>
      <c r="J111" s="373" t="s">
        <v>662</v>
      </c>
      <c r="K111" s="373" t="s">
        <v>663</v>
      </c>
      <c r="L111" s="373" t="s">
        <v>664</v>
      </c>
      <c r="M111" s="373" t="s">
        <v>665</v>
      </c>
      <c r="N111" s="373" t="s">
        <v>666</v>
      </c>
      <c r="O111" s="373" t="s">
        <v>667</v>
      </c>
      <c r="P111" s="373" t="s">
        <v>454</v>
      </c>
      <c r="Q111" s="373" t="s">
        <v>668</v>
      </c>
      <c r="R111" s="373" t="s">
        <v>669</v>
      </c>
      <c r="S111" s="373" t="s">
        <v>670</v>
      </c>
      <c r="T111" s="373" t="s">
        <v>671</v>
      </c>
      <c r="U111" s="373" t="s">
        <v>672</v>
      </c>
      <c r="V111" s="373" t="s">
        <v>673</v>
      </c>
      <c r="W111" s="373" t="s">
        <v>674</v>
      </c>
      <c r="X111" s="373" t="s">
        <v>675</v>
      </c>
      <c r="Y111" s="373" t="s">
        <v>676</v>
      </c>
      <c r="Z111" s="374" t="s">
        <v>462</v>
      </c>
      <c r="AA111" s="374" t="s">
        <v>678</v>
      </c>
      <c r="AB111" s="374" t="s">
        <v>679</v>
      </c>
      <c r="AC111" s="374" t="s">
        <v>680</v>
      </c>
      <c r="AD111" s="374" t="s">
        <v>681</v>
      </c>
      <c r="AE111" s="374" t="s">
        <v>682</v>
      </c>
      <c r="AF111" s="374" t="s">
        <v>683</v>
      </c>
      <c r="AG111" s="374" t="s">
        <v>684</v>
      </c>
      <c r="AH111" s="374" t="s">
        <v>685</v>
      </c>
      <c r="AI111" s="374" t="s">
        <v>686</v>
      </c>
      <c r="AJ111" s="374" t="s">
        <v>677</v>
      </c>
      <c r="AK111" s="374" t="s">
        <v>687</v>
      </c>
      <c r="AL111" s="374" t="s">
        <v>688</v>
      </c>
      <c r="AM111" s="374" t="s">
        <v>689</v>
      </c>
      <c r="AN111" s="374" t="s">
        <v>690</v>
      </c>
      <c r="AO111" s="374" t="s">
        <v>692</v>
      </c>
      <c r="AP111" s="374" t="s">
        <v>691</v>
      </c>
      <c r="AQ111" s="374" t="s">
        <v>468</v>
      </c>
      <c r="AR111" s="374" t="s">
        <v>469</v>
      </c>
      <c r="AS111" s="374" t="s">
        <v>470</v>
      </c>
      <c r="AT111" s="373" t="s">
        <v>471</v>
      </c>
      <c r="AU111" s="373" t="s">
        <v>693</v>
      </c>
      <c r="AV111" s="373" t="s">
        <v>694</v>
      </c>
      <c r="AW111" s="373" t="s">
        <v>695</v>
      </c>
      <c r="AX111" s="373" t="s">
        <v>696</v>
      </c>
      <c r="AY111" s="373" t="s">
        <v>697</v>
      </c>
      <c r="AZ111" s="373" t="s">
        <v>476</v>
      </c>
      <c r="BA111" s="373" t="s">
        <v>698</v>
      </c>
      <c r="BB111" s="373" t="s">
        <v>699</v>
      </c>
      <c r="BC111" s="373" t="s">
        <v>700</v>
      </c>
      <c r="BD111" s="373" t="s">
        <v>726</v>
      </c>
      <c r="BE111" s="373" t="s">
        <v>701</v>
      </c>
      <c r="BF111" s="373" t="s">
        <v>702</v>
      </c>
      <c r="BG111" s="373" t="s">
        <v>703</v>
      </c>
      <c r="BH111" s="373" t="s">
        <v>727</v>
      </c>
      <c r="BI111" s="373" t="s">
        <v>704</v>
      </c>
      <c r="BJ111" s="373" t="s">
        <v>705</v>
      </c>
      <c r="BK111" s="373" t="s">
        <v>706</v>
      </c>
      <c r="BL111" s="373" t="s">
        <v>707</v>
      </c>
      <c r="BM111" s="373" t="s">
        <v>481</v>
      </c>
      <c r="BN111" s="374" t="s">
        <v>482</v>
      </c>
      <c r="BO111" s="374" t="s">
        <v>708</v>
      </c>
      <c r="BP111" s="374" t="s">
        <v>483</v>
      </c>
      <c r="BQ111" s="374" t="s">
        <v>484</v>
      </c>
      <c r="BR111" s="374" t="s">
        <v>485</v>
      </c>
      <c r="BS111" s="374" t="s">
        <v>709</v>
      </c>
      <c r="BT111" s="374" t="s">
        <v>710</v>
      </c>
      <c r="BU111" s="374" t="s">
        <v>487</v>
      </c>
      <c r="BV111" s="374" t="s">
        <v>488</v>
      </c>
      <c r="BW111" s="374" t="s">
        <v>711</v>
      </c>
      <c r="BX111" s="374" t="s">
        <v>728</v>
      </c>
      <c r="BY111" s="374" t="s">
        <v>490</v>
      </c>
      <c r="BZ111" s="374" t="s">
        <v>712</v>
      </c>
      <c r="CA111" s="374" t="s">
        <v>491</v>
      </c>
      <c r="CB111" s="374" t="s">
        <v>713</v>
      </c>
      <c r="CC111" s="374" t="s">
        <v>492</v>
      </c>
      <c r="CD111" s="374" t="s">
        <v>493</v>
      </c>
      <c r="CE111" s="374" t="s">
        <v>494</v>
      </c>
      <c r="CF111" s="374" t="s">
        <v>714</v>
      </c>
      <c r="CG111" s="374" t="s">
        <v>495</v>
      </c>
      <c r="CH111" s="373" t="s">
        <v>715</v>
      </c>
      <c r="CI111" s="373" t="s">
        <v>498</v>
      </c>
      <c r="CJ111" s="373" t="s">
        <v>499</v>
      </c>
      <c r="CK111" s="373" t="s">
        <v>500</v>
      </c>
      <c r="CL111" s="373" t="s">
        <v>716</v>
      </c>
      <c r="CM111" s="373" t="s">
        <v>717</v>
      </c>
      <c r="CN111" s="373" t="s">
        <v>718</v>
      </c>
      <c r="CO111" s="373" t="s">
        <v>719</v>
      </c>
      <c r="CP111" s="373" t="s">
        <v>503</v>
      </c>
      <c r="CQ111" s="373" t="s">
        <v>504</v>
      </c>
      <c r="CR111" s="373" t="s">
        <v>729</v>
      </c>
      <c r="CS111" s="373" t="s">
        <v>720</v>
      </c>
      <c r="CT111" s="373" t="s">
        <v>721</v>
      </c>
      <c r="CU111" s="373" t="s">
        <v>722</v>
      </c>
      <c r="CV111" s="373" t="s">
        <v>723</v>
      </c>
      <c r="CW111" s="373" t="s">
        <v>509</v>
      </c>
      <c r="CX111" s="373" t="s">
        <v>505</v>
      </c>
      <c r="CY111" s="373" t="s">
        <v>724</v>
      </c>
      <c r="CZ111" s="373" t="s">
        <v>510</v>
      </c>
      <c r="DA111" s="373" t="s">
        <v>725</v>
      </c>
      <c r="DB111" s="374" t="s">
        <v>730</v>
      </c>
      <c r="DC111" s="374" t="s">
        <v>514</v>
      </c>
      <c r="DD111" s="374" t="s">
        <v>515</v>
      </c>
      <c r="DE111" s="374" t="s">
        <v>731</v>
      </c>
      <c r="DF111" s="374" t="s">
        <v>732</v>
      </c>
      <c r="DG111" s="374" t="s">
        <v>733</v>
      </c>
      <c r="DH111" s="374" t="s">
        <v>517</v>
      </c>
      <c r="DI111" s="374" t="s">
        <v>518</v>
      </c>
      <c r="DJ111" s="374" t="s">
        <v>519</v>
      </c>
      <c r="DK111" s="374" t="s">
        <v>520</v>
      </c>
      <c r="DL111" s="374" t="s">
        <v>766</v>
      </c>
      <c r="DM111" s="374" t="s">
        <v>734</v>
      </c>
      <c r="DN111" s="374" t="s">
        <v>522</v>
      </c>
      <c r="DO111" s="374" t="s">
        <v>735</v>
      </c>
      <c r="DP111" s="374" t="s">
        <v>523</v>
      </c>
      <c r="DQ111" s="374" t="s">
        <v>524</v>
      </c>
      <c r="DR111" s="374" t="s">
        <v>525</v>
      </c>
      <c r="DS111" s="374" t="s">
        <v>526</v>
      </c>
      <c r="DT111" s="374" t="s">
        <v>527</v>
      </c>
      <c r="DU111" s="374" t="s">
        <v>528</v>
      </c>
      <c r="DV111" s="373" t="s">
        <v>530</v>
      </c>
      <c r="DW111" s="373" t="s">
        <v>736</v>
      </c>
      <c r="DX111" s="373" t="s">
        <v>532</v>
      </c>
      <c r="DY111" s="373" t="s">
        <v>533</v>
      </c>
      <c r="DZ111" s="373" t="s">
        <v>737</v>
      </c>
      <c r="EA111" s="373" t="s">
        <v>738</v>
      </c>
      <c r="EB111" s="373" t="s">
        <v>535</v>
      </c>
      <c r="EC111" s="373" t="s">
        <v>536</v>
      </c>
      <c r="ED111" s="373" t="s">
        <v>537</v>
      </c>
      <c r="EE111" s="373" t="s">
        <v>538</v>
      </c>
      <c r="EF111" s="373" t="s">
        <v>767</v>
      </c>
      <c r="EG111" s="373" t="s">
        <v>539</v>
      </c>
      <c r="EH111" s="373" t="s">
        <v>540</v>
      </c>
      <c r="EI111" s="373" t="s">
        <v>541</v>
      </c>
      <c r="EJ111" s="373" t="s">
        <v>542</v>
      </c>
      <c r="EK111" s="373" t="s">
        <v>543</v>
      </c>
      <c r="EL111" s="373" t="s">
        <v>739</v>
      </c>
      <c r="EM111" s="373" t="s">
        <v>545</v>
      </c>
      <c r="EN111" s="373" t="s">
        <v>740</v>
      </c>
      <c r="EO111" s="373" t="s">
        <v>741</v>
      </c>
      <c r="EP111" s="374" t="s">
        <v>548</v>
      </c>
      <c r="EQ111" s="374" t="s">
        <v>549</v>
      </c>
      <c r="ER111" s="374" t="s">
        <v>742</v>
      </c>
      <c r="ES111" s="374" t="s">
        <v>551</v>
      </c>
      <c r="ET111" s="374" t="s">
        <v>552</v>
      </c>
      <c r="EU111" s="374" t="s">
        <v>553</v>
      </c>
      <c r="EV111" s="374" t="s">
        <v>554</v>
      </c>
      <c r="EW111" s="374" t="s">
        <v>555</v>
      </c>
      <c r="EX111" s="374" t="s">
        <v>556</v>
      </c>
      <c r="EY111" s="374" t="s">
        <v>743</v>
      </c>
      <c r="EZ111" s="374" t="s">
        <v>768</v>
      </c>
      <c r="FA111" s="374" t="s">
        <v>557</v>
      </c>
      <c r="FB111" s="374" t="s">
        <v>558</v>
      </c>
      <c r="FC111" s="374" t="s">
        <v>559</v>
      </c>
      <c r="FD111" s="374" t="s">
        <v>744</v>
      </c>
      <c r="FE111" s="374" t="s">
        <v>745</v>
      </c>
      <c r="FF111" s="374" t="s">
        <v>561</v>
      </c>
      <c r="FG111" s="374" t="s">
        <v>562</v>
      </c>
      <c r="FH111" s="374" t="s">
        <v>563</v>
      </c>
      <c r="FI111" s="374" t="s">
        <v>564</v>
      </c>
      <c r="FJ111" s="373" t="s">
        <v>746</v>
      </c>
      <c r="FK111" s="373" t="s">
        <v>568</v>
      </c>
      <c r="FL111" s="373" t="s">
        <v>569</v>
      </c>
      <c r="FM111" s="373" t="s">
        <v>747</v>
      </c>
      <c r="FN111" s="373" t="s">
        <v>570</v>
      </c>
      <c r="FO111" s="373" t="s">
        <v>571</v>
      </c>
      <c r="FP111" s="373" t="s">
        <v>748</v>
      </c>
      <c r="FQ111" s="373" t="s">
        <v>749</v>
      </c>
      <c r="FR111" s="373" t="s">
        <v>573</v>
      </c>
      <c r="FS111" s="373" t="s">
        <v>574</v>
      </c>
      <c r="FT111" s="373" t="s">
        <v>769</v>
      </c>
      <c r="FU111" s="373" t="s">
        <v>575</v>
      </c>
      <c r="FV111" s="373" t="s">
        <v>576</v>
      </c>
      <c r="FW111" s="373" t="s">
        <v>577</v>
      </c>
      <c r="FX111" s="373" t="s">
        <v>578</v>
      </c>
      <c r="FY111" s="373" t="s">
        <v>579</v>
      </c>
      <c r="FZ111" s="373" t="s">
        <v>750</v>
      </c>
      <c r="GA111" s="373" t="s">
        <v>580</v>
      </c>
      <c r="GB111" s="373" t="s">
        <v>751</v>
      </c>
      <c r="GC111" s="373" t="s">
        <v>752</v>
      </c>
      <c r="GD111" s="374" t="s">
        <v>582</v>
      </c>
      <c r="GE111" s="374" t="s">
        <v>583</v>
      </c>
      <c r="GF111" s="374" t="s">
        <v>753</v>
      </c>
      <c r="GG111" s="374" t="s">
        <v>585</v>
      </c>
      <c r="GH111" s="374" t="s">
        <v>586</v>
      </c>
      <c r="GI111" s="374" t="s">
        <v>754</v>
      </c>
      <c r="GJ111" s="374" t="s">
        <v>755</v>
      </c>
      <c r="GK111" s="374" t="s">
        <v>756</v>
      </c>
      <c r="GL111" s="374" t="s">
        <v>589</v>
      </c>
      <c r="GM111" s="374" t="s">
        <v>757</v>
      </c>
      <c r="GN111" s="374" t="s">
        <v>770</v>
      </c>
      <c r="GO111" s="374" t="s">
        <v>758</v>
      </c>
      <c r="GP111" s="374" t="s">
        <v>759</v>
      </c>
      <c r="GQ111" s="374" t="s">
        <v>590</v>
      </c>
      <c r="GR111" s="374" t="s">
        <v>760</v>
      </c>
      <c r="GS111" s="374" t="s">
        <v>761</v>
      </c>
      <c r="GT111" s="374" t="s">
        <v>762</v>
      </c>
      <c r="GU111" s="374" t="s">
        <v>763</v>
      </c>
      <c r="GV111" s="374" t="s">
        <v>764</v>
      </c>
      <c r="GW111" s="384" t="s">
        <v>765</v>
      </c>
      <c r="GX111" s="423" t="s">
        <v>884</v>
      </c>
      <c r="GY111" s="423" t="s">
        <v>885</v>
      </c>
      <c r="GZ111" s="423" t="s">
        <v>886</v>
      </c>
      <c r="HA111" s="422" t="s">
        <v>888</v>
      </c>
      <c r="HB111" s="423" t="s">
        <v>887</v>
      </c>
    </row>
    <row r="112" spans="3:210" ht="15.75" x14ac:dyDescent="0.25">
      <c r="C112" s="439">
        <v>0</v>
      </c>
      <c r="D112" s="375" t="str">
        <f>VLOOKUP(Tabla16[[#This Row],[CÓDIGO DEL PRODUCTO Y/O SERVICIO ]],Tabla3[],2)</f>
        <v xml:space="preserve">Seleccionar producto o servicio </v>
      </c>
      <c r="E112" s="72"/>
      <c r="F112" s="72">
        <f>VLOOKUP(Tabla16[[#This Row],[CÓDIGO DEL PRODUCTO Y/O SERVICIO ]],Tabla3[],3)</f>
        <v>0</v>
      </c>
      <c r="G112" s="72">
        <f>Tabla16[[#This Row],[UNIDADES PRODUCIDAS AÑO 1 1]]*F92</f>
        <v>0</v>
      </c>
      <c r="H112" s="112">
        <f>VLOOKUP(Tabla16[[#This Row],[CÓDIGO DEL PRODUCTO Y/O SERVICIO ]],Tabla3[],9)</f>
        <v>0</v>
      </c>
      <c r="I112" s="72">
        <f>Tabla16[[#This Row],[CANTIDADES A UTILIZAR EN EL AÑO 1 1]]*(1+Tabla16[[#This Row],[CAMBIO PORCENTUAL EN UNIDADES VENDIDAS AÑO 2 1]])</f>
        <v>0</v>
      </c>
      <c r="J112" s="112">
        <f>VLOOKUP(Tabla16[[#This Row],[CÓDIGO DEL PRODUCTO Y/O SERVICIO ]],Tabla3[],13)</f>
        <v>0</v>
      </c>
      <c r="K112" s="72">
        <f>Tabla16[[#This Row],[CANTIDADES  A UTILIZAR EN EL AÑO 2 1]]*(1+Tabla16[[#This Row],[CAMBIO PORCENTUAL EN UNIDADES VENDIDAS AÑO 3 1]])</f>
        <v>0</v>
      </c>
      <c r="L112" s="112">
        <f>VLOOKUP(Tabla16[[#This Row],[CÓDIGO DEL PRODUCTO Y/O SERVICIO ]],Tabla3[],17)</f>
        <v>0</v>
      </c>
      <c r="M112" s="72">
        <f>Tabla16[[#This Row],[CANTIDADES A UTILIZAR EN EL AÑO 3 1]]*(1+Tabla16[[#This Row],[CAMBIO PORCENTUAL EN UNIDADES VENDIDAS AÑO 4 1]])</f>
        <v>0</v>
      </c>
      <c r="N112" s="112">
        <f>VLOOKUP(Tabla16[[#This Row],[CÓDIGO DEL PRODUCTO Y/O SERVICIO ]],Tabla3[],21)</f>
        <v>0</v>
      </c>
      <c r="O112" s="72">
        <f>Tabla16[[#This Row],[CANTIDADES A UTILIZAR EN EL AÑO 4 1 ]]*(1+Tabla16[[#This Row],[CAMBIO PORCENTUAL EN UNIDADES VENDIDAS AÑO 5 1]])</f>
        <v>0</v>
      </c>
      <c r="P112" s="344">
        <f>IF(Tabla16[[#This Row],[CANTIDADES A UTILIZAR EN EL AÑO 1 1]]=0,0,Tabla16[[#This Row],[CANTIDADES A UTILIZAR EN EL AÑO 1 1]]*1/Tabla16[[#This Row],[UNIDADES PRODUCIDAS AÑO 1 1]])</f>
        <v>0</v>
      </c>
      <c r="Q112" s="344">
        <f>$C$75*(1+BASES!$E$10)</f>
        <v>4276.3648000000003</v>
      </c>
      <c r="R112" s="344">
        <f>Tabla16[[#This Row],[COSTO UNITARIO AÑO 2 1]]*(1+BASES!$F$10)</f>
        <v>4324.2600857600009</v>
      </c>
      <c r="S112" s="344">
        <f>Tabla16[[#This Row],[COSTO UNITARIO AÑO 3 1]]*(1+BASES!$G$10)</f>
        <v>4372.6917987205134</v>
      </c>
      <c r="T112" s="344">
        <f>Tabla16[[#This Row],[COSTO UNITARIO AÑO 4 1]]*(1+BASES!$H$10)</f>
        <v>4421.6659468661837</v>
      </c>
      <c r="U112" s="344">
        <f>Tabla16[[#This Row],[COSTO POR UNIDAD DE PRODUCTO (1)]]*$C$75*VLOOKUP(Tabla16[[#This Row],[CÓDIGO DEL PRODUCTO Y/O SERVICIO ]],Tabla3[],3)</f>
        <v>0</v>
      </c>
      <c r="V112" s="344">
        <f>Tabla16[[#This Row],[COSTO POR UNIDAD DE PRODUCTO (1)]]*Tabla16[[#This Row],[COSTO UNITARIO AÑO 2 1]]*VLOOKUP(Tabla16[[#This Row],[CÓDIGO DEL PRODUCTO Y/O SERVICIO ]],Tabla3[],6)</f>
        <v>0</v>
      </c>
      <c r="W112" s="344">
        <f>Tabla16[[#This Row],[COSTO POR UNIDAD DE PRODUCTO (1)]]*Tabla16[[#This Row],[COSTO UNITARIO AÑO 3 1]]*VLOOKUP(Tabla16[[#This Row],[CÓDIGO DEL PRODUCTO Y/O SERVICIO ]],Tabla3[],10)</f>
        <v>0</v>
      </c>
      <c r="X112" s="344">
        <f>Tabla16[[#This Row],[COSTO POR UNIDAD DE PRODUCTO (1)]]*Tabla16[[#This Row],[COSTO UNITARIO AÑO 4 1]]*VLOOKUP(Tabla16[[#This Row],[CÓDIGO DEL PRODUCTO Y/O SERVICIO ]],Tabla3[],14)</f>
        <v>0</v>
      </c>
      <c r="Y112" s="344">
        <f>Tabla16[[#This Row],[COSTO POR UNIDAD DE PRODUCTO (1)]]*Tabla16[[#This Row],[COSTO UNITARIO AÑO 5 1]]*VLOOKUP(Tabla16[[#This Row],[CÓDIGO DEL PRODUCTO Y/O SERVICIO ]],Tabla3[],18)</f>
        <v>0</v>
      </c>
      <c r="Z112" s="114">
        <f>VLOOKUP(Tabla16[[#This Row],[CÓDIGO DEL PRODUCTO Y/O SERVICIO ]],Tabla3[],3)</f>
        <v>0</v>
      </c>
      <c r="AA112" s="114">
        <f>Tabla16[[#This Row],[UNIDADES PRODUCIDAS AÑO 1 2]]*G92</f>
        <v>0</v>
      </c>
      <c r="AB112" s="112">
        <f>VLOOKUP(Tabla16[[#This Row],[CÓDIGO DEL PRODUCTO Y/O SERVICIO ]],Tabla3[],9)</f>
        <v>0</v>
      </c>
      <c r="AC112" s="114">
        <f>Tabla16[[#This Row],[CANTIDADES A UTILIZAR EN EL AÑO 1 2]]*(1+Tabla16[[#This Row],[CAMBIO PORCENTUAL EN UNIDADES VENDIDAS AÑO 2 2]])</f>
        <v>0</v>
      </c>
      <c r="AD112" s="112">
        <f>VLOOKUP(Tabla16[[#This Row],[CÓDIGO DEL PRODUCTO Y/O SERVICIO ]],Tabla3[],13)</f>
        <v>0</v>
      </c>
      <c r="AE112" s="114">
        <f>Tabla16[[#This Row],[CANTIDADES A UTILIZAR EN EL AÑO 2 2]]*(1+Tabla16[[#This Row],[CAMBIO PORCENTUAL EN UNIDADES VENDIDAS AÑO 3 2 ]])</f>
        <v>0</v>
      </c>
      <c r="AF112" s="112">
        <f>VLOOKUP(Tabla16[[#This Row],[CÓDIGO DEL PRODUCTO Y/O SERVICIO ]],Tabla3[],17)</f>
        <v>0</v>
      </c>
      <c r="AG112" s="114">
        <f>Tabla16[[#This Row],[CANTIDADES A UTILIZAR EN EL AÑO 3 2]]*(1+Tabla16[[#This Row],[CAMBIO PORCENTUAL EN UNIDADES VENDIDAS AÑO 4 2]])</f>
        <v>0</v>
      </c>
      <c r="AH112" s="112">
        <f>VLOOKUP(Tabla16[[#This Row],[CÓDIGO DEL PRODUCTO Y/O SERVICIO ]],Tabla3[],21)</f>
        <v>0</v>
      </c>
      <c r="AI112" s="114">
        <f>Tabla16[[#This Row],[CANTIDADES A UTILIZAR EN EL AÑO 4 2]]*(1+Tabla16[[#This Row],[CAMBIO PORCENTUAL EN UNIDADES VENDIDAS AÑO 5 2]])</f>
        <v>0</v>
      </c>
      <c r="AJ112" s="344">
        <f>IF(Tabla16[[#This Row],[CANTIDADES A UTILIZAR EN EL AÑO 1 2]]=0,0,Tabla16[[#This Row],[CANTIDADES A UTILIZAR EN EL AÑO 1 2]]*1/Tabla16[[#This Row],[UNIDADES PRODUCIDAS AÑO 1 2]])</f>
        <v>0</v>
      </c>
      <c r="AK112" s="344">
        <f>$C$76*(1+BASES!$E$10)</f>
        <v>0</v>
      </c>
      <c r="AL112" s="344">
        <f>Tabla16[[#This Row],[COSTO UNITARIO AÑO 2 2]]*(1+BASES!$F$10)</f>
        <v>0</v>
      </c>
      <c r="AM112" s="344">
        <f>Tabla16[[#This Row],[COSTO UNITARIO AÑO 3 2]]*(1+BASES!$G$10)</f>
        <v>0</v>
      </c>
      <c r="AN112" s="344">
        <f>Tabla16[[#This Row],[COSTO UNITARIO AÑO 4 2]]*(1+BASES!$H$10)</f>
        <v>0</v>
      </c>
      <c r="AO112" s="344">
        <f>Tabla16[[#This Row],[COSTO POR UNIDAD DE PRODUCTO (2) ]]*$C$76*VLOOKUP(Tabla16[[#This Row],[CÓDIGO DEL PRODUCTO Y/O SERVICIO ]],Tabla3[],3)</f>
        <v>0</v>
      </c>
      <c r="AP112" s="344">
        <f>Tabla16[[#This Row],[COSTO POR UNIDAD DE PRODUCTO (2) ]]*Tabla16[[#This Row],[COSTO UNITARIO AÑO 2 2]]*VLOOKUP(Tabla16[[#This Row],[CÓDIGO DEL PRODUCTO Y/O SERVICIO ]],Tabla3[],6)</f>
        <v>0</v>
      </c>
      <c r="AQ112" s="344">
        <f>Tabla16[[#This Row],[COSTO POR UNIDAD DE PRODUCTO (2) ]]*Tabla16[[#This Row],[COSTO UNITARIO AÑO 3 2]]*VLOOKUP(Tabla16[[#This Row],[CÓDIGO DEL PRODUCTO Y/O SERVICIO ]],Tabla3[],10)</f>
        <v>0</v>
      </c>
      <c r="AR112" s="344">
        <f>Tabla16[[#This Row],[COSTO POR UNIDAD DE PRODUCTO (2) ]]*Tabla16[[#This Row],[COSTO UNITARIO AÑO 4 2]]*VLOOKUP(Tabla16[[#This Row],[CÓDIGO DEL PRODUCTO Y/O SERVICIO ]],Tabla3[],14)</f>
        <v>0</v>
      </c>
      <c r="AS112" s="344">
        <f>Tabla16[[#This Row],[COSTO POR UNIDAD DE PRODUCTO (2) ]]*Tabla16[[#This Row],[COSTO UNITARIO AÑO 5 2 ]]*VLOOKUP(Tabla16[[#This Row],[CÓDIGO DEL PRODUCTO Y/O SERVICIO ]],Tabla3[],18)</f>
        <v>0</v>
      </c>
      <c r="AT112" s="114">
        <f>VLOOKUP(Tabla16[[#This Row],[CÓDIGO DEL PRODUCTO Y/O SERVICIO ]],Tabla3[],3)</f>
        <v>0</v>
      </c>
      <c r="AU112" s="114">
        <f>Tabla16[[#This Row],[UNIDADES PRODUCIDAS AÑO 1 3]]*H92</f>
        <v>0</v>
      </c>
      <c r="AV112" s="112">
        <f>VLOOKUP(Tabla16[[#This Row],[CÓDIGO DEL PRODUCTO Y/O SERVICIO ]],Tabla3[],9)</f>
        <v>0</v>
      </c>
      <c r="AW112" s="114">
        <f>Tabla16[[#This Row],[CANTIDADES A UTILIZAR EN EL AÑO 1 3]]*(1+Tabla16[[#This Row],[CAMBIO PORCENTUAL EN UNIDADES VENDIDAS AÑO 2 3]])</f>
        <v>0</v>
      </c>
      <c r="AX112" s="112">
        <f>VLOOKUP(Tabla16[[#This Row],[CÓDIGO DEL PRODUCTO Y/O SERVICIO ]],Tabla3[],13)</f>
        <v>0</v>
      </c>
      <c r="AY112" s="114">
        <f>Tabla16[[#This Row],[CANTIDADES A UTILIZAR EN EL AÑO 2 3]]*(1+Tabla16[[#This Row],[CAMBIO PORCENTUAL EN UNIDADES VENDIDAS AÑO 3 3]])</f>
        <v>0</v>
      </c>
      <c r="AZ112" s="112">
        <f>VLOOKUP(Tabla16[[#This Row],[CÓDIGO DEL PRODUCTO Y/O SERVICIO ]],Tabla3[],17)</f>
        <v>0</v>
      </c>
      <c r="BA112" s="114">
        <f>Tabla16[[#This Row],[CANTIDADES A UTILIZAR EN EL AÑO 3 3]]*(1+Tabla16[[#This Row],[CAMBIO PORCENTUAL EN UNIDADES VENDIDAS AÑO 4 3]])</f>
        <v>0</v>
      </c>
      <c r="BB112" s="112">
        <f>VLOOKUP(Tabla16[[#This Row],[CÓDIGO DEL PRODUCTO Y/O SERVICIO ]],Tabla3[],21)</f>
        <v>0</v>
      </c>
      <c r="BC112" s="114">
        <f>Tabla16[[#This Row],[CANTIDADES A UTILIZAR EN EL AÑO 4 3]]*(1+Tabla16[[#This Row],[CAMBIO PORCENTUAL EN UNIDADES VENDIDAS AÑO 5 3]])</f>
        <v>0</v>
      </c>
      <c r="BD112" s="344">
        <f>IF(Tabla16[[#This Row],[CANTIDADES A UTILIZAR EN EL AÑO 1 3]]=0,0,Tabla16[[#This Row],[CANTIDADES A UTILIZAR EN EL AÑO 1 3]]*1/Tabla16[[#This Row],[UNIDADES PRODUCIDAS AÑO 1 3]])</f>
        <v>0</v>
      </c>
      <c r="BE112" s="344">
        <f>$C$77*(1+BASES!$E$10)</f>
        <v>0</v>
      </c>
      <c r="BF112" s="344">
        <f>Tabla16[[#This Row],[COSTO UNITARIO AÑO 2 3]]*(1+BASES!$F$10)</f>
        <v>0</v>
      </c>
      <c r="BG112" s="344">
        <f>Tabla16[[#This Row],[COSTO UNITARIO AÑO 3 3]]*(1+BASES!$G$10)</f>
        <v>0</v>
      </c>
      <c r="BH112" s="344">
        <f>Tabla16[[#This Row],[COSTO UNITARIO AÑO 4 3]]*(1+BASES!$H$10)</f>
        <v>0</v>
      </c>
      <c r="BI112" s="344">
        <f>Tabla16[[#This Row],[COSTO POR UNIDAD DE PRODUCTO (3) ]]*$C$77*VLOOKUP(Tabla16[[#This Row],[CÓDIGO DEL PRODUCTO Y/O SERVICIO ]],Tabla3[],3)</f>
        <v>0</v>
      </c>
      <c r="BJ112" s="344">
        <f>Tabla16[[#This Row],[COSTO POR UNIDAD DE PRODUCTO (3) ]]*Tabla16[[#This Row],[COSTO UNITARIO AÑO 2 3]]*VLOOKUP(Tabla16[[#This Row],[CÓDIGO DEL PRODUCTO Y/O SERVICIO ]],Tabla3[],6)</f>
        <v>0</v>
      </c>
      <c r="BK112" s="344">
        <f>Tabla16[[#This Row],[COSTO POR UNIDAD DE PRODUCTO (3) ]]*Tabla16[[#This Row],[COSTO UNITARIO AÑO 3 3]]*VLOOKUP(Tabla16[[#This Row],[CÓDIGO DEL PRODUCTO Y/O SERVICIO ]],Tabla3[],10)</f>
        <v>0</v>
      </c>
      <c r="BL112" s="344">
        <f>Tabla16[[#This Row],[COSTO POR UNIDAD DE PRODUCTO (3) ]]*Tabla16[[#This Row],[COSTO UNITARIO AÑO 4 3]]*VLOOKUP(Tabla16[[#This Row],[CÓDIGO DEL PRODUCTO Y/O SERVICIO ]],Tabla3[],14)</f>
        <v>0</v>
      </c>
      <c r="BM112" s="344">
        <f>Tabla16[[#This Row],[COSTO POR UNIDAD DE PRODUCTO (3) ]]*Tabla16[[#This Row],[COSTO UNITARIO AÑO 5 3]]*VLOOKUP(Tabla16[[#This Row],[CÓDIGO DEL PRODUCTO Y/O SERVICIO ]],Tabla3[],18)</f>
        <v>0</v>
      </c>
      <c r="BN112" s="114">
        <f>VLOOKUP(Tabla16[[#This Row],[CÓDIGO DEL PRODUCTO Y/O SERVICIO ]],Tabla3[],3)</f>
        <v>0</v>
      </c>
      <c r="BO112" s="114">
        <f>Tabla16[[#This Row],[UNIDADES PRODUCIDAS AÑO 1 4]]*I92</f>
        <v>0</v>
      </c>
      <c r="BP112" s="112">
        <f>VLOOKUP(Tabla16[[#This Row],[CÓDIGO DEL PRODUCTO Y/O SERVICIO ]],Tabla3[],9)</f>
        <v>0</v>
      </c>
      <c r="BQ112" s="114">
        <f>Tabla16[[#This Row],[CANTIDADES A UTILIZAR EN EL AÑO 1 4]]*(1+Tabla16[[#This Row],[CAMBIO PORCENTUAL EN UNIDADES VENDIDAS AÑO 2 4]])</f>
        <v>0</v>
      </c>
      <c r="BR112" s="112">
        <f>VLOOKUP(Tabla16[[#This Row],[CÓDIGO DEL PRODUCTO Y/O SERVICIO ]],Tabla3[],13)</f>
        <v>0</v>
      </c>
      <c r="BS112" s="114">
        <f>Tabla16[[#This Row],[CANTIDADES A UTILIZAR EN EL AÑO 2 4]]*(1+Tabla16[[#This Row],[CAMBIO PORCENTUAL EN UNIDADES VENDIDAS AÑO 3 4]])</f>
        <v>0</v>
      </c>
      <c r="BT112" s="112">
        <f>VLOOKUP(Tabla16[[#This Row],[CÓDIGO DEL PRODUCTO Y/O SERVICIO ]],Tabla3[],17)</f>
        <v>0</v>
      </c>
      <c r="BU112" s="114">
        <f>Tabla16[[#This Row],[CANTIDADES A UTILIZAR EN EL AÑO 3 4]]*(1+Tabla16[[#This Row],[CAMBIO PORCENTUAL EN UNIDADES VENDIDAS AÑO 4 4]])</f>
        <v>0</v>
      </c>
      <c r="BV112" s="112">
        <f>VLOOKUP(Tabla16[[#This Row],[CÓDIGO DEL PRODUCTO Y/O SERVICIO ]],Tabla3[],21)</f>
        <v>0</v>
      </c>
      <c r="BW112" s="114">
        <f>Tabla16[[#This Row],[CANTIDADES A UTILIZAR EN EL AÑO 4 4]]*(1+Tabla16[[#This Row],[CAMBIO PORCENTUAL EN UNIDADES VENDIDAS AÑO 5 4]])</f>
        <v>0</v>
      </c>
      <c r="BX112" s="344">
        <f>IF(Tabla16[[#This Row],[CANTIDADES A UTILIZAR EN EL AÑO 1 4]]=0,0,Tabla16[[#This Row],[CANTIDADES A UTILIZAR EN EL AÑO 1 4]]*1/Tabla16[[#This Row],[UNIDADES PRODUCIDAS AÑO 1 4]])</f>
        <v>0</v>
      </c>
      <c r="BY112" s="344">
        <f>$C$78*(1+BASES!$E$10)</f>
        <v>0</v>
      </c>
      <c r="BZ112" s="344">
        <f>Tabla16[[#This Row],[COSTO UNITARIO AÑO 2 4]]*(1+BASES!$F$10)</f>
        <v>0</v>
      </c>
      <c r="CA112" s="344">
        <f>Tabla16[[#This Row],[COSTO UNITARIO AÑO 3 4 ]]*(1+BASES!$G$10)</f>
        <v>0</v>
      </c>
      <c r="CB112" s="344">
        <f>Tabla16[[#This Row],[COSTO UNITARIO AÑO 4 4]]*(1+BASES!$H$10)</f>
        <v>0</v>
      </c>
      <c r="CC112" s="344">
        <f>Tabla16[[#This Row],[COSTO POR UNIDAD DE PRODUCTO (4)]]*$C$78*VLOOKUP(Tabla16[[#This Row],[CÓDIGO DEL PRODUCTO Y/O SERVICIO ]],Tabla3[],3)</f>
        <v>0</v>
      </c>
      <c r="CD112" s="344">
        <f>Tabla16[[#This Row],[COSTO POR UNIDAD DE PRODUCTO (4)]]*Tabla16[[#This Row],[COSTO UNITARIO AÑO 2 4]]*VLOOKUP(Tabla16[[#This Row],[CÓDIGO DEL PRODUCTO Y/O SERVICIO ]],Tabla3[],6)</f>
        <v>0</v>
      </c>
      <c r="CE112" s="344">
        <f>Tabla16[[#This Row],[COSTO POR UNIDAD DE PRODUCTO (4)]]*Tabla16[[#This Row],[COSTO UNITARIO AÑO 3 4 ]]*VLOOKUP(Tabla16[[#This Row],[CÓDIGO DEL PRODUCTO Y/O SERVICIO ]],Tabla3[],10)</f>
        <v>0</v>
      </c>
      <c r="CF112" s="344">
        <f>Tabla16[[#This Row],[COSTO POR UNIDAD DE PRODUCTO (4)]]*Tabla16[[#This Row],[COSTO UNITARIO AÑO 4 4]]*VLOOKUP(Tabla16[[#This Row],[CÓDIGO DEL PRODUCTO Y/O SERVICIO ]],Tabla3[],14)</f>
        <v>0</v>
      </c>
      <c r="CG112" s="344">
        <f>Tabla16[[#This Row],[COSTO POR UNIDAD DE PRODUCTO (4)]]*Tabla16[[#This Row],[COSTO UNITARIO AÑO 5 4 ]]*VLOOKUP(Tabla16[[#This Row],[CÓDIGO DEL PRODUCTO Y/O SERVICIO ]],Tabla3[],18)</f>
        <v>0</v>
      </c>
      <c r="CH112" s="114">
        <f>VLOOKUP(Tabla16[[#This Row],[CÓDIGO DEL PRODUCTO Y/O SERVICIO ]],Tabla3[],3)</f>
        <v>0</v>
      </c>
      <c r="CI112" s="114">
        <f>Tabla16[[#This Row],[UNIDADES PRODUCIDAS AÑO 1 5]]*J92</f>
        <v>0</v>
      </c>
      <c r="CJ112" s="112">
        <f>VLOOKUP(Tabla16[[#This Row],[CÓDIGO DEL PRODUCTO Y/O SERVICIO ]],Tabla3[],9)</f>
        <v>0</v>
      </c>
      <c r="CK112" s="114">
        <f>Tabla16[[#This Row],[CANTIDADES A UTILIZAR EN EL AÑO 1 5]]*(1+Tabla16[[#This Row],[CAMBIO PORCENTUAL EN UNIDADES VENDIDAS AÑO 2 5]])</f>
        <v>0</v>
      </c>
      <c r="CL112" s="112">
        <f>VLOOKUP(Tabla16[[#This Row],[CÓDIGO DEL PRODUCTO Y/O SERVICIO ]],Tabla3[],13)</f>
        <v>0</v>
      </c>
      <c r="CM112" s="114">
        <f>Tabla16[[#This Row],[CANTIDADES A UTILIZAR EN EL AÑO 2 5]]*(1+Tabla16[[#This Row],[CAMBIO PORCENTUAL EN UNIDADES VENDIDAS AÑO 3 5]])</f>
        <v>0</v>
      </c>
      <c r="CN112" s="112">
        <f>VLOOKUP(Tabla16[[#This Row],[CÓDIGO DEL PRODUCTO Y/O SERVICIO ]],Tabla3[],17)</f>
        <v>0</v>
      </c>
      <c r="CO112" s="114">
        <f>Tabla16[[#This Row],[CANTIDADES A UTILIZAR EN EL AÑO 3 5 ]]*(1+Tabla16[[#This Row],[CAMBIO PORCENTUAL EN UNIDADES VENDIDAS AÑO 4 5]])</f>
        <v>0</v>
      </c>
      <c r="CP112" s="112">
        <f>VLOOKUP(Tabla16[[#This Row],[CÓDIGO DEL PRODUCTO Y/O SERVICIO ]],Tabla3[],21)</f>
        <v>0</v>
      </c>
      <c r="CQ112" s="114">
        <f>Tabla16[[#This Row],[CANTIDADES A UTILIZAR EN EL AÑO 4 5]]*(1+Tabla16[[#This Row],[CAMBIO PORCENTUAL EN UNIDADES VENDIDAS AÑO 5 5]])</f>
        <v>0</v>
      </c>
      <c r="CR112" s="344">
        <f>IF(Tabla16[[#This Row],[CANTIDADES A UTILIZAR EN EL AÑO 1 5]]=0,0,Tabla16[[#This Row],[CANTIDADES A UTILIZAR EN EL AÑO 1 5]]*1/Tabla16[[#This Row],[UNIDADES PRODUCIDAS AÑO 1 5]])</f>
        <v>0</v>
      </c>
      <c r="CS112" s="344">
        <f>$C$79*(1+BASES!$E$10)</f>
        <v>0</v>
      </c>
      <c r="CT112" s="344">
        <f>Tabla16[[#This Row],[COSTO UNITARIO AÑO 2 5]]*(1+BASES!$F$10)</f>
        <v>0</v>
      </c>
      <c r="CU112" s="344">
        <f>Tabla16[[#This Row],[COSTO UNITARIO AÑO 3 5]]*(1+BASES!$G$10)</f>
        <v>0</v>
      </c>
      <c r="CV112" s="344">
        <f>Tabla16[[#This Row],[COSTO UNITARIO AÑO 4 5]]*(1+BASES!$H$10)</f>
        <v>0</v>
      </c>
      <c r="CW112" s="344">
        <f>Tabla16[[#This Row],[COSTO POR UNIDAD DE PRODUCTO (5) ]]*$C$79*VLOOKUP(Tabla16[[#This Row],[CÓDIGO DEL PRODUCTO Y/O SERVICIO ]],Tabla3[],3)</f>
        <v>0</v>
      </c>
      <c r="CX112" s="344">
        <f>Tabla16[[#This Row],[COSTO POR UNIDAD DE PRODUCTO (5) ]]*Tabla16[[#This Row],[COSTO UNITARIO AÑO 2 5]]*VLOOKUP(Tabla16[[#This Row],[CÓDIGO DEL PRODUCTO Y/O SERVICIO ]],Tabla3[],6)</f>
        <v>0</v>
      </c>
      <c r="CY112" s="344">
        <f>Tabla16[[#This Row],[COSTO POR UNIDAD DE PRODUCTO (5) ]]*Tabla16[[#This Row],[COSTO UNITARIO AÑO 3 5]]*VLOOKUP(Tabla16[[#This Row],[CÓDIGO DEL PRODUCTO Y/O SERVICIO ]],Tabla3[],10)</f>
        <v>0</v>
      </c>
      <c r="CZ112" s="344">
        <f>Tabla16[[#This Row],[COSTO POR UNIDAD DE PRODUCTO (5) ]]*Tabla16[[#This Row],[COSTO UNITARIO AÑO 4 5]]*VLOOKUP(Tabla16[[#This Row],[CÓDIGO DEL PRODUCTO Y/O SERVICIO ]],Tabla3[],14)</f>
        <v>0</v>
      </c>
      <c r="DA112" s="344">
        <f>Tabla16[[#This Row],[COSTO POR UNIDAD DE PRODUCTO (5) ]]*Tabla16[[#This Row],[COSTO UNITARIO AÑO 5 5]]*VLOOKUP(Tabla16[[#This Row],[CÓDIGO DEL PRODUCTO Y/O SERVICIO ]],Tabla3[],18)</f>
        <v>0</v>
      </c>
      <c r="DB112" s="114">
        <f>VLOOKUP(Tabla16[[#This Row],[CÓDIGO DEL PRODUCTO Y/O SERVICIO ]],Tabla3[],3)</f>
        <v>0</v>
      </c>
      <c r="DC112" s="114">
        <f>Tabla16[[#This Row],[UNIDADES PRODUCIDAS AÑO 1 6]]*K92</f>
        <v>0</v>
      </c>
      <c r="DD112" s="112">
        <f>VLOOKUP(Tabla16[[#This Row],[CÓDIGO DEL PRODUCTO Y/O SERVICIO ]],Tabla3[],9)</f>
        <v>0</v>
      </c>
      <c r="DE112" s="114">
        <f>Tabla16[[#This Row],[CANTIDADES A UTILIZAR EN EL AÑO 1 6]]*(1+Tabla16[[#This Row],[CAMBIO PORCENTUAL EN UNIDADES VENDIDAS AÑO 2 6]])</f>
        <v>0</v>
      </c>
      <c r="DF112" s="112">
        <f>VLOOKUP(Tabla16[[#This Row],[CÓDIGO DEL PRODUCTO Y/O SERVICIO ]],Tabla3[],13)</f>
        <v>0</v>
      </c>
      <c r="DG112" s="114">
        <f>Tabla16[[#This Row],[CANTIDADES A UTILIZAR EN EL AÑO 2 6]]*(1+Tabla16[[#This Row],[CAMBIO PORCENTUAL EN UNIDADES VENDIDAS AÑO 3 6]])</f>
        <v>0</v>
      </c>
      <c r="DH112" s="112">
        <f>VLOOKUP(Tabla16[[#This Row],[CÓDIGO DEL PRODUCTO Y/O SERVICIO ]],Tabla3[],17)</f>
        <v>0</v>
      </c>
      <c r="DI112" s="114">
        <f>Tabla16[[#This Row],[CANTIDADES A UTILIZAR EN EL AÑO 3 6]]*(1+Tabla16[[#This Row],[CAMBIO PORCENTUAL EN UNIDADES VENDIDAS AÑO 4 6]])</f>
        <v>0</v>
      </c>
      <c r="DJ112" s="112">
        <f>VLOOKUP(Tabla16[[#This Row],[CÓDIGO DEL PRODUCTO Y/O SERVICIO ]],Tabla3[],21)</f>
        <v>0</v>
      </c>
      <c r="DK112" s="114">
        <f>Tabla16[[#This Row],[CANTIDADES A UTILIZAR EN EL AÑO 4 6]]*(1+Tabla16[[#This Row],[CAMBIO PORCENTUAL EN UNIDADES VENDIDAS AÑO 5 6]])</f>
        <v>0</v>
      </c>
      <c r="DL112" s="344">
        <f>IF(Tabla16[[#This Row],[CANTIDADES A UTILIZAR EN EL AÑO 1 6]]=0,0,Tabla16[[#This Row],[CANTIDADES A UTILIZAR EN EL AÑO 1 6]]*1/Tabla16[[#This Row],[UNIDADES PRODUCIDAS AÑO 1 6]])</f>
        <v>0</v>
      </c>
      <c r="DM112" s="344">
        <f>$C$80*(1+BASES!$E$10)</f>
        <v>0</v>
      </c>
      <c r="DN112" s="344">
        <f>Tabla16[[#This Row],[COSTO UNITARIO AÑO 2 6]]*(1+BASES!$F$10)</f>
        <v>0</v>
      </c>
      <c r="DO112" s="344">
        <f>Tabla16[[#This Row],[COSTO UNITARIO AÑO 3 6]]*(1+BASES!$G$10)</f>
        <v>0</v>
      </c>
      <c r="DP112" s="344">
        <f>Tabla16[[#This Row],[COSTO UNITARIO AÑO 4 6]]*(1+BASES!$H$10)</f>
        <v>0</v>
      </c>
      <c r="DQ112" s="344">
        <f>Tabla16[[#This Row],[COSTO POR UNIDAD DE PRODUCTO (6) ]]*$C$80*VLOOKUP(Tabla16[[#This Row],[CÓDIGO DEL PRODUCTO Y/O SERVICIO ]],Tabla3[],3)</f>
        <v>0</v>
      </c>
      <c r="DR112" s="344">
        <f>Tabla16[[#This Row],[COSTO POR UNIDAD DE PRODUCTO (6) ]]*Tabla16[[#This Row],[COSTO UNITARIO AÑO 2 6]]*VLOOKUP(Tabla16[[#This Row],[CÓDIGO DEL PRODUCTO Y/O SERVICIO ]],Tabla3[],6)</f>
        <v>0</v>
      </c>
      <c r="DS112" s="344">
        <f>Tabla16[[#This Row],[COSTO POR UNIDAD DE PRODUCTO (6) ]]*Tabla16[[#This Row],[COSTO UNITARIO AÑO 3 6]]*VLOOKUP(Tabla16[[#This Row],[CÓDIGO DEL PRODUCTO Y/O SERVICIO ]],Tabla3[],10)</f>
        <v>0</v>
      </c>
      <c r="DT112" s="344">
        <f>Tabla16[[#This Row],[COSTO POR UNIDAD DE PRODUCTO (6) ]]*Tabla16[[#This Row],[COSTO UNITARIO AÑO 4 6]]*VLOOKUP(Tabla16[[#This Row],[CÓDIGO DEL PRODUCTO Y/O SERVICIO ]],Tabla3[],14)</f>
        <v>0</v>
      </c>
      <c r="DU112" s="344">
        <f>Tabla16[[#This Row],[COSTO POR UNIDAD DE PRODUCTO (6) ]]*Tabla16[[#This Row],[COSTO UNITARIO AÑO 5 6]]*VLOOKUP(Tabla16[[#This Row],[CÓDIGO DEL PRODUCTO Y/O SERVICIO ]],Tabla3[],18)</f>
        <v>0</v>
      </c>
      <c r="DV112" s="114">
        <f>VLOOKUP(Tabla16[[#This Row],[CÓDIGO DEL PRODUCTO Y/O SERVICIO ]],Tabla3[],3)</f>
        <v>0</v>
      </c>
      <c r="DW112" s="114">
        <f>Tabla16[[#This Row],[UNIDADES PRODUCIDAS AÑO 1 7]]*L92</f>
        <v>0</v>
      </c>
      <c r="DX112" s="112">
        <f>VLOOKUP(Tabla16[[#This Row],[CÓDIGO DEL PRODUCTO Y/O SERVICIO ]],Tabla3[],9)</f>
        <v>0</v>
      </c>
      <c r="DY112" s="114">
        <f>Tabla16[[#This Row],[CANTIDADES A UTILIZAR EN EL AÑO 1 7]]*(1+Tabla16[[#This Row],[CAMBIO PORCENTUAL EN UNIDADES VENDIDAS AÑO 2 7]])</f>
        <v>0</v>
      </c>
      <c r="DZ112" s="112">
        <f>VLOOKUP(Tabla16[[#This Row],[CÓDIGO DEL PRODUCTO Y/O SERVICIO ]],Tabla3[],13)</f>
        <v>0</v>
      </c>
      <c r="EA112" s="114">
        <f>Tabla16[[#This Row],[CANTIDADES A UTILIZAR EN EL AÑO 2 7]]*(1+Tabla16[[#This Row],[CAMBIO PORCENTUAL EN UNIDADES VENDIDAS AÑO 3 7]])</f>
        <v>0</v>
      </c>
      <c r="EB112" s="112">
        <f>VLOOKUP(Tabla16[[#This Row],[CÓDIGO DEL PRODUCTO Y/O SERVICIO ]],Tabla3[],17)</f>
        <v>0</v>
      </c>
      <c r="EC112" s="114">
        <f>Tabla16[[#This Row],[CANTIDADES A UTILIZAR EN EL AÑO 3 7]]*(1+Tabla16[[#This Row],[CAMBIO PORCENTUAL EN UNIDADES VENDIDAS AÑO 4 7]])</f>
        <v>0</v>
      </c>
      <c r="ED112" s="112">
        <f>VLOOKUP(Tabla16[[#This Row],[CÓDIGO DEL PRODUCTO Y/O SERVICIO ]],Tabla3[],21)</f>
        <v>0</v>
      </c>
      <c r="EE112" s="114">
        <f>Tabla16[[#This Row],[CANTIDADES A UTILIZAR EN EL AÑO 4 7]]*(1+Tabla16[[#This Row],[CAMBIO PORCENTUAL EN UNIDADES VENDIDAS AÑO 5 7]])</f>
        <v>0</v>
      </c>
      <c r="EF112" s="344">
        <f>IF(Tabla16[[#This Row],[CANTIDADES A UTILIZAR EN EL AÑO 1 7]]=0,0,Tabla16[[#This Row],[CANTIDADES A UTILIZAR EN EL AÑO 1 7]]*1/Tabla16[[#This Row],[UNIDADES PRODUCIDAS AÑO 1 7]])</f>
        <v>0</v>
      </c>
      <c r="EG112" s="344">
        <f>$C$81*(1+BASES!$E$10)</f>
        <v>0</v>
      </c>
      <c r="EH112" s="344">
        <f>Tabla16[[#This Row],[COSTO UNITARIO AÑO 2 7]]*(1+BASES!$F$10)</f>
        <v>0</v>
      </c>
      <c r="EI112" s="344">
        <f>Tabla16[[#This Row],[COSTO UNITARIO AÑO 3 7]]*(1+BASES!$G$10)</f>
        <v>0</v>
      </c>
      <c r="EJ112" s="344">
        <f>Tabla16[[#This Row],[COSTO UNITARIO AÑO 4 7]]*(1+BASES!$H$10)</f>
        <v>0</v>
      </c>
      <c r="EK112" s="344">
        <f>Tabla16[[#This Row],[COSTO POR UNIDAD DE PRODUCTO (7) ]]*$C$81*VLOOKUP(Tabla16[[#This Row],[CÓDIGO DEL PRODUCTO Y/O SERVICIO ]],Tabla3[],3)</f>
        <v>0</v>
      </c>
      <c r="EL112" s="344">
        <f>Tabla16[[#This Row],[COSTO POR UNIDAD DE PRODUCTO (7) ]]*Tabla16[[#This Row],[COSTO UNITARIO AÑO 2 7]]*VLOOKUP(Tabla16[[#This Row],[CÓDIGO DEL PRODUCTO Y/O SERVICIO ]],Tabla3[],6)</f>
        <v>0</v>
      </c>
      <c r="EM112" s="344">
        <f>Tabla16[[#This Row],[COSTO POR UNIDAD DE PRODUCTO (7) ]]*Tabla16[[#This Row],[COSTO UNITARIO AÑO 3 7]]*VLOOKUP(Tabla16[[#This Row],[CÓDIGO DEL PRODUCTO Y/O SERVICIO ]],Tabla3[],10)</f>
        <v>0</v>
      </c>
      <c r="EN112" s="344">
        <f>Tabla16[[#This Row],[COSTO POR UNIDAD DE PRODUCTO (7) ]]*Tabla16[[#This Row],[COSTO UNITARIO AÑO 4 7]]*VLOOKUP(Tabla16[[#This Row],[CÓDIGO DEL PRODUCTO Y/O SERVICIO ]],Tabla3[],14)</f>
        <v>0</v>
      </c>
      <c r="EO112" s="344">
        <f>Tabla16[[#This Row],[COSTO POR UNIDAD DE PRODUCTO (7) ]]*Tabla16[[#This Row],[COSTO UNITARIO AÑO 5 7]]*VLOOKUP(Tabla16[[#This Row],[CÓDIGO DEL PRODUCTO Y/O SERVICIO ]],Tabla3[],18)</f>
        <v>0</v>
      </c>
      <c r="EP112" s="114">
        <f>VLOOKUP(Tabla16[[#This Row],[CÓDIGO DEL PRODUCTO Y/O SERVICIO ]],Tabla3[],3)</f>
        <v>0</v>
      </c>
      <c r="EQ112" s="114">
        <f>Tabla16[[#This Row],[UNIDADES PRODUCIDAS AÑO 1 8]]*M92</f>
        <v>0</v>
      </c>
      <c r="ER112" s="112">
        <f>VLOOKUP(Tabla16[[#This Row],[CÓDIGO DEL PRODUCTO Y/O SERVICIO ]],Tabla3[],9)</f>
        <v>0</v>
      </c>
      <c r="ES112" s="114">
        <f>Tabla16[[#This Row],[CANTIDADES A UTILIZAR EN EL AÑO 1 8]]*(1+Tabla16[[#This Row],[CAMBIO PORCENTUAL EN UNIDADES VENDIDAS AÑO 2 8]])</f>
        <v>0</v>
      </c>
      <c r="ET112" s="112">
        <f>VLOOKUP(Tabla16[[#This Row],[CÓDIGO DEL PRODUCTO Y/O SERVICIO ]],Tabla3[],13)</f>
        <v>0</v>
      </c>
      <c r="EU112" s="114">
        <f>Tabla16[[#This Row],[CANTIDADES A UTILIZAR EN EL AÑO 2 8]]*(1+Tabla16[[#This Row],[CAMBIO PORCENTUAL EN UNIDADES VENDIDAS AÑO 3 8]])</f>
        <v>0</v>
      </c>
      <c r="EV112" s="112">
        <f>VLOOKUP(Tabla16[[#This Row],[CÓDIGO DEL PRODUCTO Y/O SERVICIO ]],Tabla3[],17)</f>
        <v>0</v>
      </c>
      <c r="EW112" s="114">
        <f>Tabla16[[#This Row],[CANTIDADES A UTILIZAR EN EL AÑO 3 8]]*(1+Tabla16[[#This Row],[CAMBIO PORCENTUAL EN UNIDADES VENDIDAS AÑO 4 8]])</f>
        <v>0</v>
      </c>
      <c r="EX112" s="112">
        <f>VLOOKUP(Tabla16[[#This Row],[CÓDIGO DEL PRODUCTO Y/O SERVICIO ]],Tabla3[],21)</f>
        <v>0</v>
      </c>
      <c r="EY112" s="114">
        <f>Tabla16[[#This Row],[CANTIDADES A UTILIZAR EN EL AÑO 4 8]]*(1+Tabla16[[#This Row],[CAMBIO PORCENTUAL EN UNIDADES VENDIDAS AÑO 5 8]])</f>
        <v>0</v>
      </c>
      <c r="EZ112" s="344">
        <f>IF(Tabla16[[#This Row],[CANTIDADES A UTILIZAR EN EL AÑO 1 8]]=0,0,Tabla16[[#This Row],[CANTIDADES A UTILIZAR EN EL AÑO 1 8]]*1/Tabla16[[#This Row],[UNIDADES PRODUCIDAS AÑO 1 8]])</f>
        <v>0</v>
      </c>
      <c r="FA112" s="344">
        <f>$C$82*(1+BASES!$E$10)</f>
        <v>0</v>
      </c>
      <c r="FB112" s="344">
        <f>Tabla16[[#This Row],[COSTO UNITARIO AÑO 2 8]]*(1+BASES!$F$10)</f>
        <v>0</v>
      </c>
      <c r="FC112" s="344">
        <f>Tabla16[[#This Row],[COSTO UNITARIO AÑO 3 8]]*(1+BASES!$G$10)</f>
        <v>0</v>
      </c>
      <c r="FD112" s="344">
        <f>Tabla16[[#This Row],[COSTO UNITARIO AÑO 4 8]]*(1+BASES!$H$10)</f>
        <v>0</v>
      </c>
      <c r="FE112" s="344">
        <f>Tabla16[[#This Row],[COSTO POR UNIDAD DE PRODUCTO (8) ]]*$C$82*VLOOKUP(Tabla16[[#This Row],[CÓDIGO DEL PRODUCTO Y/O SERVICIO ]],Tabla3[],3)</f>
        <v>0</v>
      </c>
      <c r="FF112" s="344">
        <f>Tabla16[[#This Row],[COSTO POR UNIDAD DE PRODUCTO (8) ]]*Tabla16[[#This Row],[COSTO UNITARIO AÑO 2 8]]*VLOOKUP(Tabla16[[#This Row],[CÓDIGO DEL PRODUCTO Y/O SERVICIO ]],Tabla3[],6)</f>
        <v>0</v>
      </c>
      <c r="FG112" s="344">
        <f>Tabla16[[#This Row],[COSTO POR UNIDAD DE PRODUCTO (8) ]]*Tabla16[[#This Row],[COSTO UNITARIO AÑO 3 8]]*VLOOKUP(Tabla16[[#This Row],[CÓDIGO DEL PRODUCTO Y/O SERVICIO ]],Tabla3[],10)</f>
        <v>0</v>
      </c>
      <c r="FH112" s="344">
        <f>Tabla16[[#This Row],[COSTO POR UNIDAD DE PRODUCTO (8) ]]*Tabla16[[#This Row],[COSTO UNITARIO AÑO 4 8]]*VLOOKUP(Tabla16[[#This Row],[CÓDIGO DEL PRODUCTO Y/O SERVICIO ]],Tabla3[],14)</f>
        <v>0</v>
      </c>
      <c r="FI112" s="344">
        <f>Tabla16[[#This Row],[COSTO POR UNIDAD DE PRODUCTO (8) ]]*Tabla16[[#This Row],[COSTO UNITARIO AÑO 5 8]]*VLOOKUP(Tabla16[[#This Row],[CÓDIGO DEL PRODUCTO Y/O SERVICIO ]],Tabla3[],18)</f>
        <v>0</v>
      </c>
      <c r="FJ112" s="114">
        <f>VLOOKUP(Tabla16[[#This Row],[CÓDIGO DEL PRODUCTO Y/O SERVICIO ]],Tabla3[],3)</f>
        <v>0</v>
      </c>
      <c r="FK112" s="114">
        <f>Tabla16[[#This Row],[UNIDADES PRODUCIDAS AÑO 1 9]]*N92</f>
        <v>0</v>
      </c>
      <c r="FL112" s="112">
        <f>VLOOKUP(Tabla16[[#This Row],[CÓDIGO DEL PRODUCTO Y/O SERVICIO ]],Tabla3[],9)</f>
        <v>0</v>
      </c>
      <c r="FM112" s="114">
        <f>Tabla16[[#This Row],[CANTIDADES A UTILIZAR EN EL AÑO 1 9]]*(1+Tabla16[[#This Row],[CAMBIO PORCENTUAL EN UNIDADES VENDIDAS AÑO 2 9]])</f>
        <v>0</v>
      </c>
      <c r="FN112" s="112">
        <f>VLOOKUP(Tabla16[[#This Row],[CÓDIGO DEL PRODUCTO Y/O SERVICIO ]],Tabla3[],13)</f>
        <v>0</v>
      </c>
      <c r="FO112" s="114">
        <f>Tabla16[[#This Row],[CANTIDADES A UTILIZAR EN EL AÑO 2 9]]*(1+Tabla16[[#This Row],[CAMBIO PORCENTUAL EN UNIDADES VENDIDAS AÑO 3 9]])</f>
        <v>0</v>
      </c>
      <c r="FP112" s="112">
        <f>VLOOKUP(Tabla16[[#This Row],[CÓDIGO DEL PRODUCTO Y/O SERVICIO ]],Tabla3[],17)</f>
        <v>0</v>
      </c>
      <c r="FQ112" s="114">
        <f>Tabla16[[#This Row],[CANTIDADES A UTILIZAR EN EL AÑO 3 9]]*(1+Tabla16[[#This Row],[CAMBIO PORCENTUAL EN UNIDADES VENDIDAS AÑO 4 9]])</f>
        <v>0</v>
      </c>
      <c r="FR112" s="112">
        <f>VLOOKUP(Tabla16[[#This Row],[CÓDIGO DEL PRODUCTO Y/O SERVICIO ]],Tabla3[],21)</f>
        <v>0</v>
      </c>
      <c r="FS112" s="114">
        <f>Tabla16[[#This Row],[CANTIDADES A UTILIZAR EN EL AÑO 4 9]]*(1+Tabla16[[#This Row],[CAMBIO PORCENTUAL EN UNIDADES VENDIDAS AÑO 5 9]])</f>
        <v>0</v>
      </c>
      <c r="FT112" s="344">
        <f>IF(Tabla16[[#This Row],[CANTIDADES A UTILIZAR EN EL AÑO 1 9]]=0,0,Tabla16[[#This Row],[CANTIDADES A UTILIZAR EN EL AÑO 1 9]]*1/Tabla16[[#This Row],[UNIDADES PRODUCIDAS AÑO 1 9]])</f>
        <v>0</v>
      </c>
      <c r="FU112" s="344">
        <f>$C$83*(1+BASES!$E$10)</f>
        <v>0</v>
      </c>
      <c r="FV112" s="344">
        <f>Tabla16[[#This Row],[COSTO UNITARIO AÑO 2 9]]*(1+BASES!$F$10)</f>
        <v>0</v>
      </c>
      <c r="FW112" s="344">
        <f>Tabla16[[#This Row],[COSTO UNITARIO AÑO 3 9]]*(1+BASES!$G$10)</f>
        <v>0</v>
      </c>
      <c r="FX112" s="344">
        <f>Tabla16[[#This Row],[COSTO UNITARIO AÑO 4 9]]*(1+BASES!$H$10)</f>
        <v>0</v>
      </c>
      <c r="FY112" s="344">
        <f>Tabla16[[#This Row],[COSTO POR UNIDAD DE PRODUCTO (9) ]]*$C$83*VLOOKUP(Tabla16[[#This Row],[CÓDIGO DEL PRODUCTO Y/O SERVICIO ]],Tabla3[],3)</f>
        <v>0</v>
      </c>
      <c r="FZ112" s="344">
        <f>Tabla16[[#This Row],[COSTO POR UNIDAD DE PRODUCTO (9) ]]*Tabla16[[#This Row],[COSTO UNITARIO AÑO 2 9]]*VLOOKUP(Tabla16[[#This Row],[CÓDIGO DEL PRODUCTO Y/O SERVICIO ]],Tabla3[],6)</f>
        <v>0</v>
      </c>
      <c r="GA112" s="344">
        <f>Tabla16[[#This Row],[COSTO POR UNIDAD DE PRODUCTO (9) ]]*Tabla16[[#This Row],[COSTO UNITARIO AÑO 3 9]]*VLOOKUP(Tabla16[[#This Row],[CÓDIGO DEL PRODUCTO Y/O SERVICIO ]],Tabla3[],10)</f>
        <v>0</v>
      </c>
      <c r="GB112" s="344">
        <f>Tabla16[[#This Row],[COSTO POR UNIDAD DE PRODUCTO (9) ]]*Tabla16[[#This Row],[COSTO UNITARIO AÑO 4 9]]*VLOOKUP(Tabla16[[#This Row],[CÓDIGO DEL PRODUCTO Y/O SERVICIO ]],Tabla3[],14)</f>
        <v>0</v>
      </c>
      <c r="GC112" s="344">
        <f>Tabla16[[#This Row],[COSTO POR UNIDAD DE PRODUCTO (9) ]]*Tabla16[[#This Row],[COSTO UNITARIO AÑO 5 9]]*VLOOKUP(Tabla16[[#This Row],[CÓDIGO DEL PRODUCTO Y/O SERVICIO ]],Tabla3[],18)</f>
        <v>0</v>
      </c>
      <c r="GD112" s="114">
        <f>VLOOKUP(Tabla16[[#This Row],[CÓDIGO DEL PRODUCTO Y/O SERVICIO ]],Tabla3[],3)</f>
        <v>0</v>
      </c>
      <c r="GE112" s="114">
        <f>Tabla16[[#This Row],[UNIDADES PRODUCIDAS AÑO 1 10]]*O92</f>
        <v>0</v>
      </c>
      <c r="GF112" s="112">
        <f>VLOOKUP(Tabla16[[#This Row],[CÓDIGO DEL PRODUCTO Y/O SERVICIO ]],Tabla3[],9)</f>
        <v>0</v>
      </c>
      <c r="GG112" s="114">
        <f>Tabla16[[#This Row],[CANTIDADES A UTILIZAR EN EL AÑO 1 10]]*(1+Tabla16[[#This Row],[CAMBIO PORCENTUAL EN UNIDADES VENDIDAS AÑO 2 10]])</f>
        <v>0</v>
      </c>
      <c r="GH112" s="112">
        <f>VLOOKUP(Tabla16[[#This Row],[CÓDIGO DEL PRODUCTO Y/O SERVICIO ]],Tabla3[],13)</f>
        <v>0</v>
      </c>
      <c r="GI112" s="114">
        <f>Tabla16[[#This Row],[CANTIDADES A UTILIZAR EN EL AÑO 2 10]]*(1+Tabla16[[#This Row],[CAMBIO PORCENTUAL EN UNIDADES VENDIDAS AÑO 3 10]])</f>
        <v>0</v>
      </c>
      <c r="GJ112" s="112">
        <f>VLOOKUP(Tabla16[[#This Row],[CÓDIGO DEL PRODUCTO Y/O SERVICIO ]],Tabla3[],17)</f>
        <v>0</v>
      </c>
      <c r="GK112" s="114">
        <f>Tabla16[[#This Row],[CANTIDADES A UTILIZAR EN EL AÑO 3 10]]*(1+Tabla16[[#This Row],[CAMBIO PORCENTUAL EN UNIDADES VENDIDAS AÑO 4 10 ]])</f>
        <v>0</v>
      </c>
      <c r="GL112" s="112">
        <f>VLOOKUP(Tabla16[[#This Row],[CÓDIGO DEL PRODUCTO Y/O SERVICIO ]],Tabla3[],21)</f>
        <v>0</v>
      </c>
      <c r="GM112" s="114">
        <f>Tabla16[[#This Row],[CANTIDADES A UTILIZAR EN EL AÑO 4 10]]*(1+Tabla16[[#This Row],[CAMBIO PORCENTUAL EN UNIDADES VENDIDAS AÑO 5 10]])</f>
        <v>0</v>
      </c>
      <c r="GN112" s="344">
        <f>IF(Tabla16[[#This Row],[CANTIDADES A UTILIZAR EN EL AÑO 1 10]]=0,0,Tabla16[[#This Row],[CANTIDADES A UTILIZAR EN EL AÑO 1 10]]*1/Tabla16[[#This Row],[UNIDADES PRODUCIDAS AÑO 1 10]])</f>
        <v>0</v>
      </c>
      <c r="GO112" s="344">
        <f>$C$84*(1+BASES!$E$10)</f>
        <v>0</v>
      </c>
      <c r="GP112" s="344">
        <f>Tabla16[[#This Row],[COSTO UNITARIO AÑO 2 10]]*(1+BASES!$F$10)</f>
        <v>0</v>
      </c>
      <c r="GQ112" s="344">
        <f>Tabla16[[#This Row],[COSTO UNITARIO AÑO 3 10]]*(1+BASES!$G$10)</f>
        <v>0</v>
      </c>
      <c r="GR112" s="344">
        <f>Tabla16[[#This Row],[COSTO UNITARIO AÑO 4 10]]*(1+BASES!$H$10)</f>
        <v>0</v>
      </c>
      <c r="GS112" s="344">
        <f>Tabla16[[#This Row],[COSTO POR UNIDAD DE PRODUCTO (10) ]]*$C$84*VLOOKUP(Tabla16[[#This Row],[CÓDIGO DEL PRODUCTO Y/O SERVICIO ]],Tabla3[],3)</f>
        <v>0</v>
      </c>
      <c r="GT112" s="344">
        <f>Tabla16[[#This Row],[COSTO POR UNIDAD DE PRODUCTO (10) ]]*Tabla16[[#This Row],[COSTO UNITARIO AÑO 2 10]]*VLOOKUP(Tabla16[[#This Row],[CÓDIGO DEL PRODUCTO Y/O SERVICIO ]],Tabla3[],6)</f>
        <v>0</v>
      </c>
      <c r="GU112" s="344">
        <f>Tabla16[[#This Row],[COSTO POR UNIDAD DE PRODUCTO (10) ]]*Tabla16[[#This Row],[COSTO UNITARIO AÑO 3 10]]*VLOOKUP(Tabla16[[#This Row],[CÓDIGO DEL PRODUCTO Y/O SERVICIO ]],Tabla3[],10)</f>
        <v>0</v>
      </c>
      <c r="GV112" s="344">
        <f>Tabla16[[#This Row],[COSTO POR UNIDAD DE PRODUCTO (10) ]]*Tabla16[[#This Row],[COSTO UNITARIO AÑO 4 10]]*VLOOKUP(Tabla16[[#This Row],[CÓDIGO DEL PRODUCTO Y/O SERVICIO ]],Tabla3[],14)</f>
        <v>0</v>
      </c>
      <c r="GW112" s="344">
        <f>Tabla16[[#This Row],[COSTO POR UNIDAD DE PRODUCTO (10) ]]*Tabla16[[#This Row],[COSTO UNITARIO AÑO 5 10]]*VLOOKUP(Tabla16[[#This Row],[CÓDIGO DEL PRODUCTO Y/O SERVICIO ]],Tabla3[],18)</f>
        <v>0</v>
      </c>
      <c r="GX112" s="383">
        <f>Tabla16[[#This Row],[AÑO 1 10]]+Tabla16[[#This Row],[AÑO 1 9]]+Tabla16[[#This Row],[AÑO 1 8]]+Tabla16[[#This Row],[AÑO 1 7]]+Tabla16[[#This Row],[AÑO 1 6]]+Tabla16[[#This Row],[AÑO 1 5]]+Tabla16[[#This Row],[AÑO 1 4]]+Tabla16[[#This Row],[AÑO 1 3]]+Tabla16[[#This Row],[AÑO 1 2]]+Tabla16[[#This Row],[AÑO 1 1]]</f>
        <v>0</v>
      </c>
      <c r="GY112" s="383">
        <f>Tabla16[[#This Row],[AÑO 2 10]]+Tabla16[[#This Row],[AÑO 2 9]]+Tabla16[[#This Row],[AÑO 2 8]]+Tabla16[[#This Row],[AÑO 2 7]]+Tabla16[[#This Row],[AÑO 2 6]]+Tabla16[[#This Row],[AÑO 2 5]]+Tabla16[[#This Row],[AÑO 2 4]]+Tabla16[[#This Row],[AÑO 2 3]]+Tabla16[[#This Row],[AÑO 2 2]]+Tabla16[[#This Row],[AÑO 2 1]]</f>
        <v>0</v>
      </c>
      <c r="GZ112" s="383">
        <f>Tabla16[[#This Row],[AÑO 3 10]]+Tabla16[[#This Row],[AÑO 3 9]]+Tabla16[[#This Row],[AÑO 3 8]]+Tabla16[[#This Row],[AÑO 3 7]]+Tabla16[[#This Row],[AÑO 3 6]]+Tabla16[[#This Row],[AÑO 3 5]]+Tabla16[[#This Row],[AÑO 3 4]]+Tabla16[[#This Row],[AÑO 3 3]]+Tabla16[[#This Row],[AÑO 3 2]]+Tabla16[[#This Row],[AÑO 3 1]]</f>
        <v>0</v>
      </c>
      <c r="HA112" s="383">
        <f>Tabla16[[#This Row],[AÑO 4 10]]+Tabla16[[#This Row],[AÑO 4 9]]+Tabla16[[#This Row],[AÑO 4 8]]+Tabla16[[#This Row],[AÑO 4 7]]+Tabla16[[#This Row],[AÑO 4 6]]+Tabla16[[#This Row],[AÑO 4 5]]+Tabla16[[#This Row],[AÑO 4 4 ]]+Tabla16[[#This Row],[AÑO 4 3]]+Tabla16[[#This Row],[AÑO 4 2]]+Tabla16[[#This Row],[AÑO 4 1]]</f>
        <v>0</v>
      </c>
      <c r="HB112" s="383">
        <f>Tabla16[[#This Row],[AÑO 5 10]]+Tabla16[[#This Row],[AÑO 5 9]]+Tabla16[[#This Row],[AÑO 5 8]]+Tabla16[[#This Row],[AÑO 5 7]]+Tabla16[[#This Row],[AÑO 5 6]]+Tabla16[[#This Row],[AÑO 5 5]]+Tabla16[[#This Row],[AÑO 5 4]]+Tabla16[[#This Row],[AÑO 5 3]]+Tabla16[[#This Row],[AÑO 5 2]]+Tabla16[[#This Row],[AÑO 5 1]]</f>
        <v>0</v>
      </c>
    </row>
    <row r="113" spans="3:210" ht="15.75" x14ac:dyDescent="0.25">
      <c r="C113" s="363">
        <v>1</v>
      </c>
      <c r="D113" s="510" t="str">
        <f>VLOOKUP(Tabla16[[#This Row],[CÓDIGO DEL PRODUCTO Y/O SERVICIO ]],Tabla3[],2)</f>
        <v>Amor Amor</v>
      </c>
      <c r="E113" s="72"/>
      <c r="F113" s="359">
        <f>VLOOKUP(Tabla16[[#This Row],[CÓDIGO DEL PRODUCTO Y/O SERVICIO ]],Tabla3[],3)</f>
        <v>300</v>
      </c>
      <c r="G113" s="359">
        <f>Tabla16[[#This Row],[UNIDADES PRODUCIDAS AÑO 1 1]]*F93</f>
        <v>600</v>
      </c>
      <c r="H113" s="112">
        <f>VLOOKUP(Tabla16[[#This Row],[CÓDIGO DEL PRODUCTO Y/O SERVICIO ]],Tabla3[],9)</f>
        <v>0.16666666666666666</v>
      </c>
      <c r="I113" s="359">
        <f>Tabla16[[#This Row],[CANTIDADES A UTILIZAR EN EL AÑO 1 1]]*(1+Tabla16[[#This Row],[CAMBIO PORCENTUAL EN UNIDADES VENDIDAS AÑO 2 1]])</f>
        <v>700</v>
      </c>
      <c r="J113" s="112">
        <f>VLOOKUP(Tabla16[[#This Row],[CÓDIGO DEL PRODUCTO Y/O SERVICIO ]],Tabla3[],13)</f>
        <v>0.42857142857142855</v>
      </c>
      <c r="K113" s="359">
        <f>Tabla16[[#This Row],[CANTIDADES  A UTILIZAR EN EL AÑO 2 1]]*(1+Tabla16[[#This Row],[CAMBIO PORCENTUAL EN UNIDADES VENDIDAS AÑO 3 1]])</f>
        <v>1000</v>
      </c>
      <c r="L113" s="112">
        <f>VLOOKUP(Tabla16[[#This Row],[CÓDIGO DEL PRODUCTO Y/O SERVICIO ]],Tabla3[],17)</f>
        <v>0.1</v>
      </c>
      <c r="M113" s="359">
        <f>Tabla16[[#This Row],[CANTIDADES A UTILIZAR EN EL AÑO 3 1]]*(1+Tabla16[[#This Row],[CAMBIO PORCENTUAL EN UNIDADES VENDIDAS AÑO 4 1]])</f>
        <v>1100</v>
      </c>
      <c r="N113" s="112">
        <f>VLOOKUP(Tabla16[[#This Row],[CÓDIGO DEL PRODUCTO Y/O SERVICIO ]],Tabla3[],21)</f>
        <v>0.27272727272727271</v>
      </c>
      <c r="O113" s="359">
        <f>Tabla16[[#This Row],[CANTIDADES A UTILIZAR EN EL AÑO 4 1 ]]*(1+Tabla16[[#This Row],[CAMBIO PORCENTUAL EN UNIDADES VENDIDAS AÑO 5 1]])</f>
        <v>1400</v>
      </c>
      <c r="P113" s="344">
        <f>IF(Tabla16[[#This Row],[CANTIDADES A UTILIZAR EN EL AÑO 1 1]]=0,0,Tabla16[[#This Row],[CANTIDADES A UTILIZAR EN EL AÑO 1 1]]*1/Tabla16[[#This Row],[UNIDADES PRODUCIDAS AÑO 1 1]])</f>
        <v>2</v>
      </c>
      <c r="Q113" s="344">
        <f>$C$75*(1+BASES!$E$10)</f>
        <v>4276.3648000000003</v>
      </c>
      <c r="R113" s="344">
        <f>Tabla16[[#This Row],[COSTO UNITARIO AÑO 2 1]]*(1+BASES!$F$10)</f>
        <v>4324.2600857600009</v>
      </c>
      <c r="S113" s="344">
        <f>Tabla16[[#This Row],[COSTO UNITARIO AÑO 3 1]]*(1+BASES!$G$10)</f>
        <v>4372.6917987205134</v>
      </c>
      <c r="T113" s="344">
        <f>Tabla16[[#This Row],[COSTO UNITARIO AÑO 4 1]]*(1+BASES!$H$10)</f>
        <v>4421.6659468661837</v>
      </c>
      <c r="U113" s="344">
        <f>Tabla16[[#This Row],[COSTO POR UNIDAD DE PRODUCTO (1)]]*$C$75*VLOOKUP(Tabla16[[#This Row],[CÓDIGO DEL PRODUCTO Y/O SERVICIO ]],Tabla3[],3)</f>
        <v>2537400</v>
      </c>
      <c r="V113" s="344">
        <f>Tabla16[[#This Row],[COSTO POR UNIDAD DE PRODUCTO (1)]]*Tabla16[[#This Row],[COSTO UNITARIO AÑO 2 1]]*VLOOKUP(Tabla16[[#This Row],[CÓDIGO DEL PRODUCTO Y/O SERVICIO ]],Tabla3[],6)</f>
        <v>2993455.3600000003</v>
      </c>
      <c r="W113" s="344">
        <f>Tabla16[[#This Row],[COSTO POR UNIDAD DE PRODUCTO (1)]]*Tabla16[[#This Row],[COSTO UNITARIO AÑO 3 1]]*VLOOKUP(Tabla16[[#This Row],[CÓDIGO DEL PRODUCTO Y/O SERVICIO ]],Tabla3[],10)</f>
        <v>4324260.0857600011</v>
      </c>
      <c r="X113" s="344">
        <f>Tabla16[[#This Row],[COSTO POR UNIDAD DE PRODUCTO (1)]]*Tabla16[[#This Row],[COSTO UNITARIO AÑO 4 1]]*VLOOKUP(Tabla16[[#This Row],[CÓDIGO DEL PRODUCTO Y/O SERVICIO ]],Tabla3[],14)</f>
        <v>4809960.9785925644</v>
      </c>
      <c r="Y113" s="344">
        <f>Tabla16[[#This Row],[COSTO POR UNIDAD DE PRODUCTO (1)]]*Tabla16[[#This Row],[COSTO UNITARIO AÑO 5 1]]*VLOOKUP(Tabla16[[#This Row],[CÓDIGO DEL PRODUCTO Y/O SERVICIO ]],Tabla3[],18)</f>
        <v>6190332.3256126568</v>
      </c>
      <c r="Z113" s="114">
        <f>VLOOKUP(Tabla16[[#This Row],[CÓDIGO DEL PRODUCTO Y/O SERVICIO ]],Tabla3[],3)</f>
        <v>300</v>
      </c>
      <c r="AA113" s="114">
        <f>Tabla16[[#This Row],[UNIDADES PRODUCIDAS AÑO 1 2]]*G93</f>
        <v>0</v>
      </c>
      <c r="AB113" s="112">
        <f>VLOOKUP(Tabla16[[#This Row],[CÓDIGO DEL PRODUCTO Y/O SERVICIO ]],Tabla3[],9)</f>
        <v>0.16666666666666666</v>
      </c>
      <c r="AC113" s="114">
        <f>Tabla16[[#This Row],[CANTIDADES A UTILIZAR EN EL AÑO 1 2]]*(1+Tabla16[[#This Row],[CAMBIO PORCENTUAL EN UNIDADES VENDIDAS AÑO 2 2]])</f>
        <v>0</v>
      </c>
      <c r="AD113" s="112">
        <f>VLOOKUP(Tabla16[[#This Row],[CÓDIGO DEL PRODUCTO Y/O SERVICIO ]],Tabla3[],13)</f>
        <v>0.42857142857142855</v>
      </c>
      <c r="AE113" s="114">
        <f>Tabla16[[#This Row],[CANTIDADES A UTILIZAR EN EL AÑO 2 2]]*(1+Tabla16[[#This Row],[CAMBIO PORCENTUAL EN UNIDADES VENDIDAS AÑO 3 2 ]])</f>
        <v>0</v>
      </c>
      <c r="AF113" s="112">
        <f>VLOOKUP(Tabla16[[#This Row],[CÓDIGO DEL PRODUCTO Y/O SERVICIO ]],Tabla3[],17)</f>
        <v>0.1</v>
      </c>
      <c r="AG113" s="114">
        <f>Tabla16[[#This Row],[CANTIDADES A UTILIZAR EN EL AÑO 3 2]]*(1+Tabla16[[#This Row],[CAMBIO PORCENTUAL EN UNIDADES VENDIDAS AÑO 4 2]])</f>
        <v>0</v>
      </c>
      <c r="AH113" s="112">
        <f>VLOOKUP(Tabla16[[#This Row],[CÓDIGO DEL PRODUCTO Y/O SERVICIO ]],Tabla3[],21)</f>
        <v>0.27272727272727271</v>
      </c>
      <c r="AI113" s="114">
        <f>Tabla16[[#This Row],[CANTIDADES A UTILIZAR EN EL AÑO 4 2]]*(1+Tabla16[[#This Row],[CAMBIO PORCENTUAL EN UNIDADES VENDIDAS AÑO 5 2]])</f>
        <v>0</v>
      </c>
      <c r="AJ113" s="344">
        <f>IF(Tabla16[[#This Row],[CANTIDADES A UTILIZAR EN EL AÑO 1 2]]=0,0,Tabla16[[#This Row],[CANTIDADES A UTILIZAR EN EL AÑO 1 2]]*1/Tabla16[[#This Row],[UNIDADES PRODUCIDAS AÑO 1 2]])</f>
        <v>0</v>
      </c>
      <c r="AK113" s="344">
        <f>$C$76*(1+BASES!$E$10)</f>
        <v>0</v>
      </c>
      <c r="AL113" s="344">
        <f>Tabla16[[#This Row],[COSTO UNITARIO AÑO 2 2]]*(1+BASES!$F$10)</f>
        <v>0</v>
      </c>
      <c r="AM113" s="344">
        <f>Tabla16[[#This Row],[COSTO UNITARIO AÑO 3 2]]*(1+BASES!$G$10)</f>
        <v>0</v>
      </c>
      <c r="AN113" s="344">
        <f>Tabla16[[#This Row],[COSTO UNITARIO AÑO 4 2]]*(1+BASES!$H$10)</f>
        <v>0</v>
      </c>
      <c r="AO113" s="344">
        <f>Tabla16[[#This Row],[COSTO POR UNIDAD DE PRODUCTO (2) ]]*$C$76*VLOOKUP(Tabla16[[#This Row],[CÓDIGO DEL PRODUCTO Y/O SERVICIO ]],Tabla3[],3)</f>
        <v>0</v>
      </c>
      <c r="AP113" s="344">
        <f>Tabla16[[#This Row],[COSTO POR UNIDAD DE PRODUCTO (2) ]]*Tabla16[[#This Row],[COSTO UNITARIO AÑO 2 2]]*VLOOKUP(Tabla16[[#This Row],[CÓDIGO DEL PRODUCTO Y/O SERVICIO ]],Tabla3[],6)</f>
        <v>0</v>
      </c>
      <c r="AQ113" s="344">
        <f>Tabla16[[#This Row],[COSTO POR UNIDAD DE PRODUCTO (2) ]]*Tabla16[[#This Row],[COSTO UNITARIO AÑO 3 2]]*VLOOKUP(Tabla16[[#This Row],[CÓDIGO DEL PRODUCTO Y/O SERVICIO ]],Tabla3[],10)</f>
        <v>0</v>
      </c>
      <c r="AR113" s="344">
        <f>Tabla16[[#This Row],[COSTO POR UNIDAD DE PRODUCTO (2) ]]*Tabla16[[#This Row],[COSTO UNITARIO AÑO 4 2]]*VLOOKUP(Tabla16[[#This Row],[CÓDIGO DEL PRODUCTO Y/O SERVICIO ]],Tabla3[],14)</f>
        <v>0</v>
      </c>
      <c r="AS113" s="344">
        <f>Tabla16[[#This Row],[COSTO POR UNIDAD DE PRODUCTO (2) ]]*Tabla16[[#This Row],[COSTO UNITARIO AÑO 5 2 ]]*VLOOKUP(Tabla16[[#This Row],[CÓDIGO DEL PRODUCTO Y/O SERVICIO ]],Tabla3[],18)</f>
        <v>0</v>
      </c>
      <c r="AT113" s="114">
        <f>VLOOKUP(Tabla16[[#This Row],[CÓDIGO DEL PRODUCTO Y/O SERVICIO ]],Tabla3[],3)</f>
        <v>300</v>
      </c>
      <c r="AU113" s="114">
        <f>Tabla16[[#This Row],[UNIDADES PRODUCIDAS AÑO 1 3]]*H93</f>
        <v>0</v>
      </c>
      <c r="AV113" s="112">
        <f>VLOOKUP(Tabla16[[#This Row],[CÓDIGO DEL PRODUCTO Y/O SERVICIO ]],Tabla3[],9)</f>
        <v>0.16666666666666666</v>
      </c>
      <c r="AW113" s="114">
        <f>Tabla16[[#This Row],[CANTIDADES A UTILIZAR EN EL AÑO 1 3]]*(1+Tabla16[[#This Row],[CAMBIO PORCENTUAL EN UNIDADES VENDIDAS AÑO 2 3]])</f>
        <v>0</v>
      </c>
      <c r="AX113" s="112">
        <f>VLOOKUP(Tabla16[[#This Row],[CÓDIGO DEL PRODUCTO Y/O SERVICIO ]],Tabla3[],13)</f>
        <v>0.42857142857142855</v>
      </c>
      <c r="AY113" s="114">
        <f>Tabla16[[#This Row],[CANTIDADES A UTILIZAR EN EL AÑO 2 3]]*(1+Tabla16[[#This Row],[CAMBIO PORCENTUAL EN UNIDADES VENDIDAS AÑO 3 3]])</f>
        <v>0</v>
      </c>
      <c r="AZ113" s="112">
        <f>VLOOKUP(Tabla16[[#This Row],[CÓDIGO DEL PRODUCTO Y/O SERVICIO ]],Tabla3[],17)</f>
        <v>0.1</v>
      </c>
      <c r="BA113" s="114">
        <f>Tabla16[[#This Row],[CANTIDADES A UTILIZAR EN EL AÑO 3 3]]*(1+Tabla16[[#This Row],[CAMBIO PORCENTUAL EN UNIDADES VENDIDAS AÑO 4 3]])</f>
        <v>0</v>
      </c>
      <c r="BB113" s="112">
        <f>VLOOKUP(Tabla16[[#This Row],[CÓDIGO DEL PRODUCTO Y/O SERVICIO ]],Tabla3[],21)</f>
        <v>0.27272727272727271</v>
      </c>
      <c r="BC113" s="114">
        <f>Tabla16[[#This Row],[CANTIDADES A UTILIZAR EN EL AÑO 4 3]]*(1+Tabla16[[#This Row],[CAMBIO PORCENTUAL EN UNIDADES VENDIDAS AÑO 5 3]])</f>
        <v>0</v>
      </c>
      <c r="BD113" s="344">
        <f>IF(Tabla16[[#This Row],[CANTIDADES A UTILIZAR EN EL AÑO 1 3]]=0,0,Tabla16[[#This Row],[CANTIDADES A UTILIZAR EN EL AÑO 1 3]]*1/Tabla16[[#This Row],[UNIDADES PRODUCIDAS AÑO 1 3]])</f>
        <v>0</v>
      </c>
      <c r="BE113" s="344">
        <f>$C$77*(1+BASES!$E$10)</f>
        <v>0</v>
      </c>
      <c r="BF113" s="344">
        <f>Tabla16[[#This Row],[COSTO UNITARIO AÑO 2 3]]*(1+BASES!$F$10)</f>
        <v>0</v>
      </c>
      <c r="BG113" s="344">
        <f>Tabla16[[#This Row],[COSTO UNITARIO AÑO 3 3]]*(1+BASES!$G$10)</f>
        <v>0</v>
      </c>
      <c r="BH113" s="344">
        <f>Tabla16[[#This Row],[COSTO UNITARIO AÑO 4 3]]*(1+BASES!$H$10)</f>
        <v>0</v>
      </c>
      <c r="BI113" s="344">
        <f>Tabla16[[#This Row],[COSTO POR UNIDAD DE PRODUCTO (3) ]]*$C$77*VLOOKUP(Tabla16[[#This Row],[CÓDIGO DEL PRODUCTO Y/O SERVICIO ]],Tabla3[],3)</f>
        <v>0</v>
      </c>
      <c r="BJ113" s="344">
        <f>Tabla16[[#This Row],[COSTO POR UNIDAD DE PRODUCTO (3) ]]*Tabla16[[#This Row],[COSTO UNITARIO AÑO 2 3]]*VLOOKUP(Tabla16[[#This Row],[CÓDIGO DEL PRODUCTO Y/O SERVICIO ]],Tabla3[],6)</f>
        <v>0</v>
      </c>
      <c r="BK113" s="344">
        <f>Tabla16[[#This Row],[COSTO POR UNIDAD DE PRODUCTO (3) ]]*Tabla16[[#This Row],[COSTO UNITARIO AÑO 3 3]]*VLOOKUP(Tabla16[[#This Row],[CÓDIGO DEL PRODUCTO Y/O SERVICIO ]],Tabla3[],10)</f>
        <v>0</v>
      </c>
      <c r="BL113" s="344">
        <f>Tabla16[[#This Row],[COSTO POR UNIDAD DE PRODUCTO (3) ]]*Tabla16[[#This Row],[COSTO UNITARIO AÑO 4 3]]*VLOOKUP(Tabla16[[#This Row],[CÓDIGO DEL PRODUCTO Y/O SERVICIO ]],Tabla3[],14)</f>
        <v>0</v>
      </c>
      <c r="BM113" s="344">
        <f>Tabla16[[#This Row],[COSTO POR UNIDAD DE PRODUCTO (3) ]]*Tabla16[[#This Row],[COSTO UNITARIO AÑO 5 3]]*VLOOKUP(Tabla16[[#This Row],[CÓDIGO DEL PRODUCTO Y/O SERVICIO ]],Tabla3[],18)</f>
        <v>0</v>
      </c>
      <c r="BN113" s="114">
        <f>VLOOKUP(Tabla16[[#This Row],[CÓDIGO DEL PRODUCTO Y/O SERVICIO ]],Tabla3[],3)</f>
        <v>300</v>
      </c>
      <c r="BO113" s="114">
        <f>Tabla16[[#This Row],[UNIDADES PRODUCIDAS AÑO 1 4]]*I93</f>
        <v>0</v>
      </c>
      <c r="BP113" s="112">
        <f>VLOOKUP(Tabla16[[#This Row],[CÓDIGO DEL PRODUCTO Y/O SERVICIO ]],Tabla3[],9)</f>
        <v>0.16666666666666666</v>
      </c>
      <c r="BQ113" s="114">
        <f>Tabla16[[#This Row],[CANTIDADES A UTILIZAR EN EL AÑO 1 4]]*(1+Tabla16[[#This Row],[CAMBIO PORCENTUAL EN UNIDADES VENDIDAS AÑO 2 4]])</f>
        <v>0</v>
      </c>
      <c r="BR113" s="112">
        <f>VLOOKUP(Tabla16[[#This Row],[CÓDIGO DEL PRODUCTO Y/O SERVICIO ]],Tabla3[],13)</f>
        <v>0.42857142857142855</v>
      </c>
      <c r="BS113" s="114">
        <f>Tabla16[[#This Row],[CANTIDADES A UTILIZAR EN EL AÑO 2 4]]*(1+Tabla16[[#This Row],[CAMBIO PORCENTUAL EN UNIDADES VENDIDAS AÑO 3 4]])</f>
        <v>0</v>
      </c>
      <c r="BT113" s="112">
        <f>VLOOKUP(Tabla16[[#This Row],[CÓDIGO DEL PRODUCTO Y/O SERVICIO ]],Tabla3[],17)</f>
        <v>0.1</v>
      </c>
      <c r="BU113" s="114">
        <f>Tabla16[[#This Row],[CANTIDADES A UTILIZAR EN EL AÑO 3 4]]*(1+Tabla16[[#This Row],[CAMBIO PORCENTUAL EN UNIDADES VENDIDAS AÑO 4 4]])</f>
        <v>0</v>
      </c>
      <c r="BV113" s="112">
        <f>VLOOKUP(Tabla16[[#This Row],[CÓDIGO DEL PRODUCTO Y/O SERVICIO ]],Tabla3[],21)</f>
        <v>0.27272727272727271</v>
      </c>
      <c r="BW113" s="114">
        <f>Tabla16[[#This Row],[CANTIDADES A UTILIZAR EN EL AÑO 4 4]]*(1+Tabla16[[#This Row],[CAMBIO PORCENTUAL EN UNIDADES VENDIDAS AÑO 5 4]])</f>
        <v>0</v>
      </c>
      <c r="BX113" s="344">
        <f>IF(Tabla16[[#This Row],[CANTIDADES A UTILIZAR EN EL AÑO 1 4]]=0,0,Tabla16[[#This Row],[CANTIDADES A UTILIZAR EN EL AÑO 1 4]]*1/Tabla16[[#This Row],[UNIDADES PRODUCIDAS AÑO 1 4]])</f>
        <v>0</v>
      </c>
      <c r="BY113" s="344">
        <f>$C$78*(1+BASES!$E$10)</f>
        <v>0</v>
      </c>
      <c r="BZ113" s="344">
        <f>Tabla16[[#This Row],[COSTO UNITARIO AÑO 2 4]]*(1+BASES!$F$10)</f>
        <v>0</v>
      </c>
      <c r="CA113" s="344">
        <f>Tabla16[[#This Row],[COSTO UNITARIO AÑO 3 4 ]]*(1+BASES!$G$10)</f>
        <v>0</v>
      </c>
      <c r="CB113" s="344">
        <f>Tabla16[[#This Row],[COSTO UNITARIO AÑO 4 4]]*(1+BASES!$H$10)</f>
        <v>0</v>
      </c>
      <c r="CC113" s="344">
        <f>Tabla16[[#This Row],[COSTO POR UNIDAD DE PRODUCTO (4)]]*$C$78*VLOOKUP(Tabla16[[#This Row],[CÓDIGO DEL PRODUCTO Y/O SERVICIO ]],Tabla3[],3)</f>
        <v>0</v>
      </c>
      <c r="CD113" s="344">
        <f>Tabla16[[#This Row],[COSTO POR UNIDAD DE PRODUCTO (4)]]*Tabla16[[#This Row],[COSTO UNITARIO AÑO 2 4]]*VLOOKUP(Tabla16[[#This Row],[CÓDIGO DEL PRODUCTO Y/O SERVICIO ]],Tabla3[],6)</f>
        <v>0</v>
      </c>
      <c r="CE113" s="344">
        <f>Tabla16[[#This Row],[COSTO POR UNIDAD DE PRODUCTO (4)]]*Tabla16[[#This Row],[COSTO UNITARIO AÑO 3 4 ]]*VLOOKUP(Tabla16[[#This Row],[CÓDIGO DEL PRODUCTO Y/O SERVICIO ]],Tabla3[],10)</f>
        <v>0</v>
      </c>
      <c r="CF113" s="344">
        <f>Tabla16[[#This Row],[COSTO POR UNIDAD DE PRODUCTO (4)]]*Tabla16[[#This Row],[COSTO UNITARIO AÑO 4 4]]*VLOOKUP(Tabla16[[#This Row],[CÓDIGO DEL PRODUCTO Y/O SERVICIO ]],Tabla3[],14)</f>
        <v>0</v>
      </c>
      <c r="CG113" s="344">
        <f>Tabla16[[#This Row],[COSTO POR UNIDAD DE PRODUCTO (4)]]*Tabla16[[#This Row],[COSTO UNITARIO AÑO 5 4 ]]*VLOOKUP(Tabla16[[#This Row],[CÓDIGO DEL PRODUCTO Y/O SERVICIO ]],Tabla3[],18)</f>
        <v>0</v>
      </c>
      <c r="CH113" s="114">
        <f>VLOOKUP(Tabla16[[#This Row],[CÓDIGO DEL PRODUCTO Y/O SERVICIO ]],Tabla3[],3)</f>
        <v>300</v>
      </c>
      <c r="CI113" s="114">
        <f>Tabla16[[#This Row],[UNIDADES PRODUCIDAS AÑO 1 5]]*J93</f>
        <v>0</v>
      </c>
      <c r="CJ113" s="112">
        <f>VLOOKUP(Tabla16[[#This Row],[CÓDIGO DEL PRODUCTO Y/O SERVICIO ]],Tabla3[],9)</f>
        <v>0.16666666666666666</v>
      </c>
      <c r="CK113" s="114">
        <f>Tabla16[[#This Row],[CANTIDADES A UTILIZAR EN EL AÑO 1 5]]*(1+Tabla16[[#This Row],[CAMBIO PORCENTUAL EN UNIDADES VENDIDAS AÑO 2 5]])</f>
        <v>0</v>
      </c>
      <c r="CL113" s="112">
        <f>VLOOKUP(Tabla16[[#This Row],[CÓDIGO DEL PRODUCTO Y/O SERVICIO ]],Tabla3[],13)</f>
        <v>0.42857142857142855</v>
      </c>
      <c r="CM113" s="114">
        <f>Tabla16[[#This Row],[CANTIDADES A UTILIZAR EN EL AÑO 2 5]]*(1+Tabla16[[#This Row],[CAMBIO PORCENTUAL EN UNIDADES VENDIDAS AÑO 3 5]])</f>
        <v>0</v>
      </c>
      <c r="CN113" s="112">
        <f>VLOOKUP(Tabla16[[#This Row],[CÓDIGO DEL PRODUCTO Y/O SERVICIO ]],Tabla3[],17)</f>
        <v>0.1</v>
      </c>
      <c r="CO113" s="114">
        <f>Tabla16[[#This Row],[CANTIDADES A UTILIZAR EN EL AÑO 3 5 ]]*(1+Tabla16[[#This Row],[CAMBIO PORCENTUAL EN UNIDADES VENDIDAS AÑO 4 5]])</f>
        <v>0</v>
      </c>
      <c r="CP113" s="112">
        <f>VLOOKUP(Tabla16[[#This Row],[CÓDIGO DEL PRODUCTO Y/O SERVICIO ]],Tabla3[],21)</f>
        <v>0.27272727272727271</v>
      </c>
      <c r="CQ113" s="114">
        <f>Tabla16[[#This Row],[CANTIDADES A UTILIZAR EN EL AÑO 4 5]]*(1+Tabla16[[#This Row],[CAMBIO PORCENTUAL EN UNIDADES VENDIDAS AÑO 5 5]])</f>
        <v>0</v>
      </c>
      <c r="CR113" s="344">
        <f>IF(Tabla16[[#This Row],[CANTIDADES A UTILIZAR EN EL AÑO 1 5]]=0,0,Tabla16[[#This Row],[CANTIDADES A UTILIZAR EN EL AÑO 1 5]]*1/Tabla16[[#This Row],[UNIDADES PRODUCIDAS AÑO 1 5]])</f>
        <v>0</v>
      </c>
      <c r="CS113" s="344">
        <f>$C$79*(1+BASES!$E$10)</f>
        <v>0</v>
      </c>
      <c r="CT113" s="344">
        <f>Tabla16[[#This Row],[COSTO UNITARIO AÑO 2 5]]*(1+BASES!$F$10)</f>
        <v>0</v>
      </c>
      <c r="CU113" s="344">
        <f>Tabla16[[#This Row],[COSTO UNITARIO AÑO 3 5]]*(1+BASES!$G$10)</f>
        <v>0</v>
      </c>
      <c r="CV113" s="344">
        <f>Tabla16[[#This Row],[COSTO UNITARIO AÑO 4 5]]*(1+BASES!$H$10)</f>
        <v>0</v>
      </c>
      <c r="CW113" s="344">
        <f>Tabla16[[#This Row],[COSTO POR UNIDAD DE PRODUCTO (5) ]]*$C$79*VLOOKUP(Tabla16[[#This Row],[CÓDIGO DEL PRODUCTO Y/O SERVICIO ]],Tabla3[],3)</f>
        <v>0</v>
      </c>
      <c r="CX113" s="344">
        <f>Tabla16[[#This Row],[COSTO POR UNIDAD DE PRODUCTO (5) ]]*Tabla16[[#This Row],[COSTO UNITARIO AÑO 2 5]]*VLOOKUP(Tabla16[[#This Row],[CÓDIGO DEL PRODUCTO Y/O SERVICIO ]],Tabla3[],6)</f>
        <v>0</v>
      </c>
      <c r="CY113" s="344">
        <f>Tabla16[[#This Row],[COSTO POR UNIDAD DE PRODUCTO (5) ]]*Tabla16[[#This Row],[COSTO UNITARIO AÑO 3 5]]*VLOOKUP(Tabla16[[#This Row],[CÓDIGO DEL PRODUCTO Y/O SERVICIO ]],Tabla3[],10)</f>
        <v>0</v>
      </c>
      <c r="CZ113" s="344">
        <f>Tabla16[[#This Row],[COSTO POR UNIDAD DE PRODUCTO (5) ]]*Tabla16[[#This Row],[COSTO UNITARIO AÑO 4 5]]*VLOOKUP(Tabla16[[#This Row],[CÓDIGO DEL PRODUCTO Y/O SERVICIO ]],Tabla3[],14)</f>
        <v>0</v>
      </c>
      <c r="DA113" s="344">
        <f>Tabla16[[#This Row],[COSTO POR UNIDAD DE PRODUCTO (5) ]]*Tabla16[[#This Row],[COSTO UNITARIO AÑO 5 5]]*VLOOKUP(Tabla16[[#This Row],[CÓDIGO DEL PRODUCTO Y/O SERVICIO ]],Tabla3[],18)</f>
        <v>0</v>
      </c>
      <c r="DB113" s="114">
        <f>VLOOKUP(Tabla16[[#This Row],[CÓDIGO DEL PRODUCTO Y/O SERVICIO ]],Tabla3[],3)</f>
        <v>300</v>
      </c>
      <c r="DC113" s="114">
        <f>Tabla16[[#This Row],[UNIDADES PRODUCIDAS AÑO 1 6]]*K93</f>
        <v>0</v>
      </c>
      <c r="DD113" s="112">
        <f>VLOOKUP(Tabla16[[#This Row],[CÓDIGO DEL PRODUCTO Y/O SERVICIO ]],Tabla3[],9)</f>
        <v>0.16666666666666666</v>
      </c>
      <c r="DE113" s="114">
        <f>Tabla16[[#This Row],[CANTIDADES A UTILIZAR EN EL AÑO 1 6]]*(1+Tabla16[[#This Row],[CAMBIO PORCENTUAL EN UNIDADES VENDIDAS AÑO 2 6]])</f>
        <v>0</v>
      </c>
      <c r="DF113" s="112">
        <f>VLOOKUP(Tabla16[[#This Row],[CÓDIGO DEL PRODUCTO Y/O SERVICIO ]],Tabla3[],13)</f>
        <v>0.42857142857142855</v>
      </c>
      <c r="DG113" s="114">
        <f>Tabla16[[#This Row],[CANTIDADES A UTILIZAR EN EL AÑO 2 6]]*(1+Tabla16[[#This Row],[CAMBIO PORCENTUAL EN UNIDADES VENDIDAS AÑO 3 6]])</f>
        <v>0</v>
      </c>
      <c r="DH113" s="112">
        <f>VLOOKUP(Tabla16[[#This Row],[CÓDIGO DEL PRODUCTO Y/O SERVICIO ]],Tabla3[],17)</f>
        <v>0.1</v>
      </c>
      <c r="DI113" s="114">
        <f>Tabla16[[#This Row],[CANTIDADES A UTILIZAR EN EL AÑO 3 6]]*(1+Tabla16[[#This Row],[CAMBIO PORCENTUAL EN UNIDADES VENDIDAS AÑO 4 6]])</f>
        <v>0</v>
      </c>
      <c r="DJ113" s="112">
        <f>VLOOKUP(Tabla16[[#This Row],[CÓDIGO DEL PRODUCTO Y/O SERVICIO ]],Tabla3[],21)</f>
        <v>0.27272727272727271</v>
      </c>
      <c r="DK113" s="114">
        <f>Tabla16[[#This Row],[CANTIDADES A UTILIZAR EN EL AÑO 4 6]]*(1+Tabla16[[#This Row],[CAMBIO PORCENTUAL EN UNIDADES VENDIDAS AÑO 5 6]])</f>
        <v>0</v>
      </c>
      <c r="DL113" s="344">
        <f>IF(Tabla16[[#This Row],[CANTIDADES A UTILIZAR EN EL AÑO 1 6]]=0,0,Tabla16[[#This Row],[CANTIDADES A UTILIZAR EN EL AÑO 1 6]]*1/Tabla16[[#This Row],[UNIDADES PRODUCIDAS AÑO 1 6]])</f>
        <v>0</v>
      </c>
      <c r="DM113" s="344">
        <f>$C$80*(1+BASES!$E$10)</f>
        <v>0</v>
      </c>
      <c r="DN113" s="344">
        <f>Tabla16[[#This Row],[COSTO UNITARIO AÑO 2 6]]*(1+BASES!$F$10)</f>
        <v>0</v>
      </c>
      <c r="DO113" s="344">
        <f>Tabla16[[#This Row],[COSTO UNITARIO AÑO 3 6]]*(1+BASES!$G$10)</f>
        <v>0</v>
      </c>
      <c r="DP113" s="344">
        <f>Tabla16[[#This Row],[COSTO UNITARIO AÑO 4 6]]*(1+BASES!$H$10)</f>
        <v>0</v>
      </c>
      <c r="DQ113" s="344">
        <f>Tabla16[[#This Row],[COSTO POR UNIDAD DE PRODUCTO (6) ]]*$C$80*VLOOKUP(Tabla16[[#This Row],[CÓDIGO DEL PRODUCTO Y/O SERVICIO ]],Tabla3[],3)</f>
        <v>0</v>
      </c>
      <c r="DR113" s="344">
        <f>Tabla16[[#This Row],[COSTO POR UNIDAD DE PRODUCTO (6) ]]*Tabla16[[#This Row],[COSTO UNITARIO AÑO 2 6]]*VLOOKUP(Tabla16[[#This Row],[CÓDIGO DEL PRODUCTO Y/O SERVICIO ]],Tabla3[],6)</f>
        <v>0</v>
      </c>
      <c r="DS113" s="344">
        <f>Tabla16[[#This Row],[COSTO POR UNIDAD DE PRODUCTO (6) ]]*Tabla16[[#This Row],[COSTO UNITARIO AÑO 3 6]]*VLOOKUP(Tabla16[[#This Row],[CÓDIGO DEL PRODUCTO Y/O SERVICIO ]],Tabla3[],10)</f>
        <v>0</v>
      </c>
      <c r="DT113" s="344">
        <f>Tabla16[[#This Row],[COSTO POR UNIDAD DE PRODUCTO (6) ]]*Tabla16[[#This Row],[COSTO UNITARIO AÑO 4 6]]*VLOOKUP(Tabla16[[#This Row],[CÓDIGO DEL PRODUCTO Y/O SERVICIO ]],Tabla3[],14)</f>
        <v>0</v>
      </c>
      <c r="DU113" s="344">
        <f>Tabla16[[#This Row],[COSTO POR UNIDAD DE PRODUCTO (6) ]]*Tabla16[[#This Row],[COSTO UNITARIO AÑO 5 6]]*VLOOKUP(Tabla16[[#This Row],[CÓDIGO DEL PRODUCTO Y/O SERVICIO ]],Tabla3[],18)</f>
        <v>0</v>
      </c>
      <c r="DV113" s="114">
        <f>VLOOKUP(Tabla16[[#This Row],[CÓDIGO DEL PRODUCTO Y/O SERVICIO ]],Tabla3[],3)</f>
        <v>300</v>
      </c>
      <c r="DW113" s="114">
        <f>Tabla16[[#This Row],[UNIDADES PRODUCIDAS AÑO 1 7]]*L93</f>
        <v>0</v>
      </c>
      <c r="DX113" s="112">
        <f>VLOOKUP(Tabla16[[#This Row],[CÓDIGO DEL PRODUCTO Y/O SERVICIO ]],Tabla3[],9)</f>
        <v>0.16666666666666666</v>
      </c>
      <c r="DY113" s="114">
        <f>Tabla16[[#This Row],[CANTIDADES A UTILIZAR EN EL AÑO 1 7]]*(1+Tabla16[[#This Row],[CAMBIO PORCENTUAL EN UNIDADES VENDIDAS AÑO 2 7]])</f>
        <v>0</v>
      </c>
      <c r="DZ113" s="112">
        <f>VLOOKUP(Tabla16[[#This Row],[CÓDIGO DEL PRODUCTO Y/O SERVICIO ]],Tabla3[],13)</f>
        <v>0.42857142857142855</v>
      </c>
      <c r="EA113" s="114">
        <f>Tabla16[[#This Row],[CANTIDADES A UTILIZAR EN EL AÑO 2 7]]*(1+Tabla16[[#This Row],[CAMBIO PORCENTUAL EN UNIDADES VENDIDAS AÑO 3 7]])</f>
        <v>0</v>
      </c>
      <c r="EB113" s="112">
        <f>VLOOKUP(Tabla16[[#This Row],[CÓDIGO DEL PRODUCTO Y/O SERVICIO ]],Tabla3[],17)</f>
        <v>0.1</v>
      </c>
      <c r="EC113" s="114">
        <f>Tabla16[[#This Row],[CANTIDADES A UTILIZAR EN EL AÑO 3 7]]*(1+Tabla16[[#This Row],[CAMBIO PORCENTUAL EN UNIDADES VENDIDAS AÑO 4 7]])</f>
        <v>0</v>
      </c>
      <c r="ED113" s="112">
        <f>VLOOKUP(Tabla16[[#This Row],[CÓDIGO DEL PRODUCTO Y/O SERVICIO ]],Tabla3[],21)</f>
        <v>0.27272727272727271</v>
      </c>
      <c r="EE113" s="114">
        <f>Tabla16[[#This Row],[CANTIDADES A UTILIZAR EN EL AÑO 4 7]]*(1+Tabla16[[#This Row],[CAMBIO PORCENTUAL EN UNIDADES VENDIDAS AÑO 5 7]])</f>
        <v>0</v>
      </c>
      <c r="EF113" s="344">
        <f>IF(Tabla16[[#This Row],[CANTIDADES A UTILIZAR EN EL AÑO 1 7]]=0,0,Tabla16[[#This Row],[CANTIDADES A UTILIZAR EN EL AÑO 1 7]]*1/Tabla16[[#This Row],[UNIDADES PRODUCIDAS AÑO 1 7]])</f>
        <v>0</v>
      </c>
      <c r="EG113" s="344">
        <f>$C$81*(1+BASES!$E$10)</f>
        <v>0</v>
      </c>
      <c r="EH113" s="344">
        <f>Tabla16[[#This Row],[COSTO UNITARIO AÑO 2 7]]*(1+BASES!$F$10)</f>
        <v>0</v>
      </c>
      <c r="EI113" s="344">
        <f>Tabla16[[#This Row],[COSTO UNITARIO AÑO 3 7]]*(1+BASES!$G$10)</f>
        <v>0</v>
      </c>
      <c r="EJ113" s="344">
        <f>Tabla16[[#This Row],[COSTO UNITARIO AÑO 4 7]]*(1+BASES!$H$10)</f>
        <v>0</v>
      </c>
      <c r="EK113" s="344">
        <f>Tabla16[[#This Row],[COSTO POR UNIDAD DE PRODUCTO (7) ]]*$C$81*VLOOKUP(Tabla16[[#This Row],[CÓDIGO DEL PRODUCTO Y/O SERVICIO ]],Tabla3[],3)</f>
        <v>0</v>
      </c>
      <c r="EL113" s="344">
        <f>Tabla16[[#This Row],[COSTO POR UNIDAD DE PRODUCTO (7) ]]*Tabla16[[#This Row],[COSTO UNITARIO AÑO 2 7]]*VLOOKUP(Tabla16[[#This Row],[CÓDIGO DEL PRODUCTO Y/O SERVICIO ]],Tabla3[],6)</f>
        <v>0</v>
      </c>
      <c r="EM113" s="344">
        <f>Tabla16[[#This Row],[COSTO POR UNIDAD DE PRODUCTO (7) ]]*Tabla16[[#This Row],[COSTO UNITARIO AÑO 3 7]]*VLOOKUP(Tabla16[[#This Row],[CÓDIGO DEL PRODUCTO Y/O SERVICIO ]],Tabla3[],10)</f>
        <v>0</v>
      </c>
      <c r="EN113" s="344">
        <f>Tabla16[[#This Row],[COSTO POR UNIDAD DE PRODUCTO (7) ]]*Tabla16[[#This Row],[COSTO UNITARIO AÑO 4 7]]*VLOOKUP(Tabla16[[#This Row],[CÓDIGO DEL PRODUCTO Y/O SERVICIO ]],Tabla3[],14)</f>
        <v>0</v>
      </c>
      <c r="EO113" s="344">
        <f>Tabla16[[#This Row],[COSTO POR UNIDAD DE PRODUCTO (7) ]]*Tabla16[[#This Row],[COSTO UNITARIO AÑO 5 7]]*VLOOKUP(Tabla16[[#This Row],[CÓDIGO DEL PRODUCTO Y/O SERVICIO ]],Tabla3[],18)</f>
        <v>0</v>
      </c>
      <c r="EP113" s="114">
        <f>VLOOKUP(Tabla16[[#This Row],[CÓDIGO DEL PRODUCTO Y/O SERVICIO ]],Tabla3[],3)</f>
        <v>300</v>
      </c>
      <c r="EQ113" s="114">
        <f>Tabla16[[#This Row],[UNIDADES PRODUCIDAS AÑO 1 8]]*M93</f>
        <v>0</v>
      </c>
      <c r="ER113" s="112">
        <f>VLOOKUP(Tabla16[[#This Row],[CÓDIGO DEL PRODUCTO Y/O SERVICIO ]],Tabla3[],9)</f>
        <v>0.16666666666666666</v>
      </c>
      <c r="ES113" s="114">
        <f>Tabla16[[#This Row],[CANTIDADES A UTILIZAR EN EL AÑO 1 8]]*(1+Tabla16[[#This Row],[CAMBIO PORCENTUAL EN UNIDADES VENDIDAS AÑO 2 8]])</f>
        <v>0</v>
      </c>
      <c r="ET113" s="112">
        <f>VLOOKUP(Tabla16[[#This Row],[CÓDIGO DEL PRODUCTO Y/O SERVICIO ]],Tabla3[],13)</f>
        <v>0.42857142857142855</v>
      </c>
      <c r="EU113" s="114">
        <f>Tabla16[[#This Row],[CANTIDADES A UTILIZAR EN EL AÑO 2 8]]*(1+Tabla16[[#This Row],[CAMBIO PORCENTUAL EN UNIDADES VENDIDAS AÑO 3 8]])</f>
        <v>0</v>
      </c>
      <c r="EV113" s="112">
        <f>VLOOKUP(Tabla16[[#This Row],[CÓDIGO DEL PRODUCTO Y/O SERVICIO ]],Tabla3[],17)</f>
        <v>0.1</v>
      </c>
      <c r="EW113" s="114">
        <f>Tabla16[[#This Row],[CANTIDADES A UTILIZAR EN EL AÑO 3 8]]*(1+Tabla16[[#This Row],[CAMBIO PORCENTUAL EN UNIDADES VENDIDAS AÑO 4 8]])</f>
        <v>0</v>
      </c>
      <c r="EX113" s="112">
        <f>VLOOKUP(Tabla16[[#This Row],[CÓDIGO DEL PRODUCTO Y/O SERVICIO ]],Tabla3[],21)</f>
        <v>0.27272727272727271</v>
      </c>
      <c r="EY113" s="114">
        <f>Tabla16[[#This Row],[CANTIDADES A UTILIZAR EN EL AÑO 4 8]]*(1+Tabla16[[#This Row],[CAMBIO PORCENTUAL EN UNIDADES VENDIDAS AÑO 5 8]])</f>
        <v>0</v>
      </c>
      <c r="EZ113" s="344">
        <f>IF(Tabla16[[#This Row],[CANTIDADES A UTILIZAR EN EL AÑO 1 8]]=0,0,Tabla16[[#This Row],[CANTIDADES A UTILIZAR EN EL AÑO 1 8]]*1/Tabla16[[#This Row],[UNIDADES PRODUCIDAS AÑO 1 8]])</f>
        <v>0</v>
      </c>
      <c r="FA113" s="344">
        <f>$C$82*(1+BASES!$E$10)</f>
        <v>0</v>
      </c>
      <c r="FB113" s="344">
        <f>Tabla16[[#This Row],[COSTO UNITARIO AÑO 2 8]]*(1+BASES!$F$10)</f>
        <v>0</v>
      </c>
      <c r="FC113" s="344">
        <f>Tabla16[[#This Row],[COSTO UNITARIO AÑO 3 8]]*(1+BASES!$G$10)</f>
        <v>0</v>
      </c>
      <c r="FD113" s="344">
        <f>Tabla16[[#This Row],[COSTO UNITARIO AÑO 4 8]]*(1+BASES!$H$10)</f>
        <v>0</v>
      </c>
      <c r="FE113" s="344">
        <f>Tabla16[[#This Row],[COSTO POR UNIDAD DE PRODUCTO (8) ]]*$C$82*VLOOKUP(Tabla16[[#This Row],[CÓDIGO DEL PRODUCTO Y/O SERVICIO ]],Tabla3[],3)</f>
        <v>0</v>
      </c>
      <c r="FF113" s="344">
        <f>Tabla16[[#This Row],[COSTO POR UNIDAD DE PRODUCTO (8) ]]*Tabla16[[#This Row],[COSTO UNITARIO AÑO 2 8]]*VLOOKUP(Tabla16[[#This Row],[CÓDIGO DEL PRODUCTO Y/O SERVICIO ]],Tabla3[],6)</f>
        <v>0</v>
      </c>
      <c r="FG113" s="344">
        <f>Tabla16[[#This Row],[COSTO POR UNIDAD DE PRODUCTO (8) ]]*Tabla16[[#This Row],[COSTO UNITARIO AÑO 3 8]]*VLOOKUP(Tabla16[[#This Row],[CÓDIGO DEL PRODUCTO Y/O SERVICIO ]],Tabla3[],10)</f>
        <v>0</v>
      </c>
      <c r="FH113" s="344">
        <f>Tabla16[[#This Row],[COSTO POR UNIDAD DE PRODUCTO (8) ]]*Tabla16[[#This Row],[COSTO UNITARIO AÑO 4 8]]*VLOOKUP(Tabla16[[#This Row],[CÓDIGO DEL PRODUCTO Y/O SERVICIO ]],Tabla3[],14)</f>
        <v>0</v>
      </c>
      <c r="FI113" s="344">
        <f>Tabla16[[#This Row],[COSTO POR UNIDAD DE PRODUCTO (8) ]]*Tabla16[[#This Row],[COSTO UNITARIO AÑO 5 8]]*VLOOKUP(Tabla16[[#This Row],[CÓDIGO DEL PRODUCTO Y/O SERVICIO ]],Tabla3[],18)</f>
        <v>0</v>
      </c>
      <c r="FJ113" s="114">
        <f>VLOOKUP(Tabla16[[#This Row],[CÓDIGO DEL PRODUCTO Y/O SERVICIO ]],Tabla3[],3)</f>
        <v>300</v>
      </c>
      <c r="FK113" s="114">
        <f>Tabla16[[#This Row],[UNIDADES PRODUCIDAS AÑO 1 9]]*N93</f>
        <v>0</v>
      </c>
      <c r="FL113" s="112">
        <f>VLOOKUP(Tabla16[[#This Row],[CÓDIGO DEL PRODUCTO Y/O SERVICIO ]],Tabla3[],9)</f>
        <v>0.16666666666666666</v>
      </c>
      <c r="FM113" s="114">
        <f>Tabla16[[#This Row],[CANTIDADES A UTILIZAR EN EL AÑO 1 9]]*(1+Tabla16[[#This Row],[CAMBIO PORCENTUAL EN UNIDADES VENDIDAS AÑO 2 9]])</f>
        <v>0</v>
      </c>
      <c r="FN113" s="112">
        <f>VLOOKUP(Tabla16[[#This Row],[CÓDIGO DEL PRODUCTO Y/O SERVICIO ]],Tabla3[],13)</f>
        <v>0.42857142857142855</v>
      </c>
      <c r="FO113" s="114">
        <f>Tabla16[[#This Row],[CANTIDADES A UTILIZAR EN EL AÑO 2 9]]*(1+Tabla16[[#This Row],[CAMBIO PORCENTUAL EN UNIDADES VENDIDAS AÑO 3 9]])</f>
        <v>0</v>
      </c>
      <c r="FP113" s="112">
        <f>VLOOKUP(Tabla16[[#This Row],[CÓDIGO DEL PRODUCTO Y/O SERVICIO ]],Tabla3[],17)</f>
        <v>0.1</v>
      </c>
      <c r="FQ113" s="114">
        <f>Tabla16[[#This Row],[CANTIDADES A UTILIZAR EN EL AÑO 3 9]]*(1+Tabla16[[#This Row],[CAMBIO PORCENTUAL EN UNIDADES VENDIDAS AÑO 4 9]])</f>
        <v>0</v>
      </c>
      <c r="FR113" s="112">
        <f>VLOOKUP(Tabla16[[#This Row],[CÓDIGO DEL PRODUCTO Y/O SERVICIO ]],Tabla3[],21)</f>
        <v>0.27272727272727271</v>
      </c>
      <c r="FS113" s="114">
        <f>Tabla16[[#This Row],[CANTIDADES A UTILIZAR EN EL AÑO 4 9]]*(1+Tabla16[[#This Row],[CAMBIO PORCENTUAL EN UNIDADES VENDIDAS AÑO 5 9]])</f>
        <v>0</v>
      </c>
      <c r="FT113" s="344">
        <f>IF(Tabla16[[#This Row],[CANTIDADES A UTILIZAR EN EL AÑO 1 9]]=0,0,Tabla16[[#This Row],[CANTIDADES A UTILIZAR EN EL AÑO 1 9]]*1/Tabla16[[#This Row],[UNIDADES PRODUCIDAS AÑO 1 9]])</f>
        <v>0</v>
      </c>
      <c r="FU113" s="344">
        <f>$C$83*(1+BASES!$E$10)</f>
        <v>0</v>
      </c>
      <c r="FV113" s="344">
        <f>Tabla16[[#This Row],[COSTO UNITARIO AÑO 2 9]]*(1+BASES!$F$10)</f>
        <v>0</v>
      </c>
      <c r="FW113" s="344">
        <f>Tabla16[[#This Row],[COSTO UNITARIO AÑO 3 9]]*(1+BASES!$G$10)</f>
        <v>0</v>
      </c>
      <c r="FX113" s="344">
        <f>Tabla16[[#This Row],[COSTO UNITARIO AÑO 4 9]]*(1+BASES!$H$10)</f>
        <v>0</v>
      </c>
      <c r="FY113" s="344">
        <f>Tabla16[[#This Row],[COSTO POR UNIDAD DE PRODUCTO (9) ]]*$C$83*VLOOKUP(Tabla16[[#This Row],[CÓDIGO DEL PRODUCTO Y/O SERVICIO ]],Tabla3[],3)</f>
        <v>0</v>
      </c>
      <c r="FZ113" s="344">
        <f>Tabla16[[#This Row],[COSTO POR UNIDAD DE PRODUCTO (9) ]]*Tabla16[[#This Row],[COSTO UNITARIO AÑO 2 9]]*VLOOKUP(Tabla16[[#This Row],[CÓDIGO DEL PRODUCTO Y/O SERVICIO ]],Tabla3[],6)</f>
        <v>0</v>
      </c>
      <c r="GA113" s="344">
        <f>Tabla16[[#This Row],[COSTO POR UNIDAD DE PRODUCTO (9) ]]*Tabla16[[#This Row],[COSTO UNITARIO AÑO 3 9]]*VLOOKUP(Tabla16[[#This Row],[CÓDIGO DEL PRODUCTO Y/O SERVICIO ]],Tabla3[],10)</f>
        <v>0</v>
      </c>
      <c r="GB113" s="344">
        <f>Tabla16[[#This Row],[COSTO POR UNIDAD DE PRODUCTO (9) ]]*Tabla16[[#This Row],[COSTO UNITARIO AÑO 4 9]]*VLOOKUP(Tabla16[[#This Row],[CÓDIGO DEL PRODUCTO Y/O SERVICIO ]],Tabla3[],14)</f>
        <v>0</v>
      </c>
      <c r="GC113" s="344">
        <f>Tabla16[[#This Row],[COSTO POR UNIDAD DE PRODUCTO (9) ]]*Tabla16[[#This Row],[COSTO UNITARIO AÑO 5 9]]*VLOOKUP(Tabla16[[#This Row],[CÓDIGO DEL PRODUCTO Y/O SERVICIO ]],Tabla3[],18)</f>
        <v>0</v>
      </c>
      <c r="GD113" s="114">
        <f>VLOOKUP(Tabla16[[#This Row],[CÓDIGO DEL PRODUCTO Y/O SERVICIO ]],Tabla3[],3)</f>
        <v>300</v>
      </c>
      <c r="GE113" s="114">
        <f>Tabla16[[#This Row],[UNIDADES PRODUCIDAS AÑO 1 10]]*O93</f>
        <v>0</v>
      </c>
      <c r="GF113" s="112">
        <f>VLOOKUP(Tabla16[[#This Row],[CÓDIGO DEL PRODUCTO Y/O SERVICIO ]],Tabla3[],9)</f>
        <v>0.16666666666666666</v>
      </c>
      <c r="GG113" s="114">
        <f>Tabla16[[#This Row],[CANTIDADES A UTILIZAR EN EL AÑO 1 10]]*(1+Tabla16[[#This Row],[CAMBIO PORCENTUAL EN UNIDADES VENDIDAS AÑO 2 10]])</f>
        <v>0</v>
      </c>
      <c r="GH113" s="112">
        <f>VLOOKUP(Tabla16[[#This Row],[CÓDIGO DEL PRODUCTO Y/O SERVICIO ]],Tabla3[],13)</f>
        <v>0.42857142857142855</v>
      </c>
      <c r="GI113" s="114">
        <f>Tabla16[[#This Row],[CANTIDADES A UTILIZAR EN EL AÑO 2 10]]*(1+Tabla16[[#This Row],[CAMBIO PORCENTUAL EN UNIDADES VENDIDAS AÑO 3 10]])</f>
        <v>0</v>
      </c>
      <c r="GJ113" s="112">
        <f>VLOOKUP(Tabla16[[#This Row],[CÓDIGO DEL PRODUCTO Y/O SERVICIO ]],Tabla3[],17)</f>
        <v>0.1</v>
      </c>
      <c r="GK113" s="114">
        <f>Tabla16[[#This Row],[CANTIDADES A UTILIZAR EN EL AÑO 3 10]]*(1+Tabla16[[#This Row],[CAMBIO PORCENTUAL EN UNIDADES VENDIDAS AÑO 4 10 ]])</f>
        <v>0</v>
      </c>
      <c r="GL113" s="112">
        <f>VLOOKUP(Tabla16[[#This Row],[CÓDIGO DEL PRODUCTO Y/O SERVICIO ]],Tabla3[],21)</f>
        <v>0.27272727272727271</v>
      </c>
      <c r="GM113" s="114">
        <f>Tabla16[[#This Row],[CANTIDADES A UTILIZAR EN EL AÑO 4 10]]*(1+Tabla16[[#This Row],[CAMBIO PORCENTUAL EN UNIDADES VENDIDAS AÑO 5 10]])</f>
        <v>0</v>
      </c>
      <c r="GN113" s="344">
        <f>IF(Tabla16[[#This Row],[CANTIDADES A UTILIZAR EN EL AÑO 1 10]]=0,0,Tabla16[[#This Row],[CANTIDADES A UTILIZAR EN EL AÑO 1 10]]*1/Tabla16[[#This Row],[UNIDADES PRODUCIDAS AÑO 1 10]])</f>
        <v>0</v>
      </c>
      <c r="GO113" s="344">
        <f>$C$84*(1+BASES!$E$10)</f>
        <v>0</v>
      </c>
      <c r="GP113" s="344">
        <f>Tabla16[[#This Row],[COSTO UNITARIO AÑO 2 10]]*(1+BASES!$F$10)</f>
        <v>0</v>
      </c>
      <c r="GQ113" s="344">
        <f>Tabla16[[#This Row],[COSTO UNITARIO AÑO 3 10]]*(1+BASES!$G$10)</f>
        <v>0</v>
      </c>
      <c r="GR113" s="344">
        <f>Tabla16[[#This Row],[COSTO UNITARIO AÑO 4 10]]*(1+BASES!$H$10)</f>
        <v>0</v>
      </c>
      <c r="GS113" s="344">
        <f>Tabla16[[#This Row],[COSTO POR UNIDAD DE PRODUCTO (10) ]]*$C$84*VLOOKUP(Tabla16[[#This Row],[CÓDIGO DEL PRODUCTO Y/O SERVICIO ]],Tabla3[],3)</f>
        <v>0</v>
      </c>
      <c r="GT113" s="344">
        <f>Tabla16[[#This Row],[COSTO POR UNIDAD DE PRODUCTO (10) ]]*Tabla16[[#This Row],[COSTO UNITARIO AÑO 2 10]]*VLOOKUP(Tabla16[[#This Row],[CÓDIGO DEL PRODUCTO Y/O SERVICIO ]],Tabla3[],6)</f>
        <v>0</v>
      </c>
      <c r="GU113" s="344">
        <f>Tabla16[[#This Row],[COSTO POR UNIDAD DE PRODUCTO (10) ]]*Tabla16[[#This Row],[COSTO UNITARIO AÑO 3 10]]*VLOOKUP(Tabla16[[#This Row],[CÓDIGO DEL PRODUCTO Y/O SERVICIO ]],Tabla3[],10)</f>
        <v>0</v>
      </c>
      <c r="GV113" s="344">
        <f>Tabla16[[#This Row],[COSTO POR UNIDAD DE PRODUCTO (10) ]]*Tabla16[[#This Row],[COSTO UNITARIO AÑO 4 10]]*VLOOKUP(Tabla16[[#This Row],[CÓDIGO DEL PRODUCTO Y/O SERVICIO ]],Tabla3[],14)</f>
        <v>0</v>
      </c>
      <c r="GW113" s="344">
        <f>Tabla16[[#This Row],[COSTO POR UNIDAD DE PRODUCTO (10) ]]*Tabla16[[#This Row],[COSTO UNITARIO AÑO 5 10]]*VLOOKUP(Tabla16[[#This Row],[CÓDIGO DEL PRODUCTO Y/O SERVICIO ]],Tabla3[],18)</f>
        <v>0</v>
      </c>
      <c r="GX113" s="383">
        <f>Tabla16[[#This Row],[AÑO 1 10]]+Tabla16[[#This Row],[AÑO 1 9]]+Tabla16[[#This Row],[AÑO 1 8]]+Tabla16[[#This Row],[AÑO 1 7]]+Tabla16[[#This Row],[AÑO 1 6]]+Tabla16[[#This Row],[AÑO 1 5]]+Tabla16[[#This Row],[AÑO 1 4]]+Tabla16[[#This Row],[AÑO 1 3]]+Tabla16[[#This Row],[AÑO 1 2]]+Tabla16[[#This Row],[AÑO 1 1]]</f>
        <v>2537400</v>
      </c>
      <c r="GY113" s="383">
        <f>Tabla16[[#This Row],[AÑO 2 10]]+Tabla16[[#This Row],[AÑO 2 9]]+Tabla16[[#This Row],[AÑO 2 8]]+Tabla16[[#This Row],[AÑO 2 7]]+Tabla16[[#This Row],[AÑO 2 6]]+Tabla16[[#This Row],[AÑO 2 5]]+Tabla16[[#This Row],[AÑO 2 4]]+Tabla16[[#This Row],[AÑO 2 3]]+Tabla16[[#This Row],[AÑO 2 2]]+Tabla16[[#This Row],[AÑO 2 1]]</f>
        <v>2993455.3600000003</v>
      </c>
      <c r="GZ113" s="383">
        <f>Tabla16[[#This Row],[AÑO 3 10]]+Tabla16[[#This Row],[AÑO 3 9]]+Tabla16[[#This Row],[AÑO 3 8]]+Tabla16[[#This Row],[AÑO 3 7]]+Tabla16[[#This Row],[AÑO 3 6]]+Tabla16[[#This Row],[AÑO 3 5]]+Tabla16[[#This Row],[AÑO 3 4]]+Tabla16[[#This Row],[AÑO 3 3]]+Tabla16[[#This Row],[AÑO 3 2]]+Tabla16[[#This Row],[AÑO 3 1]]</f>
        <v>4324260.0857600011</v>
      </c>
      <c r="HA113" s="383">
        <f>Tabla16[[#This Row],[AÑO 4 10]]+Tabla16[[#This Row],[AÑO 4 9]]+Tabla16[[#This Row],[AÑO 4 8]]+Tabla16[[#This Row],[AÑO 4 7]]+Tabla16[[#This Row],[AÑO 4 6]]+Tabla16[[#This Row],[AÑO 4 5]]+Tabla16[[#This Row],[AÑO 4 4 ]]+Tabla16[[#This Row],[AÑO 4 3]]+Tabla16[[#This Row],[AÑO 4 2]]+Tabla16[[#This Row],[AÑO 4 1]]</f>
        <v>4809960.9785925644</v>
      </c>
      <c r="HB113" s="383">
        <f>Tabla16[[#This Row],[AÑO 5 10]]+Tabla16[[#This Row],[AÑO 5 9]]+Tabla16[[#This Row],[AÑO 5 8]]+Tabla16[[#This Row],[AÑO 5 7]]+Tabla16[[#This Row],[AÑO 5 6]]+Tabla16[[#This Row],[AÑO 5 5]]+Tabla16[[#This Row],[AÑO 5 4]]+Tabla16[[#This Row],[AÑO 5 3]]+Tabla16[[#This Row],[AÑO 5 2]]+Tabla16[[#This Row],[AÑO 5 1]]</f>
        <v>6190332.3256126568</v>
      </c>
    </row>
    <row r="114" spans="3:210" ht="15.75" x14ac:dyDescent="0.25">
      <c r="C114" s="363">
        <v>2</v>
      </c>
      <c r="D114" s="510" t="str">
        <f>VLOOKUP(Tabla16[[#This Row],[CÓDIGO DEL PRODUCTO Y/O SERVICIO ]],Tabla3[],2)</f>
        <v>Tierno Corazón</v>
      </c>
      <c r="E114" s="72"/>
      <c r="F114" s="359">
        <f>VLOOKUP(Tabla16[[#This Row],[CÓDIGO DEL PRODUCTO Y/O SERVICIO ]],Tabla3[],3)</f>
        <v>400</v>
      </c>
      <c r="G114" s="359">
        <f>Tabla16[[#This Row],[UNIDADES PRODUCIDAS AÑO 1 1]]*F93</f>
        <v>800</v>
      </c>
      <c r="H114" s="112">
        <f>VLOOKUP(Tabla16[[#This Row],[CÓDIGO DEL PRODUCTO Y/O SERVICIO ]],Tabla3[],9)</f>
        <v>0.25</v>
      </c>
      <c r="I114" s="359">
        <f>Tabla16[[#This Row],[CANTIDADES A UTILIZAR EN EL AÑO 1 1]]*(1+Tabla16[[#This Row],[CAMBIO PORCENTUAL EN UNIDADES VENDIDAS AÑO 2 1]])</f>
        <v>1000</v>
      </c>
      <c r="J114" s="112">
        <f>VLOOKUP(Tabla16[[#This Row],[CÓDIGO DEL PRODUCTO Y/O SERVICIO ]],Tabla3[],13)</f>
        <v>0.36</v>
      </c>
      <c r="K114" s="359">
        <f>Tabla16[[#This Row],[CANTIDADES  A UTILIZAR EN EL AÑO 2 1]]*(1+Tabla16[[#This Row],[CAMBIO PORCENTUAL EN UNIDADES VENDIDAS AÑO 3 1]])</f>
        <v>1359.9999999999998</v>
      </c>
      <c r="L114" s="112">
        <f>VLOOKUP(Tabla16[[#This Row],[CÓDIGO DEL PRODUCTO Y/O SERVICIO ]],Tabla3[],17)</f>
        <v>5.8823529411764705E-2</v>
      </c>
      <c r="M114" s="359">
        <f>Tabla16[[#This Row],[CANTIDADES A UTILIZAR EN EL AÑO 3 1]]*(1+Tabla16[[#This Row],[CAMBIO PORCENTUAL EN UNIDADES VENDIDAS AÑO 4 1]])</f>
        <v>1439.9999999999998</v>
      </c>
      <c r="N114" s="112">
        <f>VLOOKUP(Tabla16[[#This Row],[CÓDIGO DEL PRODUCTO Y/O SERVICIO ]],Tabla3[],21)</f>
        <v>0.22222222222222221</v>
      </c>
      <c r="O114" s="359">
        <f>Tabla16[[#This Row],[CANTIDADES A UTILIZAR EN EL AÑO 4 1 ]]*(1+Tabla16[[#This Row],[CAMBIO PORCENTUAL EN UNIDADES VENDIDAS AÑO 5 1]])</f>
        <v>1759.9999999999998</v>
      </c>
      <c r="P114" s="344">
        <f>IF(Tabla16[[#This Row],[CANTIDADES A UTILIZAR EN EL AÑO 1 1]]=0,0,Tabla16[[#This Row],[CANTIDADES A UTILIZAR EN EL AÑO 1 1]]*1/Tabla16[[#This Row],[UNIDADES PRODUCIDAS AÑO 1 1]])</f>
        <v>2</v>
      </c>
      <c r="Q114" s="344">
        <f>$C$75*(1+BASES!$E$10)</f>
        <v>4276.3648000000003</v>
      </c>
      <c r="R114" s="344">
        <f>Tabla16[[#This Row],[COSTO UNITARIO AÑO 2 1]]*(1+BASES!$F$10)</f>
        <v>4324.2600857600009</v>
      </c>
      <c r="S114" s="344">
        <f>Tabla16[[#This Row],[COSTO UNITARIO AÑO 3 1]]*(1+BASES!$G$10)</f>
        <v>4372.6917987205134</v>
      </c>
      <c r="T114" s="344">
        <f>Tabla16[[#This Row],[COSTO UNITARIO AÑO 4 1]]*(1+BASES!$H$10)</f>
        <v>4421.6659468661837</v>
      </c>
      <c r="U114" s="344">
        <f>Tabla16[[#This Row],[COSTO POR UNIDAD DE PRODUCTO (1)]]*$C$75*VLOOKUP(Tabla16[[#This Row],[CÓDIGO DEL PRODUCTO Y/O SERVICIO ]],Tabla3[],3)</f>
        <v>3383200</v>
      </c>
      <c r="V114" s="344">
        <f>Tabla16[[#This Row],[COSTO POR UNIDAD DE PRODUCTO (1)]]*Tabla16[[#This Row],[COSTO UNITARIO AÑO 2 1]]*VLOOKUP(Tabla16[[#This Row],[CÓDIGO DEL PRODUCTO Y/O SERVICIO ]],Tabla3[],6)</f>
        <v>4276364.8000000007</v>
      </c>
      <c r="W114" s="344">
        <f>Tabla16[[#This Row],[COSTO POR UNIDAD DE PRODUCTO (1)]]*Tabla16[[#This Row],[COSTO UNITARIO AÑO 3 1]]*VLOOKUP(Tabla16[[#This Row],[CÓDIGO DEL PRODUCTO Y/O SERVICIO ]],Tabla3[],10)</f>
        <v>5880993.7166336011</v>
      </c>
      <c r="X114" s="344">
        <f>Tabla16[[#This Row],[COSTO POR UNIDAD DE PRODUCTO (1)]]*Tabla16[[#This Row],[COSTO UNITARIO AÑO 4 1]]*VLOOKUP(Tabla16[[#This Row],[CÓDIGO DEL PRODUCTO Y/O SERVICIO ]],Tabla3[],14)</f>
        <v>6296676.1901575392</v>
      </c>
      <c r="Y114" s="344">
        <f>Tabla16[[#This Row],[COSTO POR UNIDAD DE PRODUCTO (1)]]*Tabla16[[#This Row],[COSTO UNITARIO AÑO 5 1]]*VLOOKUP(Tabla16[[#This Row],[CÓDIGO DEL PRODUCTO Y/O SERVICIO ]],Tabla3[],18)</f>
        <v>7782132.066484483</v>
      </c>
      <c r="Z114" s="114">
        <f>VLOOKUP(Tabla16[[#This Row],[CÓDIGO DEL PRODUCTO Y/O SERVICIO ]],Tabla3[],3)</f>
        <v>400</v>
      </c>
      <c r="AA114" s="114">
        <f>Tabla16[[#This Row],[UNIDADES PRODUCIDAS AÑO 1 2]]*G93</f>
        <v>0</v>
      </c>
      <c r="AB114" s="112">
        <f>VLOOKUP(Tabla16[[#This Row],[CÓDIGO DEL PRODUCTO Y/O SERVICIO ]],Tabla3[],9)</f>
        <v>0.25</v>
      </c>
      <c r="AC114" s="114">
        <f>Tabla16[[#This Row],[CANTIDADES A UTILIZAR EN EL AÑO 1 2]]*(1+Tabla16[[#This Row],[CAMBIO PORCENTUAL EN UNIDADES VENDIDAS AÑO 2 2]])</f>
        <v>0</v>
      </c>
      <c r="AD114" s="112">
        <f>VLOOKUP(Tabla16[[#This Row],[CÓDIGO DEL PRODUCTO Y/O SERVICIO ]],Tabla3[],13)</f>
        <v>0.36</v>
      </c>
      <c r="AE114" s="114">
        <f>Tabla16[[#This Row],[CANTIDADES A UTILIZAR EN EL AÑO 2 2]]*(1+Tabla16[[#This Row],[CAMBIO PORCENTUAL EN UNIDADES VENDIDAS AÑO 3 2 ]])</f>
        <v>0</v>
      </c>
      <c r="AF114" s="112">
        <f>VLOOKUP(Tabla16[[#This Row],[CÓDIGO DEL PRODUCTO Y/O SERVICIO ]],Tabla3[],17)</f>
        <v>5.8823529411764705E-2</v>
      </c>
      <c r="AG114" s="114">
        <f>Tabla16[[#This Row],[CANTIDADES A UTILIZAR EN EL AÑO 3 2]]*(1+Tabla16[[#This Row],[CAMBIO PORCENTUAL EN UNIDADES VENDIDAS AÑO 4 2]])</f>
        <v>0</v>
      </c>
      <c r="AH114" s="112">
        <f>VLOOKUP(Tabla16[[#This Row],[CÓDIGO DEL PRODUCTO Y/O SERVICIO ]],Tabla3[],21)</f>
        <v>0.22222222222222221</v>
      </c>
      <c r="AI114" s="114">
        <f>Tabla16[[#This Row],[CANTIDADES A UTILIZAR EN EL AÑO 4 2]]*(1+Tabla16[[#This Row],[CAMBIO PORCENTUAL EN UNIDADES VENDIDAS AÑO 5 2]])</f>
        <v>0</v>
      </c>
      <c r="AJ114" s="344">
        <f>IF(Tabla16[[#This Row],[CANTIDADES A UTILIZAR EN EL AÑO 1 2]]=0,0,Tabla16[[#This Row],[CANTIDADES A UTILIZAR EN EL AÑO 1 2]]*1/Tabla16[[#This Row],[UNIDADES PRODUCIDAS AÑO 1 2]])</f>
        <v>0</v>
      </c>
      <c r="AK114" s="344">
        <f>$C$76*(1+BASES!$E$10)</f>
        <v>0</v>
      </c>
      <c r="AL114" s="344">
        <f>Tabla16[[#This Row],[COSTO UNITARIO AÑO 2 2]]*(1+BASES!$F$10)</f>
        <v>0</v>
      </c>
      <c r="AM114" s="344">
        <f>Tabla16[[#This Row],[COSTO UNITARIO AÑO 3 2]]*(1+BASES!$G$10)</f>
        <v>0</v>
      </c>
      <c r="AN114" s="344">
        <f>Tabla16[[#This Row],[COSTO UNITARIO AÑO 4 2]]*(1+BASES!$H$10)</f>
        <v>0</v>
      </c>
      <c r="AO114" s="344">
        <f>Tabla16[[#This Row],[COSTO POR UNIDAD DE PRODUCTO (2) ]]*$C$76*VLOOKUP(Tabla16[[#This Row],[CÓDIGO DEL PRODUCTO Y/O SERVICIO ]],Tabla3[],3)</f>
        <v>0</v>
      </c>
      <c r="AP114" s="344">
        <f>Tabla16[[#This Row],[COSTO POR UNIDAD DE PRODUCTO (2) ]]*Tabla16[[#This Row],[COSTO UNITARIO AÑO 2 2]]*VLOOKUP(Tabla16[[#This Row],[CÓDIGO DEL PRODUCTO Y/O SERVICIO ]],Tabla3[],6)</f>
        <v>0</v>
      </c>
      <c r="AQ114" s="344">
        <f>Tabla16[[#This Row],[COSTO POR UNIDAD DE PRODUCTO (2) ]]*Tabla16[[#This Row],[COSTO UNITARIO AÑO 3 2]]*VLOOKUP(Tabla16[[#This Row],[CÓDIGO DEL PRODUCTO Y/O SERVICIO ]],Tabla3[],10)</f>
        <v>0</v>
      </c>
      <c r="AR114" s="344">
        <f>Tabla16[[#This Row],[COSTO POR UNIDAD DE PRODUCTO (2) ]]*Tabla16[[#This Row],[COSTO UNITARIO AÑO 4 2]]*VLOOKUP(Tabla16[[#This Row],[CÓDIGO DEL PRODUCTO Y/O SERVICIO ]],Tabla3[],14)</f>
        <v>0</v>
      </c>
      <c r="AS114" s="344">
        <f>Tabla16[[#This Row],[COSTO POR UNIDAD DE PRODUCTO (2) ]]*Tabla16[[#This Row],[COSTO UNITARIO AÑO 5 2 ]]*VLOOKUP(Tabla16[[#This Row],[CÓDIGO DEL PRODUCTO Y/O SERVICIO ]],Tabla3[],18)</f>
        <v>0</v>
      </c>
      <c r="AT114" s="114">
        <f>VLOOKUP(Tabla16[[#This Row],[CÓDIGO DEL PRODUCTO Y/O SERVICIO ]],Tabla3[],3)</f>
        <v>400</v>
      </c>
      <c r="AU114" s="114">
        <f>Tabla16[[#This Row],[UNIDADES PRODUCIDAS AÑO 1 3]]*H93</f>
        <v>0</v>
      </c>
      <c r="AV114" s="112">
        <f>VLOOKUP(Tabla16[[#This Row],[CÓDIGO DEL PRODUCTO Y/O SERVICIO ]],Tabla3[],9)</f>
        <v>0.25</v>
      </c>
      <c r="AW114" s="114">
        <f>Tabla16[[#This Row],[CANTIDADES A UTILIZAR EN EL AÑO 1 3]]*(1+Tabla16[[#This Row],[CAMBIO PORCENTUAL EN UNIDADES VENDIDAS AÑO 2 3]])</f>
        <v>0</v>
      </c>
      <c r="AX114" s="112">
        <f>VLOOKUP(Tabla16[[#This Row],[CÓDIGO DEL PRODUCTO Y/O SERVICIO ]],Tabla3[],13)</f>
        <v>0.36</v>
      </c>
      <c r="AY114" s="114">
        <f>Tabla16[[#This Row],[CANTIDADES A UTILIZAR EN EL AÑO 2 3]]*(1+Tabla16[[#This Row],[CAMBIO PORCENTUAL EN UNIDADES VENDIDAS AÑO 3 3]])</f>
        <v>0</v>
      </c>
      <c r="AZ114" s="112">
        <f>VLOOKUP(Tabla16[[#This Row],[CÓDIGO DEL PRODUCTO Y/O SERVICIO ]],Tabla3[],17)</f>
        <v>5.8823529411764705E-2</v>
      </c>
      <c r="BA114" s="114">
        <f>Tabla16[[#This Row],[CANTIDADES A UTILIZAR EN EL AÑO 3 3]]*(1+Tabla16[[#This Row],[CAMBIO PORCENTUAL EN UNIDADES VENDIDAS AÑO 4 3]])</f>
        <v>0</v>
      </c>
      <c r="BB114" s="112">
        <f>VLOOKUP(Tabla16[[#This Row],[CÓDIGO DEL PRODUCTO Y/O SERVICIO ]],Tabla3[],21)</f>
        <v>0.22222222222222221</v>
      </c>
      <c r="BC114" s="114">
        <f>Tabla16[[#This Row],[CANTIDADES A UTILIZAR EN EL AÑO 4 3]]*(1+Tabla16[[#This Row],[CAMBIO PORCENTUAL EN UNIDADES VENDIDAS AÑO 5 3]])</f>
        <v>0</v>
      </c>
      <c r="BD114" s="344">
        <f>IF(Tabla16[[#This Row],[CANTIDADES A UTILIZAR EN EL AÑO 1 3]]=0,0,Tabla16[[#This Row],[CANTIDADES A UTILIZAR EN EL AÑO 1 3]]*1/Tabla16[[#This Row],[UNIDADES PRODUCIDAS AÑO 1 3]])</f>
        <v>0</v>
      </c>
      <c r="BE114" s="344">
        <f>$C$77*(1+BASES!$E$10)</f>
        <v>0</v>
      </c>
      <c r="BF114" s="344">
        <f>Tabla16[[#This Row],[COSTO UNITARIO AÑO 2 3]]*(1+BASES!$F$10)</f>
        <v>0</v>
      </c>
      <c r="BG114" s="344">
        <f>Tabla16[[#This Row],[COSTO UNITARIO AÑO 3 3]]*(1+BASES!$G$10)</f>
        <v>0</v>
      </c>
      <c r="BH114" s="344">
        <f>Tabla16[[#This Row],[COSTO UNITARIO AÑO 4 3]]*(1+BASES!$H$10)</f>
        <v>0</v>
      </c>
      <c r="BI114" s="344">
        <f>Tabla16[[#This Row],[COSTO POR UNIDAD DE PRODUCTO (3) ]]*$C$77*VLOOKUP(Tabla16[[#This Row],[CÓDIGO DEL PRODUCTO Y/O SERVICIO ]],Tabla3[],3)</f>
        <v>0</v>
      </c>
      <c r="BJ114" s="344">
        <f>Tabla16[[#This Row],[COSTO POR UNIDAD DE PRODUCTO (3) ]]*Tabla16[[#This Row],[COSTO UNITARIO AÑO 2 3]]*VLOOKUP(Tabla16[[#This Row],[CÓDIGO DEL PRODUCTO Y/O SERVICIO ]],Tabla3[],6)</f>
        <v>0</v>
      </c>
      <c r="BK114" s="344">
        <f>Tabla16[[#This Row],[COSTO POR UNIDAD DE PRODUCTO (3) ]]*Tabla16[[#This Row],[COSTO UNITARIO AÑO 3 3]]*VLOOKUP(Tabla16[[#This Row],[CÓDIGO DEL PRODUCTO Y/O SERVICIO ]],Tabla3[],10)</f>
        <v>0</v>
      </c>
      <c r="BL114" s="344">
        <f>Tabla16[[#This Row],[COSTO POR UNIDAD DE PRODUCTO (3) ]]*Tabla16[[#This Row],[COSTO UNITARIO AÑO 4 3]]*VLOOKUP(Tabla16[[#This Row],[CÓDIGO DEL PRODUCTO Y/O SERVICIO ]],Tabla3[],14)</f>
        <v>0</v>
      </c>
      <c r="BM114" s="344">
        <f>Tabla16[[#This Row],[COSTO POR UNIDAD DE PRODUCTO (3) ]]*Tabla16[[#This Row],[COSTO UNITARIO AÑO 5 3]]*VLOOKUP(Tabla16[[#This Row],[CÓDIGO DEL PRODUCTO Y/O SERVICIO ]],Tabla3[],18)</f>
        <v>0</v>
      </c>
      <c r="BN114" s="114">
        <f>VLOOKUP(Tabla16[[#This Row],[CÓDIGO DEL PRODUCTO Y/O SERVICIO ]],Tabla3[],3)</f>
        <v>400</v>
      </c>
      <c r="BO114" s="114">
        <f>Tabla16[[#This Row],[UNIDADES PRODUCIDAS AÑO 1 4]]*I93</f>
        <v>0</v>
      </c>
      <c r="BP114" s="112">
        <f>VLOOKUP(Tabla16[[#This Row],[CÓDIGO DEL PRODUCTO Y/O SERVICIO ]],Tabla3[],9)</f>
        <v>0.25</v>
      </c>
      <c r="BQ114" s="114">
        <f>Tabla16[[#This Row],[CANTIDADES A UTILIZAR EN EL AÑO 1 4]]*(1+Tabla16[[#This Row],[CAMBIO PORCENTUAL EN UNIDADES VENDIDAS AÑO 2 4]])</f>
        <v>0</v>
      </c>
      <c r="BR114" s="112">
        <f>VLOOKUP(Tabla16[[#This Row],[CÓDIGO DEL PRODUCTO Y/O SERVICIO ]],Tabla3[],13)</f>
        <v>0.36</v>
      </c>
      <c r="BS114" s="114">
        <f>Tabla16[[#This Row],[CANTIDADES A UTILIZAR EN EL AÑO 2 4]]*(1+Tabla16[[#This Row],[CAMBIO PORCENTUAL EN UNIDADES VENDIDAS AÑO 3 4]])</f>
        <v>0</v>
      </c>
      <c r="BT114" s="112">
        <f>VLOOKUP(Tabla16[[#This Row],[CÓDIGO DEL PRODUCTO Y/O SERVICIO ]],Tabla3[],17)</f>
        <v>5.8823529411764705E-2</v>
      </c>
      <c r="BU114" s="114">
        <f>Tabla16[[#This Row],[CANTIDADES A UTILIZAR EN EL AÑO 3 4]]*(1+Tabla16[[#This Row],[CAMBIO PORCENTUAL EN UNIDADES VENDIDAS AÑO 4 4]])</f>
        <v>0</v>
      </c>
      <c r="BV114" s="112">
        <f>VLOOKUP(Tabla16[[#This Row],[CÓDIGO DEL PRODUCTO Y/O SERVICIO ]],Tabla3[],21)</f>
        <v>0.22222222222222221</v>
      </c>
      <c r="BW114" s="114">
        <f>Tabla16[[#This Row],[CANTIDADES A UTILIZAR EN EL AÑO 4 4]]*(1+Tabla16[[#This Row],[CAMBIO PORCENTUAL EN UNIDADES VENDIDAS AÑO 5 4]])</f>
        <v>0</v>
      </c>
      <c r="BX114" s="344">
        <f>IF(Tabla16[[#This Row],[CANTIDADES A UTILIZAR EN EL AÑO 1 4]]=0,0,Tabla16[[#This Row],[CANTIDADES A UTILIZAR EN EL AÑO 1 4]]*1/Tabla16[[#This Row],[UNIDADES PRODUCIDAS AÑO 1 4]])</f>
        <v>0</v>
      </c>
      <c r="BY114" s="344">
        <f>$C$78*(1+BASES!$E$10)</f>
        <v>0</v>
      </c>
      <c r="BZ114" s="344">
        <f>Tabla16[[#This Row],[COSTO UNITARIO AÑO 2 4]]*(1+BASES!$F$10)</f>
        <v>0</v>
      </c>
      <c r="CA114" s="344">
        <f>Tabla16[[#This Row],[COSTO UNITARIO AÑO 3 4 ]]*(1+BASES!$G$10)</f>
        <v>0</v>
      </c>
      <c r="CB114" s="344">
        <f>Tabla16[[#This Row],[COSTO UNITARIO AÑO 4 4]]*(1+BASES!$H$10)</f>
        <v>0</v>
      </c>
      <c r="CC114" s="344">
        <f>Tabla16[[#This Row],[COSTO POR UNIDAD DE PRODUCTO (4)]]*$C$78*VLOOKUP(Tabla16[[#This Row],[CÓDIGO DEL PRODUCTO Y/O SERVICIO ]],Tabla3[],3)</f>
        <v>0</v>
      </c>
      <c r="CD114" s="344">
        <f>Tabla16[[#This Row],[COSTO POR UNIDAD DE PRODUCTO (4)]]*Tabla16[[#This Row],[COSTO UNITARIO AÑO 2 4]]*VLOOKUP(Tabla16[[#This Row],[CÓDIGO DEL PRODUCTO Y/O SERVICIO ]],Tabla3[],6)</f>
        <v>0</v>
      </c>
      <c r="CE114" s="344">
        <f>Tabla16[[#This Row],[COSTO POR UNIDAD DE PRODUCTO (4)]]*Tabla16[[#This Row],[COSTO UNITARIO AÑO 3 4 ]]*VLOOKUP(Tabla16[[#This Row],[CÓDIGO DEL PRODUCTO Y/O SERVICIO ]],Tabla3[],10)</f>
        <v>0</v>
      </c>
      <c r="CF114" s="344">
        <f>Tabla16[[#This Row],[COSTO POR UNIDAD DE PRODUCTO (4)]]*Tabla16[[#This Row],[COSTO UNITARIO AÑO 4 4]]*VLOOKUP(Tabla16[[#This Row],[CÓDIGO DEL PRODUCTO Y/O SERVICIO ]],Tabla3[],14)</f>
        <v>0</v>
      </c>
      <c r="CG114" s="344">
        <f>Tabla16[[#This Row],[COSTO POR UNIDAD DE PRODUCTO (4)]]*Tabla16[[#This Row],[COSTO UNITARIO AÑO 5 4 ]]*VLOOKUP(Tabla16[[#This Row],[CÓDIGO DEL PRODUCTO Y/O SERVICIO ]],Tabla3[],18)</f>
        <v>0</v>
      </c>
      <c r="CH114" s="114">
        <f>VLOOKUP(Tabla16[[#This Row],[CÓDIGO DEL PRODUCTO Y/O SERVICIO ]],Tabla3[],3)</f>
        <v>400</v>
      </c>
      <c r="CI114" s="114">
        <f>Tabla16[[#This Row],[UNIDADES PRODUCIDAS AÑO 1 5]]*J93</f>
        <v>0</v>
      </c>
      <c r="CJ114" s="112">
        <f>VLOOKUP(Tabla16[[#This Row],[CÓDIGO DEL PRODUCTO Y/O SERVICIO ]],Tabla3[],9)</f>
        <v>0.25</v>
      </c>
      <c r="CK114" s="114">
        <f>Tabla16[[#This Row],[CANTIDADES A UTILIZAR EN EL AÑO 1 5]]*(1+Tabla16[[#This Row],[CAMBIO PORCENTUAL EN UNIDADES VENDIDAS AÑO 2 5]])</f>
        <v>0</v>
      </c>
      <c r="CL114" s="112">
        <f>VLOOKUP(Tabla16[[#This Row],[CÓDIGO DEL PRODUCTO Y/O SERVICIO ]],Tabla3[],13)</f>
        <v>0.36</v>
      </c>
      <c r="CM114" s="114">
        <f>Tabla16[[#This Row],[CANTIDADES A UTILIZAR EN EL AÑO 2 5]]*(1+Tabla16[[#This Row],[CAMBIO PORCENTUAL EN UNIDADES VENDIDAS AÑO 3 5]])</f>
        <v>0</v>
      </c>
      <c r="CN114" s="112">
        <f>VLOOKUP(Tabla16[[#This Row],[CÓDIGO DEL PRODUCTO Y/O SERVICIO ]],Tabla3[],17)</f>
        <v>5.8823529411764705E-2</v>
      </c>
      <c r="CO114" s="114">
        <f>Tabla16[[#This Row],[CANTIDADES A UTILIZAR EN EL AÑO 3 5 ]]*(1+Tabla16[[#This Row],[CAMBIO PORCENTUAL EN UNIDADES VENDIDAS AÑO 4 5]])</f>
        <v>0</v>
      </c>
      <c r="CP114" s="112">
        <f>VLOOKUP(Tabla16[[#This Row],[CÓDIGO DEL PRODUCTO Y/O SERVICIO ]],Tabla3[],21)</f>
        <v>0.22222222222222221</v>
      </c>
      <c r="CQ114" s="114">
        <f>Tabla16[[#This Row],[CANTIDADES A UTILIZAR EN EL AÑO 4 5]]*(1+Tabla16[[#This Row],[CAMBIO PORCENTUAL EN UNIDADES VENDIDAS AÑO 5 5]])</f>
        <v>0</v>
      </c>
      <c r="CR114" s="344">
        <f>IF(Tabla16[[#This Row],[CANTIDADES A UTILIZAR EN EL AÑO 1 5]]=0,0,Tabla16[[#This Row],[CANTIDADES A UTILIZAR EN EL AÑO 1 5]]*1/Tabla16[[#This Row],[UNIDADES PRODUCIDAS AÑO 1 5]])</f>
        <v>0</v>
      </c>
      <c r="CS114" s="344">
        <f>$C$79*(1+BASES!$E$10)</f>
        <v>0</v>
      </c>
      <c r="CT114" s="344">
        <f>Tabla16[[#This Row],[COSTO UNITARIO AÑO 2 5]]*(1+BASES!$F$10)</f>
        <v>0</v>
      </c>
      <c r="CU114" s="344">
        <f>Tabla16[[#This Row],[COSTO UNITARIO AÑO 3 5]]*(1+BASES!$G$10)</f>
        <v>0</v>
      </c>
      <c r="CV114" s="344">
        <f>Tabla16[[#This Row],[COSTO UNITARIO AÑO 4 5]]*(1+BASES!$H$10)</f>
        <v>0</v>
      </c>
      <c r="CW114" s="344">
        <f>Tabla16[[#This Row],[COSTO POR UNIDAD DE PRODUCTO (5) ]]*$C$79*VLOOKUP(Tabla16[[#This Row],[CÓDIGO DEL PRODUCTO Y/O SERVICIO ]],Tabla3[],3)</f>
        <v>0</v>
      </c>
      <c r="CX114" s="344">
        <f>Tabla16[[#This Row],[COSTO POR UNIDAD DE PRODUCTO (5) ]]*Tabla16[[#This Row],[COSTO UNITARIO AÑO 2 5]]*VLOOKUP(Tabla16[[#This Row],[CÓDIGO DEL PRODUCTO Y/O SERVICIO ]],Tabla3[],6)</f>
        <v>0</v>
      </c>
      <c r="CY114" s="344">
        <f>Tabla16[[#This Row],[COSTO POR UNIDAD DE PRODUCTO (5) ]]*Tabla16[[#This Row],[COSTO UNITARIO AÑO 3 5]]*VLOOKUP(Tabla16[[#This Row],[CÓDIGO DEL PRODUCTO Y/O SERVICIO ]],Tabla3[],10)</f>
        <v>0</v>
      </c>
      <c r="CZ114" s="344">
        <f>Tabla16[[#This Row],[COSTO POR UNIDAD DE PRODUCTO (5) ]]*Tabla16[[#This Row],[COSTO UNITARIO AÑO 4 5]]*VLOOKUP(Tabla16[[#This Row],[CÓDIGO DEL PRODUCTO Y/O SERVICIO ]],Tabla3[],14)</f>
        <v>0</v>
      </c>
      <c r="DA114" s="344">
        <f>Tabla16[[#This Row],[COSTO POR UNIDAD DE PRODUCTO (5) ]]*Tabla16[[#This Row],[COSTO UNITARIO AÑO 5 5]]*VLOOKUP(Tabla16[[#This Row],[CÓDIGO DEL PRODUCTO Y/O SERVICIO ]],Tabla3[],18)</f>
        <v>0</v>
      </c>
      <c r="DB114" s="114">
        <f>VLOOKUP(Tabla16[[#This Row],[CÓDIGO DEL PRODUCTO Y/O SERVICIO ]],Tabla3[],3)</f>
        <v>400</v>
      </c>
      <c r="DC114" s="114">
        <f>Tabla16[[#This Row],[UNIDADES PRODUCIDAS AÑO 1 6]]*K93</f>
        <v>0</v>
      </c>
      <c r="DD114" s="112">
        <f>VLOOKUP(Tabla16[[#This Row],[CÓDIGO DEL PRODUCTO Y/O SERVICIO ]],Tabla3[],9)</f>
        <v>0.25</v>
      </c>
      <c r="DE114" s="114">
        <f>Tabla16[[#This Row],[CANTIDADES A UTILIZAR EN EL AÑO 1 6]]*(1+Tabla16[[#This Row],[CAMBIO PORCENTUAL EN UNIDADES VENDIDAS AÑO 2 6]])</f>
        <v>0</v>
      </c>
      <c r="DF114" s="112">
        <f>VLOOKUP(Tabla16[[#This Row],[CÓDIGO DEL PRODUCTO Y/O SERVICIO ]],Tabla3[],13)</f>
        <v>0.36</v>
      </c>
      <c r="DG114" s="114">
        <f>Tabla16[[#This Row],[CANTIDADES A UTILIZAR EN EL AÑO 2 6]]*(1+Tabla16[[#This Row],[CAMBIO PORCENTUAL EN UNIDADES VENDIDAS AÑO 3 6]])</f>
        <v>0</v>
      </c>
      <c r="DH114" s="112">
        <f>VLOOKUP(Tabla16[[#This Row],[CÓDIGO DEL PRODUCTO Y/O SERVICIO ]],Tabla3[],17)</f>
        <v>5.8823529411764705E-2</v>
      </c>
      <c r="DI114" s="114">
        <f>Tabla16[[#This Row],[CANTIDADES A UTILIZAR EN EL AÑO 3 6]]*(1+Tabla16[[#This Row],[CAMBIO PORCENTUAL EN UNIDADES VENDIDAS AÑO 4 6]])</f>
        <v>0</v>
      </c>
      <c r="DJ114" s="112">
        <f>VLOOKUP(Tabla16[[#This Row],[CÓDIGO DEL PRODUCTO Y/O SERVICIO ]],Tabla3[],21)</f>
        <v>0.22222222222222221</v>
      </c>
      <c r="DK114" s="114">
        <f>Tabla16[[#This Row],[CANTIDADES A UTILIZAR EN EL AÑO 4 6]]*(1+Tabla16[[#This Row],[CAMBIO PORCENTUAL EN UNIDADES VENDIDAS AÑO 5 6]])</f>
        <v>0</v>
      </c>
      <c r="DL114" s="344">
        <f>IF(Tabla16[[#This Row],[CANTIDADES A UTILIZAR EN EL AÑO 1 6]]=0,0,Tabla16[[#This Row],[CANTIDADES A UTILIZAR EN EL AÑO 1 6]]*1/Tabla16[[#This Row],[UNIDADES PRODUCIDAS AÑO 1 6]])</f>
        <v>0</v>
      </c>
      <c r="DM114" s="344">
        <f>$C$80*(1+BASES!$E$10)</f>
        <v>0</v>
      </c>
      <c r="DN114" s="344">
        <f>Tabla16[[#This Row],[COSTO UNITARIO AÑO 2 6]]*(1+BASES!$F$10)</f>
        <v>0</v>
      </c>
      <c r="DO114" s="344">
        <f>Tabla16[[#This Row],[COSTO UNITARIO AÑO 3 6]]*(1+BASES!$G$10)</f>
        <v>0</v>
      </c>
      <c r="DP114" s="344">
        <f>Tabla16[[#This Row],[COSTO UNITARIO AÑO 4 6]]*(1+BASES!$H$10)</f>
        <v>0</v>
      </c>
      <c r="DQ114" s="344">
        <f>Tabla16[[#This Row],[COSTO POR UNIDAD DE PRODUCTO (6) ]]*$C$80*VLOOKUP(Tabla16[[#This Row],[CÓDIGO DEL PRODUCTO Y/O SERVICIO ]],Tabla3[],3)</f>
        <v>0</v>
      </c>
      <c r="DR114" s="344">
        <f>Tabla16[[#This Row],[COSTO POR UNIDAD DE PRODUCTO (6) ]]*Tabla16[[#This Row],[COSTO UNITARIO AÑO 2 6]]*VLOOKUP(Tabla16[[#This Row],[CÓDIGO DEL PRODUCTO Y/O SERVICIO ]],Tabla3[],6)</f>
        <v>0</v>
      </c>
      <c r="DS114" s="344">
        <f>Tabla16[[#This Row],[COSTO POR UNIDAD DE PRODUCTO (6) ]]*Tabla16[[#This Row],[COSTO UNITARIO AÑO 3 6]]*VLOOKUP(Tabla16[[#This Row],[CÓDIGO DEL PRODUCTO Y/O SERVICIO ]],Tabla3[],10)</f>
        <v>0</v>
      </c>
      <c r="DT114" s="344">
        <f>Tabla16[[#This Row],[COSTO POR UNIDAD DE PRODUCTO (6) ]]*Tabla16[[#This Row],[COSTO UNITARIO AÑO 4 6]]*VLOOKUP(Tabla16[[#This Row],[CÓDIGO DEL PRODUCTO Y/O SERVICIO ]],Tabla3[],14)</f>
        <v>0</v>
      </c>
      <c r="DU114" s="344">
        <f>Tabla16[[#This Row],[COSTO POR UNIDAD DE PRODUCTO (6) ]]*Tabla16[[#This Row],[COSTO UNITARIO AÑO 5 6]]*VLOOKUP(Tabla16[[#This Row],[CÓDIGO DEL PRODUCTO Y/O SERVICIO ]],Tabla3[],18)</f>
        <v>0</v>
      </c>
      <c r="DV114" s="114">
        <f>VLOOKUP(Tabla16[[#This Row],[CÓDIGO DEL PRODUCTO Y/O SERVICIO ]],Tabla3[],3)</f>
        <v>400</v>
      </c>
      <c r="DW114" s="114">
        <f>Tabla16[[#This Row],[UNIDADES PRODUCIDAS AÑO 1 7]]*L93</f>
        <v>0</v>
      </c>
      <c r="DX114" s="112">
        <f>VLOOKUP(Tabla16[[#This Row],[CÓDIGO DEL PRODUCTO Y/O SERVICIO ]],Tabla3[],9)</f>
        <v>0.25</v>
      </c>
      <c r="DY114" s="114">
        <f>Tabla16[[#This Row],[CANTIDADES A UTILIZAR EN EL AÑO 1 7]]*(1+Tabla16[[#This Row],[CAMBIO PORCENTUAL EN UNIDADES VENDIDAS AÑO 2 7]])</f>
        <v>0</v>
      </c>
      <c r="DZ114" s="112">
        <f>VLOOKUP(Tabla16[[#This Row],[CÓDIGO DEL PRODUCTO Y/O SERVICIO ]],Tabla3[],13)</f>
        <v>0.36</v>
      </c>
      <c r="EA114" s="114">
        <f>Tabla16[[#This Row],[CANTIDADES A UTILIZAR EN EL AÑO 2 7]]*(1+Tabla16[[#This Row],[CAMBIO PORCENTUAL EN UNIDADES VENDIDAS AÑO 3 7]])</f>
        <v>0</v>
      </c>
      <c r="EB114" s="112">
        <f>VLOOKUP(Tabla16[[#This Row],[CÓDIGO DEL PRODUCTO Y/O SERVICIO ]],Tabla3[],17)</f>
        <v>5.8823529411764705E-2</v>
      </c>
      <c r="EC114" s="114">
        <f>Tabla16[[#This Row],[CANTIDADES A UTILIZAR EN EL AÑO 3 7]]*(1+Tabla16[[#This Row],[CAMBIO PORCENTUAL EN UNIDADES VENDIDAS AÑO 4 7]])</f>
        <v>0</v>
      </c>
      <c r="ED114" s="112">
        <f>VLOOKUP(Tabla16[[#This Row],[CÓDIGO DEL PRODUCTO Y/O SERVICIO ]],Tabla3[],21)</f>
        <v>0.22222222222222221</v>
      </c>
      <c r="EE114" s="114">
        <f>Tabla16[[#This Row],[CANTIDADES A UTILIZAR EN EL AÑO 4 7]]*(1+Tabla16[[#This Row],[CAMBIO PORCENTUAL EN UNIDADES VENDIDAS AÑO 5 7]])</f>
        <v>0</v>
      </c>
      <c r="EF114" s="344">
        <f>IF(Tabla16[[#This Row],[CANTIDADES A UTILIZAR EN EL AÑO 1 7]]=0,0,Tabla16[[#This Row],[CANTIDADES A UTILIZAR EN EL AÑO 1 7]]*1/Tabla16[[#This Row],[UNIDADES PRODUCIDAS AÑO 1 7]])</f>
        <v>0</v>
      </c>
      <c r="EG114" s="344">
        <f>$C$81*(1+BASES!$E$10)</f>
        <v>0</v>
      </c>
      <c r="EH114" s="344">
        <f>Tabla16[[#This Row],[COSTO UNITARIO AÑO 2 7]]*(1+BASES!$F$10)</f>
        <v>0</v>
      </c>
      <c r="EI114" s="344">
        <f>Tabla16[[#This Row],[COSTO UNITARIO AÑO 3 7]]*(1+BASES!$G$10)</f>
        <v>0</v>
      </c>
      <c r="EJ114" s="344">
        <f>Tabla16[[#This Row],[COSTO UNITARIO AÑO 4 7]]*(1+BASES!$H$10)</f>
        <v>0</v>
      </c>
      <c r="EK114" s="344">
        <f>Tabla16[[#This Row],[COSTO POR UNIDAD DE PRODUCTO (7) ]]*$C$81*VLOOKUP(Tabla16[[#This Row],[CÓDIGO DEL PRODUCTO Y/O SERVICIO ]],Tabla3[],3)</f>
        <v>0</v>
      </c>
      <c r="EL114" s="344">
        <f>Tabla16[[#This Row],[COSTO POR UNIDAD DE PRODUCTO (7) ]]*Tabla16[[#This Row],[COSTO UNITARIO AÑO 2 7]]*VLOOKUP(Tabla16[[#This Row],[CÓDIGO DEL PRODUCTO Y/O SERVICIO ]],Tabla3[],6)</f>
        <v>0</v>
      </c>
      <c r="EM114" s="344">
        <f>Tabla16[[#This Row],[COSTO POR UNIDAD DE PRODUCTO (7) ]]*Tabla16[[#This Row],[COSTO UNITARIO AÑO 3 7]]*VLOOKUP(Tabla16[[#This Row],[CÓDIGO DEL PRODUCTO Y/O SERVICIO ]],Tabla3[],10)</f>
        <v>0</v>
      </c>
      <c r="EN114" s="344">
        <f>Tabla16[[#This Row],[COSTO POR UNIDAD DE PRODUCTO (7) ]]*Tabla16[[#This Row],[COSTO UNITARIO AÑO 4 7]]*VLOOKUP(Tabla16[[#This Row],[CÓDIGO DEL PRODUCTO Y/O SERVICIO ]],Tabla3[],14)</f>
        <v>0</v>
      </c>
      <c r="EO114" s="344">
        <f>Tabla16[[#This Row],[COSTO POR UNIDAD DE PRODUCTO (7) ]]*Tabla16[[#This Row],[COSTO UNITARIO AÑO 5 7]]*VLOOKUP(Tabla16[[#This Row],[CÓDIGO DEL PRODUCTO Y/O SERVICIO ]],Tabla3[],18)</f>
        <v>0</v>
      </c>
      <c r="EP114" s="114">
        <f>VLOOKUP(Tabla16[[#This Row],[CÓDIGO DEL PRODUCTO Y/O SERVICIO ]],Tabla3[],3)</f>
        <v>400</v>
      </c>
      <c r="EQ114" s="114">
        <f>Tabla16[[#This Row],[UNIDADES PRODUCIDAS AÑO 1 8]]*M93</f>
        <v>0</v>
      </c>
      <c r="ER114" s="112">
        <f>VLOOKUP(Tabla16[[#This Row],[CÓDIGO DEL PRODUCTO Y/O SERVICIO ]],Tabla3[],9)</f>
        <v>0.25</v>
      </c>
      <c r="ES114" s="114">
        <f>Tabla16[[#This Row],[CANTIDADES A UTILIZAR EN EL AÑO 1 8]]*(1+Tabla16[[#This Row],[CAMBIO PORCENTUAL EN UNIDADES VENDIDAS AÑO 2 8]])</f>
        <v>0</v>
      </c>
      <c r="ET114" s="112">
        <f>VLOOKUP(Tabla16[[#This Row],[CÓDIGO DEL PRODUCTO Y/O SERVICIO ]],Tabla3[],13)</f>
        <v>0.36</v>
      </c>
      <c r="EU114" s="114">
        <f>Tabla16[[#This Row],[CANTIDADES A UTILIZAR EN EL AÑO 2 8]]*(1+Tabla16[[#This Row],[CAMBIO PORCENTUAL EN UNIDADES VENDIDAS AÑO 3 8]])</f>
        <v>0</v>
      </c>
      <c r="EV114" s="112">
        <f>VLOOKUP(Tabla16[[#This Row],[CÓDIGO DEL PRODUCTO Y/O SERVICIO ]],Tabla3[],17)</f>
        <v>5.8823529411764705E-2</v>
      </c>
      <c r="EW114" s="114">
        <f>Tabla16[[#This Row],[CANTIDADES A UTILIZAR EN EL AÑO 3 8]]*(1+Tabla16[[#This Row],[CAMBIO PORCENTUAL EN UNIDADES VENDIDAS AÑO 4 8]])</f>
        <v>0</v>
      </c>
      <c r="EX114" s="112">
        <f>VLOOKUP(Tabla16[[#This Row],[CÓDIGO DEL PRODUCTO Y/O SERVICIO ]],Tabla3[],21)</f>
        <v>0.22222222222222221</v>
      </c>
      <c r="EY114" s="114">
        <f>Tabla16[[#This Row],[CANTIDADES A UTILIZAR EN EL AÑO 4 8]]*(1+Tabla16[[#This Row],[CAMBIO PORCENTUAL EN UNIDADES VENDIDAS AÑO 5 8]])</f>
        <v>0</v>
      </c>
      <c r="EZ114" s="344">
        <f>IF(Tabla16[[#This Row],[CANTIDADES A UTILIZAR EN EL AÑO 1 8]]=0,0,Tabla16[[#This Row],[CANTIDADES A UTILIZAR EN EL AÑO 1 8]]*1/Tabla16[[#This Row],[UNIDADES PRODUCIDAS AÑO 1 8]])</f>
        <v>0</v>
      </c>
      <c r="FA114" s="344">
        <f>$C$82*(1+BASES!$E$10)</f>
        <v>0</v>
      </c>
      <c r="FB114" s="344">
        <f>Tabla16[[#This Row],[COSTO UNITARIO AÑO 2 8]]*(1+BASES!$F$10)</f>
        <v>0</v>
      </c>
      <c r="FC114" s="344">
        <f>Tabla16[[#This Row],[COSTO UNITARIO AÑO 3 8]]*(1+BASES!$G$10)</f>
        <v>0</v>
      </c>
      <c r="FD114" s="344">
        <f>Tabla16[[#This Row],[COSTO UNITARIO AÑO 4 8]]*(1+BASES!$H$10)</f>
        <v>0</v>
      </c>
      <c r="FE114" s="344">
        <f>Tabla16[[#This Row],[COSTO POR UNIDAD DE PRODUCTO (8) ]]*$C$82*VLOOKUP(Tabla16[[#This Row],[CÓDIGO DEL PRODUCTO Y/O SERVICIO ]],Tabla3[],3)</f>
        <v>0</v>
      </c>
      <c r="FF114" s="344">
        <f>Tabla16[[#This Row],[COSTO POR UNIDAD DE PRODUCTO (8) ]]*Tabla16[[#This Row],[COSTO UNITARIO AÑO 2 8]]*VLOOKUP(Tabla16[[#This Row],[CÓDIGO DEL PRODUCTO Y/O SERVICIO ]],Tabla3[],6)</f>
        <v>0</v>
      </c>
      <c r="FG114" s="344">
        <f>Tabla16[[#This Row],[COSTO POR UNIDAD DE PRODUCTO (8) ]]*Tabla16[[#This Row],[COSTO UNITARIO AÑO 3 8]]*VLOOKUP(Tabla16[[#This Row],[CÓDIGO DEL PRODUCTO Y/O SERVICIO ]],Tabla3[],10)</f>
        <v>0</v>
      </c>
      <c r="FH114" s="344">
        <f>Tabla16[[#This Row],[COSTO POR UNIDAD DE PRODUCTO (8) ]]*Tabla16[[#This Row],[COSTO UNITARIO AÑO 4 8]]*VLOOKUP(Tabla16[[#This Row],[CÓDIGO DEL PRODUCTO Y/O SERVICIO ]],Tabla3[],14)</f>
        <v>0</v>
      </c>
      <c r="FI114" s="344">
        <f>Tabla16[[#This Row],[COSTO POR UNIDAD DE PRODUCTO (8) ]]*Tabla16[[#This Row],[COSTO UNITARIO AÑO 5 8]]*VLOOKUP(Tabla16[[#This Row],[CÓDIGO DEL PRODUCTO Y/O SERVICIO ]],Tabla3[],18)</f>
        <v>0</v>
      </c>
      <c r="FJ114" s="114">
        <f>VLOOKUP(Tabla16[[#This Row],[CÓDIGO DEL PRODUCTO Y/O SERVICIO ]],Tabla3[],3)</f>
        <v>400</v>
      </c>
      <c r="FK114" s="114">
        <f>Tabla16[[#This Row],[UNIDADES PRODUCIDAS AÑO 1 9]]*N93</f>
        <v>0</v>
      </c>
      <c r="FL114" s="112">
        <f>VLOOKUP(Tabla16[[#This Row],[CÓDIGO DEL PRODUCTO Y/O SERVICIO ]],Tabla3[],9)</f>
        <v>0.25</v>
      </c>
      <c r="FM114" s="114">
        <f>Tabla16[[#This Row],[CANTIDADES A UTILIZAR EN EL AÑO 1 9]]*(1+Tabla16[[#This Row],[CAMBIO PORCENTUAL EN UNIDADES VENDIDAS AÑO 2 9]])</f>
        <v>0</v>
      </c>
      <c r="FN114" s="112">
        <f>VLOOKUP(Tabla16[[#This Row],[CÓDIGO DEL PRODUCTO Y/O SERVICIO ]],Tabla3[],13)</f>
        <v>0.36</v>
      </c>
      <c r="FO114" s="114">
        <f>Tabla16[[#This Row],[CANTIDADES A UTILIZAR EN EL AÑO 2 9]]*(1+Tabla16[[#This Row],[CAMBIO PORCENTUAL EN UNIDADES VENDIDAS AÑO 3 9]])</f>
        <v>0</v>
      </c>
      <c r="FP114" s="112">
        <f>VLOOKUP(Tabla16[[#This Row],[CÓDIGO DEL PRODUCTO Y/O SERVICIO ]],Tabla3[],17)</f>
        <v>5.8823529411764705E-2</v>
      </c>
      <c r="FQ114" s="114">
        <f>Tabla16[[#This Row],[CANTIDADES A UTILIZAR EN EL AÑO 3 9]]*(1+Tabla16[[#This Row],[CAMBIO PORCENTUAL EN UNIDADES VENDIDAS AÑO 4 9]])</f>
        <v>0</v>
      </c>
      <c r="FR114" s="112">
        <f>VLOOKUP(Tabla16[[#This Row],[CÓDIGO DEL PRODUCTO Y/O SERVICIO ]],Tabla3[],21)</f>
        <v>0.22222222222222221</v>
      </c>
      <c r="FS114" s="114">
        <f>Tabla16[[#This Row],[CANTIDADES A UTILIZAR EN EL AÑO 4 9]]*(1+Tabla16[[#This Row],[CAMBIO PORCENTUAL EN UNIDADES VENDIDAS AÑO 5 9]])</f>
        <v>0</v>
      </c>
      <c r="FT114" s="344">
        <f>IF(Tabla16[[#This Row],[CANTIDADES A UTILIZAR EN EL AÑO 1 9]]=0,0,Tabla16[[#This Row],[CANTIDADES A UTILIZAR EN EL AÑO 1 9]]*1/Tabla16[[#This Row],[UNIDADES PRODUCIDAS AÑO 1 9]])</f>
        <v>0</v>
      </c>
      <c r="FU114" s="344">
        <f>$C$83*(1+BASES!$E$10)</f>
        <v>0</v>
      </c>
      <c r="FV114" s="344">
        <f>Tabla16[[#This Row],[COSTO UNITARIO AÑO 2 9]]*(1+BASES!$F$10)</f>
        <v>0</v>
      </c>
      <c r="FW114" s="344">
        <f>Tabla16[[#This Row],[COSTO UNITARIO AÑO 3 9]]*(1+BASES!$G$10)</f>
        <v>0</v>
      </c>
      <c r="FX114" s="344">
        <f>Tabla16[[#This Row],[COSTO UNITARIO AÑO 4 9]]*(1+BASES!$H$10)</f>
        <v>0</v>
      </c>
      <c r="FY114" s="344">
        <f>Tabla16[[#This Row],[COSTO POR UNIDAD DE PRODUCTO (9) ]]*$C$83*VLOOKUP(Tabla16[[#This Row],[CÓDIGO DEL PRODUCTO Y/O SERVICIO ]],Tabla3[],3)</f>
        <v>0</v>
      </c>
      <c r="FZ114" s="344">
        <f>Tabla16[[#This Row],[COSTO POR UNIDAD DE PRODUCTO (9) ]]*Tabla16[[#This Row],[COSTO UNITARIO AÑO 2 9]]*VLOOKUP(Tabla16[[#This Row],[CÓDIGO DEL PRODUCTO Y/O SERVICIO ]],Tabla3[],6)</f>
        <v>0</v>
      </c>
      <c r="GA114" s="344">
        <f>Tabla16[[#This Row],[COSTO POR UNIDAD DE PRODUCTO (9) ]]*Tabla16[[#This Row],[COSTO UNITARIO AÑO 3 9]]*VLOOKUP(Tabla16[[#This Row],[CÓDIGO DEL PRODUCTO Y/O SERVICIO ]],Tabla3[],10)</f>
        <v>0</v>
      </c>
      <c r="GB114" s="344">
        <f>Tabla16[[#This Row],[COSTO POR UNIDAD DE PRODUCTO (9) ]]*Tabla16[[#This Row],[COSTO UNITARIO AÑO 4 9]]*VLOOKUP(Tabla16[[#This Row],[CÓDIGO DEL PRODUCTO Y/O SERVICIO ]],Tabla3[],14)</f>
        <v>0</v>
      </c>
      <c r="GC114" s="344">
        <f>Tabla16[[#This Row],[COSTO POR UNIDAD DE PRODUCTO (9) ]]*Tabla16[[#This Row],[COSTO UNITARIO AÑO 5 9]]*VLOOKUP(Tabla16[[#This Row],[CÓDIGO DEL PRODUCTO Y/O SERVICIO ]],Tabla3[],18)</f>
        <v>0</v>
      </c>
      <c r="GD114" s="114">
        <f>VLOOKUP(Tabla16[[#This Row],[CÓDIGO DEL PRODUCTO Y/O SERVICIO ]],Tabla3[],3)</f>
        <v>400</v>
      </c>
      <c r="GE114" s="114">
        <f>Tabla16[[#This Row],[UNIDADES PRODUCIDAS AÑO 1 10]]*O93</f>
        <v>0</v>
      </c>
      <c r="GF114" s="112">
        <f>VLOOKUP(Tabla16[[#This Row],[CÓDIGO DEL PRODUCTO Y/O SERVICIO ]],Tabla3[],9)</f>
        <v>0.25</v>
      </c>
      <c r="GG114" s="114">
        <f>Tabla16[[#This Row],[CANTIDADES A UTILIZAR EN EL AÑO 1 10]]*(1+Tabla16[[#This Row],[CAMBIO PORCENTUAL EN UNIDADES VENDIDAS AÑO 2 10]])</f>
        <v>0</v>
      </c>
      <c r="GH114" s="112">
        <f>VLOOKUP(Tabla16[[#This Row],[CÓDIGO DEL PRODUCTO Y/O SERVICIO ]],Tabla3[],13)</f>
        <v>0.36</v>
      </c>
      <c r="GI114" s="114">
        <f>Tabla16[[#This Row],[CANTIDADES A UTILIZAR EN EL AÑO 2 10]]*(1+Tabla16[[#This Row],[CAMBIO PORCENTUAL EN UNIDADES VENDIDAS AÑO 3 10]])</f>
        <v>0</v>
      </c>
      <c r="GJ114" s="112">
        <f>VLOOKUP(Tabla16[[#This Row],[CÓDIGO DEL PRODUCTO Y/O SERVICIO ]],Tabla3[],17)</f>
        <v>5.8823529411764705E-2</v>
      </c>
      <c r="GK114" s="114">
        <f>Tabla16[[#This Row],[CANTIDADES A UTILIZAR EN EL AÑO 3 10]]*(1+Tabla16[[#This Row],[CAMBIO PORCENTUAL EN UNIDADES VENDIDAS AÑO 4 10 ]])</f>
        <v>0</v>
      </c>
      <c r="GL114" s="112">
        <f>VLOOKUP(Tabla16[[#This Row],[CÓDIGO DEL PRODUCTO Y/O SERVICIO ]],Tabla3[],21)</f>
        <v>0.22222222222222221</v>
      </c>
      <c r="GM114" s="114">
        <f>Tabla16[[#This Row],[CANTIDADES A UTILIZAR EN EL AÑO 4 10]]*(1+Tabla16[[#This Row],[CAMBIO PORCENTUAL EN UNIDADES VENDIDAS AÑO 5 10]])</f>
        <v>0</v>
      </c>
      <c r="GN114" s="344">
        <f>IF(Tabla16[[#This Row],[CANTIDADES A UTILIZAR EN EL AÑO 1 10]]=0,0,Tabla16[[#This Row],[CANTIDADES A UTILIZAR EN EL AÑO 1 10]]*1/Tabla16[[#This Row],[UNIDADES PRODUCIDAS AÑO 1 10]])</f>
        <v>0</v>
      </c>
      <c r="GO114" s="344">
        <f>$C$84*(1+BASES!$E$10)</f>
        <v>0</v>
      </c>
      <c r="GP114" s="344">
        <f>Tabla16[[#This Row],[COSTO UNITARIO AÑO 2 10]]*(1+BASES!$F$10)</f>
        <v>0</v>
      </c>
      <c r="GQ114" s="344">
        <f>Tabla16[[#This Row],[COSTO UNITARIO AÑO 3 10]]*(1+BASES!$G$10)</f>
        <v>0</v>
      </c>
      <c r="GR114" s="344">
        <f>Tabla16[[#This Row],[COSTO UNITARIO AÑO 4 10]]*(1+BASES!$H$10)</f>
        <v>0</v>
      </c>
      <c r="GS114" s="344">
        <f>Tabla16[[#This Row],[COSTO POR UNIDAD DE PRODUCTO (10) ]]*$C$84*VLOOKUP(Tabla16[[#This Row],[CÓDIGO DEL PRODUCTO Y/O SERVICIO ]],Tabla3[],3)</f>
        <v>0</v>
      </c>
      <c r="GT114" s="344">
        <f>Tabla16[[#This Row],[COSTO POR UNIDAD DE PRODUCTO (10) ]]*Tabla16[[#This Row],[COSTO UNITARIO AÑO 2 10]]*VLOOKUP(Tabla16[[#This Row],[CÓDIGO DEL PRODUCTO Y/O SERVICIO ]],Tabla3[],6)</f>
        <v>0</v>
      </c>
      <c r="GU114" s="344">
        <f>Tabla16[[#This Row],[COSTO POR UNIDAD DE PRODUCTO (10) ]]*Tabla16[[#This Row],[COSTO UNITARIO AÑO 3 10]]*VLOOKUP(Tabla16[[#This Row],[CÓDIGO DEL PRODUCTO Y/O SERVICIO ]],Tabla3[],10)</f>
        <v>0</v>
      </c>
      <c r="GV114" s="344">
        <f>Tabla16[[#This Row],[COSTO POR UNIDAD DE PRODUCTO (10) ]]*Tabla16[[#This Row],[COSTO UNITARIO AÑO 4 10]]*VLOOKUP(Tabla16[[#This Row],[CÓDIGO DEL PRODUCTO Y/O SERVICIO ]],Tabla3[],14)</f>
        <v>0</v>
      </c>
      <c r="GW114" s="344">
        <f>Tabla16[[#This Row],[COSTO POR UNIDAD DE PRODUCTO (10) ]]*Tabla16[[#This Row],[COSTO UNITARIO AÑO 5 10]]*VLOOKUP(Tabla16[[#This Row],[CÓDIGO DEL PRODUCTO Y/O SERVICIO ]],Tabla3[],18)</f>
        <v>0</v>
      </c>
      <c r="GX114" s="383">
        <f>Tabla16[[#This Row],[AÑO 1 10]]+Tabla16[[#This Row],[AÑO 1 9]]+Tabla16[[#This Row],[AÑO 1 8]]+Tabla16[[#This Row],[AÑO 1 7]]+Tabla16[[#This Row],[AÑO 1 6]]+Tabla16[[#This Row],[AÑO 1 5]]+Tabla16[[#This Row],[AÑO 1 4]]+Tabla16[[#This Row],[AÑO 1 3]]+Tabla16[[#This Row],[AÑO 1 2]]+Tabla16[[#This Row],[AÑO 1 1]]</f>
        <v>3383200</v>
      </c>
      <c r="GY114" s="383">
        <f>Tabla16[[#This Row],[AÑO 2 10]]+Tabla16[[#This Row],[AÑO 2 9]]+Tabla16[[#This Row],[AÑO 2 8]]+Tabla16[[#This Row],[AÑO 2 7]]+Tabla16[[#This Row],[AÑO 2 6]]+Tabla16[[#This Row],[AÑO 2 5]]+Tabla16[[#This Row],[AÑO 2 4]]+Tabla16[[#This Row],[AÑO 2 3]]+Tabla16[[#This Row],[AÑO 2 2]]+Tabla16[[#This Row],[AÑO 2 1]]</f>
        <v>4276364.8000000007</v>
      </c>
      <c r="GZ114" s="383">
        <f>Tabla16[[#This Row],[AÑO 3 10]]+Tabla16[[#This Row],[AÑO 3 9]]+Tabla16[[#This Row],[AÑO 3 8]]+Tabla16[[#This Row],[AÑO 3 7]]+Tabla16[[#This Row],[AÑO 3 6]]+Tabla16[[#This Row],[AÑO 3 5]]+Tabla16[[#This Row],[AÑO 3 4]]+Tabla16[[#This Row],[AÑO 3 3]]+Tabla16[[#This Row],[AÑO 3 2]]+Tabla16[[#This Row],[AÑO 3 1]]</f>
        <v>5880993.7166336011</v>
      </c>
      <c r="HA114" s="383">
        <f>Tabla16[[#This Row],[AÑO 4 10]]+Tabla16[[#This Row],[AÑO 4 9]]+Tabla16[[#This Row],[AÑO 4 8]]+Tabla16[[#This Row],[AÑO 4 7]]+Tabla16[[#This Row],[AÑO 4 6]]+Tabla16[[#This Row],[AÑO 4 5]]+Tabla16[[#This Row],[AÑO 4 4 ]]+Tabla16[[#This Row],[AÑO 4 3]]+Tabla16[[#This Row],[AÑO 4 2]]+Tabla16[[#This Row],[AÑO 4 1]]</f>
        <v>6296676.1901575392</v>
      </c>
      <c r="HB114" s="383">
        <f>Tabla16[[#This Row],[AÑO 5 10]]+Tabla16[[#This Row],[AÑO 5 9]]+Tabla16[[#This Row],[AÑO 5 8]]+Tabla16[[#This Row],[AÑO 5 7]]+Tabla16[[#This Row],[AÑO 5 6]]+Tabla16[[#This Row],[AÑO 5 5]]+Tabla16[[#This Row],[AÑO 5 4]]+Tabla16[[#This Row],[AÑO 5 3]]+Tabla16[[#This Row],[AÑO 5 2]]+Tabla16[[#This Row],[AÑO 5 1]]</f>
        <v>7782132.066484483</v>
      </c>
    </row>
    <row r="115" spans="3:210" ht="15.75" x14ac:dyDescent="0.25">
      <c r="C115" s="363">
        <v>3</v>
      </c>
      <c r="D115" s="510" t="str">
        <f>VLOOKUP(Tabla16[[#This Row],[CÓDIGO DEL PRODUCTO Y/O SERVICIO ]],Tabla3[],2)</f>
        <v>Caja de Rosas</v>
      </c>
      <c r="E115" s="72"/>
      <c r="F115" s="359">
        <f>VLOOKUP(Tabla16[[#This Row],[CÓDIGO DEL PRODUCTO Y/O SERVICIO ]],Tabla3[],3)</f>
        <v>500</v>
      </c>
      <c r="G115" s="359">
        <f>Tabla16[[#This Row],[UNIDADES PRODUCIDAS AÑO 1 1]]*F93</f>
        <v>1000</v>
      </c>
      <c r="H115" s="112">
        <f>VLOOKUP(Tabla16[[#This Row],[CÓDIGO DEL PRODUCTO Y/O SERVICIO ]],Tabla3[],9)</f>
        <v>0.36</v>
      </c>
      <c r="I115" s="359">
        <f>Tabla16[[#This Row],[CANTIDADES A UTILIZAR EN EL AÑO 1 1]]*(1+Tabla16[[#This Row],[CAMBIO PORCENTUAL EN UNIDADES VENDIDAS AÑO 2 1]])</f>
        <v>1359.9999999999998</v>
      </c>
      <c r="J115" s="112">
        <f>VLOOKUP(Tabla16[[#This Row],[CÓDIGO DEL PRODUCTO Y/O SERVICIO ]],Tabla3[],13)</f>
        <v>2.9411764705882353E-2</v>
      </c>
      <c r="K115" s="359">
        <f>Tabla16[[#This Row],[CANTIDADES  A UTILIZAR EN EL AÑO 2 1]]*(1+Tabla16[[#This Row],[CAMBIO PORCENTUAL EN UNIDADES VENDIDAS AÑO 3 1]])</f>
        <v>1399.9999999999995</v>
      </c>
      <c r="L115" s="112">
        <f>VLOOKUP(Tabla16[[#This Row],[CÓDIGO DEL PRODUCTO Y/O SERVICIO ]],Tabla3[],17)</f>
        <v>7.1428571428571425E-2</v>
      </c>
      <c r="M115" s="359">
        <f>Tabla16[[#This Row],[CANTIDADES A UTILIZAR EN EL AÑO 3 1]]*(1+Tabla16[[#This Row],[CAMBIO PORCENTUAL EN UNIDADES VENDIDAS AÑO 4 1]])</f>
        <v>1499.9999999999995</v>
      </c>
      <c r="N115" s="112">
        <f>VLOOKUP(Tabla16[[#This Row],[CÓDIGO DEL PRODUCTO Y/O SERVICIO ]],Tabla3[],21)</f>
        <v>6.6666666666666666E-2</v>
      </c>
      <c r="O115" s="359">
        <f>Tabla16[[#This Row],[CANTIDADES A UTILIZAR EN EL AÑO 4 1 ]]*(1+Tabla16[[#This Row],[CAMBIO PORCENTUAL EN UNIDADES VENDIDAS AÑO 5 1]])</f>
        <v>1599.9999999999995</v>
      </c>
      <c r="P115" s="344">
        <f>IF(Tabla16[[#This Row],[CANTIDADES A UTILIZAR EN EL AÑO 1 1]]=0,0,Tabla16[[#This Row],[CANTIDADES A UTILIZAR EN EL AÑO 1 1]]*1/Tabla16[[#This Row],[UNIDADES PRODUCIDAS AÑO 1 1]])</f>
        <v>2</v>
      </c>
      <c r="Q115" s="344">
        <f>$C$75*(1+BASES!$E$10)</f>
        <v>4276.3648000000003</v>
      </c>
      <c r="R115" s="344">
        <f>Tabla16[[#This Row],[COSTO UNITARIO AÑO 2 1]]*(1+BASES!$F$10)</f>
        <v>4324.2600857600009</v>
      </c>
      <c r="S115" s="344">
        <f>Tabla16[[#This Row],[COSTO UNITARIO AÑO 3 1]]*(1+BASES!$G$10)</f>
        <v>4372.6917987205134</v>
      </c>
      <c r="T115" s="344">
        <f>Tabla16[[#This Row],[COSTO UNITARIO AÑO 4 1]]*(1+BASES!$H$10)</f>
        <v>4421.6659468661837</v>
      </c>
      <c r="U115" s="344">
        <f>Tabla16[[#This Row],[COSTO POR UNIDAD DE PRODUCTO (1)]]*$C$75*VLOOKUP(Tabla16[[#This Row],[CÓDIGO DEL PRODUCTO Y/O SERVICIO ]],Tabla3[],3)</f>
        <v>4229000</v>
      </c>
      <c r="V115" s="344">
        <f>Tabla16[[#This Row],[COSTO POR UNIDAD DE PRODUCTO (1)]]*Tabla16[[#This Row],[COSTO UNITARIO AÑO 2 1]]*VLOOKUP(Tabla16[[#This Row],[CÓDIGO DEL PRODUCTO Y/O SERVICIO ]],Tabla3[],6)</f>
        <v>5815856.1280000005</v>
      </c>
      <c r="W115" s="344">
        <f>Tabla16[[#This Row],[COSTO POR UNIDAD DE PRODUCTO (1)]]*Tabla16[[#This Row],[COSTO UNITARIO AÑO 3 1]]*VLOOKUP(Tabla16[[#This Row],[CÓDIGO DEL PRODUCTO Y/O SERVICIO ]],Tabla3[],10)</f>
        <v>6053964.1200640015</v>
      </c>
      <c r="X115" s="344">
        <f>Tabla16[[#This Row],[COSTO POR UNIDAD DE PRODUCTO (1)]]*Tabla16[[#This Row],[COSTO UNITARIO AÑO 4 1]]*VLOOKUP(Tabla16[[#This Row],[CÓDIGO DEL PRODUCTO Y/O SERVICIO ]],Tabla3[],14)</f>
        <v>6559037.6980807697</v>
      </c>
      <c r="Y115" s="344">
        <f>Tabla16[[#This Row],[COSTO POR UNIDAD DE PRODUCTO (1)]]*Tabla16[[#This Row],[COSTO UNITARIO AÑO 5 1]]*VLOOKUP(Tabla16[[#This Row],[CÓDIGO DEL PRODUCTO Y/O SERVICIO ]],Tabla3[],18)</f>
        <v>7074665.5149858939</v>
      </c>
      <c r="Z115" s="114">
        <f>VLOOKUP(Tabla16[[#This Row],[CÓDIGO DEL PRODUCTO Y/O SERVICIO ]],Tabla3[],3)</f>
        <v>500</v>
      </c>
      <c r="AA115" s="114">
        <f>Tabla16[[#This Row],[UNIDADES PRODUCIDAS AÑO 1 2]]*G93</f>
        <v>0</v>
      </c>
      <c r="AB115" s="112">
        <f>VLOOKUP(Tabla16[[#This Row],[CÓDIGO DEL PRODUCTO Y/O SERVICIO ]],Tabla3[],9)</f>
        <v>0.36</v>
      </c>
      <c r="AC115" s="114">
        <f>Tabla16[[#This Row],[CANTIDADES A UTILIZAR EN EL AÑO 1 2]]*(1+Tabla16[[#This Row],[CAMBIO PORCENTUAL EN UNIDADES VENDIDAS AÑO 2 2]])</f>
        <v>0</v>
      </c>
      <c r="AD115" s="112">
        <f>VLOOKUP(Tabla16[[#This Row],[CÓDIGO DEL PRODUCTO Y/O SERVICIO ]],Tabla3[],13)</f>
        <v>2.9411764705882353E-2</v>
      </c>
      <c r="AE115" s="114">
        <f>Tabla16[[#This Row],[CANTIDADES A UTILIZAR EN EL AÑO 2 2]]*(1+Tabla16[[#This Row],[CAMBIO PORCENTUAL EN UNIDADES VENDIDAS AÑO 3 2 ]])</f>
        <v>0</v>
      </c>
      <c r="AF115" s="112">
        <f>VLOOKUP(Tabla16[[#This Row],[CÓDIGO DEL PRODUCTO Y/O SERVICIO ]],Tabla3[],17)</f>
        <v>7.1428571428571425E-2</v>
      </c>
      <c r="AG115" s="114">
        <f>Tabla16[[#This Row],[CANTIDADES A UTILIZAR EN EL AÑO 3 2]]*(1+Tabla16[[#This Row],[CAMBIO PORCENTUAL EN UNIDADES VENDIDAS AÑO 4 2]])</f>
        <v>0</v>
      </c>
      <c r="AH115" s="112">
        <f>VLOOKUP(Tabla16[[#This Row],[CÓDIGO DEL PRODUCTO Y/O SERVICIO ]],Tabla3[],21)</f>
        <v>6.6666666666666666E-2</v>
      </c>
      <c r="AI115" s="114">
        <f>Tabla16[[#This Row],[CANTIDADES A UTILIZAR EN EL AÑO 4 2]]*(1+Tabla16[[#This Row],[CAMBIO PORCENTUAL EN UNIDADES VENDIDAS AÑO 5 2]])</f>
        <v>0</v>
      </c>
      <c r="AJ115" s="344">
        <f>IF(Tabla16[[#This Row],[CANTIDADES A UTILIZAR EN EL AÑO 1 2]]=0,0,Tabla16[[#This Row],[CANTIDADES A UTILIZAR EN EL AÑO 1 2]]*1/Tabla16[[#This Row],[UNIDADES PRODUCIDAS AÑO 1 2]])</f>
        <v>0</v>
      </c>
      <c r="AK115" s="344">
        <f>$C$76*(1+BASES!$E$10)</f>
        <v>0</v>
      </c>
      <c r="AL115" s="344">
        <f>Tabla16[[#This Row],[COSTO UNITARIO AÑO 2 2]]*(1+BASES!$F$10)</f>
        <v>0</v>
      </c>
      <c r="AM115" s="344">
        <f>Tabla16[[#This Row],[COSTO UNITARIO AÑO 3 2]]*(1+BASES!$G$10)</f>
        <v>0</v>
      </c>
      <c r="AN115" s="344">
        <f>Tabla16[[#This Row],[COSTO UNITARIO AÑO 4 2]]*(1+BASES!$H$10)</f>
        <v>0</v>
      </c>
      <c r="AO115" s="344">
        <f>Tabla16[[#This Row],[COSTO POR UNIDAD DE PRODUCTO (2) ]]*$C$76*VLOOKUP(Tabla16[[#This Row],[CÓDIGO DEL PRODUCTO Y/O SERVICIO ]],Tabla3[],3)</f>
        <v>0</v>
      </c>
      <c r="AP115" s="344">
        <f>Tabla16[[#This Row],[COSTO POR UNIDAD DE PRODUCTO (2) ]]*Tabla16[[#This Row],[COSTO UNITARIO AÑO 2 2]]*VLOOKUP(Tabla16[[#This Row],[CÓDIGO DEL PRODUCTO Y/O SERVICIO ]],Tabla3[],6)</f>
        <v>0</v>
      </c>
      <c r="AQ115" s="344">
        <f>Tabla16[[#This Row],[COSTO POR UNIDAD DE PRODUCTO (2) ]]*Tabla16[[#This Row],[COSTO UNITARIO AÑO 3 2]]*VLOOKUP(Tabla16[[#This Row],[CÓDIGO DEL PRODUCTO Y/O SERVICIO ]],Tabla3[],10)</f>
        <v>0</v>
      </c>
      <c r="AR115" s="344">
        <f>Tabla16[[#This Row],[COSTO POR UNIDAD DE PRODUCTO (2) ]]*Tabla16[[#This Row],[COSTO UNITARIO AÑO 4 2]]*VLOOKUP(Tabla16[[#This Row],[CÓDIGO DEL PRODUCTO Y/O SERVICIO ]],Tabla3[],14)</f>
        <v>0</v>
      </c>
      <c r="AS115" s="344">
        <f>Tabla16[[#This Row],[COSTO POR UNIDAD DE PRODUCTO (2) ]]*Tabla16[[#This Row],[COSTO UNITARIO AÑO 5 2 ]]*VLOOKUP(Tabla16[[#This Row],[CÓDIGO DEL PRODUCTO Y/O SERVICIO ]],Tabla3[],18)</f>
        <v>0</v>
      </c>
      <c r="AT115" s="114">
        <f>VLOOKUP(Tabla16[[#This Row],[CÓDIGO DEL PRODUCTO Y/O SERVICIO ]],Tabla3[],3)</f>
        <v>500</v>
      </c>
      <c r="AU115" s="114">
        <f>Tabla16[[#This Row],[UNIDADES PRODUCIDAS AÑO 1 3]]*H93</f>
        <v>0</v>
      </c>
      <c r="AV115" s="112">
        <f>VLOOKUP(Tabla16[[#This Row],[CÓDIGO DEL PRODUCTO Y/O SERVICIO ]],Tabla3[],9)</f>
        <v>0.36</v>
      </c>
      <c r="AW115" s="114">
        <f>Tabla16[[#This Row],[CANTIDADES A UTILIZAR EN EL AÑO 1 3]]*(1+Tabla16[[#This Row],[CAMBIO PORCENTUAL EN UNIDADES VENDIDAS AÑO 2 3]])</f>
        <v>0</v>
      </c>
      <c r="AX115" s="112">
        <f>VLOOKUP(Tabla16[[#This Row],[CÓDIGO DEL PRODUCTO Y/O SERVICIO ]],Tabla3[],13)</f>
        <v>2.9411764705882353E-2</v>
      </c>
      <c r="AY115" s="114">
        <f>Tabla16[[#This Row],[CANTIDADES A UTILIZAR EN EL AÑO 2 3]]*(1+Tabla16[[#This Row],[CAMBIO PORCENTUAL EN UNIDADES VENDIDAS AÑO 3 3]])</f>
        <v>0</v>
      </c>
      <c r="AZ115" s="112">
        <f>VLOOKUP(Tabla16[[#This Row],[CÓDIGO DEL PRODUCTO Y/O SERVICIO ]],Tabla3[],17)</f>
        <v>7.1428571428571425E-2</v>
      </c>
      <c r="BA115" s="114">
        <f>Tabla16[[#This Row],[CANTIDADES A UTILIZAR EN EL AÑO 3 3]]*(1+Tabla16[[#This Row],[CAMBIO PORCENTUAL EN UNIDADES VENDIDAS AÑO 4 3]])</f>
        <v>0</v>
      </c>
      <c r="BB115" s="112">
        <f>VLOOKUP(Tabla16[[#This Row],[CÓDIGO DEL PRODUCTO Y/O SERVICIO ]],Tabla3[],21)</f>
        <v>6.6666666666666666E-2</v>
      </c>
      <c r="BC115" s="114">
        <f>Tabla16[[#This Row],[CANTIDADES A UTILIZAR EN EL AÑO 4 3]]*(1+Tabla16[[#This Row],[CAMBIO PORCENTUAL EN UNIDADES VENDIDAS AÑO 5 3]])</f>
        <v>0</v>
      </c>
      <c r="BD115" s="344">
        <f>IF(Tabla16[[#This Row],[CANTIDADES A UTILIZAR EN EL AÑO 1 3]]=0,0,Tabla16[[#This Row],[CANTIDADES A UTILIZAR EN EL AÑO 1 3]]*1/Tabla16[[#This Row],[UNIDADES PRODUCIDAS AÑO 1 3]])</f>
        <v>0</v>
      </c>
      <c r="BE115" s="344">
        <f>$C$77*(1+BASES!$E$10)</f>
        <v>0</v>
      </c>
      <c r="BF115" s="344">
        <f>Tabla16[[#This Row],[COSTO UNITARIO AÑO 2 3]]*(1+BASES!$F$10)</f>
        <v>0</v>
      </c>
      <c r="BG115" s="344">
        <f>Tabla16[[#This Row],[COSTO UNITARIO AÑO 3 3]]*(1+BASES!$G$10)</f>
        <v>0</v>
      </c>
      <c r="BH115" s="344">
        <f>Tabla16[[#This Row],[COSTO UNITARIO AÑO 4 3]]*(1+BASES!$H$10)</f>
        <v>0</v>
      </c>
      <c r="BI115" s="344">
        <f>Tabla16[[#This Row],[COSTO POR UNIDAD DE PRODUCTO (3) ]]*$C$77*VLOOKUP(Tabla16[[#This Row],[CÓDIGO DEL PRODUCTO Y/O SERVICIO ]],Tabla3[],3)</f>
        <v>0</v>
      </c>
      <c r="BJ115" s="344">
        <f>Tabla16[[#This Row],[COSTO POR UNIDAD DE PRODUCTO (3) ]]*Tabla16[[#This Row],[COSTO UNITARIO AÑO 2 3]]*VLOOKUP(Tabla16[[#This Row],[CÓDIGO DEL PRODUCTO Y/O SERVICIO ]],Tabla3[],6)</f>
        <v>0</v>
      </c>
      <c r="BK115" s="344">
        <f>Tabla16[[#This Row],[COSTO POR UNIDAD DE PRODUCTO (3) ]]*Tabla16[[#This Row],[COSTO UNITARIO AÑO 3 3]]*VLOOKUP(Tabla16[[#This Row],[CÓDIGO DEL PRODUCTO Y/O SERVICIO ]],Tabla3[],10)</f>
        <v>0</v>
      </c>
      <c r="BL115" s="344">
        <f>Tabla16[[#This Row],[COSTO POR UNIDAD DE PRODUCTO (3) ]]*Tabla16[[#This Row],[COSTO UNITARIO AÑO 4 3]]*VLOOKUP(Tabla16[[#This Row],[CÓDIGO DEL PRODUCTO Y/O SERVICIO ]],Tabla3[],14)</f>
        <v>0</v>
      </c>
      <c r="BM115" s="344">
        <f>Tabla16[[#This Row],[COSTO POR UNIDAD DE PRODUCTO (3) ]]*Tabla16[[#This Row],[COSTO UNITARIO AÑO 5 3]]*VLOOKUP(Tabla16[[#This Row],[CÓDIGO DEL PRODUCTO Y/O SERVICIO ]],Tabla3[],18)</f>
        <v>0</v>
      </c>
      <c r="BN115" s="114">
        <f>VLOOKUP(Tabla16[[#This Row],[CÓDIGO DEL PRODUCTO Y/O SERVICIO ]],Tabla3[],3)</f>
        <v>500</v>
      </c>
      <c r="BO115" s="114">
        <f>Tabla16[[#This Row],[UNIDADES PRODUCIDAS AÑO 1 4]]*I93</f>
        <v>0</v>
      </c>
      <c r="BP115" s="112">
        <f>VLOOKUP(Tabla16[[#This Row],[CÓDIGO DEL PRODUCTO Y/O SERVICIO ]],Tabla3[],9)</f>
        <v>0.36</v>
      </c>
      <c r="BQ115" s="114">
        <f>Tabla16[[#This Row],[CANTIDADES A UTILIZAR EN EL AÑO 1 4]]*(1+Tabla16[[#This Row],[CAMBIO PORCENTUAL EN UNIDADES VENDIDAS AÑO 2 4]])</f>
        <v>0</v>
      </c>
      <c r="BR115" s="112">
        <f>VLOOKUP(Tabla16[[#This Row],[CÓDIGO DEL PRODUCTO Y/O SERVICIO ]],Tabla3[],13)</f>
        <v>2.9411764705882353E-2</v>
      </c>
      <c r="BS115" s="114">
        <f>Tabla16[[#This Row],[CANTIDADES A UTILIZAR EN EL AÑO 2 4]]*(1+Tabla16[[#This Row],[CAMBIO PORCENTUAL EN UNIDADES VENDIDAS AÑO 3 4]])</f>
        <v>0</v>
      </c>
      <c r="BT115" s="112">
        <f>VLOOKUP(Tabla16[[#This Row],[CÓDIGO DEL PRODUCTO Y/O SERVICIO ]],Tabla3[],17)</f>
        <v>7.1428571428571425E-2</v>
      </c>
      <c r="BU115" s="114">
        <f>Tabla16[[#This Row],[CANTIDADES A UTILIZAR EN EL AÑO 3 4]]*(1+Tabla16[[#This Row],[CAMBIO PORCENTUAL EN UNIDADES VENDIDAS AÑO 4 4]])</f>
        <v>0</v>
      </c>
      <c r="BV115" s="112">
        <f>VLOOKUP(Tabla16[[#This Row],[CÓDIGO DEL PRODUCTO Y/O SERVICIO ]],Tabla3[],21)</f>
        <v>6.6666666666666666E-2</v>
      </c>
      <c r="BW115" s="114">
        <f>Tabla16[[#This Row],[CANTIDADES A UTILIZAR EN EL AÑO 4 4]]*(1+Tabla16[[#This Row],[CAMBIO PORCENTUAL EN UNIDADES VENDIDAS AÑO 5 4]])</f>
        <v>0</v>
      </c>
      <c r="BX115" s="344">
        <f>IF(Tabla16[[#This Row],[CANTIDADES A UTILIZAR EN EL AÑO 1 4]]=0,0,Tabla16[[#This Row],[CANTIDADES A UTILIZAR EN EL AÑO 1 4]]*1/Tabla16[[#This Row],[UNIDADES PRODUCIDAS AÑO 1 4]])</f>
        <v>0</v>
      </c>
      <c r="BY115" s="344">
        <f>$C$78*(1+BASES!$E$10)</f>
        <v>0</v>
      </c>
      <c r="BZ115" s="344">
        <f>Tabla16[[#This Row],[COSTO UNITARIO AÑO 2 4]]*(1+BASES!$F$10)</f>
        <v>0</v>
      </c>
      <c r="CA115" s="344">
        <f>Tabla16[[#This Row],[COSTO UNITARIO AÑO 3 4 ]]*(1+BASES!$G$10)</f>
        <v>0</v>
      </c>
      <c r="CB115" s="344">
        <f>Tabla16[[#This Row],[COSTO UNITARIO AÑO 4 4]]*(1+BASES!$H$10)</f>
        <v>0</v>
      </c>
      <c r="CC115" s="344">
        <f>Tabla16[[#This Row],[COSTO POR UNIDAD DE PRODUCTO (4)]]*$C$78*VLOOKUP(Tabla16[[#This Row],[CÓDIGO DEL PRODUCTO Y/O SERVICIO ]],Tabla3[],3)</f>
        <v>0</v>
      </c>
      <c r="CD115" s="344">
        <f>Tabla16[[#This Row],[COSTO POR UNIDAD DE PRODUCTO (4)]]*Tabla16[[#This Row],[COSTO UNITARIO AÑO 2 4]]*VLOOKUP(Tabla16[[#This Row],[CÓDIGO DEL PRODUCTO Y/O SERVICIO ]],Tabla3[],6)</f>
        <v>0</v>
      </c>
      <c r="CE115" s="344">
        <f>Tabla16[[#This Row],[COSTO POR UNIDAD DE PRODUCTO (4)]]*Tabla16[[#This Row],[COSTO UNITARIO AÑO 3 4 ]]*VLOOKUP(Tabla16[[#This Row],[CÓDIGO DEL PRODUCTO Y/O SERVICIO ]],Tabla3[],10)</f>
        <v>0</v>
      </c>
      <c r="CF115" s="344">
        <f>Tabla16[[#This Row],[COSTO POR UNIDAD DE PRODUCTO (4)]]*Tabla16[[#This Row],[COSTO UNITARIO AÑO 4 4]]*VLOOKUP(Tabla16[[#This Row],[CÓDIGO DEL PRODUCTO Y/O SERVICIO ]],Tabla3[],14)</f>
        <v>0</v>
      </c>
      <c r="CG115" s="344">
        <f>Tabla16[[#This Row],[COSTO POR UNIDAD DE PRODUCTO (4)]]*Tabla16[[#This Row],[COSTO UNITARIO AÑO 5 4 ]]*VLOOKUP(Tabla16[[#This Row],[CÓDIGO DEL PRODUCTO Y/O SERVICIO ]],Tabla3[],18)</f>
        <v>0</v>
      </c>
      <c r="CH115" s="114">
        <f>VLOOKUP(Tabla16[[#This Row],[CÓDIGO DEL PRODUCTO Y/O SERVICIO ]],Tabla3[],3)</f>
        <v>500</v>
      </c>
      <c r="CI115" s="114">
        <f>Tabla16[[#This Row],[UNIDADES PRODUCIDAS AÑO 1 5]]*J93</f>
        <v>0</v>
      </c>
      <c r="CJ115" s="112">
        <f>VLOOKUP(Tabla16[[#This Row],[CÓDIGO DEL PRODUCTO Y/O SERVICIO ]],Tabla3[],9)</f>
        <v>0.36</v>
      </c>
      <c r="CK115" s="114">
        <f>Tabla16[[#This Row],[CANTIDADES A UTILIZAR EN EL AÑO 1 5]]*(1+Tabla16[[#This Row],[CAMBIO PORCENTUAL EN UNIDADES VENDIDAS AÑO 2 5]])</f>
        <v>0</v>
      </c>
      <c r="CL115" s="112">
        <f>VLOOKUP(Tabla16[[#This Row],[CÓDIGO DEL PRODUCTO Y/O SERVICIO ]],Tabla3[],13)</f>
        <v>2.9411764705882353E-2</v>
      </c>
      <c r="CM115" s="114">
        <f>Tabla16[[#This Row],[CANTIDADES A UTILIZAR EN EL AÑO 2 5]]*(1+Tabla16[[#This Row],[CAMBIO PORCENTUAL EN UNIDADES VENDIDAS AÑO 3 5]])</f>
        <v>0</v>
      </c>
      <c r="CN115" s="112">
        <f>VLOOKUP(Tabla16[[#This Row],[CÓDIGO DEL PRODUCTO Y/O SERVICIO ]],Tabla3[],17)</f>
        <v>7.1428571428571425E-2</v>
      </c>
      <c r="CO115" s="114">
        <f>Tabla16[[#This Row],[CANTIDADES A UTILIZAR EN EL AÑO 3 5 ]]*(1+Tabla16[[#This Row],[CAMBIO PORCENTUAL EN UNIDADES VENDIDAS AÑO 4 5]])</f>
        <v>0</v>
      </c>
      <c r="CP115" s="112">
        <f>VLOOKUP(Tabla16[[#This Row],[CÓDIGO DEL PRODUCTO Y/O SERVICIO ]],Tabla3[],21)</f>
        <v>6.6666666666666666E-2</v>
      </c>
      <c r="CQ115" s="114">
        <f>Tabla16[[#This Row],[CANTIDADES A UTILIZAR EN EL AÑO 4 5]]*(1+Tabla16[[#This Row],[CAMBIO PORCENTUAL EN UNIDADES VENDIDAS AÑO 5 5]])</f>
        <v>0</v>
      </c>
      <c r="CR115" s="344">
        <f>IF(Tabla16[[#This Row],[CANTIDADES A UTILIZAR EN EL AÑO 1 5]]=0,0,Tabla16[[#This Row],[CANTIDADES A UTILIZAR EN EL AÑO 1 5]]*1/Tabla16[[#This Row],[UNIDADES PRODUCIDAS AÑO 1 5]])</f>
        <v>0</v>
      </c>
      <c r="CS115" s="344">
        <f>$C$79*(1+BASES!$E$10)</f>
        <v>0</v>
      </c>
      <c r="CT115" s="344">
        <f>Tabla16[[#This Row],[COSTO UNITARIO AÑO 2 5]]*(1+BASES!$F$10)</f>
        <v>0</v>
      </c>
      <c r="CU115" s="344">
        <f>Tabla16[[#This Row],[COSTO UNITARIO AÑO 3 5]]*(1+BASES!$G$10)</f>
        <v>0</v>
      </c>
      <c r="CV115" s="344">
        <f>Tabla16[[#This Row],[COSTO UNITARIO AÑO 4 5]]*(1+BASES!$H$10)</f>
        <v>0</v>
      </c>
      <c r="CW115" s="344">
        <f>Tabla16[[#This Row],[COSTO POR UNIDAD DE PRODUCTO (5) ]]*$C$79*VLOOKUP(Tabla16[[#This Row],[CÓDIGO DEL PRODUCTO Y/O SERVICIO ]],Tabla3[],3)</f>
        <v>0</v>
      </c>
      <c r="CX115" s="344">
        <f>Tabla16[[#This Row],[COSTO POR UNIDAD DE PRODUCTO (5) ]]*Tabla16[[#This Row],[COSTO UNITARIO AÑO 2 5]]*VLOOKUP(Tabla16[[#This Row],[CÓDIGO DEL PRODUCTO Y/O SERVICIO ]],Tabla3[],6)</f>
        <v>0</v>
      </c>
      <c r="CY115" s="344">
        <f>Tabla16[[#This Row],[COSTO POR UNIDAD DE PRODUCTO (5) ]]*Tabla16[[#This Row],[COSTO UNITARIO AÑO 3 5]]*VLOOKUP(Tabla16[[#This Row],[CÓDIGO DEL PRODUCTO Y/O SERVICIO ]],Tabla3[],10)</f>
        <v>0</v>
      </c>
      <c r="CZ115" s="344">
        <f>Tabla16[[#This Row],[COSTO POR UNIDAD DE PRODUCTO (5) ]]*Tabla16[[#This Row],[COSTO UNITARIO AÑO 4 5]]*VLOOKUP(Tabla16[[#This Row],[CÓDIGO DEL PRODUCTO Y/O SERVICIO ]],Tabla3[],14)</f>
        <v>0</v>
      </c>
      <c r="DA115" s="344">
        <f>Tabla16[[#This Row],[COSTO POR UNIDAD DE PRODUCTO (5) ]]*Tabla16[[#This Row],[COSTO UNITARIO AÑO 5 5]]*VLOOKUP(Tabla16[[#This Row],[CÓDIGO DEL PRODUCTO Y/O SERVICIO ]],Tabla3[],18)</f>
        <v>0</v>
      </c>
      <c r="DB115" s="114">
        <f>VLOOKUP(Tabla16[[#This Row],[CÓDIGO DEL PRODUCTO Y/O SERVICIO ]],Tabla3[],3)</f>
        <v>500</v>
      </c>
      <c r="DC115" s="114">
        <f>Tabla16[[#This Row],[UNIDADES PRODUCIDAS AÑO 1 6]]*K93</f>
        <v>0</v>
      </c>
      <c r="DD115" s="112">
        <f>VLOOKUP(Tabla16[[#This Row],[CÓDIGO DEL PRODUCTO Y/O SERVICIO ]],Tabla3[],9)</f>
        <v>0.36</v>
      </c>
      <c r="DE115" s="114">
        <f>Tabla16[[#This Row],[CANTIDADES A UTILIZAR EN EL AÑO 1 6]]*(1+Tabla16[[#This Row],[CAMBIO PORCENTUAL EN UNIDADES VENDIDAS AÑO 2 6]])</f>
        <v>0</v>
      </c>
      <c r="DF115" s="112">
        <f>VLOOKUP(Tabla16[[#This Row],[CÓDIGO DEL PRODUCTO Y/O SERVICIO ]],Tabla3[],13)</f>
        <v>2.9411764705882353E-2</v>
      </c>
      <c r="DG115" s="114">
        <f>Tabla16[[#This Row],[CANTIDADES A UTILIZAR EN EL AÑO 2 6]]*(1+Tabla16[[#This Row],[CAMBIO PORCENTUAL EN UNIDADES VENDIDAS AÑO 3 6]])</f>
        <v>0</v>
      </c>
      <c r="DH115" s="112">
        <f>VLOOKUP(Tabla16[[#This Row],[CÓDIGO DEL PRODUCTO Y/O SERVICIO ]],Tabla3[],17)</f>
        <v>7.1428571428571425E-2</v>
      </c>
      <c r="DI115" s="114">
        <f>Tabla16[[#This Row],[CANTIDADES A UTILIZAR EN EL AÑO 3 6]]*(1+Tabla16[[#This Row],[CAMBIO PORCENTUAL EN UNIDADES VENDIDAS AÑO 4 6]])</f>
        <v>0</v>
      </c>
      <c r="DJ115" s="112">
        <f>VLOOKUP(Tabla16[[#This Row],[CÓDIGO DEL PRODUCTO Y/O SERVICIO ]],Tabla3[],21)</f>
        <v>6.6666666666666666E-2</v>
      </c>
      <c r="DK115" s="114">
        <f>Tabla16[[#This Row],[CANTIDADES A UTILIZAR EN EL AÑO 4 6]]*(1+Tabla16[[#This Row],[CAMBIO PORCENTUAL EN UNIDADES VENDIDAS AÑO 5 6]])</f>
        <v>0</v>
      </c>
      <c r="DL115" s="344">
        <f>IF(Tabla16[[#This Row],[CANTIDADES A UTILIZAR EN EL AÑO 1 6]]=0,0,Tabla16[[#This Row],[CANTIDADES A UTILIZAR EN EL AÑO 1 6]]*1/Tabla16[[#This Row],[UNIDADES PRODUCIDAS AÑO 1 6]])</f>
        <v>0</v>
      </c>
      <c r="DM115" s="344">
        <f>$C$80*(1+BASES!$E$10)</f>
        <v>0</v>
      </c>
      <c r="DN115" s="344">
        <f>Tabla16[[#This Row],[COSTO UNITARIO AÑO 2 6]]*(1+BASES!$F$10)</f>
        <v>0</v>
      </c>
      <c r="DO115" s="344">
        <f>Tabla16[[#This Row],[COSTO UNITARIO AÑO 3 6]]*(1+BASES!$G$10)</f>
        <v>0</v>
      </c>
      <c r="DP115" s="344">
        <f>Tabla16[[#This Row],[COSTO UNITARIO AÑO 4 6]]*(1+BASES!$H$10)</f>
        <v>0</v>
      </c>
      <c r="DQ115" s="344">
        <f>Tabla16[[#This Row],[COSTO POR UNIDAD DE PRODUCTO (6) ]]*$C$80*VLOOKUP(Tabla16[[#This Row],[CÓDIGO DEL PRODUCTO Y/O SERVICIO ]],Tabla3[],3)</f>
        <v>0</v>
      </c>
      <c r="DR115" s="344">
        <f>Tabla16[[#This Row],[COSTO POR UNIDAD DE PRODUCTO (6) ]]*Tabla16[[#This Row],[COSTO UNITARIO AÑO 2 6]]*VLOOKUP(Tabla16[[#This Row],[CÓDIGO DEL PRODUCTO Y/O SERVICIO ]],Tabla3[],6)</f>
        <v>0</v>
      </c>
      <c r="DS115" s="344">
        <f>Tabla16[[#This Row],[COSTO POR UNIDAD DE PRODUCTO (6) ]]*Tabla16[[#This Row],[COSTO UNITARIO AÑO 3 6]]*VLOOKUP(Tabla16[[#This Row],[CÓDIGO DEL PRODUCTO Y/O SERVICIO ]],Tabla3[],10)</f>
        <v>0</v>
      </c>
      <c r="DT115" s="344">
        <f>Tabla16[[#This Row],[COSTO POR UNIDAD DE PRODUCTO (6) ]]*Tabla16[[#This Row],[COSTO UNITARIO AÑO 4 6]]*VLOOKUP(Tabla16[[#This Row],[CÓDIGO DEL PRODUCTO Y/O SERVICIO ]],Tabla3[],14)</f>
        <v>0</v>
      </c>
      <c r="DU115" s="344">
        <f>Tabla16[[#This Row],[COSTO POR UNIDAD DE PRODUCTO (6) ]]*Tabla16[[#This Row],[COSTO UNITARIO AÑO 5 6]]*VLOOKUP(Tabla16[[#This Row],[CÓDIGO DEL PRODUCTO Y/O SERVICIO ]],Tabla3[],18)</f>
        <v>0</v>
      </c>
      <c r="DV115" s="114">
        <f>VLOOKUP(Tabla16[[#This Row],[CÓDIGO DEL PRODUCTO Y/O SERVICIO ]],Tabla3[],3)</f>
        <v>500</v>
      </c>
      <c r="DW115" s="114">
        <f>Tabla16[[#This Row],[UNIDADES PRODUCIDAS AÑO 1 7]]*L93</f>
        <v>0</v>
      </c>
      <c r="DX115" s="112">
        <f>VLOOKUP(Tabla16[[#This Row],[CÓDIGO DEL PRODUCTO Y/O SERVICIO ]],Tabla3[],9)</f>
        <v>0.36</v>
      </c>
      <c r="DY115" s="114">
        <f>Tabla16[[#This Row],[CANTIDADES A UTILIZAR EN EL AÑO 1 7]]*(1+Tabla16[[#This Row],[CAMBIO PORCENTUAL EN UNIDADES VENDIDAS AÑO 2 7]])</f>
        <v>0</v>
      </c>
      <c r="DZ115" s="112">
        <f>VLOOKUP(Tabla16[[#This Row],[CÓDIGO DEL PRODUCTO Y/O SERVICIO ]],Tabla3[],13)</f>
        <v>2.9411764705882353E-2</v>
      </c>
      <c r="EA115" s="114">
        <f>Tabla16[[#This Row],[CANTIDADES A UTILIZAR EN EL AÑO 2 7]]*(1+Tabla16[[#This Row],[CAMBIO PORCENTUAL EN UNIDADES VENDIDAS AÑO 3 7]])</f>
        <v>0</v>
      </c>
      <c r="EB115" s="112">
        <f>VLOOKUP(Tabla16[[#This Row],[CÓDIGO DEL PRODUCTO Y/O SERVICIO ]],Tabla3[],17)</f>
        <v>7.1428571428571425E-2</v>
      </c>
      <c r="EC115" s="114">
        <f>Tabla16[[#This Row],[CANTIDADES A UTILIZAR EN EL AÑO 3 7]]*(1+Tabla16[[#This Row],[CAMBIO PORCENTUAL EN UNIDADES VENDIDAS AÑO 4 7]])</f>
        <v>0</v>
      </c>
      <c r="ED115" s="112">
        <f>VLOOKUP(Tabla16[[#This Row],[CÓDIGO DEL PRODUCTO Y/O SERVICIO ]],Tabla3[],21)</f>
        <v>6.6666666666666666E-2</v>
      </c>
      <c r="EE115" s="114">
        <f>Tabla16[[#This Row],[CANTIDADES A UTILIZAR EN EL AÑO 4 7]]*(1+Tabla16[[#This Row],[CAMBIO PORCENTUAL EN UNIDADES VENDIDAS AÑO 5 7]])</f>
        <v>0</v>
      </c>
      <c r="EF115" s="344">
        <f>IF(Tabla16[[#This Row],[CANTIDADES A UTILIZAR EN EL AÑO 1 7]]=0,0,Tabla16[[#This Row],[CANTIDADES A UTILIZAR EN EL AÑO 1 7]]*1/Tabla16[[#This Row],[UNIDADES PRODUCIDAS AÑO 1 7]])</f>
        <v>0</v>
      </c>
      <c r="EG115" s="344">
        <f>$C$81*(1+BASES!$E$10)</f>
        <v>0</v>
      </c>
      <c r="EH115" s="344">
        <f>Tabla16[[#This Row],[COSTO UNITARIO AÑO 2 7]]*(1+BASES!$F$10)</f>
        <v>0</v>
      </c>
      <c r="EI115" s="344">
        <f>Tabla16[[#This Row],[COSTO UNITARIO AÑO 3 7]]*(1+BASES!$G$10)</f>
        <v>0</v>
      </c>
      <c r="EJ115" s="344">
        <f>Tabla16[[#This Row],[COSTO UNITARIO AÑO 4 7]]*(1+BASES!$H$10)</f>
        <v>0</v>
      </c>
      <c r="EK115" s="344">
        <f>Tabla16[[#This Row],[COSTO POR UNIDAD DE PRODUCTO (7) ]]*$C$81*VLOOKUP(Tabla16[[#This Row],[CÓDIGO DEL PRODUCTO Y/O SERVICIO ]],Tabla3[],3)</f>
        <v>0</v>
      </c>
      <c r="EL115" s="344">
        <f>Tabla16[[#This Row],[COSTO POR UNIDAD DE PRODUCTO (7) ]]*Tabla16[[#This Row],[COSTO UNITARIO AÑO 2 7]]*VLOOKUP(Tabla16[[#This Row],[CÓDIGO DEL PRODUCTO Y/O SERVICIO ]],Tabla3[],6)</f>
        <v>0</v>
      </c>
      <c r="EM115" s="344">
        <f>Tabla16[[#This Row],[COSTO POR UNIDAD DE PRODUCTO (7) ]]*Tabla16[[#This Row],[COSTO UNITARIO AÑO 3 7]]*VLOOKUP(Tabla16[[#This Row],[CÓDIGO DEL PRODUCTO Y/O SERVICIO ]],Tabla3[],10)</f>
        <v>0</v>
      </c>
      <c r="EN115" s="344">
        <f>Tabla16[[#This Row],[COSTO POR UNIDAD DE PRODUCTO (7) ]]*Tabla16[[#This Row],[COSTO UNITARIO AÑO 4 7]]*VLOOKUP(Tabla16[[#This Row],[CÓDIGO DEL PRODUCTO Y/O SERVICIO ]],Tabla3[],14)</f>
        <v>0</v>
      </c>
      <c r="EO115" s="344">
        <f>Tabla16[[#This Row],[COSTO POR UNIDAD DE PRODUCTO (7) ]]*Tabla16[[#This Row],[COSTO UNITARIO AÑO 5 7]]*VLOOKUP(Tabla16[[#This Row],[CÓDIGO DEL PRODUCTO Y/O SERVICIO ]],Tabla3[],18)</f>
        <v>0</v>
      </c>
      <c r="EP115" s="114">
        <f>VLOOKUP(Tabla16[[#This Row],[CÓDIGO DEL PRODUCTO Y/O SERVICIO ]],Tabla3[],3)</f>
        <v>500</v>
      </c>
      <c r="EQ115" s="114">
        <f>Tabla16[[#This Row],[UNIDADES PRODUCIDAS AÑO 1 8]]*M93</f>
        <v>0</v>
      </c>
      <c r="ER115" s="112">
        <f>VLOOKUP(Tabla16[[#This Row],[CÓDIGO DEL PRODUCTO Y/O SERVICIO ]],Tabla3[],9)</f>
        <v>0.36</v>
      </c>
      <c r="ES115" s="114">
        <f>Tabla16[[#This Row],[CANTIDADES A UTILIZAR EN EL AÑO 1 8]]*(1+Tabla16[[#This Row],[CAMBIO PORCENTUAL EN UNIDADES VENDIDAS AÑO 2 8]])</f>
        <v>0</v>
      </c>
      <c r="ET115" s="112">
        <f>VLOOKUP(Tabla16[[#This Row],[CÓDIGO DEL PRODUCTO Y/O SERVICIO ]],Tabla3[],13)</f>
        <v>2.9411764705882353E-2</v>
      </c>
      <c r="EU115" s="114">
        <f>Tabla16[[#This Row],[CANTIDADES A UTILIZAR EN EL AÑO 2 8]]*(1+Tabla16[[#This Row],[CAMBIO PORCENTUAL EN UNIDADES VENDIDAS AÑO 3 8]])</f>
        <v>0</v>
      </c>
      <c r="EV115" s="112">
        <f>VLOOKUP(Tabla16[[#This Row],[CÓDIGO DEL PRODUCTO Y/O SERVICIO ]],Tabla3[],17)</f>
        <v>7.1428571428571425E-2</v>
      </c>
      <c r="EW115" s="114">
        <f>Tabla16[[#This Row],[CANTIDADES A UTILIZAR EN EL AÑO 3 8]]*(1+Tabla16[[#This Row],[CAMBIO PORCENTUAL EN UNIDADES VENDIDAS AÑO 4 8]])</f>
        <v>0</v>
      </c>
      <c r="EX115" s="112">
        <f>VLOOKUP(Tabla16[[#This Row],[CÓDIGO DEL PRODUCTO Y/O SERVICIO ]],Tabla3[],21)</f>
        <v>6.6666666666666666E-2</v>
      </c>
      <c r="EY115" s="114">
        <f>Tabla16[[#This Row],[CANTIDADES A UTILIZAR EN EL AÑO 4 8]]*(1+Tabla16[[#This Row],[CAMBIO PORCENTUAL EN UNIDADES VENDIDAS AÑO 5 8]])</f>
        <v>0</v>
      </c>
      <c r="EZ115" s="344">
        <f>IF(Tabla16[[#This Row],[CANTIDADES A UTILIZAR EN EL AÑO 1 8]]=0,0,Tabla16[[#This Row],[CANTIDADES A UTILIZAR EN EL AÑO 1 8]]*1/Tabla16[[#This Row],[UNIDADES PRODUCIDAS AÑO 1 8]])</f>
        <v>0</v>
      </c>
      <c r="FA115" s="344">
        <f>$C$82*(1+BASES!$E$10)</f>
        <v>0</v>
      </c>
      <c r="FB115" s="344">
        <f>Tabla16[[#This Row],[COSTO UNITARIO AÑO 2 8]]*(1+BASES!$F$10)</f>
        <v>0</v>
      </c>
      <c r="FC115" s="344">
        <f>Tabla16[[#This Row],[COSTO UNITARIO AÑO 3 8]]*(1+BASES!$G$10)</f>
        <v>0</v>
      </c>
      <c r="FD115" s="344">
        <f>Tabla16[[#This Row],[COSTO UNITARIO AÑO 4 8]]*(1+BASES!$H$10)</f>
        <v>0</v>
      </c>
      <c r="FE115" s="344">
        <f>Tabla16[[#This Row],[COSTO POR UNIDAD DE PRODUCTO (8) ]]*$C$82*VLOOKUP(Tabla16[[#This Row],[CÓDIGO DEL PRODUCTO Y/O SERVICIO ]],Tabla3[],3)</f>
        <v>0</v>
      </c>
      <c r="FF115" s="344">
        <f>Tabla16[[#This Row],[COSTO POR UNIDAD DE PRODUCTO (8) ]]*Tabla16[[#This Row],[COSTO UNITARIO AÑO 2 8]]*VLOOKUP(Tabla16[[#This Row],[CÓDIGO DEL PRODUCTO Y/O SERVICIO ]],Tabla3[],6)</f>
        <v>0</v>
      </c>
      <c r="FG115" s="344">
        <f>Tabla16[[#This Row],[COSTO POR UNIDAD DE PRODUCTO (8) ]]*Tabla16[[#This Row],[COSTO UNITARIO AÑO 3 8]]*VLOOKUP(Tabla16[[#This Row],[CÓDIGO DEL PRODUCTO Y/O SERVICIO ]],Tabla3[],10)</f>
        <v>0</v>
      </c>
      <c r="FH115" s="344">
        <f>Tabla16[[#This Row],[COSTO POR UNIDAD DE PRODUCTO (8) ]]*Tabla16[[#This Row],[COSTO UNITARIO AÑO 4 8]]*VLOOKUP(Tabla16[[#This Row],[CÓDIGO DEL PRODUCTO Y/O SERVICIO ]],Tabla3[],14)</f>
        <v>0</v>
      </c>
      <c r="FI115" s="344">
        <f>Tabla16[[#This Row],[COSTO POR UNIDAD DE PRODUCTO (8) ]]*Tabla16[[#This Row],[COSTO UNITARIO AÑO 5 8]]*VLOOKUP(Tabla16[[#This Row],[CÓDIGO DEL PRODUCTO Y/O SERVICIO ]],Tabla3[],18)</f>
        <v>0</v>
      </c>
      <c r="FJ115" s="114">
        <f>VLOOKUP(Tabla16[[#This Row],[CÓDIGO DEL PRODUCTO Y/O SERVICIO ]],Tabla3[],3)</f>
        <v>500</v>
      </c>
      <c r="FK115" s="114">
        <f>Tabla16[[#This Row],[UNIDADES PRODUCIDAS AÑO 1 9]]*N93</f>
        <v>0</v>
      </c>
      <c r="FL115" s="112">
        <f>VLOOKUP(Tabla16[[#This Row],[CÓDIGO DEL PRODUCTO Y/O SERVICIO ]],Tabla3[],9)</f>
        <v>0.36</v>
      </c>
      <c r="FM115" s="114">
        <f>Tabla16[[#This Row],[CANTIDADES A UTILIZAR EN EL AÑO 1 9]]*(1+Tabla16[[#This Row],[CAMBIO PORCENTUAL EN UNIDADES VENDIDAS AÑO 2 9]])</f>
        <v>0</v>
      </c>
      <c r="FN115" s="112">
        <f>VLOOKUP(Tabla16[[#This Row],[CÓDIGO DEL PRODUCTO Y/O SERVICIO ]],Tabla3[],13)</f>
        <v>2.9411764705882353E-2</v>
      </c>
      <c r="FO115" s="114">
        <f>Tabla16[[#This Row],[CANTIDADES A UTILIZAR EN EL AÑO 2 9]]*(1+Tabla16[[#This Row],[CAMBIO PORCENTUAL EN UNIDADES VENDIDAS AÑO 3 9]])</f>
        <v>0</v>
      </c>
      <c r="FP115" s="112">
        <f>VLOOKUP(Tabla16[[#This Row],[CÓDIGO DEL PRODUCTO Y/O SERVICIO ]],Tabla3[],17)</f>
        <v>7.1428571428571425E-2</v>
      </c>
      <c r="FQ115" s="114">
        <f>Tabla16[[#This Row],[CANTIDADES A UTILIZAR EN EL AÑO 3 9]]*(1+Tabla16[[#This Row],[CAMBIO PORCENTUAL EN UNIDADES VENDIDAS AÑO 4 9]])</f>
        <v>0</v>
      </c>
      <c r="FR115" s="112">
        <f>VLOOKUP(Tabla16[[#This Row],[CÓDIGO DEL PRODUCTO Y/O SERVICIO ]],Tabla3[],21)</f>
        <v>6.6666666666666666E-2</v>
      </c>
      <c r="FS115" s="114">
        <f>Tabla16[[#This Row],[CANTIDADES A UTILIZAR EN EL AÑO 4 9]]*(1+Tabla16[[#This Row],[CAMBIO PORCENTUAL EN UNIDADES VENDIDAS AÑO 5 9]])</f>
        <v>0</v>
      </c>
      <c r="FT115" s="344">
        <f>IF(Tabla16[[#This Row],[CANTIDADES A UTILIZAR EN EL AÑO 1 9]]=0,0,Tabla16[[#This Row],[CANTIDADES A UTILIZAR EN EL AÑO 1 9]]*1/Tabla16[[#This Row],[UNIDADES PRODUCIDAS AÑO 1 9]])</f>
        <v>0</v>
      </c>
      <c r="FU115" s="344">
        <f>$C$83*(1+BASES!$E$10)</f>
        <v>0</v>
      </c>
      <c r="FV115" s="344">
        <f>Tabla16[[#This Row],[COSTO UNITARIO AÑO 2 9]]*(1+BASES!$F$10)</f>
        <v>0</v>
      </c>
      <c r="FW115" s="344">
        <f>Tabla16[[#This Row],[COSTO UNITARIO AÑO 3 9]]*(1+BASES!$G$10)</f>
        <v>0</v>
      </c>
      <c r="FX115" s="344">
        <f>Tabla16[[#This Row],[COSTO UNITARIO AÑO 4 9]]*(1+BASES!$H$10)</f>
        <v>0</v>
      </c>
      <c r="FY115" s="344">
        <f>Tabla16[[#This Row],[COSTO POR UNIDAD DE PRODUCTO (9) ]]*$C$83*VLOOKUP(Tabla16[[#This Row],[CÓDIGO DEL PRODUCTO Y/O SERVICIO ]],Tabla3[],3)</f>
        <v>0</v>
      </c>
      <c r="FZ115" s="344">
        <f>Tabla16[[#This Row],[COSTO POR UNIDAD DE PRODUCTO (9) ]]*Tabla16[[#This Row],[COSTO UNITARIO AÑO 2 9]]*VLOOKUP(Tabla16[[#This Row],[CÓDIGO DEL PRODUCTO Y/O SERVICIO ]],Tabla3[],6)</f>
        <v>0</v>
      </c>
      <c r="GA115" s="344">
        <f>Tabla16[[#This Row],[COSTO POR UNIDAD DE PRODUCTO (9) ]]*Tabla16[[#This Row],[COSTO UNITARIO AÑO 3 9]]*VLOOKUP(Tabla16[[#This Row],[CÓDIGO DEL PRODUCTO Y/O SERVICIO ]],Tabla3[],10)</f>
        <v>0</v>
      </c>
      <c r="GB115" s="344">
        <f>Tabla16[[#This Row],[COSTO POR UNIDAD DE PRODUCTO (9) ]]*Tabla16[[#This Row],[COSTO UNITARIO AÑO 4 9]]*VLOOKUP(Tabla16[[#This Row],[CÓDIGO DEL PRODUCTO Y/O SERVICIO ]],Tabla3[],14)</f>
        <v>0</v>
      </c>
      <c r="GC115" s="344">
        <f>Tabla16[[#This Row],[COSTO POR UNIDAD DE PRODUCTO (9) ]]*Tabla16[[#This Row],[COSTO UNITARIO AÑO 5 9]]*VLOOKUP(Tabla16[[#This Row],[CÓDIGO DEL PRODUCTO Y/O SERVICIO ]],Tabla3[],18)</f>
        <v>0</v>
      </c>
      <c r="GD115" s="114">
        <f>VLOOKUP(Tabla16[[#This Row],[CÓDIGO DEL PRODUCTO Y/O SERVICIO ]],Tabla3[],3)</f>
        <v>500</v>
      </c>
      <c r="GE115" s="114">
        <f>Tabla16[[#This Row],[UNIDADES PRODUCIDAS AÑO 1 10]]*O93</f>
        <v>0</v>
      </c>
      <c r="GF115" s="112">
        <f>VLOOKUP(Tabla16[[#This Row],[CÓDIGO DEL PRODUCTO Y/O SERVICIO ]],Tabla3[],9)</f>
        <v>0.36</v>
      </c>
      <c r="GG115" s="114">
        <f>Tabla16[[#This Row],[CANTIDADES A UTILIZAR EN EL AÑO 1 10]]*(1+Tabla16[[#This Row],[CAMBIO PORCENTUAL EN UNIDADES VENDIDAS AÑO 2 10]])</f>
        <v>0</v>
      </c>
      <c r="GH115" s="112">
        <f>VLOOKUP(Tabla16[[#This Row],[CÓDIGO DEL PRODUCTO Y/O SERVICIO ]],Tabla3[],13)</f>
        <v>2.9411764705882353E-2</v>
      </c>
      <c r="GI115" s="114">
        <f>Tabla16[[#This Row],[CANTIDADES A UTILIZAR EN EL AÑO 2 10]]*(1+Tabla16[[#This Row],[CAMBIO PORCENTUAL EN UNIDADES VENDIDAS AÑO 3 10]])</f>
        <v>0</v>
      </c>
      <c r="GJ115" s="112">
        <f>VLOOKUP(Tabla16[[#This Row],[CÓDIGO DEL PRODUCTO Y/O SERVICIO ]],Tabla3[],17)</f>
        <v>7.1428571428571425E-2</v>
      </c>
      <c r="GK115" s="114">
        <f>Tabla16[[#This Row],[CANTIDADES A UTILIZAR EN EL AÑO 3 10]]*(1+Tabla16[[#This Row],[CAMBIO PORCENTUAL EN UNIDADES VENDIDAS AÑO 4 10 ]])</f>
        <v>0</v>
      </c>
      <c r="GL115" s="112">
        <f>VLOOKUP(Tabla16[[#This Row],[CÓDIGO DEL PRODUCTO Y/O SERVICIO ]],Tabla3[],21)</f>
        <v>6.6666666666666666E-2</v>
      </c>
      <c r="GM115" s="114">
        <f>Tabla16[[#This Row],[CANTIDADES A UTILIZAR EN EL AÑO 4 10]]*(1+Tabla16[[#This Row],[CAMBIO PORCENTUAL EN UNIDADES VENDIDAS AÑO 5 10]])</f>
        <v>0</v>
      </c>
      <c r="GN115" s="344">
        <f>IF(Tabla16[[#This Row],[CANTIDADES A UTILIZAR EN EL AÑO 1 10]]=0,0,Tabla16[[#This Row],[CANTIDADES A UTILIZAR EN EL AÑO 1 10]]*1/Tabla16[[#This Row],[UNIDADES PRODUCIDAS AÑO 1 10]])</f>
        <v>0</v>
      </c>
      <c r="GO115" s="344">
        <f>$C$84*(1+BASES!$E$10)</f>
        <v>0</v>
      </c>
      <c r="GP115" s="344">
        <f>Tabla16[[#This Row],[COSTO UNITARIO AÑO 2 10]]*(1+BASES!$F$10)</f>
        <v>0</v>
      </c>
      <c r="GQ115" s="344">
        <f>Tabla16[[#This Row],[COSTO UNITARIO AÑO 3 10]]*(1+BASES!$G$10)</f>
        <v>0</v>
      </c>
      <c r="GR115" s="344">
        <f>Tabla16[[#This Row],[COSTO UNITARIO AÑO 4 10]]*(1+BASES!$H$10)</f>
        <v>0</v>
      </c>
      <c r="GS115" s="344">
        <f>Tabla16[[#This Row],[COSTO POR UNIDAD DE PRODUCTO (10) ]]*$C$84*VLOOKUP(Tabla16[[#This Row],[CÓDIGO DEL PRODUCTO Y/O SERVICIO ]],Tabla3[],3)</f>
        <v>0</v>
      </c>
      <c r="GT115" s="344">
        <f>Tabla16[[#This Row],[COSTO POR UNIDAD DE PRODUCTO (10) ]]*Tabla16[[#This Row],[COSTO UNITARIO AÑO 2 10]]*VLOOKUP(Tabla16[[#This Row],[CÓDIGO DEL PRODUCTO Y/O SERVICIO ]],Tabla3[],6)</f>
        <v>0</v>
      </c>
      <c r="GU115" s="344">
        <f>Tabla16[[#This Row],[COSTO POR UNIDAD DE PRODUCTO (10) ]]*Tabla16[[#This Row],[COSTO UNITARIO AÑO 3 10]]*VLOOKUP(Tabla16[[#This Row],[CÓDIGO DEL PRODUCTO Y/O SERVICIO ]],Tabla3[],10)</f>
        <v>0</v>
      </c>
      <c r="GV115" s="344">
        <f>Tabla16[[#This Row],[COSTO POR UNIDAD DE PRODUCTO (10) ]]*Tabla16[[#This Row],[COSTO UNITARIO AÑO 4 10]]*VLOOKUP(Tabla16[[#This Row],[CÓDIGO DEL PRODUCTO Y/O SERVICIO ]],Tabla3[],14)</f>
        <v>0</v>
      </c>
      <c r="GW115" s="344">
        <f>Tabla16[[#This Row],[COSTO POR UNIDAD DE PRODUCTO (10) ]]*Tabla16[[#This Row],[COSTO UNITARIO AÑO 5 10]]*VLOOKUP(Tabla16[[#This Row],[CÓDIGO DEL PRODUCTO Y/O SERVICIO ]],Tabla3[],18)</f>
        <v>0</v>
      </c>
      <c r="GX115" s="383">
        <f>Tabla16[[#This Row],[AÑO 1 10]]+Tabla16[[#This Row],[AÑO 1 9]]+Tabla16[[#This Row],[AÑO 1 8]]+Tabla16[[#This Row],[AÑO 1 7]]+Tabla16[[#This Row],[AÑO 1 6]]+Tabla16[[#This Row],[AÑO 1 5]]+Tabla16[[#This Row],[AÑO 1 4]]+Tabla16[[#This Row],[AÑO 1 3]]+Tabla16[[#This Row],[AÑO 1 2]]+Tabla16[[#This Row],[AÑO 1 1]]</f>
        <v>4229000</v>
      </c>
      <c r="GY115" s="383">
        <f>Tabla16[[#This Row],[AÑO 2 10]]+Tabla16[[#This Row],[AÑO 2 9]]+Tabla16[[#This Row],[AÑO 2 8]]+Tabla16[[#This Row],[AÑO 2 7]]+Tabla16[[#This Row],[AÑO 2 6]]+Tabla16[[#This Row],[AÑO 2 5]]+Tabla16[[#This Row],[AÑO 2 4]]+Tabla16[[#This Row],[AÑO 2 3]]+Tabla16[[#This Row],[AÑO 2 2]]+Tabla16[[#This Row],[AÑO 2 1]]</f>
        <v>5815856.1280000005</v>
      </c>
      <c r="GZ115" s="383">
        <f>Tabla16[[#This Row],[AÑO 3 10]]+Tabla16[[#This Row],[AÑO 3 9]]+Tabla16[[#This Row],[AÑO 3 8]]+Tabla16[[#This Row],[AÑO 3 7]]+Tabla16[[#This Row],[AÑO 3 6]]+Tabla16[[#This Row],[AÑO 3 5]]+Tabla16[[#This Row],[AÑO 3 4]]+Tabla16[[#This Row],[AÑO 3 3]]+Tabla16[[#This Row],[AÑO 3 2]]+Tabla16[[#This Row],[AÑO 3 1]]</f>
        <v>6053964.1200640015</v>
      </c>
      <c r="HA115" s="383">
        <f>Tabla16[[#This Row],[AÑO 4 10]]+Tabla16[[#This Row],[AÑO 4 9]]+Tabla16[[#This Row],[AÑO 4 8]]+Tabla16[[#This Row],[AÑO 4 7]]+Tabla16[[#This Row],[AÑO 4 6]]+Tabla16[[#This Row],[AÑO 4 5]]+Tabla16[[#This Row],[AÑO 4 4 ]]+Tabla16[[#This Row],[AÑO 4 3]]+Tabla16[[#This Row],[AÑO 4 2]]+Tabla16[[#This Row],[AÑO 4 1]]</f>
        <v>6559037.6980807697</v>
      </c>
      <c r="HB115" s="383">
        <f>Tabla16[[#This Row],[AÑO 5 10]]+Tabla16[[#This Row],[AÑO 5 9]]+Tabla16[[#This Row],[AÑO 5 8]]+Tabla16[[#This Row],[AÑO 5 7]]+Tabla16[[#This Row],[AÑO 5 6]]+Tabla16[[#This Row],[AÑO 5 5]]+Tabla16[[#This Row],[AÑO 5 4]]+Tabla16[[#This Row],[AÑO 5 3]]+Tabla16[[#This Row],[AÑO 5 2]]+Tabla16[[#This Row],[AÑO 5 1]]</f>
        <v>7074665.5149858939</v>
      </c>
    </row>
    <row r="116" spans="3:210" ht="15.75" x14ac:dyDescent="0.25">
      <c r="C116" s="363">
        <v>4</v>
      </c>
      <c r="D116" s="375" t="str">
        <f>VLOOKUP(Tabla16[[#This Row],[CÓDIGO DEL PRODUCTO Y/O SERVICIO ]],Tabla3[],2)</f>
        <v>Pureza Amor</v>
      </c>
      <c r="E116" s="72"/>
      <c r="F116" s="72">
        <f>VLOOKUP(Tabla16[[#This Row],[CÓDIGO DEL PRODUCTO Y/O SERVICIO ]],Tabla3[],3)</f>
        <v>450</v>
      </c>
      <c r="G116" s="72">
        <f>Tabla16[[#This Row],[UNIDADES PRODUCIDAS AÑO 1 1]]*F96</f>
        <v>900</v>
      </c>
      <c r="H116" s="112">
        <f>VLOOKUP(Tabla16[[#This Row],[CÓDIGO DEL PRODUCTO Y/O SERVICIO ]],Tabla3[],9)</f>
        <v>0.1111111111111111</v>
      </c>
      <c r="I116" s="72">
        <f>Tabla16[[#This Row],[CANTIDADES A UTILIZAR EN EL AÑO 1 1]]*(1+Tabla16[[#This Row],[CAMBIO PORCENTUAL EN UNIDADES VENDIDAS AÑO 2 1]])</f>
        <v>1000</v>
      </c>
      <c r="J116" s="112">
        <f>VLOOKUP(Tabla16[[#This Row],[CÓDIGO DEL PRODUCTO Y/O SERVICIO ]],Tabla3[],13)</f>
        <v>0.12</v>
      </c>
      <c r="K116" s="72">
        <f>Tabla16[[#This Row],[CANTIDADES  A UTILIZAR EN EL AÑO 2 1]]*(1+Tabla16[[#This Row],[CAMBIO PORCENTUAL EN UNIDADES VENDIDAS AÑO 3 1]])</f>
        <v>1120</v>
      </c>
      <c r="L116" s="112">
        <f>VLOOKUP(Tabla16[[#This Row],[CÓDIGO DEL PRODUCTO Y/O SERVICIO ]],Tabla3[],17)</f>
        <v>8.9285714285714288E-2</v>
      </c>
      <c r="M116" s="72">
        <f>Tabla16[[#This Row],[CANTIDADES A UTILIZAR EN EL AÑO 3 1]]*(1+Tabla16[[#This Row],[CAMBIO PORCENTUAL EN UNIDADES VENDIDAS AÑO 4 1]])</f>
        <v>1220</v>
      </c>
      <c r="N116" s="112">
        <f>VLOOKUP(Tabla16[[#This Row],[CÓDIGO DEL PRODUCTO Y/O SERVICIO ]],Tabla3[],21)</f>
        <v>6.5573770491803282E-2</v>
      </c>
      <c r="O116" s="72">
        <f>Tabla16[[#This Row],[CANTIDADES A UTILIZAR EN EL AÑO 4 1 ]]*(1+Tabla16[[#This Row],[CAMBIO PORCENTUAL EN UNIDADES VENDIDAS AÑO 5 1]])</f>
        <v>1300</v>
      </c>
      <c r="P116" s="344">
        <f>IF(Tabla16[[#This Row],[CANTIDADES A UTILIZAR EN EL AÑO 1 1]]=0,0,Tabla16[[#This Row],[CANTIDADES A UTILIZAR EN EL AÑO 1 1]]*1/Tabla16[[#This Row],[UNIDADES PRODUCIDAS AÑO 1 1]])</f>
        <v>2</v>
      </c>
      <c r="Q116" s="344">
        <f>$C$75*(1+BASES!$E$10)</f>
        <v>4276.3648000000003</v>
      </c>
      <c r="R116" s="344">
        <f>Tabla16[[#This Row],[COSTO UNITARIO AÑO 2 1]]*(1+BASES!$F$10)</f>
        <v>4324.2600857600009</v>
      </c>
      <c r="S116" s="344">
        <f>Tabla16[[#This Row],[COSTO UNITARIO AÑO 3 1]]*(1+BASES!$G$10)</f>
        <v>4372.6917987205134</v>
      </c>
      <c r="T116" s="344">
        <f>Tabla16[[#This Row],[COSTO UNITARIO AÑO 4 1]]*(1+BASES!$H$10)</f>
        <v>4421.6659468661837</v>
      </c>
      <c r="U116" s="344">
        <f>Tabla16[[#This Row],[COSTO POR UNIDAD DE PRODUCTO (1)]]*$C$75*VLOOKUP(Tabla16[[#This Row],[CÓDIGO DEL PRODUCTO Y/O SERVICIO ]],Tabla3[],3)</f>
        <v>3806100</v>
      </c>
      <c r="V116" s="344">
        <f>Tabla16[[#This Row],[COSTO POR UNIDAD DE PRODUCTO (1)]]*Tabla16[[#This Row],[COSTO UNITARIO AÑO 2 1]]*VLOOKUP(Tabla16[[#This Row],[CÓDIGO DEL PRODUCTO Y/O SERVICIO ]],Tabla3[],6)</f>
        <v>4276364.8000000007</v>
      </c>
      <c r="W116" s="344">
        <f>Tabla16[[#This Row],[COSTO POR UNIDAD DE PRODUCTO (1)]]*Tabla16[[#This Row],[COSTO UNITARIO AÑO 3 1]]*VLOOKUP(Tabla16[[#This Row],[CÓDIGO DEL PRODUCTO Y/O SERVICIO ]],Tabla3[],10)</f>
        <v>4843171.2960512014</v>
      </c>
      <c r="X116" s="344">
        <f>Tabla16[[#This Row],[COSTO POR UNIDAD DE PRODUCTO (1)]]*Tabla16[[#This Row],[COSTO UNITARIO AÑO 4 1]]*VLOOKUP(Tabla16[[#This Row],[CÓDIGO DEL PRODUCTO Y/O SERVICIO ]],Tabla3[],14)</f>
        <v>5334683.9944390263</v>
      </c>
      <c r="Y116" s="344">
        <f>Tabla16[[#This Row],[COSTO POR UNIDAD DE PRODUCTO (1)]]*Tabla16[[#This Row],[COSTO UNITARIO AÑO 5 1]]*VLOOKUP(Tabla16[[#This Row],[CÓDIGO DEL PRODUCTO Y/O SERVICIO ]],Tabla3[],18)</f>
        <v>5748165.7309260387</v>
      </c>
      <c r="Z116" s="114">
        <f>VLOOKUP(Tabla16[[#This Row],[CÓDIGO DEL PRODUCTO Y/O SERVICIO ]],Tabla3[],3)</f>
        <v>450</v>
      </c>
      <c r="AA116" s="114">
        <f>Tabla16[[#This Row],[UNIDADES PRODUCIDAS AÑO 1 2]]*G96</f>
        <v>0</v>
      </c>
      <c r="AB116" s="112">
        <f>VLOOKUP(Tabla16[[#This Row],[CÓDIGO DEL PRODUCTO Y/O SERVICIO ]],Tabla3[],9)</f>
        <v>0.1111111111111111</v>
      </c>
      <c r="AC116" s="114">
        <f>Tabla16[[#This Row],[CANTIDADES A UTILIZAR EN EL AÑO 1 2]]*(1+Tabla16[[#This Row],[CAMBIO PORCENTUAL EN UNIDADES VENDIDAS AÑO 2 2]])</f>
        <v>0</v>
      </c>
      <c r="AD116" s="112">
        <f>VLOOKUP(Tabla16[[#This Row],[CÓDIGO DEL PRODUCTO Y/O SERVICIO ]],Tabla3[],13)</f>
        <v>0.12</v>
      </c>
      <c r="AE116" s="114">
        <f>Tabla16[[#This Row],[CANTIDADES A UTILIZAR EN EL AÑO 2 2]]*(1+Tabla16[[#This Row],[CAMBIO PORCENTUAL EN UNIDADES VENDIDAS AÑO 3 2 ]])</f>
        <v>0</v>
      </c>
      <c r="AF116" s="112">
        <f>VLOOKUP(Tabla16[[#This Row],[CÓDIGO DEL PRODUCTO Y/O SERVICIO ]],Tabla3[],17)</f>
        <v>8.9285714285714288E-2</v>
      </c>
      <c r="AG116" s="114">
        <f>Tabla16[[#This Row],[CANTIDADES A UTILIZAR EN EL AÑO 3 2]]*(1+Tabla16[[#This Row],[CAMBIO PORCENTUAL EN UNIDADES VENDIDAS AÑO 4 2]])</f>
        <v>0</v>
      </c>
      <c r="AH116" s="112">
        <f>VLOOKUP(Tabla16[[#This Row],[CÓDIGO DEL PRODUCTO Y/O SERVICIO ]],Tabla3[],21)</f>
        <v>6.5573770491803282E-2</v>
      </c>
      <c r="AI116" s="114">
        <f>Tabla16[[#This Row],[CANTIDADES A UTILIZAR EN EL AÑO 4 2]]*(1+Tabla16[[#This Row],[CAMBIO PORCENTUAL EN UNIDADES VENDIDAS AÑO 5 2]])</f>
        <v>0</v>
      </c>
      <c r="AJ116" s="344">
        <f>IF(Tabla16[[#This Row],[CANTIDADES A UTILIZAR EN EL AÑO 1 2]]=0,0,Tabla16[[#This Row],[CANTIDADES A UTILIZAR EN EL AÑO 1 2]]*1/Tabla16[[#This Row],[UNIDADES PRODUCIDAS AÑO 1 2]])</f>
        <v>0</v>
      </c>
      <c r="AK116" s="344">
        <f>$C$76*(1+BASES!$E$10)</f>
        <v>0</v>
      </c>
      <c r="AL116" s="344">
        <f>Tabla16[[#This Row],[COSTO UNITARIO AÑO 2 2]]*(1+BASES!$F$10)</f>
        <v>0</v>
      </c>
      <c r="AM116" s="344">
        <f>Tabla16[[#This Row],[COSTO UNITARIO AÑO 3 2]]*(1+BASES!$G$10)</f>
        <v>0</v>
      </c>
      <c r="AN116" s="344">
        <f>Tabla16[[#This Row],[COSTO UNITARIO AÑO 4 2]]*(1+BASES!$H$10)</f>
        <v>0</v>
      </c>
      <c r="AO116" s="344">
        <f>Tabla16[[#This Row],[COSTO POR UNIDAD DE PRODUCTO (2) ]]*$C$76*VLOOKUP(Tabla16[[#This Row],[CÓDIGO DEL PRODUCTO Y/O SERVICIO ]],Tabla3[],3)</f>
        <v>0</v>
      </c>
      <c r="AP116" s="344">
        <f>Tabla16[[#This Row],[COSTO POR UNIDAD DE PRODUCTO (2) ]]*Tabla16[[#This Row],[COSTO UNITARIO AÑO 2 2]]*VLOOKUP(Tabla16[[#This Row],[CÓDIGO DEL PRODUCTO Y/O SERVICIO ]],Tabla3[],6)</f>
        <v>0</v>
      </c>
      <c r="AQ116" s="344">
        <f>Tabla16[[#This Row],[COSTO POR UNIDAD DE PRODUCTO (2) ]]*Tabla16[[#This Row],[COSTO UNITARIO AÑO 3 2]]*VLOOKUP(Tabla16[[#This Row],[CÓDIGO DEL PRODUCTO Y/O SERVICIO ]],Tabla3[],10)</f>
        <v>0</v>
      </c>
      <c r="AR116" s="344">
        <f>Tabla16[[#This Row],[COSTO POR UNIDAD DE PRODUCTO (2) ]]*Tabla16[[#This Row],[COSTO UNITARIO AÑO 4 2]]*VLOOKUP(Tabla16[[#This Row],[CÓDIGO DEL PRODUCTO Y/O SERVICIO ]],Tabla3[],14)</f>
        <v>0</v>
      </c>
      <c r="AS116" s="344">
        <f>Tabla16[[#This Row],[COSTO POR UNIDAD DE PRODUCTO (2) ]]*Tabla16[[#This Row],[COSTO UNITARIO AÑO 5 2 ]]*VLOOKUP(Tabla16[[#This Row],[CÓDIGO DEL PRODUCTO Y/O SERVICIO ]],Tabla3[],18)</f>
        <v>0</v>
      </c>
      <c r="AT116" s="114">
        <f>VLOOKUP(Tabla16[[#This Row],[CÓDIGO DEL PRODUCTO Y/O SERVICIO ]],Tabla3[],3)</f>
        <v>450</v>
      </c>
      <c r="AU116" s="114">
        <f>Tabla16[[#This Row],[UNIDADES PRODUCIDAS AÑO 1 3]]*H96</f>
        <v>0</v>
      </c>
      <c r="AV116" s="112">
        <f>VLOOKUP(Tabla16[[#This Row],[CÓDIGO DEL PRODUCTO Y/O SERVICIO ]],Tabla3[],9)</f>
        <v>0.1111111111111111</v>
      </c>
      <c r="AW116" s="114">
        <f>Tabla16[[#This Row],[CANTIDADES A UTILIZAR EN EL AÑO 1 3]]*(1+Tabla16[[#This Row],[CAMBIO PORCENTUAL EN UNIDADES VENDIDAS AÑO 2 3]])</f>
        <v>0</v>
      </c>
      <c r="AX116" s="112">
        <f>VLOOKUP(Tabla16[[#This Row],[CÓDIGO DEL PRODUCTO Y/O SERVICIO ]],Tabla3[],13)</f>
        <v>0.12</v>
      </c>
      <c r="AY116" s="114">
        <f>Tabla16[[#This Row],[CANTIDADES A UTILIZAR EN EL AÑO 2 3]]*(1+Tabla16[[#This Row],[CAMBIO PORCENTUAL EN UNIDADES VENDIDAS AÑO 3 3]])</f>
        <v>0</v>
      </c>
      <c r="AZ116" s="112">
        <f>VLOOKUP(Tabla16[[#This Row],[CÓDIGO DEL PRODUCTO Y/O SERVICIO ]],Tabla3[],17)</f>
        <v>8.9285714285714288E-2</v>
      </c>
      <c r="BA116" s="114">
        <f>Tabla16[[#This Row],[CANTIDADES A UTILIZAR EN EL AÑO 3 3]]*(1+Tabla16[[#This Row],[CAMBIO PORCENTUAL EN UNIDADES VENDIDAS AÑO 4 3]])</f>
        <v>0</v>
      </c>
      <c r="BB116" s="112">
        <f>VLOOKUP(Tabla16[[#This Row],[CÓDIGO DEL PRODUCTO Y/O SERVICIO ]],Tabla3[],21)</f>
        <v>6.5573770491803282E-2</v>
      </c>
      <c r="BC116" s="114">
        <f>Tabla16[[#This Row],[CANTIDADES A UTILIZAR EN EL AÑO 4 3]]*(1+Tabla16[[#This Row],[CAMBIO PORCENTUAL EN UNIDADES VENDIDAS AÑO 5 3]])</f>
        <v>0</v>
      </c>
      <c r="BD116" s="344">
        <f>IF(Tabla16[[#This Row],[CANTIDADES A UTILIZAR EN EL AÑO 1 3]]=0,0,Tabla16[[#This Row],[CANTIDADES A UTILIZAR EN EL AÑO 1 3]]*1/Tabla16[[#This Row],[UNIDADES PRODUCIDAS AÑO 1 3]])</f>
        <v>0</v>
      </c>
      <c r="BE116" s="344">
        <f>$C$77*(1+BASES!$E$10)</f>
        <v>0</v>
      </c>
      <c r="BF116" s="344">
        <f>Tabla16[[#This Row],[COSTO UNITARIO AÑO 2 3]]*(1+BASES!$F$10)</f>
        <v>0</v>
      </c>
      <c r="BG116" s="344">
        <f>Tabla16[[#This Row],[COSTO UNITARIO AÑO 3 3]]*(1+BASES!$G$10)</f>
        <v>0</v>
      </c>
      <c r="BH116" s="344">
        <f>Tabla16[[#This Row],[COSTO UNITARIO AÑO 4 3]]*(1+BASES!$H$10)</f>
        <v>0</v>
      </c>
      <c r="BI116" s="344">
        <f>Tabla16[[#This Row],[COSTO POR UNIDAD DE PRODUCTO (3) ]]*$C$77*VLOOKUP(Tabla16[[#This Row],[CÓDIGO DEL PRODUCTO Y/O SERVICIO ]],Tabla3[],3)</f>
        <v>0</v>
      </c>
      <c r="BJ116" s="344">
        <f>Tabla16[[#This Row],[COSTO POR UNIDAD DE PRODUCTO (3) ]]*Tabla16[[#This Row],[COSTO UNITARIO AÑO 2 3]]*VLOOKUP(Tabla16[[#This Row],[CÓDIGO DEL PRODUCTO Y/O SERVICIO ]],Tabla3[],6)</f>
        <v>0</v>
      </c>
      <c r="BK116" s="344">
        <f>Tabla16[[#This Row],[COSTO POR UNIDAD DE PRODUCTO (3) ]]*Tabla16[[#This Row],[COSTO UNITARIO AÑO 3 3]]*VLOOKUP(Tabla16[[#This Row],[CÓDIGO DEL PRODUCTO Y/O SERVICIO ]],Tabla3[],10)</f>
        <v>0</v>
      </c>
      <c r="BL116" s="344">
        <f>Tabla16[[#This Row],[COSTO POR UNIDAD DE PRODUCTO (3) ]]*Tabla16[[#This Row],[COSTO UNITARIO AÑO 4 3]]*VLOOKUP(Tabla16[[#This Row],[CÓDIGO DEL PRODUCTO Y/O SERVICIO ]],Tabla3[],14)</f>
        <v>0</v>
      </c>
      <c r="BM116" s="344">
        <f>Tabla16[[#This Row],[COSTO POR UNIDAD DE PRODUCTO (3) ]]*Tabla16[[#This Row],[COSTO UNITARIO AÑO 5 3]]*VLOOKUP(Tabla16[[#This Row],[CÓDIGO DEL PRODUCTO Y/O SERVICIO ]],Tabla3[],18)</f>
        <v>0</v>
      </c>
      <c r="BN116" s="114">
        <f>VLOOKUP(Tabla16[[#This Row],[CÓDIGO DEL PRODUCTO Y/O SERVICIO ]],Tabla3[],3)</f>
        <v>450</v>
      </c>
      <c r="BO116" s="114">
        <f>Tabla16[[#This Row],[UNIDADES PRODUCIDAS AÑO 1 4]]*I96</f>
        <v>0</v>
      </c>
      <c r="BP116" s="112">
        <f>VLOOKUP(Tabla16[[#This Row],[CÓDIGO DEL PRODUCTO Y/O SERVICIO ]],Tabla3[],9)</f>
        <v>0.1111111111111111</v>
      </c>
      <c r="BQ116" s="114">
        <f>Tabla16[[#This Row],[CANTIDADES A UTILIZAR EN EL AÑO 1 4]]*(1+Tabla16[[#This Row],[CAMBIO PORCENTUAL EN UNIDADES VENDIDAS AÑO 2 4]])</f>
        <v>0</v>
      </c>
      <c r="BR116" s="112">
        <f>VLOOKUP(Tabla16[[#This Row],[CÓDIGO DEL PRODUCTO Y/O SERVICIO ]],Tabla3[],13)</f>
        <v>0.12</v>
      </c>
      <c r="BS116" s="114">
        <f>Tabla16[[#This Row],[CANTIDADES A UTILIZAR EN EL AÑO 2 4]]*(1+Tabla16[[#This Row],[CAMBIO PORCENTUAL EN UNIDADES VENDIDAS AÑO 3 4]])</f>
        <v>0</v>
      </c>
      <c r="BT116" s="112">
        <f>VLOOKUP(Tabla16[[#This Row],[CÓDIGO DEL PRODUCTO Y/O SERVICIO ]],Tabla3[],17)</f>
        <v>8.9285714285714288E-2</v>
      </c>
      <c r="BU116" s="114">
        <f>Tabla16[[#This Row],[CANTIDADES A UTILIZAR EN EL AÑO 3 4]]*(1+Tabla16[[#This Row],[CAMBIO PORCENTUAL EN UNIDADES VENDIDAS AÑO 4 4]])</f>
        <v>0</v>
      </c>
      <c r="BV116" s="112">
        <f>VLOOKUP(Tabla16[[#This Row],[CÓDIGO DEL PRODUCTO Y/O SERVICIO ]],Tabla3[],21)</f>
        <v>6.5573770491803282E-2</v>
      </c>
      <c r="BW116" s="114">
        <f>Tabla16[[#This Row],[CANTIDADES A UTILIZAR EN EL AÑO 4 4]]*(1+Tabla16[[#This Row],[CAMBIO PORCENTUAL EN UNIDADES VENDIDAS AÑO 5 4]])</f>
        <v>0</v>
      </c>
      <c r="BX116" s="344">
        <f>IF(Tabla16[[#This Row],[CANTIDADES A UTILIZAR EN EL AÑO 1 4]]=0,0,Tabla16[[#This Row],[CANTIDADES A UTILIZAR EN EL AÑO 1 4]]*1/Tabla16[[#This Row],[UNIDADES PRODUCIDAS AÑO 1 4]])</f>
        <v>0</v>
      </c>
      <c r="BY116" s="344">
        <f>$C$78*(1+BASES!$E$10)</f>
        <v>0</v>
      </c>
      <c r="BZ116" s="344">
        <f>Tabla16[[#This Row],[COSTO UNITARIO AÑO 2 4]]*(1+BASES!$F$10)</f>
        <v>0</v>
      </c>
      <c r="CA116" s="344">
        <f>Tabla16[[#This Row],[COSTO UNITARIO AÑO 3 4 ]]*(1+BASES!$G$10)</f>
        <v>0</v>
      </c>
      <c r="CB116" s="344">
        <f>Tabla16[[#This Row],[COSTO UNITARIO AÑO 4 4]]*(1+BASES!$H$10)</f>
        <v>0</v>
      </c>
      <c r="CC116" s="344">
        <f>Tabla16[[#This Row],[COSTO POR UNIDAD DE PRODUCTO (4)]]*$C$78*VLOOKUP(Tabla16[[#This Row],[CÓDIGO DEL PRODUCTO Y/O SERVICIO ]],Tabla3[],3)</f>
        <v>0</v>
      </c>
      <c r="CD116" s="344">
        <f>Tabla16[[#This Row],[COSTO POR UNIDAD DE PRODUCTO (4)]]*Tabla16[[#This Row],[COSTO UNITARIO AÑO 2 4]]*VLOOKUP(Tabla16[[#This Row],[CÓDIGO DEL PRODUCTO Y/O SERVICIO ]],Tabla3[],6)</f>
        <v>0</v>
      </c>
      <c r="CE116" s="344">
        <f>Tabla16[[#This Row],[COSTO POR UNIDAD DE PRODUCTO (4)]]*Tabla16[[#This Row],[COSTO UNITARIO AÑO 3 4 ]]*VLOOKUP(Tabla16[[#This Row],[CÓDIGO DEL PRODUCTO Y/O SERVICIO ]],Tabla3[],10)</f>
        <v>0</v>
      </c>
      <c r="CF116" s="344">
        <f>Tabla16[[#This Row],[COSTO POR UNIDAD DE PRODUCTO (4)]]*Tabla16[[#This Row],[COSTO UNITARIO AÑO 4 4]]*VLOOKUP(Tabla16[[#This Row],[CÓDIGO DEL PRODUCTO Y/O SERVICIO ]],Tabla3[],14)</f>
        <v>0</v>
      </c>
      <c r="CG116" s="344">
        <f>Tabla16[[#This Row],[COSTO POR UNIDAD DE PRODUCTO (4)]]*Tabla16[[#This Row],[COSTO UNITARIO AÑO 5 4 ]]*VLOOKUP(Tabla16[[#This Row],[CÓDIGO DEL PRODUCTO Y/O SERVICIO ]],Tabla3[],18)</f>
        <v>0</v>
      </c>
      <c r="CH116" s="114">
        <f>VLOOKUP(Tabla16[[#This Row],[CÓDIGO DEL PRODUCTO Y/O SERVICIO ]],Tabla3[],3)</f>
        <v>450</v>
      </c>
      <c r="CI116" s="114">
        <f>Tabla16[[#This Row],[UNIDADES PRODUCIDAS AÑO 1 5]]*J96</f>
        <v>0</v>
      </c>
      <c r="CJ116" s="112">
        <f>VLOOKUP(Tabla16[[#This Row],[CÓDIGO DEL PRODUCTO Y/O SERVICIO ]],Tabla3[],9)</f>
        <v>0.1111111111111111</v>
      </c>
      <c r="CK116" s="114">
        <f>Tabla16[[#This Row],[CANTIDADES A UTILIZAR EN EL AÑO 1 5]]*(1+Tabla16[[#This Row],[CAMBIO PORCENTUAL EN UNIDADES VENDIDAS AÑO 2 5]])</f>
        <v>0</v>
      </c>
      <c r="CL116" s="112">
        <f>VLOOKUP(Tabla16[[#This Row],[CÓDIGO DEL PRODUCTO Y/O SERVICIO ]],Tabla3[],13)</f>
        <v>0.12</v>
      </c>
      <c r="CM116" s="114">
        <f>Tabla16[[#This Row],[CANTIDADES A UTILIZAR EN EL AÑO 2 5]]*(1+Tabla16[[#This Row],[CAMBIO PORCENTUAL EN UNIDADES VENDIDAS AÑO 3 5]])</f>
        <v>0</v>
      </c>
      <c r="CN116" s="112">
        <f>VLOOKUP(Tabla16[[#This Row],[CÓDIGO DEL PRODUCTO Y/O SERVICIO ]],Tabla3[],17)</f>
        <v>8.9285714285714288E-2</v>
      </c>
      <c r="CO116" s="114">
        <f>Tabla16[[#This Row],[CANTIDADES A UTILIZAR EN EL AÑO 3 5 ]]*(1+Tabla16[[#This Row],[CAMBIO PORCENTUAL EN UNIDADES VENDIDAS AÑO 4 5]])</f>
        <v>0</v>
      </c>
      <c r="CP116" s="112">
        <f>VLOOKUP(Tabla16[[#This Row],[CÓDIGO DEL PRODUCTO Y/O SERVICIO ]],Tabla3[],21)</f>
        <v>6.5573770491803282E-2</v>
      </c>
      <c r="CQ116" s="114">
        <f>Tabla16[[#This Row],[CANTIDADES A UTILIZAR EN EL AÑO 4 5]]*(1+Tabla16[[#This Row],[CAMBIO PORCENTUAL EN UNIDADES VENDIDAS AÑO 5 5]])</f>
        <v>0</v>
      </c>
      <c r="CR116" s="344">
        <f>IF(Tabla16[[#This Row],[CANTIDADES A UTILIZAR EN EL AÑO 1 5]]=0,0,Tabla16[[#This Row],[CANTIDADES A UTILIZAR EN EL AÑO 1 5]]*1/Tabla16[[#This Row],[UNIDADES PRODUCIDAS AÑO 1 5]])</f>
        <v>0</v>
      </c>
      <c r="CS116" s="344">
        <f>$C$79*(1+BASES!$E$10)</f>
        <v>0</v>
      </c>
      <c r="CT116" s="344">
        <f>Tabla16[[#This Row],[COSTO UNITARIO AÑO 2 5]]*(1+BASES!$F$10)</f>
        <v>0</v>
      </c>
      <c r="CU116" s="344">
        <f>Tabla16[[#This Row],[COSTO UNITARIO AÑO 3 5]]*(1+BASES!$G$10)</f>
        <v>0</v>
      </c>
      <c r="CV116" s="344">
        <f>Tabla16[[#This Row],[COSTO UNITARIO AÑO 4 5]]*(1+BASES!$H$10)</f>
        <v>0</v>
      </c>
      <c r="CW116" s="344">
        <f>Tabla16[[#This Row],[COSTO POR UNIDAD DE PRODUCTO (5) ]]*$C$79*VLOOKUP(Tabla16[[#This Row],[CÓDIGO DEL PRODUCTO Y/O SERVICIO ]],Tabla3[],3)</f>
        <v>0</v>
      </c>
      <c r="CX116" s="344">
        <f>Tabla16[[#This Row],[COSTO POR UNIDAD DE PRODUCTO (5) ]]*Tabla16[[#This Row],[COSTO UNITARIO AÑO 2 5]]*VLOOKUP(Tabla16[[#This Row],[CÓDIGO DEL PRODUCTO Y/O SERVICIO ]],Tabla3[],6)</f>
        <v>0</v>
      </c>
      <c r="CY116" s="344">
        <f>Tabla16[[#This Row],[COSTO POR UNIDAD DE PRODUCTO (5) ]]*Tabla16[[#This Row],[COSTO UNITARIO AÑO 3 5]]*VLOOKUP(Tabla16[[#This Row],[CÓDIGO DEL PRODUCTO Y/O SERVICIO ]],Tabla3[],10)</f>
        <v>0</v>
      </c>
      <c r="CZ116" s="344">
        <f>Tabla16[[#This Row],[COSTO POR UNIDAD DE PRODUCTO (5) ]]*Tabla16[[#This Row],[COSTO UNITARIO AÑO 4 5]]*VLOOKUP(Tabla16[[#This Row],[CÓDIGO DEL PRODUCTO Y/O SERVICIO ]],Tabla3[],14)</f>
        <v>0</v>
      </c>
      <c r="DA116" s="344">
        <f>Tabla16[[#This Row],[COSTO POR UNIDAD DE PRODUCTO (5) ]]*Tabla16[[#This Row],[COSTO UNITARIO AÑO 5 5]]*VLOOKUP(Tabla16[[#This Row],[CÓDIGO DEL PRODUCTO Y/O SERVICIO ]],Tabla3[],18)</f>
        <v>0</v>
      </c>
      <c r="DB116" s="114">
        <f>VLOOKUP(Tabla16[[#This Row],[CÓDIGO DEL PRODUCTO Y/O SERVICIO ]],Tabla3[],3)</f>
        <v>450</v>
      </c>
      <c r="DC116" s="114">
        <f>Tabla16[[#This Row],[UNIDADES PRODUCIDAS AÑO 1 6]]*K96</f>
        <v>0</v>
      </c>
      <c r="DD116" s="112">
        <f>VLOOKUP(Tabla16[[#This Row],[CÓDIGO DEL PRODUCTO Y/O SERVICIO ]],Tabla3[],9)</f>
        <v>0.1111111111111111</v>
      </c>
      <c r="DE116" s="114">
        <f>Tabla16[[#This Row],[CANTIDADES A UTILIZAR EN EL AÑO 1 6]]*(1+Tabla16[[#This Row],[CAMBIO PORCENTUAL EN UNIDADES VENDIDAS AÑO 2 6]])</f>
        <v>0</v>
      </c>
      <c r="DF116" s="112">
        <f>VLOOKUP(Tabla16[[#This Row],[CÓDIGO DEL PRODUCTO Y/O SERVICIO ]],Tabla3[],13)</f>
        <v>0.12</v>
      </c>
      <c r="DG116" s="114">
        <f>Tabla16[[#This Row],[CANTIDADES A UTILIZAR EN EL AÑO 2 6]]*(1+Tabla16[[#This Row],[CAMBIO PORCENTUAL EN UNIDADES VENDIDAS AÑO 3 6]])</f>
        <v>0</v>
      </c>
      <c r="DH116" s="112">
        <f>VLOOKUP(Tabla16[[#This Row],[CÓDIGO DEL PRODUCTO Y/O SERVICIO ]],Tabla3[],17)</f>
        <v>8.9285714285714288E-2</v>
      </c>
      <c r="DI116" s="114">
        <f>Tabla16[[#This Row],[CANTIDADES A UTILIZAR EN EL AÑO 3 6]]*(1+Tabla16[[#This Row],[CAMBIO PORCENTUAL EN UNIDADES VENDIDAS AÑO 4 6]])</f>
        <v>0</v>
      </c>
      <c r="DJ116" s="112">
        <f>VLOOKUP(Tabla16[[#This Row],[CÓDIGO DEL PRODUCTO Y/O SERVICIO ]],Tabla3[],21)</f>
        <v>6.5573770491803282E-2</v>
      </c>
      <c r="DK116" s="114">
        <f>Tabla16[[#This Row],[CANTIDADES A UTILIZAR EN EL AÑO 4 6]]*(1+Tabla16[[#This Row],[CAMBIO PORCENTUAL EN UNIDADES VENDIDAS AÑO 5 6]])</f>
        <v>0</v>
      </c>
      <c r="DL116" s="344">
        <f>IF(Tabla16[[#This Row],[CANTIDADES A UTILIZAR EN EL AÑO 1 6]]=0,0,Tabla16[[#This Row],[CANTIDADES A UTILIZAR EN EL AÑO 1 6]]*1/Tabla16[[#This Row],[UNIDADES PRODUCIDAS AÑO 1 6]])</f>
        <v>0</v>
      </c>
      <c r="DM116" s="344">
        <f>$C$80*(1+BASES!$E$10)</f>
        <v>0</v>
      </c>
      <c r="DN116" s="344">
        <f>Tabla16[[#This Row],[COSTO UNITARIO AÑO 2 6]]*(1+BASES!$F$10)</f>
        <v>0</v>
      </c>
      <c r="DO116" s="344">
        <f>Tabla16[[#This Row],[COSTO UNITARIO AÑO 3 6]]*(1+BASES!$G$10)</f>
        <v>0</v>
      </c>
      <c r="DP116" s="344">
        <f>Tabla16[[#This Row],[COSTO UNITARIO AÑO 4 6]]*(1+BASES!$H$10)</f>
        <v>0</v>
      </c>
      <c r="DQ116" s="344">
        <f>Tabla16[[#This Row],[COSTO POR UNIDAD DE PRODUCTO (6) ]]*$C$80*VLOOKUP(Tabla16[[#This Row],[CÓDIGO DEL PRODUCTO Y/O SERVICIO ]],Tabla3[],3)</f>
        <v>0</v>
      </c>
      <c r="DR116" s="344">
        <f>Tabla16[[#This Row],[COSTO POR UNIDAD DE PRODUCTO (6) ]]*Tabla16[[#This Row],[COSTO UNITARIO AÑO 2 6]]*VLOOKUP(Tabla16[[#This Row],[CÓDIGO DEL PRODUCTO Y/O SERVICIO ]],Tabla3[],6)</f>
        <v>0</v>
      </c>
      <c r="DS116" s="344">
        <f>Tabla16[[#This Row],[COSTO POR UNIDAD DE PRODUCTO (6) ]]*Tabla16[[#This Row],[COSTO UNITARIO AÑO 3 6]]*VLOOKUP(Tabla16[[#This Row],[CÓDIGO DEL PRODUCTO Y/O SERVICIO ]],Tabla3[],10)</f>
        <v>0</v>
      </c>
      <c r="DT116" s="344">
        <f>Tabla16[[#This Row],[COSTO POR UNIDAD DE PRODUCTO (6) ]]*Tabla16[[#This Row],[COSTO UNITARIO AÑO 4 6]]*VLOOKUP(Tabla16[[#This Row],[CÓDIGO DEL PRODUCTO Y/O SERVICIO ]],Tabla3[],14)</f>
        <v>0</v>
      </c>
      <c r="DU116" s="344">
        <f>Tabla16[[#This Row],[COSTO POR UNIDAD DE PRODUCTO (6) ]]*Tabla16[[#This Row],[COSTO UNITARIO AÑO 5 6]]*VLOOKUP(Tabla16[[#This Row],[CÓDIGO DEL PRODUCTO Y/O SERVICIO ]],Tabla3[],18)</f>
        <v>0</v>
      </c>
      <c r="DV116" s="114">
        <f>VLOOKUP(Tabla16[[#This Row],[CÓDIGO DEL PRODUCTO Y/O SERVICIO ]],Tabla3[],3)</f>
        <v>450</v>
      </c>
      <c r="DW116" s="114">
        <f>Tabla16[[#This Row],[UNIDADES PRODUCIDAS AÑO 1 7]]*L96</f>
        <v>0</v>
      </c>
      <c r="DX116" s="112">
        <f>VLOOKUP(Tabla16[[#This Row],[CÓDIGO DEL PRODUCTO Y/O SERVICIO ]],Tabla3[],9)</f>
        <v>0.1111111111111111</v>
      </c>
      <c r="DY116" s="114">
        <f>Tabla16[[#This Row],[CANTIDADES A UTILIZAR EN EL AÑO 1 7]]*(1+Tabla16[[#This Row],[CAMBIO PORCENTUAL EN UNIDADES VENDIDAS AÑO 2 7]])</f>
        <v>0</v>
      </c>
      <c r="DZ116" s="112">
        <f>VLOOKUP(Tabla16[[#This Row],[CÓDIGO DEL PRODUCTO Y/O SERVICIO ]],Tabla3[],13)</f>
        <v>0.12</v>
      </c>
      <c r="EA116" s="114">
        <f>Tabla16[[#This Row],[CANTIDADES A UTILIZAR EN EL AÑO 2 7]]*(1+Tabla16[[#This Row],[CAMBIO PORCENTUAL EN UNIDADES VENDIDAS AÑO 3 7]])</f>
        <v>0</v>
      </c>
      <c r="EB116" s="112">
        <f>VLOOKUP(Tabla16[[#This Row],[CÓDIGO DEL PRODUCTO Y/O SERVICIO ]],Tabla3[],17)</f>
        <v>8.9285714285714288E-2</v>
      </c>
      <c r="EC116" s="114">
        <f>Tabla16[[#This Row],[CANTIDADES A UTILIZAR EN EL AÑO 3 7]]*(1+Tabla16[[#This Row],[CAMBIO PORCENTUAL EN UNIDADES VENDIDAS AÑO 4 7]])</f>
        <v>0</v>
      </c>
      <c r="ED116" s="112">
        <f>VLOOKUP(Tabla16[[#This Row],[CÓDIGO DEL PRODUCTO Y/O SERVICIO ]],Tabla3[],21)</f>
        <v>6.5573770491803282E-2</v>
      </c>
      <c r="EE116" s="114">
        <f>Tabla16[[#This Row],[CANTIDADES A UTILIZAR EN EL AÑO 4 7]]*(1+Tabla16[[#This Row],[CAMBIO PORCENTUAL EN UNIDADES VENDIDAS AÑO 5 7]])</f>
        <v>0</v>
      </c>
      <c r="EF116" s="344">
        <f>IF(Tabla16[[#This Row],[CANTIDADES A UTILIZAR EN EL AÑO 1 7]]=0,0,Tabla16[[#This Row],[CANTIDADES A UTILIZAR EN EL AÑO 1 7]]*1/Tabla16[[#This Row],[UNIDADES PRODUCIDAS AÑO 1 7]])</f>
        <v>0</v>
      </c>
      <c r="EG116" s="344">
        <f>$C$81*(1+BASES!$E$10)</f>
        <v>0</v>
      </c>
      <c r="EH116" s="344">
        <f>Tabla16[[#This Row],[COSTO UNITARIO AÑO 2 7]]*(1+BASES!$F$10)</f>
        <v>0</v>
      </c>
      <c r="EI116" s="344">
        <f>Tabla16[[#This Row],[COSTO UNITARIO AÑO 3 7]]*(1+BASES!$G$10)</f>
        <v>0</v>
      </c>
      <c r="EJ116" s="344">
        <f>Tabla16[[#This Row],[COSTO UNITARIO AÑO 4 7]]*(1+BASES!$H$10)</f>
        <v>0</v>
      </c>
      <c r="EK116" s="344">
        <f>Tabla16[[#This Row],[COSTO POR UNIDAD DE PRODUCTO (7) ]]*$C$81*VLOOKUP(Tabla16[[#This Row],[CÓDIGO DEL PRODUCTO Y/O SERVICIO ]],Tabla3[],3)</f>
        <v>0</v>
      </c>
      <c r="EL116" s="344">
        <f>Tabla16[[#This Row],[COSTO POR UNIDAD DE PRODUCTO (7) ]]*Tabla16[[#This Row],[COSTO UNITARIO AÑO 2 7]]*VLOOKUP(Tabla16[[#This Row],[CÓDIGO DEL PRODUCTO Y/O SERVICIO ]],Tabla3[],6)</f>
        <v>0</v>
      </c>
      <c r="EM116" s="344">
        <f>Tabla16[[#This Row],[COSTO POR UNIDAD DE PRODUCTO (7) ]]*Tabla16[[#This Row],[COSTO UNITARIO AÑO 3 7]]*VLOOKUP(Tabla16[[#This Row],[CÓDIGO DEL PRODUCTO Y/O SERVICIO ]],Tabla3[],10)</f>
        <v>0</v>
      </c>
      <c r="EN116" s="344">
        <f>Tabla16[[#This Row],[COSTO POR UNIDAD DE PRODUCTO (7) ]]*Tabla16[[#This Row],[COSTO UNITARIO AÑO 4 7]]*VLOOKUP(Tabla16[[#This Row],[CÓDIGO DEL PRODUCTO Y/O SERVICIO ]],Tabla3[],14)</f>
        <v>0</v>
      </c>
      <c r="EO116" s="344">
        <f>Tabla16[[#This Row],[COSTO POR UNIDAD DE PRODUCTO (7) ]]*Tabla16[[#This Row],[COSTO UNITARIO AÑO 5 7]]*VLOOKUP(Tabla16[[#This Row],[CÓDIGO DEL PRODUCTO Y/O SERVICIO ]],Tabla3[],18)</f>
        <v>0</v>
      </c>
      <c r="EP116" s="114">
        <f>VLOOKUP(Tabla16[[#This Row],[CÓDIGO DEL PRODUCTO Y/O SERVICIO ]],Tabla3[],3)</f>
        <v>450</v>
      </c>
      <c r="EQ116" s="114">
        <f>Tabla16[[#This Row],[UNIDADES PRODUCIDAS AÑO 1 8]]*M96</f>
        <v>0</v>
      </c>
      <c r="ER116" s="112">
        <f>VLOOKUP(Tabla16[[#This Row],[CÓDIGO DEL PRODUCTO Y/O SERVICIO ]],Tabla3[],9)</f>
        <v>0.1111111111111111</v>
      </c>
      <c r="ES116" s="114">
        <f>Tabla16[[#This Row],[CANTIDADES A UTILIZAR EN EL AÑO 1 8]]*(1+Tabla16[[#This Row],[CAMBIO PORCENTUAL EN UNIDADES VENDIDAS AÑO 2 8]])</f>
        <v>0</v>
      </c>
      <c r="ET116" s="112">
        <f>VLOOKUP(Tabla16[[#This Row],[CÓDIGO DEL PRODUCTO Y/O SERVICIO ]],Tabla3[],13)</f>
        <v>0.12</v>
      </c>
      <c r="EU116" s="114">
        <f>Tabla16[[#This Row],[CANTIDADES A UTILIZAR EN EL AÑO 2 8]]*(1+Tabla16[[#This Row],[CAMBIO PORCENTUAL EN UNIDADES VENDIDAS AÑO 3 8]])</f>
        <v>0</v>
      </c>
      <c r="EV116" s="112">
        <f>VLOOKUP(Tabla16[[#This Row],[CÓDIGO DEL PRODUCTO Y/O SERVICIO ]],Tabla3[],17)</f>
        <v>8.9285714285714288E-2</v>
      </c>
      <c r="EW116" s="114">
        <f>Tabla16[[#This Row],[CANTIDADES A UTILIZAR EN EL AÑO 3 8]]*(1+Tabla16[[#This Row],[CAMBIO PORCENTUAL EN UNIDADES VENDIDAS AÑO 4 8]])</f>
        <v>0</v>
      </c>
      <c r="EX116" s="112">
        <f>VLOOKUP(Tabla16[[#This Row],[CÓDIGO DEL PRODUCTO Y/O SERVICIO ]],Tabla3[],21)</f>
        <v>6.5573770491803282E-2</v>
      </c>
      <c r="EY116" s="114">
        <f>Tabla16[[#This Row],[CANTIDADES A UTILIZAR EN EL AÑO 4 8]]*(1+Tabla16[[#This Row],[CAMBIO PORCENTUAL EN UNIDADES VENDIDAS AÑO 5 8]])</f>
        <v>0</v>
      </c>
      <c r="EZ116" s="344">
        <f>IF(Tabla16[[#This Row],[CANTIDADES A UTILIZAR EN EL AÑO 1 8]]=0,0,Tabla16[[#This Row],[CANTIDADES A UTILIZAR EN EL AÑO 1 8]]*1/Tabla16[[#This Row],[UNIDADES PRODUCIDAS AÑO 1 8]])</f>
        <v>0</v>
      </c>
      <c r="FA116" s="344">
        <f>$C$82*(1+BASES!$E$10)</f>
        <v>0</v>
      </c>
      <c r="FB116" s="344">
        <f>Tabla16[[#This Row],[COSTO UNITARIO AÑO 2 8]]*(1+BASES!$F$10)</f>
        <v>0</v>
      </c>
      <c r="FC116" s="344">
        <f>Tabla16[[#This Row],[COSTO UNITARIO AÑO 3 8]]*(1+BASES!$G$10)</f>
        <v>0</v>
      </c>
      <c r="FD116" s="344">
        <f>Tabla16[[#This Row],[COSTO UNITARIO AÑO 4 8]]*(1+BASES!$H$10)</f>
        <v>0</v>
      </c>
      <c r="FE116" s="344">
        <f>Tabla16[[#This Row],[COSTO POR UNIDAD DE PRODUCTO (8) ]]*$C$82*VLOOKUP(Tabla16[[#This Row],[CÓDIGO DEL PRODUCTO Y/O SERVICIO ]],Tabla3[],3)</f>
        <v>0</v>
      </c>
      <c r="FF116" s="344">
        <f>Tabla16[[#This Row],[COSTO POR UNIDAD DE PRODUCTO (8) ]]*Tabla16[[#This Row],[COSTO UNITARIO AÑO 2 8]]*VLOOKUP(Tabla16[[#This Row],[CÓDIGO DEL PRODUCTO Y/O SERVICIO ]],Tabla3[],6)</f>
        <v>0</v>
      </c>
      <c r="FG116" s="344">
        <f>Tabla16[[#This Row],[COSTO POR UNIDAD DE PRODUCTO (8) ]]*Tabla16[[#This Row],[COSTO UNITARIO AÑO 3 8]]*VLOOKUP(Tabla16[[#This Row],[CÓDIGO DEL PRODUCTO Y/O SERVICIO ]],Tabla3[],10)</f>
        <v>0</v>
      </c>
      <c r="FH116" s="344">
        <f>Tabla16[[#This Row],[COSTO POR UNIDAD DE PRODUCTO (8) ]]*Tabla16[[#This Row],[COSTO UNITARIO AÑO 4 8]]*VLOOKUP(Tabla16[[#This Row],[CÓDIGO DEL PRODUCTO Y/O SERVICIO ]],Tabla3[],14)</f>
        <v>0</v>
      </c>
      <c r="FI116" s="344">
        <f>Tabla16[[#This Row],[COSTO POR UNIDAD DE PRODUCTO (8) ]]*Tabla16[[#This Row],[COSTO UNITARIO AÑO 5 8]]*VLOOKUP(Tabla16[[#This Row],[CÓDIGO DEL PRODUCTO Y/O SERVICIO ]],Tabla3[],18)</f>
        <v>0</v>
      </c>
      <c r="FJ116" s="114">
        <f>VLOOKUP(Tabla16[[#This Row],[CÓDIGO DEL PRODUCTO Y/O SERVICIO ]],Tabla3[],3)</f>
        <v>450</v>
      </c>
      <c r="FK116" s="114">
        <f>Tabla16[[#This Row],[UNIDADES PRODUCIDAS AÑO 1 9]]*N96</f>
        <v>0</v>
      </c>
      <c r="FL116" s="112">
        <f>VLOOKUP(Tabla16[[#This Row],[CÓDIGO DEL PRODUCTO Y/O SERVICIO ]],Tabla3[],9)</f>
        <v>0.1111111111111111</v>
      </c>
      <c r="FM116" s="114">
        <f>Tabla16[[#This Row],[CANTIDADES A UTILIZAR EN EL AÑO 1 9]]*(1+Tabla16[[#This Row],[CAMBIO PORCENTUAL EN UNIDADES VENDIDAS AÑO 2 9]])</f>
        <v>0</v>
      </c>
      <c r="FN116" s="112">
        <f>VLOOKUP(Tabla16[[#This Row],[CÓDIGO DEL PRODUCTO Y/O SERVICIO ]],Tabla3[],13)</f>
        <v>0.12</v>
      </c>
      <c r="FO116" s="114">
        <f>Tabla16[[#This Row],[CANTIDADES A UTILIZAR EN EL AÑO 2 9]]*(1+Tabla16[[#This Row],[CAMBIO PORCENTUAL EN UNIDADES VENDIDAS AÑO 3 9]])</f>
        <v>0</v>
      </c>
      <c r="FP116" s="112">
        <f>VLOOKUP(Tabla16[[#This Row],[CÓDIGO DEL PRODUCTO Y/O SERVICIO ]],Tabla3[],17)</f>
        <v>8.9285714285714288E-2</v>
      </c>
      <c r="FQ116" s="114">
        <f>Tabla16[[#This Row],[CANTIDADES A UTILIZAR EN EL AÑO 3 9]]*(1+Tabla16[[#This Row],[CAMBIO PORCENTUAL EN UNIDADES VENDIDAS AÑO 4 9]])</f>
        <v>0</v>
      </c>
      <c r="FR116" s="112">
        <f>VLOOKUP(Tabla16[[#This Row],[CÓDIGO DEL PRODUCTO Y/O SERVICIO ]],Tabla3[],21)</f>
        <v>6.5573770491803282E-2</v>
      </c>
      <c r="FS116" s="114">
        <f>Tabla16[[#This Row],[CANTIDADES A UTILIZAR EN EL AÑO 4 9]]*(1+Tabla16[[#This Row],[CAMBIO PORCENTUAL EN UNIDADES VENDIDAS AÑO 5 9]])</f>
        <v>0</v>
      </c>
      <c r="FT116" s="344">
        <f>IF(Tabla16[[#This Row],[CANTIDADES A UTILIZAR EN EL AÑO 1 9]]=0,0,Tabla16[[#This Row],[CANTIDADES A UTILIZAR EN EL AÑO 1 9]]*1/Tabla16[[#This Row],[UNIDADES PRODUCIDAS AÑO 1 9]])</f>
        <v>0</v>
      </c>
      <c r="FU116" s="344">
        <f>$C$83*(1+BASES!$E$10)</f>
        <v>0</v>
      </c>
      <c r="FV116" s="344">
        <f>Tabla16[[#This Row],[COSTO UNITARIO AÑO 2 9]]*(1+BASES!$F$10)</f>
        <v>0</v>
      </c>
      <c r="FW116" s="344">
        <f>Tabla16[[#This Row],[COSTO UNITARIO AÑO 3 9]]*(1+BASES!$G$10)</f>
        <v>0</v>
      </c>
      <c r="FX116" s="344">
        <f>Tabla16[[#This Row],[COSTO UNITARIO AÑO 4 9]]*(1+BASES!$H$10)</f>
        <v>0</v>
      </c>
      <c r="FY116" s="344">
        <f>Tabla16[[#This Row],[COSTO POR UNIDAD DE PRODUCTO (9) ]]*$C$83*VLOOKUP(Tabla16[[#This Row],[CÓDIGO DEL PRODUCTO Y/O SERVICIO ]],Tabla3[],3)</f>
        <v>0</v>
      </c>
      <c r="FZ116" s="344">
        <f>Tabla16[[#This Row],[COSTO POR UNIDAD DE PRODUCTO (9) ]]*Tabla16[[#This Row],[COSTO UNITARIO AÑO 2 9]]*VLOOKUP(Tabla16[[#This Row],[CÓDIGO DEL PRODUCTO Y/O SERVICIO ]],Tabla3[],6)</f>
        <v>0</v>
      </c>
      <c r="GA116" s="344">
        <f>Tabla16[[#This Row],[COSTO POR UNIDAD DE PRODUCTO (9) ]]*Tabla16[[#This Row],[COSTO UNITARIO AÑO 3 9]]*VLOOKUP(Tabla16[[#This Row],[CÓDIGO DEL PRODUCTO Y/O SERVICIO ]],Tabla3[],10)</f>
        <v>0</v>
      </c>
      <c r="GB116" s="344">
        <f>Tabla16[[#This Row],[COSTO POR UNIDAD DE PRODUCTO (9) ]]*Tabla16[[#This Row],[COSTO UNITARIO AÑO 4 9]]*VLOOKUP(Tabla16[[#This Row],[CÓDIGO DEL PRODUCTO Y/O SERVICIO ]],Tabla3[],14)</f>
        <v>0</v>
      </c>
      <c r="GC116" s="344">
        <f>Tabla16[[#This Row],[COSTO POR UNIDAD DE PRODUCTO (9) ]]*Tabla16[[#This Row],[COSTO UNITARIO AÑO 5 9]]*VLOOKUP(Tabla16[[#This Row],[CÓDIGO DEL PRODUCTO Y/O SERVICIO ]],Tabla3[],18)</f>
        <v>0</v>
      </c>
      <c r="GD116" s="114">
        <f>VLOOKUP(Tabla16[[#This Row],[CÓDIGO DEL PRODUCTO Y/O SERVICIO ]],Tabla3[],3)</f>
        <v>450</v>
      </c>
      <c r="GE116" s="114">
        <f>Tabla16[[#This Row],[UNIDADES PRODUCIDAS AÑO 1 10]]*O96</f>
        <v>0</v>
      </c>
      <c r="GF116" s="112">
        <f>VLOOKUP(Tabla16[[#This Row],[CÓDIGO DEL PRODUCTO Y/O SERVICIO ]],Tabla3[],9)</f>
        <v>0.1111111111111111</v>
      </c>
      <c r="GG116" s="114">
        <f>Tabla16[[#This Row],[CANTIDADES A UTILIZAR EN EL AÑO 1 10]]*(1+Tabla16[[#This Row],[CAMBIO PORCENTUAL EN UNIDADES VENDIDAS AÑO 2 10]])</f>
        <v>0</v>
      </c>
      <c r="GH116" s="112">
        <f>VLOOKUP(Tabla16[[#This Row],[CÓDIGO DEL PRODUCTO Y/O SERVICIO ]],Tabla3[],13)</f>
        <v>0.12</v>
      </c>
      <c r="GI116" s="114">
        <f>Tabla16[[#This Row],[CANTIDADES A UTILIZAR EN EL AÑO 2 10]]*(1+Tabla16[[#This Row],[CAMBIO PORCENTUAL EN UNIDADES VENDIDAS AÑO 3 10]])</f>
        <v>0</v>
      </c>
      <c r="GJ116" s="112">
        <f>VLOOKUP(Tabla16[[#This Row],[CÓDIGO DEL PRODUCTO Y/O SERVICIO ]],Tabla3[],17)</f>
        <v>8.9285714285714288E-2</v>
      </c>
      <c r="GK116" s="114">
        <f>Tabla16[[#This Row],[CANTIDADES A UTILIZAR EN EL AÑO 3 10]]*(1+Tabla16[[#This Row],[CAMBIO PORCENTUAL EN UNIDADES VENDIDAS AÑO 4 10 ]])</f>
        <v>0</v>
      </c>
      <c r="GL116" s="112">
        <f>VLOOKUP(Tabla16[[#This Row],[CÓDIGO DEL PRODUCTO Y/O SERVICIO ]],Tabla3[],21)</f>
        <v>6.5573770491803282E-2</v>
      </c>
      <c r="GM116" s="114">
        <f>Tabla16[[#This Row],[CANTIDADES A UTILIZAR EN EL AÑO 4 10]]*(1+Tabla16[[#This Row],[CAMBIO PORCENTUAL EN UNIDADES VENDIDAS AÑO 5 10]])</f>
        <v>0</v>
      </c>
      <c r="GN116" s="344">
        <f>IF(Tabla16[[#This Row],[CANTIDADES A UTILIZAR EN EL AÑO 1 10]]=0,0,Tabla16[[#This Row],[CANTIDADES A UTILIZAR EN EL AÑO 1 10]]*1/Tabla16[[#This Row],[UNIDADES PRODUCIDAS AÑO 1 10]])</f>
        <v>0</v>
      </c>
      <c r="GO116" s="344">
        <f>$C$84*(1+BASES!$E$10)</f>
        <v>0</v>
      </c>
      <c r="GP116" s="344">
        <f>Tabla16[[#This Row],[COSTO UNITARIO AÑO 2 10]]*(1+BASES!$F$10)</f>
        <v>0</v>
      </c>
      <c r="GQ116" s="344">
        <f>Tabla16[[#This Row],[COSTO UNITARIO AÑO 3 10]]*(1+BASES!$G$10)</f>
        <v>0</v>
      </c>
      <c r="GR116" s="344">
        <f>Tabla16[[#This Row],[COSTO UNITARIO AÑO 4 10]]*(1+BASES!$H$10)</f>
        <v>0</v>
      </c>
      <c r="GS116" s="344">
        <f>Tabla16[[#This Row],[COSTO POR UNIDAD DE PRODUCTO (10) ]]*$C$84*VLOOKUP(Tabla16[[#This Row],[CÓDIGO DEL PRODUCTO Y/O SERVICIO ]],Tabla3[],3)</f>
        <v>0</v>
      </c>
      <c r="GT116" s="344">
        <f>Tabla16[[#This Row],[COSTO POR UNIDAD DE PRODUCTO (10) ]]*Tabla16[[#This Row],[COSTO UNITARIO AÑO 2 10]]*VLOOKUP(Tabla16[[#This Row],[CÓDIGO DEL PRODUCTO Y/O SERVICIO ]],Tabla3[],6)</f>
        <v>0</v>
      </c>
      <c r="GU116" s="344">
        <f>Tabla16[[#This Row],[COSTO POR UNIDAD DE PRODUCTO (10) ]]*Tabla16[[#This Row],[COSTO UNITARIO AÑO 3 10]]*VLOOKUP(Tabla16[[#This Row],[CÓDIGO DEL PRODUCTO Y/O SERVICIO ]],Tabla3[],10)</f>
        <v>0</v>
      </c>
      <c r="GV116" s="344">
        <f>Tabla16[[#This Row],[COSTO POR UNIDAD DE PRODUCTO (10) ]]*Tabla16[[#This Row],[COSTO UNITARIO AÑO 4 10]]*VLOOKUP(Tabla16[[#This Row],[CÓDIGO DEL PRODUCTO Y/O SERVICIO ]],Tabla3[],14)</f>
        <v>0</v>
      </c>
      <c r="GW116" s="344">
        <f>Tabla16[[#This Row],[COSTO POR UNIDAD DE PRODUCTO (10) ]]*Tabla16[[#This Row],[COSTO UNITARIO AÑO 5 10]]*VLOOKUP(Tabla16[[#This Row],[CÓDIGO DEL PRODUCTO Y/O SERVICIO ]],Tabla3[],18)</f>
        <v>0</v>
      </c>
      <c r="GX116" s="383">
        <f>Tabla16[[#This Row],[AÑO 1 10]]+Tabla16[[#This Row],[AÑO 1 9]]+Tabla16[[#This Row],[AÑO 1 8]]+Tabla16[[#This Row],[AÑO 1 7]]+Tabla16[[#This Row],[AÑO 1 6]]+Tabla16[[#This Row],[AÑO 1 5]]+Tabla16[[#This Row],[AÑO 1 4]]+Tabla16[[#This Row],[AÑO 1 3]]+Tabla16[[#This Row],[AÑO 1 2]]+Tabla16[[#This Row],[AÑO 1 1]]</f>
        <v>3806100</v>
      </c>
      <c r="GY116" s="383">
        <f>Tabla16[[#This Row],[AÑO 2 10]]+Tabla16[[#This Row],[AÑO 2 9]]+Tabla16[[#This Row],[AÑO 2 8]]+Tabla16[[#This Row],[AÑO 2 7]]+Tabla16[[#This Row],[AÑO 2 6]]+Tabla16[[#This Row],[AÑO 2 5]]+Tabla16[[#This Row],[AÑO 2 4]]+Tabla16[[#This Row],[AÑO 2 3]]+Tabla16[[#This Row],[AÑO 2 2]]+Tabla16[[#This Row],[AÑO 2 1]]</f>
        <v>4276364.8000000007</v>
      </c>
      <c r="GZ116" s="383">
        <f>Tabla16[[#This Row],[AÑO 3 10]]+Tabla16[[#This Row],[AÑO 3 9]]+Tabla16[[#This Row],[AÑO 3 8]]+Tabla16[[#This Row],[AÑO 3 7]]+Tabla16[[#This Row],[AÑO 3 6]]+Tabla16[[#This Row],[AÑO 3 5]]+Tabla16[[#This Row],[AÑO 3 4]]+Tabla16[[#This Row],[AÑO 3 3]]+Tabla16[[#This Row],[AÑO 3 2]]+Tabla16[[#This Row],[AÑO 3 1]]</f>
        <v>4843171.2960512014</v>
      </c>
      <c r="HA116" s="383">
        <f>Tabla16[[#This Row],[AÑO 4 10]]+Tabla16[[#This Row],[AÑO 4 9]]+Tabla16[[#This Row],[AÑO 4 8]]+Tabla16[[#This Row],[AÑO 4 7]]+Tabla16[[#This Row],[AÑO 4 6]]+Tabla16[[#This Row],[AÑO 4 5]]+Tabla16[[#This Row],[AÑO 4 4 ]]+Tabla16[[#This Row],[AÑO 4 3]]+Tabla16[[#This Row],[AÑO 4 2]]+Tabla16[[#This Row],[AÑO 4 1]]</f>
        <v>5334683.9944390263</v>
      </c>
      <c r="HB116" s="383">
        <f>Tabla16[[#This Row],[AÑO 5 10]]+Tabla16[[#This Row],[AÑO 5 9]]+Tabla16[[#This Row],[AÑO 5 8]]+Tabla16[[#This Row],[AÑO 5 7]]+Tabla16[[#This Row],[AÑO 5 6]]+Tabla16[[#This Row],[AÑO 5 5]]+Tabla16[[#This Row],[AÑO 5 4]]+Tabla16[[#This Row],[AÑO 5 3]]+Tabla16[[#This Row],[AÑO 5 2]]+Tabla16[[#This Row],[AÑO 5 1]]</f>
        <v>5748165.7309260387</v>
      </c>
    </row>
    <row r="117" spans="3:210" x14ac:dyDescent="0.25">
      <c r="C117" s="330"/>
      <c r="D117" s="330"/>
    </row>
    <row r="118" spans="3:210" x14ac:dyDescent="0.25">
      <c r="C118" s="330"/>
      <c r="D118" s="330"/>
    </row>
    <row r="119" spans="3:210" x14ac:dyDescent="0.25">
      <c r="C119" s="330"/>
      <c r="D119" s="330"/>
    </row>
    <row r="120" spans="3:210" x14ac:dyDescent="0.25">
      <c r="C120" s="330"/>
      <c r="D120" s="330"/>
    </row>
    <row r="121" spans="3:210" x14ac:dyDescent="0.25">
      <c r="C121" s="330"/>
      <c r="D121" s="330"/>
    </row>
    <row r="122" spans="3:210" x14ac:dyDescent="0.25">
      <c r="C122" s="330"/>
      <c r="D122" s="330"/>
    </row>
    <row r="123" spans="3:210" x14ac:dyDescent="0.25">
      <c r="C123" s="330"/>
      <c r="D123" s="330"/>
    </row>
    <row r="124" spans="3:210" x14ac:dyDescent="0.25">
      <c r="C124" s="330"/>
      <c r="D124" s="330"/>
    </row>
    <row r="125" spans="3:210" s="7" customFormat="1" ht="15.75" hidden="1" x14ac:dyDescent="0.25">
      <c r="C125" s="381"/>
      <c r="D125" s="381"/>
      <c r="U125" s="382">
        <f>SUM(Tabla16[AÑO 1 1])</f>
        <v>13955700</v>
      </c>
      <c r="V125" s="382">
        <f>SUM(Tabla16[AÑO 2 1])</f>
        <v>17362041.088000003</v>
      </c>
      <c r="W125" s="382">
        <f>SUM(Tabla16[AÑO 3 1])</f>
        <v>21102389.218508806</v>
      </c>
      <c r="X125" s="382">
        <f>SUM(Tabla16[AÑO 4 1])</f>
        <v>23000358.861269899</v>
      </c>
      <c r="Y125" s="382">
        <f>SUM(Tabla16[AÑO 5 1])</f>
        <v>26795295.638009071</v>
      </c>
      <c r="AO125" s="382">
        <f>SUM(Tabla16[AÑO 1 2])</f>
        <v>0</v>
      </c>
      <c r="AP125" s="382">
        <f>SUM(Tabla16[AÑO 2 2])</f>
        <v>0</v>
      </c>
      <c r="AQ125" s="382">
        <f>SUM(Tabla16[AÑO 3 2])</f>
        <v>0</v>
      </c>
      <c r="AR125" s="382">
        <f>SUM(Tabla16[AÑO 4 2])</f>
        <v>0</v>
      </c>
      <c r="AS125" s="382">
        <f>SUM(Tabla16[AÑO 5 2])</f>
        <v>0</v>
      </c>
      <c r="BI125" s="382">
        <f>SUM(Tabla16[AÑO 1 3])</f>
        <v>0</v>
      </c>
      <c r="BJ125" s="382">
        <f>SUM(Tabla16[AÑO 2 3])</f>
        <v>0</v>
      </c>
      <c r="BK125" s="382">
        <f>SUM(Tabla16[AÑO 3 3])</f>
        <v>0</v>
      </c>
      <c r="BL125" s="382">
        <f>SUM(Tabla16[AÑO 4 3])</f>
        <v>0</v>
      </c>
      <c r="BM125" s="382">
        <f>SUM(Tabla16[AÑO 5 3])</f>
        <v>0</v>
      </c>
      <c r="CC125" s="382">
        <f>SUM(Tabla16[AÑO 1 4])</f>
        <v>0</v>
      </c>
      <c r="CD125" s="382">
        <f>SUM(Tabla16[AÑO 2 4])</f>
        <v>0</v>
      </c>
      <c r="CE125" s="382">
        <f>SUM(Tabla16[AÑO 3 4])</f>
        <v>0</v>
      </c>
      <c r="CF125" s="382">
        <f>SUM(Tabla16[[AÑO 4 4 ]])</f>
        <v>0</v>
      </c>
      <c r="CG125" s="382">
        <f>SUM(Tabla16[AÑO 5 4])</f>
        <v>0</v>
      </c>
      <c r="CW125" s="382">
        <f>SUM(Tabla16[AÑO 1 5])</f>
        <v>0</v>
      </c>
      <c r="CX125" s="382">
        <f>SUM(Tabla16[AÑO 2 5])</f>
        <v>0</v>
      </c>
      <c r="CY125" s="382">
        <f>SUM(Tabla16[AÑO 3 5])</f>
        <v>0</v>
      </c>
      <c r="CZ125" s="382">
        <f>SUM(Tabla16[AÑO 4 5])</f>
        <v>0</v>
      </c>
      <c r="DA125" s="382">
        <f>SUM(Tabla16[AÑO 5 5])</f>
        <v>0</v>
      </c>
      <c r="DQ125" s="382">
        <f>SUM(Tabla16[AÑO 1 6])</f>
        <v>0</v>
      </c>
      <c r="DR125" s="382">
        <f>SUM(Tabla16[AÑO 2 6])</f>
        <v>0</v>
      </c>
      <c r="DS125" s="382">
        <f>SUM(Tabla16[AÑO 3 6])</f>
        <v>0</v>
      </c>
      <c r="DT125" s="382">
        <f>SUM(Tabla16[AÑO 4 6])</f>
        <v>0</v>
      </c>
      <c r="DU125" s="382">
        <f>SUM(Tabla16[AÑO 5 6])</f>
        <v>0</v>
      </c>
      <c r="EK125" s="382">
        <f>SUM(Tabla16[AÑO 1 7])</f>
        <v>0</v>
      </c>
      <c r="EL125" s="382">
        <f>SUM(Tabla16[AÑO 2 7])</f>
        <v>0</v>
      </c>
      <c r="EM125" s="382">
        <f>SUM(Tabla16[AÑO 3 7])</f>
        <v>0</v>
      </c>
      <c r="EN125" s="382">
        <f>SUM(Tabla16[AÑO 4 7])</f>
        <v>0</v>
      </c>
      <c r="EO125" s="382">
        <f>SUM(Tabla16[AÑO 5 7])</f>
        <v>0</v>
      </c>
      <c r="FE125" s="382">
        <f>SUM(Tabla16[AÑO 1 8])</f>
        <v>0</v>
      </c>
      <c r="FF125" s="382">
        <f>SUM(Tabla16[AÑO 2 8])</f>
        <v>0</v>
      </c>
      <c r="FG125" s="382">
        <f>SUM(Tabla16[AÑO 3 8])</f>
        <v>0</v>
      </c>
      <c r="FH125" s="382">
        <f>SUM(Tabla16[AÑO 4 8])</f>
        <v>0</v>
      </c>
      <c r="FI125" s="382">
        <f>SUM(Tabla16[AÑO 5 8])</f>
        <v>0</v>
      </c>
      <c r="FY125" s="382">
        <f>SUM(Tabla16[AÑO 1 9])</f>
        <v>0</v>
      </c>
      <c r="FZ125" s="382">
        <f>SUM(Tabla16[AÑO 2 9])</f>
        <v>0</v>
      </c>
      <c r="GA125" s="382">
        <f>SUM(Tabla16[AÑO 3 9])</f>
        <v>0</v>
      </c>
      <c r="GB125" s="382">
        <f>SUM(Tabla16[AÑO 4 9])</f>
        <v>0</v>
      </c>
      <c r="GC125" s="382">
        <f>SUM(Tabla16[AÑO 5 9])</f>
        <v>0</v>
      </c>
      <c r="GS125" s="382">
        <f>SUM(Tabla16[AÑO 1 10])</f>
        <v>0</v>
      </c>
      <c r="GT125" s="382">
        <f>SUM(Tabla16[AÑO 2 10])</f>
        <v>0</v>
      </c>
      <c r="GU125" s="382">
        <f>SUM(Tabla16[AÑO 3 10])</f>
        <v>0</v>
      </c>
      <c r="GV125" s="382">
        <f>SUM(Tabla16[AÑO 4 10])</f>
        <v>0</v>
      </c>
      <c r="GW125" s="382">
        <f>SUM(Tabla16[AÑO 5 10])</f>
        <v>0</v>
      </c>
    </row>
    <row r="126" spans="3:210" s="7" customFormat="1" ht="15.75" x14ac:dyDescent="0.25">
      <c r="C126" s="381"/>
      <c r="D126" s="381"/>
      <c r="U126" s="382"/>
      <c r="V126" s="382"/>
      <c r="W126" s="382"/>
      <c r="X126" s="382"/>
      <c r="Y126" s="382"/>
      <c r="AO126" s="382"/>
      <c r="AP126" s="382"/>
      <c r="AQ126" s="382"/>
      <c r="AR126" s="382"/>
      <c r="AS126" s="382"/>
      <c r="BI126" s="382"/>
      <c r="BJ126" s="382"/>
      <c r="BK126" s="382"/>
      <c r="BL126" s="382"/>
      <c r="BM126" s="382"/>
      <c r="CC126" s="382"/>
      <c r="CD126" s="382"/>
      <c r="CE126" s="382"/>
      <c r="CF126" s="382"/>
      <c r="CG126" s="382"/>
      <c r="CW126" s="382"/>
      <c r="CX126" s="382"/>
      <c r="CY126" s="382"/>
      <c r="CZ126" s="382"/>
      <c r="DA126" s="382"/>
      <c r="DQ126" s="382"/>
      <c r="DR126" s="382"/>
      <c r="DS126" s="382"/>
      <c r="DT126" s="382"/>
      <c r="DU126" s="382"/>
      <c r="EK126" s="382"/>
      <c r="EL126" s="382"/>
      <c r="EM126" s="382"/>
      <c r="EN126" s="382"/>
      <c r="EO126" s="382"/>
      <c r="FE126" s="382"/>
      <c r="FF126" s="382"/>
      <c r="FG126" s="382"/>
      <c r="FH126" s="382"/>
      <c r="FI126" s="382"/>
      <c r="FY126" s="382"/>
      <c r="FZ126" s="382"/>
      <c r="GA126" s="382"/>
      <c r="GB126" s="382"/>
      <c r="GC126" s="382"/>
      <c r="GS126" s="382"/>
      <c r="GT126" s="382"/>
      <c r="GU126" s="382"/>
      <c r="GV126" s="382"/>
      <c r="GW126" s="382"/>
    </row>
    <row r="127" spans="3:210" x14ac:dyDescent="0.25">
      <c r="C127" s="330"/>
      <c r="D127" s="330"/>
    </row>
    <row r="128" spans="3:210" x14ac:dyDescent="0.25">
      <c r="C128" s="330"/>
      <c r="D128" s="330"/>
    </row>
    <row r="129" spans="2:4" x14ac:dyDescent="0.25">
      <c r="C129" s="330"/>
      <c r="D129" s="330"/>
    </row>
    <row r="130" spans="2:4" x14ac:dyDescent="0.25">
      <c r="C130" s="330"/>
      <c r="D130" s="330"/>
    </row>
    <row r="131" spans="2:4" x14ac:dyDescent="0.25">
      <c r="C131" s="330"/>
      <c r="D131" s="330"/>
    </row>
    <row r="132" spans="2:4" x14ac:dyDescent="0.25">
      <c r="C132" s="330"/>
      <c r="D132" s="330"/>
    </row>
    <row r="133" spans="2:4" ht="15.75" x14ac:dyDescent="0.25">
      <c r="B133" s="69" t="s">
        <v>657</v>
      </c>
      <c r="C133" s="368" t="s">
        <v>445</v>
      </c>
      <c r="D133" s="330"/>
    </row>
    <row r="134" spans="2:4" ht="15.75" x14ac:dyDescent="0.25">
      <c r="B134" s="333" t="s">
        <v>1242</v>
      </c>
      <c r="C134" s="365">
        <v>60000</v>
      </c>
      <c r="D134" s="330"/>
    </row>
    <row r="135" spans="2:4" ht="15.75" x14ac:dyDescent="0.25">
      <c r="B135" s="336" t="s">
        <v>1248</v>
      </c>
      <c r="C135" s="366">
        <v>20000</v>
      </c>
      <c r="D135" s="330"/>
    </row>
    <row r="136" spans="2:4" ht="15.75" x14ac:dyDescent="0.25">
      <c r="B136" s="336"/>
      <c r="C136" s="366"/>
      <c r="D136" s="330"/>
    </row>
    <row r="137" spans="2:4" ht="15.75" x14ac:dyDescent="0.25">
      <c r="B137" s="336"/>
      <c r="C137" s="366"/>
      <c r="D137" s="330"/>
    </row>
    <row r="138" spans="2:4" ht="15.75" x14ac:dyDescent="0.25">
      <c r="B138" s="336"/>
      <c r="C138" s="366"/>
      <c r="D138" s="330"/>
    </row>
    <row r="139" spans="2:4" ht="15.75" x14ac:dyDescent="0.25">
      <c r="B139" s="336"/>
      <c r="C139" s="366"/>
      <c r="D139" s="330"/>
    </row>
    <row r="140" spans="2:4" ht="15.75" x14ac:dyDescent="0.25">
      <c r="B140" s="336"/>
      <c r="C140" s="366"/>
      <c r="D140" s="330"/>
    </row>
    <row r="141" spans="2:4" ht="15.75" x14ac:dyDescent="0.25">
      <c r="B141" s="336"/>
      <c r="C141" s="366"/>
      <c r="D141" s="330"/>
    </row>
    <row r="142" spans="2:4" ht="15.75" x14ac:dyDescent="0.25">
      <c r="B142" s="336"/>
      <c r="C142" s="366"/>
      <c r="D142" s="330"/>
    </row>
    <row r="143" spans="2:4" ht="15.75" x14ac:dyDescent="0.25">
      <c r="B143" s="339"/>
      <c r="C143" s="367"/>
      <c r="D143" s="330"/>
    </row>
    <row r="144" spans="2:4" x14ac:dyDescent="0.25">
      <c r="C144" s="330"/>
      <c r="D144" s="330"/>
    </row>
    <row r="145" spans="3:15" x14ac:dyDescent="0.25">
      <c r="C145" s="330"/>
      <c r="D145" s="330"/>
    </row>
    <row r="146" spans="3:15" x14ac:dyDescent="0.25">
      <c r="C146" s="330"/>
      <c r="D146" s="330"/>
    </row>
    <row r="147" spans="3:15" x14ac:dyDescent="0.25">
      <c r="C147" s="330"/>
      <c r="D147" s="330"/>
    </row>
    <row r="148" spans="3:15" x14ac:dyDescent="0.25">
      <c r="C148" s="330"/>
      <c r="D148" s="330"/>
    </row>
    <row r="149" spans="3:15" ht="15.75" x14ac:dyDescent="0.25">
      <c r="C149" s="330"/>
      <c r="D149" s="330"/>
      <c r="F149" s="615" t="s">
        <v>656</v>
      </c>
      <c r="G149" s="615"/>
      <c r="H149" s="615"/>
      <c r="I149" s="615"/>
      <c r="J149" s="615"/>
      <c r="K149" s="615"/>
      <c r="L149" s="615"/>
      <c r="M149" s="615"/>
      <c r="N149" s="615"/>
      <c r="O149" s="615"/>
    </row>
    <row r="150" spans="3:15" ht="15.75" x14ac:dyDescent="0.25">
      <c r="C150" s="368" t="s">
        <v>442</v>
      </c>
      <c r="D150" s="368" t="s">
        <v>443</v>
      </c>
      <c r="E150" s="52"/>
      <c r="F150" s="376" t="str" cm="1">
        <f t="array" ref="F150:O150">TRANSPOSE(Tabla13[COSTO INDIRECTO])</f>
        <v>Tijeras de florísteria</v>
      </c>
      <c r="G150" s="376" t="str">
        <v xml:space="preserve">Cuchillo de floristeria </v>
      </c>
      <c r="H150" s="376">
        <v>0</v>
      </c>
      <c r="I150" s="376">
        <v>0</v>
      </c>
      <c r="J150" s="376">
        <v>0</v>
      </c>
      <c r="K150" s="376">
        <v>0</v>
      </c>
      <c r="L150" s="376">
        <v>0</v>
      </c>
      <c r="M150" s="376">
        <v>0</v>
      </c>
      <c r="N150" s="376">
        <v>0</v>
      </c>
      <c r="O150" s="376">
        <v>0</v>
      </c>
    </row>
    <row r="151" spans="3:15" ht="15.75" x14ac:dyDescent="0.25">
      <c r="C151" s="438">
        <v>0</v>
      </c>
      <c r="D151" s="370" t="str">
        <f>VLOOKUP(Tabla14[[#This Row],[CÓDIGO DEL PRODUCTO Y/O SERVICIO ]],Tabla3[],2)</f>
        <v xml:space="preserve">Seleccionar producto o servicio </v>
      </c>
      <c r="E151" s="104"/>
      <c r="F151" s="92"/>
      <c r="G151" s="92"/>
      <c r="H151" s="92"/>
      <c r="I151" s="92"/>
      <c r="J151" s="92"/>
      <c r="K151" s="92"/>
      <c r="L151" s="92"/>
      <c r="M151" s="92"/>
      <c r="N151" s="92"/>
      <c r="O151" s="92"/>
    </row>
    <row r="152" spans="3:15" ht="15.75" x14ac:dyDescent="0.25">
      <c r="C152" s="362">
        <v>1</v>
      </c>
      <c r="D152" s="370" t="str">
        <f>VLOOKUP(Tabla14[[#This Row],[CÓDIGO DEL PRODUCTO Y/O SERVICIO ]],Tabla3[],2)</f>
        <v>Amor Amor</v>
      </c>
      <c r="E152" s="104"/>
      <c r="F152" s="509">
        <v>1</v>
      </c>
      <c r="G152" s="509">
        <v>1</v>
      </c>
      <c r="H152" s="509"/>
      <c r="I152" s="509"/>
      <c r="J152" s="509"/>
      <c r="K152" s="509"/>
      <c r="L152" s="509"/>
      <c r="M152" s="509"/>
      <c r="N152" s="509"/>
      <c r="O152" s="509"/>
    </row>
    <row r="153" spans="3:15" ht="15.75" x14ac:dyDescent="0.25">
      <c r="C153" s="362">
        <v>2</v>
      </c>
      <c r="D153" s="370" t="str">
        <f>VLOOKUP(Tabla14[[#This Row],[CÓDIGO DEL PRODUCTO Y/O SERVICIO ]],Tabla3[],2)</f>
        <v>Tierno Corazón</v>
      </c>
      <c r="E153" s="104"/>
      <c r="F153" s="509">
        <v>1</v>
      </c>
      <c r="G153" s="509">
        <v>1</v>
      </c>
      <c r="H153" s="509"/>
      <c r="I153" s="509"/>
      <c r="J153" s="509"/>
      <c r="K153" s="509"/>
      <c r="L153" s="509"/>
      <c r="M153" s="509"/>
      <c r="N153" s="509"/>
      <c r="O153" s="509"/>
    </row>
    <row r="154" spans="3:15" ht="15.75" x14ac:dyDescent="0.25">
      <c r="C154" s="362">
        <v>3</v>
      </c>
      <c r="D154" s="370" t="str">
        <f>VLOOKUP(Tabla14[[#This Row],[CÓDIGO DEL PRODUCTO Y/O SERVICIO ]],Tabla3[],2)</f>
        <v>Caja de Rosas</v>
      </c>
      <c r="E154" s="104"/>
      <c r="F154" s="509">
        <v>1</v>
      </c>
      <c r="G154" s="509">
        <v>1</v>
      </c>
      <c r="H154" s="509"/>
      <c r="I154" s="509"/>
      <c r="J154" s="509"/>
      <c r="K154" s="509"/>
      <c r="L154" s="509"/>
      <c r="M154" s="509"/>
      <c r="N154" s="509"/>
      <c r="O154" s="509"/>
    </row>
    <row r="155" spans="3:15" ht="15.75" x14ac:dyDescent="0.25">
      <c r="C155" s="362">
        <v>4</v>
      </c>
      <c r="D155" s="370" t="str">
        <f>VLOOKUP(Tabla14[[#This Row],[CÓDIGO DEL PRODUCTO Y/O SERVICIO ]],Tabla3[],2)</f>
        <v>Pureza Amor</v>
      </c>
      <c r="E155" s="6"/>
      <c r="F155" s="509">
        <v>1</v>
      </c>
      <c r="G155" s="509">
        <v>1</v>
      </c>
      <c r="H155" s="509"/>
      <c r="I155" s="509"/>
      <c r="J155" s="509"/>
      <c r="K155" s="509"/>
      <c r="L155" s="509"/>
      <c r="M155" s="509"/>
      <c r="N155" s="509"/>
      <c r="O155" s="509"/>
    </row>
    <row r="156" spans="3:15" x14ac:dyDescent="0.25">
      <c r="C156" s="330"/>
      <c r="D156" s="330"/>
    </row>
    <row r="157" spans="3:15" x14ac:dyDescent="0.25">
      <c r="C157" s="330"/>
      <c r="D157" s="330"/>
    </row>
    <row r="158" spans="3:15" x14ac:dyDescent="0.25">
      <c r="C158" s="330"/>
      <c r="D158" s="330"/>
    </row>
    <row r="159" spans="3:15" x14ac:dyDescent="0.25">
      <c r="C159" s="330"/>
      <c r="D159" s="330"/>
    </row>
    <row r="160" spans="3:15" x14ac:dyDescent="0.25">
      <c r="C160" s="330"/>
      <c r="D160" s="330"/>
    </row>
    <row r="161" spans="3:210" x14ac:dyDescent="0.25">
      <c r="C161" s="330"/>
      <c r="D161" s="330"/>
    </row>
    <row r="162" spans="3:210" x14ac:dyDescent="0.25">
      <c r="C162" s="330"/>
      <c r="D162" s="330"/>
    </row>
    <row r="163" spans="3:210" x14ac:dyDescent="0.25">
      <c r="C163" s="330"/>
      <c r="D163" s="330"/>
    </row>
    <row r="164" spans="3:210" x14ac:dyDescent="0.25">
      <c r="C164" s="330"/>
      <c r="D164" s="330"/>
    </row>
    <row r="165" spans="3:210" x14ac:dyDescent="0.25">
      <c r="C165" s="330"/>
      <c r="D165" s="330"/>
    </row>
    <row r="166" spans="3:210" x14ac:dyDescent="0.25">
      <c r="C166" s="330"/>
      <c r="D166" s="330"/>
    </row>
    <row r="167" spans="3:210" x14ac:dyDescent="0.25">
      <c r="C167" s="330"/>
      <c r="D167" s="330"/>
    </row>
    <row r="168" spans="3:210" x14ac:dyDescent="0.25">
      <c r="C168" s="330"/>
      <c r="D168" s="330"/>
    </row>
    <row r="169" spans="3:210" ht="15.75" thickBot="1" x14ac:dyDescent="0.3">
      <c r="C169" s="330"/>
      <c r="D169" s="330"/>
    </row>
    <row r="170" spans="3:210" ht="16.5" thickBot="1" x14ac:dyDescent="0.3">
      <c r="C170" s="330"/>
      <c r="D170" s="330"/>
      <c r="F170" s="565" t="str">
        <f>B134</f>
        <v>Tijeras de florísteria</v>
      </c>
      <c r="G170" s="566"/>
      <c r="H170" s="566"/>
      <c r="I170" s="566"/>
      <c r="J170" s="566"/>
      <c r="K170" s="566"/>
      <c r="L170" s="566"/>
      <c r="M170" s="566"/>
      <c r="N170" s="566"/>
      <c r="O170" s="566"/>
      <c r="P170" s="566"/>
      <c r="Q170" s="566"/>
      <c r="R170" s="566"/>
      <c r="S170" s="566"/>
      <c r="T170" s="566"/>
      <c r="U170" s="566"/>
      <c r="V170" s="566"/>
      <c r="W170" s="566"/>
      <c r="X170" s="566"/>
      <c r="Y170" s="567"/>
      <c r="Z170" s="561" t="str">
        <f>B135</f>
        <v xml:space="preserve">Cuchillo de floristeria </v>
      </c>
      <c r="AA170" s="562"/>
      <c r="AB170" s="562"/>
      <c r="AC170" s="562"/>
      <c r="AD170" s="562"/>
      <c r="AE170" s="562"/>
      <c r="AF170" s="562"/>
      <c r="AG170" s="562"/>
      <c r="AH170" s="562"/>
      <c r="AI170" s="562"/>
      <c r="AJ170" s="562"/>
      <c r="AK170" s="562"/>
      <c r="AL170" s="562"/>
      <c r="AM170" s="562"/>
      <c r="AN170" s="562"/>
      <c r="AO170" s="562"/>
      <c r="AP170" s="562"/>
      <c r="AQ170" s="562"/>
      <c r="AR170" s="562"/>
      <c r="AS170" s="573"/>
      <c r="AT170" s="628">
        <f>B136</f>
        <v>0</v>
      </c>
      <c r="AU170" s="629"/>
      <c r="AV170" s="629"/>
      <c r="AW170" s="629"/>
      <c r="AX170" s="629"/>
      <c r="AY170" s="629"/>
      <c r="AZ170" s="629"/>
      <c r="BA170" s="629"/>
      <c r="BB170" s="629"/>
      <c r="BC170" s="629"/>
      <c r="BD170" s="629"/>
      <c r="BE170" s="629"/>
      <c r="BF170" s="629"/>
      <c r="BG170" s="629"/>
      <c r="BH170" s="629"/>
      <c r="BI170" s="629"/>
      <c r="BJ170" s="629"/>
      <c r="BK170" s="629"/>
      <c r="BL170" s="629"/>
      <c r="BM170" s="630"/>
      <c r="BN170" s="561">
        <f>B137</f>
        <v>0</v>
      </c>
      <c r="BO170" s="562"/>
      <c r="BP170" s="562"/>
      <c r="BQ170" s="562"/>
      <c r="BR170" s="562"/>
      <c r="BS170" s="562"/>
      <c r="BT170" s="562"/>
      <c r="BU170" s="562"/>
      <c r="BV170" s="562"/>
      <c r="BW170" s="562"/>
      <c r="BX170" s="562"/>
      <c r="BY170" s="562"/>
      <c r="BZ170" s="562"/>
      <c r="CA170" s="562"/>
      <c r="CB170" s="562"/>
      <c r="CC170" s="562"/>
      <c r="CD170" s="562"/>
      <c r="CE170" s="562"/>
      <c r="CF170" s="562"/>
      <c r="CG170" s="573"/>
      <c r="CH170" s="565">
        <f>B138</f>
        <v>0</v>
      </c>
      <c r="CI170" s="566"/>
      <c r="CJ170" s="566"/>
      <c r="CK170" s="566"/>
      <c r="CL170" s="566"/>
      <c r="CM170" s="566"/>
      <c r="CN170" s="566"/>
      <c r="CO170" s="566"/>
      <c r="CP170" s="566"/>
      <c r="CQ170" s="566"/>
      <c r="CR170" s="566"/>
      <c r="CS170" s="566"/>
      <c r="CT170" s="566"/>
      <c r="CU170" s="566"/>
      <c r="CV170" s="566"/>
      <c r="CW170" s="566"/>
      <c r="CX170" s="566"/>
      <c r="CY170" s="566"/>
      <c r="CZ170" s="566"/>
      <c r="DA170" s="567"/>
      <c r="DB170" s="561">
        <f>B139</f>
        <v>0</v>
      </c>
      <c r="DC170" s="562"/>
      <c r="DD170" s="562"/>
      <c r="DE170" s="562"/>
      <c r="DF170" s="562"/>
      <c r="DG170" s="562"/>
      <c r="DH170" s="562"/>
      <c r="DI170" s="562"/>
      <c r="DJ170" s="562"/>
      <c r="DK170" s="562"/>
      <c r="DL170" s="562"/>
      <c r="DM170" s="562"/>
      <c r="DN170" s="562"/>
      <c r="DO170" s="562"/>
      <c r="DP170" s="562"/>
      <c r="DQ170" s="562"/>
      <c r="DR170" s="562"/>
      <c r="DS170" s="562"/>
      <c r="DT170" s="562"/>
      <c r="DU170" s="573"/>
      <c r="DV170" s="565">
        <f>B140</f>
        <v>0</v>
      </c>
      <c r="DW170" s="566"/>
      <c r="DX170" s="566"/>
      <c r="DY170" s="566"/>
      <c r="DZ170" s="566"/>
      <c r="EA170" s="566"/>
      <c r="EB170" s="566"/>
      <c r="EC170" s="566"/>
      <c r="ED170" s="566"/>
      <c r="EE170" s="566"/>
      <c r="EF170" s="566"/>
      <c r="EG170" s="566"/>
      <c r="EH170" s="566"/>
      <c r="EI170" s="566"/>
      <c r="EJ170" s="566"/>
      <c r="EK170" s="566"/>
      <c r="EL170" s="566"/>
      <c r="EM170" s="566"/>
      <c r="EN170" s="566"/>
      <c r="EO170" s="567"/>
      <c r="EP170" s="561">
        <f>B141</f>
        <v>0</v>
      </c>
      <c r="EQ170" s="562"/>
      <c r="ER170" s="562"/>
      <c r="ES170" s="562"/>
      <c r="ET170" s="562"/>
      <c r="EU170" s="562"/>
      <c r="EV170" s="562"/>
      <c r="EW170" s="562"/>
      <c r="EX170" s="562"/>
      <c r="EY170" s="562"/>
      <c r="EZ170" s="562"/>
      <c r="FA170" s="562"/>
      <c r="FB170" s="562"/>
      <c r="FC170" s="562"/>
      <c r="FD170" s="562"/>
      <c r="FE170" s="562"/>
      <c r="FF170" s="562"/>
      <c r="FG170" s="562"/>
      <c r="FH170" s="562"/>
      <c r="FI170" s="573"/>
      <c r="FJ170" s="565">
        <f>B142</f>
        <v>0</v>
      </c>
      <c r="FK170" s="566"/>
      <c r="FL170" s="566"/>
      <c r="FM170" s="566"/>
      <c r="FN170" s="566"/>
      <c r="FO170" s="566"/>
      <c r="FP170" s="566"/>
      <c r="FQ170" s="566"/>
      <c r="FR170" s="566"/>
      <c r="FS170" s="566"/>
      <c r="FT170" s="566"/>
      <c r="FU170" s="566"/>
      <c r="FV170" s="566"/>
      <c r="FW170" s="566"/>
      <c r="FX170" s="566"/>
      <c r="FY170" s="566"/>
      <c r="FZ170" s="566"/>
      <c r="GA170" s="566"/>
      <c r="GB170" s="566"/>
      <c r="GC170" s="567"/>
      <c r="GD170" s="561">
        <f>B143</f>
        <v>0</v>
      </c>
      <c r="GE170" s="562"/>
      <c r="GF170" s="562"/>
      <c r="GG170" s="562"/>
      <c r="GH170" s="562"/>
      <c r="GI170" s="562"/>
      <c r="GJ170" s="562"/>
      <c r="GK170" s="562"/>
      <c r="GL170" s="562"/>
      <c r="GM170" s="562"/>
      <c r="GN170" s="562"/>
      <c r="GO170" s="562"/>
      <c r="GP170" s="562"/>
      <c r="GQ170" s="562"/>
      <c r="GR170" s="562"/>
      <c r="GS170" s="562"/>
      <c r="GT170" s="562"/>
      <c r="GU170" s="562"/>
      <c r="GV170" s="562"/>
      <c r="GW170" s="562"/>
      <c r="GX170" s="557" t="s">
        <v>878</v>
      </c>
      <c r="GY170" s="557"/>
      <c r="GZ170" s="557"/>
      <c r="HA170" s="557"/>
      <c r="HB170" s="557"/>
    </row>
    <row r="171" spans="3:210" ht="15.75" x14ac:dyDescent="0.25">
      <c r="F171" s="377"/>
      <c r="G171" s="371"/>
      <c r="H171" s="371"/>
      <c r="I171" s="371"/>
      <c r="J171" s="371"/>
      <c r="K171" s="371"/>
      <c r="L171" s="371"/>
      <c r="M171" s="371"/>
      <c r="N171" s="371"/>
      <c r="O171" s="371"/>
      <c r="P171" s="574" t="s">
        <v>448</v>
      </c>
      <c r="Q171" s="574"/>
      <c r="R171" s="574"/>
      <c r="S171" s="574"/>
      <c r="T171" s="574"/>
      <c r="U171" s="574" t="s">
        <v>449</v>
      </c>
      <c r="V171" s="574"/>
      <c r="W171" s="574"/>
      <c r="X171" s="574"/>
      <c r="Y171" s="574"/>
      <c r="Z171" s="372"/>
      <c r="AA171" s="372"/>
      <c r="AB171" s="372"/>
      <c r="AC171" s="372"/>
      <c r="AD171" s="372"/>
      <c r="AE171" s="372"/>
      <c r="AF171" s="372"/>
      <c r="AG171" s="372"/>
      <c r="AH171" s="372"/>
      <c r="AI171" s="372"/>
      <c r="AJ171" s="559" t="s">
        <v>448</v>
      </c>
      <c r="AK171" s="559"/>
      <c r="AL171" s="559"/>
      <c r="AM171" s="559"/>
      <c r="AN171" s="559"/>
      <c r="AO171" s="559" t="s">
        <v>449</v>
      </c>
      <c r="AP171" s="559"/>
      <c r="AQ171" s="559"/>
      <c r="AR171" s="559"/>
      <c r="AS171" s="559"/>
      <c r="AT171" s="378"/>
      <c r="AU171" s="378"/>
      <c r="AV171" s="378"/>
      <c r="AW171" s="378"/>
      <c r="AX171" s="378"/>
      <c r="AY171" s="378"/>
      <c r="AZ171" s="378"/>
      <c r="BA171" s="378"/>
      <c r="BB171" s="378"/>
      <c r="BC171" s="378"/>
      <c r="BD171" s="627" t="s">
        <v>448</v>
      </c>
      <c r="BE171" s="627"/>
      <c r="BF171" s="627"/>
      <c r="BG171" s="627"/>
      <c r="BH171" s="627"/>
      <c r="BI171" s="627" t="s">
        <v>449</v>
      </c>
      <c r="BJ171" s="627"/>
      <c r="BK171" s="627"/>
      <c r="BL171" s="627"/>
      <c r="BM171" s="627"/>
      <c r="BN171" s="372"/>
      <c r="BO171" s="372"/>
      <c r="BP171" s="372"/>
      <c r="BQ171" s="372"/>
      <c r="BR171" s="372"/>
      <c r="BS171" s="372"/>
      <c r="BT171" s="372"/>
      <c r="BU171" s="372"/>
      <c r="BV171" s="372"/>
      <c r="BW171" s="372"/>
      <c r="BX171" s="559" t="s">
        <v>448</v>
      </c>
      <c r="BY171" s="559"/>
      <c r="BZ171" s="559"/>
      <c r="CA171" s="559"/>
      <c r="CB171" s="559"/>
      <c r="CC171" s="559" t="s">
        <v>449</v>
      </c>
      <c r="CD171" s="559"/>
      <c r="CE171" s="559"/>
      <c r="CF171" s="559"/>
      <c r="CG171" s="559"/>
      <c r="CH171" s="371"/>
      <c r="CI171" s="371"/>
      <c r="CJ171" s="371"/>
      <c r="CK171" s="371"/>
      <c r="CL171" s="371"/>
      <c r="CM171" s="371"/>
      <c r="CN171" s="371"/>
      <c r="CO171" s="371"/>
      <c r="CP171" s="371"/>
      <c r="CQ171" s="371"/>
      <c r="CR171" s="574" t="s">
        <v>448</v>
      </c>
      <c r="CS171" s="574"/>
      <c r="CT171" s="574"/>
      <c r="CU171" s="574"/>
      <c r="CV171" s="574"/>
      <c r="CW171" s="574" t="s">
        <v>449</v>
      </c>
      <c r="CX171" s="574"/>
      <c r="CY171" s="574"/>
      <c r="CZ171" s="574"/>
      <c r="DA171" s="574"/>
      <c r="DB171" s="372"/>
      <c r="DC171" s="372"/>
      <c r="DD171" s="372"/>
      <c r="DE171" s="372"/>
      <c r="DF171" s="372"/>
      <c r="DG171" s="372"/>
      <c r="DH171" s="372"/>
      <c r="DI171" s="372"/>
      <c r="DJ171" s="372"/>
      <c r="DK171" s="372"/>
      <c r="DL171" s="559" t="s">
        <v>448</v>
      </c>
      <c r="DM171" s="559"/>
      <c r="DN171" s="559"/>
      <c r="DO171" s="559"/>
      <c r="DP171" s="559"/>
      <c r="DQ171" s="559" t="s">
        <v>449</v>
      </c>
      <c r="DR171" s="559"/>
      <c r="DS171" s="559"/>
      <c r="DT171" s="559"/>
      <c r="DU171" s="559"/>
      <c r="DV171" s="371"/>
      <c r="DW171" s="371"/>
      <c r="DX171" s="371"/>
      <c r="DY171" s="371"/>
      <c r="DZ171" s="371"/>
      <c r="EA171" s="371"/>
      <c r="EB171" s="371"/>
      <c r="EC171" s="371"/>
      <c r="ED171" s="371"/>
      <c r="EE171" s="371"/>
      <c r="EF171" s="574" t="s">
        <v>448</v>
      </c>
      <c r="EG171" s="574"/>
      <c r="EH171" s="574"/>
      <c r="EI171" s="574"/>
      <c r="EJ171" s="574"/>
      <c r="EK171" s="574" t="s">
        <v>449</v>
      </c>
      <c r="EL171" s="574"/>
      <c r="EM171" s="574"/>
      <c r="EN171" s="574"/>
      <c r="EO171" s="574"/>
      <c r="EP171" s="372"/>
      <c r="EQ171" s="372"/>
      <c r="ER171" s="372"/>
      <c r="ES171" s="372"/>
      <c r="ET171" s="372"/>
      <c r="EU171" s="372"/>
      <c r="EV171" s="372"/>
      <c r="EW171" s="372"/>
      <c r="EX171" s="372"/>
      <c r="EY171" s="372"/>
      <c r="EZ171" s="559" t="s">
        <v>448</v>
      </c>
      <c r="FA171" s="559"/>
      <c r="FB171" s="559"/>
      <c r="FC171" s="559"/>
      <c r="FD171" s="559"/>
      <c r="FE171" s="559" t="s">
        <v>449</v>
      </c>
      <c r="FF171" s="559"/>
      <c r="FG171" s="559"/>
      <c r="FH171" s="559"/>
      <c r="FI171" s="559"/>
      <c r="FJ171" s="371"/>
      <c r="FK171" s="371"/>
      <c r="FL171" s="371"/>
      <c r="FM171" s="371"/>
      <c r="FN171" s="371"/>
      <c r="FO171" s="371"/>
      <c r="FP171" s="371"/>
      <c r="FQ171" s="371"/>
      <c r="FR171" s="371"/>
      <c r="FS171" s="371"/>
      <c r="FT171" s="574" t="s">
        <v>448</v>
      </c>
      <c r="FU171" s="574"/>
      <c r="FV171" s="574"/>
      <c r="FW171" s="574"/>
      <c r="FX171" s="574"/>
      <c r="FY171" s="574" t="s">
        <v>449</v>
      </c>
      <c r="FZ171" s="574"/>
      <c r="GA171" s="574"/>
      <c r="GB171" s="574"/>
      <c r="GC171" s="574"/>
      <c r="GD171" s="372"/>
      <c r="GE171" s="372"/>
      <c r="GF171" s="372"/>
      <c r="GG171" s="372"/>
      <c r="GH171" s="372"/>
      <c r="GI171" s="372"/>
      <c r="GJ171" s="372"/>
      <c r="GK171" s="372"/>
      <c r="GL171" s="372"/>
      <c r="GM171" s="372"/>
      <c r="GN171" s="559" t="s">
        <v>566</v>
      </c>
      <c r="GO171" s="559"/>
      <c r="GP171" s="559"/>
      <c r="GQ171" s="559"/>
      <c r="GR171" s="559"/>
      <c r="GS171" s="559" t="s">
        <v>449</v>
      </c>
      <c r="GT171" s="559"/>
      <c r="GU171" s="559"/>
      <c r="GV171" s="559"/>
      <c r="GW171" s="560"/>
      <c r="GX171" s="557"/>
      <c r="GY171" s="557"/>
      <c r="GZ171" s="557"/>
      <c r="HA171" s="557"/>
      <c r="HB171" s="557"/>
    </row>
    <row r="172" spans="3:210" ht="45" customHeight="1" x14ac:dyDescent="0.25">
      <c r="C172" s="368" t="s">
        <v>442</v>
      </c>
      <c r="D172" s="368" t="s">
        <v>443</v>
      </c>
      <c r="E172" s="360" t="s">
        <v>447</v>
      </c>
      <c r="F172" s="373" t="s">
        <v>771</v>
      </c>
      <c r="G172" s="373" t="s">
        <v>659</v>
      </c>
      <c r="H172" s="373" t="s">
        <v>772</v>
      </c>
      <c r="I172" s="373" t="s">
        <v>773</v>
      </c>
      <c r="J172" s="373" t="s">
        <v>774</v>
      </c>
      <c r="K172" s="373" t="s">
        <v>775</v>
      </c>
      <c r="L172" s="373" t="s">
        <v>664</v>
      </c>
      <c r="M172" s="373" t="s">
        <v>776</v>
      </c>
      <c r="N172" s="373" t="s">
        <v>777</v>
      </c>
      <c r="O172" s="373" t="s">
        <v>778</v>
      </c>
      <c r="P172" s="373" t="s">
        <v>454</v>
      </c>
      <c r="Q172" s="373" t="s">
        <v>779</v>
      </c>
      <c r="R172" s="373" t="s">
        <v>780</v>
      </c>
      <c r="S172" s="373" t="s">
        <v>781</v>
      </c>
      <c r="T172" s="373" t="s">
        <v>782</v>
      </c>
      <c r="U172" s="373" t="s">
        <v>672</v>
      </c>
      <c r="V172" s="373" t="s">
        <v>783</v>
      </c>
      <c r="W172" s="373" t="s">
        <v>784</v>
      </c>
      <c r="X172" s="373" t="s">
        <v>785</v>
      </c>
      <c r="Y172" s="373" t="s">
        <v>786</v>
      </c>
      <c r="Z172" s="374" t="s">
        <v>462</v>
      </c>
      <c r="AA172" s="374" t="s">
        <v>787</v>
      </c>
      <c r="AB172" s="374" t="s">
        <v>788</v>
      </c>
      <c r="AC172" s="374" t="s">
        <v>789</v>
      </c>
      <c r="AD172" s="374" t="s">
        <v>790</v>
      </c>
      <c r="AE172" s="374" t="s">
        <v>791</v>
      </c>
      <c r="AF172" s="374" t="s">
        <v>683</v>
      </c>
      <c r="AG172" s="374" t="s">
        <v>684</v>
      </c>
      <c r="AH172" s="374" t="s">
        <v>685</v>
      </c>
      <c r="AI172" s="374" t="s">
        <v>792</v>
      </c>
      <c r="AJ172" s="374" t="s">
        <v>453</v>
      </c>
      <c r="AK172" s="374" t="s">
        <v>687</v>
      </c>
      <c r="AL172" s="374" t="s">
        <v>793</v>
      </c>
      <c r="AM172" s="374" t="s">
        <v>794</v>
      </c>
      <c r="AN172" s="374" t="s">
        <v>795</v>
      </c>
      <c r="AO172" s="374" t="s">
        <v>467</v>
      </c>
      <c r="AP172" s="374" t="s">
        <v>796</v>
      </c>
      <c r="AQ172" s="374" t="s">
        <v>797</v>
      </c>
      <c r="AR172" s="374" t="s">
        <v>798</v>
      </c>
      <c r="AS172" s="374" t="s">
        <v>799</v>
      </c>
      <c r="AT172" s="373" t="s">
        <v>471</v>
      </c>
      <c r="AU172" s="373" t="s">
        <v>472</v>
      </c>
      <c r="AV172" s="373" t="s">
        <v>473</v>
      </c>
      <c r="AW172" s="373" t="s">
        <v>695</v>
      </c>
      <c r="AX172" s="373" t="s">
        <v>696</v>
      </c>
      <c r="AY172" s="373" t="s">
        <v>475</v>
      </c>
      <c r="AZ172" s="373" t="s">
        <v>476</v>
      </c>
      <c r="BA172" s="373" t="s">
        <v>477</v>
      </c>
      <c r="BB172" s="373" t="s">
        <v>478</v>
      </c>
      <c r="BC172" s="373" t="s">
        <v>800</v>
      </c>
      <c r="BD172" s="373" t="s">
        <v>460</v>
      </c>
      <c r="BE172" s="373" t="s">
        <v>801</v>
      </c>
      <c r="BF172" s="373" t="s">
        <v>802</v>
      </c>
      <c r="BG172" s="373" t="s">
        <v>803</v>
      </c>
      <c r="BH172" s="373" t="s">
        <v>804</v>
      </c>
      <c r="BI172" s="373" t="s">
        <v>479</v>
      </c>
      <c r="BJ172" s="373" t="s">
        <v>480</v>
      </c>
      <c r="BK172" s="373" t="s">
        <v>805</v>
      </c>
      <c r="BL172" s="373" t="s">
        <v>806</v>
      </c>
      <c r="BM172" s="373" t="s">
        <v>807</v>
      </c>
      <c r="BN172" s="374" t="s">
        <v>808</v>
      </c>
      <c r="BO172" s="374" t="s">
        <v>708</v>
      </c>
      <c r="BP172" s="374" t="s">
        <v>483</v>
      </c>
      <c r="BQ172" s="374" t="s">
        <v>809</v>
      </c>
      <c r="BR172" s="374" t="s">
        <v>485</v>
      </c>
      <c r="BS172" s="374" t="s">
        <v>810</v>
      </c>
      <c r="BT172" s="374" t="s">
        <v>811</v>
      </c>
      <c r="BU172" s="374" t="s">
        <v>812</v>
      </c>
      <c r="BV172" s="374" t="s">
        <v>813</v>
      </c>
      <c r="BW172" s="374" t="s">
        <v>489</v>
      </c>
      <c r="BX172" s="374" t="s">
        <v>728</v>
      </c>
      <c r="BY172" s="374" t="s">
        <v>814</v>
      </c>
      <c r="BZ172" s="374" t="s">
        <v>815</v>
      </c>
      <c r="CA172" s="374" t="s">
        <v>816</v>
      </c>
      <c r="CB172" s="374" t="s">
        <v>817</v>
      </c>
      <c r="CC172" s="374" t="s">
        <v>818</v>
      </c>
      <c r="CD172" s="374" t="s">
        <v>819</v>
      </c>
      <c r="CE172" s="374" t="s">
        <v>820</v>
      </c>
      <c r="CF172" s="374" t="s">
        <v>714</v>
      </c>
      <c r="CG172" s="374" t="s">
        <v>821</v>
      </c>
      <c r="CH172" s="373" t="s">
        <v>715</v>
      </c>
      <c r="CI172" s="373" t="s">
        <v>498</v>
      </c>
      <c r="CJ172" s="373" t="s">
        <v>822</v>
      </c>
      <c r="CK172" s="373" t="s">
        <v>500</v>
      </c>
      <c r="CL172" s="373" t="s">
        <v>823</v>
      </c>
      <c r="CM172" s="373" t="s">
        <v>824</v>
      </c>
      <c r="CN172" s="373" t="s">
        <v>825</v>
      </c>
      <c r="CO172" s="373" t="s">
        <v>826</v>
      </c>
      <c r="CP172" s="373" t="s">
        <v>503</v>
      </c>
      <c r="CQ172" s="373" t="s">
        <v>827</v>
      </c>
      <c r="CR172" s="373" t="s">
        <v>496</v>
      </c>
      <c r="CS172" s="373" t="s">
        <v>506</v>
      </c>
      <c r="CT172" s="373" t="s">
        <v>507</v>
      </c>
      <c r="CU172" s="373" t="s">
        <v>508</v>
      </c>
      <c r="CV172" s="373" t="s">
        <v>828</v>
      </c>
      <c r="CW172" s="373" t="s">
        <v>509</v>
      </c>
      <c r="CX172" s="373" t="s">
        <v>505</v>
      </c>
      <c r="CY172" s="373" t="s">
        <v>829</v>
      </c>
      <c r="CZ172" s="373" t="s">
        <v>510</v>
      </c>
      <c r="DA172" s="373" t="s">
        <v>511</v>
      </c>
      <c r="DB172" s="374" t="s">
        <v>513</v>
      </c>
      <c r="DC172" s="374" t="s">
        <v>830</v>
      </c>
      <c r="DD172" s="374" t="s">
        <v>515</v>
      </c>
      <c r="DE172" s="374" t="s">
        <v>731</v>
      </c>
      <c r="DF172" s="374" t="s">
        <v>732</v>
      </c>
      <c r="DG172" s="374" t="s">
        <v>831</v>
      </c>
      <c r="DH172" s="374" t="s">
        <v>517</v>
      </c>
      <c r="DI172" s="374" t="s">
        <v>518</v>
      </c>
      <c r="DJ172" s="374" t="s">
        <v>519</v>
      </c>
      <c r="DK172" s="374" t="s">
        <v>832</v>
      </c>
      <c r="DL172" s="374" t="s">
        <v>512</v>
      </c>
      <c r="DM172" s="374" t="s">
        <v>521</v>
      </c>
      <c r="DN172" s="374" t="s">
        <v>522</v>
      </c>
      <c r="DO172" s="374" t="s">
        <v>833</v>
      </c>
      <c r="DP172" s="374" t="s">
        <v>523</v>
      </c>
      <c r="DQ172" s="374" t="s">
        <v>834</v>
      </c>
      <c r="DR172" s="374" t="s">
        <v>525</v>
      </c>
      <c r="DS172" s="374" t="s">
        <v>835</v>
      </c>
      <c r="DT172" s="374" t="s">
        <v>527</v>
      </c>
      <c r="DU172" s="374" t="s">
        <v>528</v>
      </c>
      <c r="DV172" s="373" t="s">
        <v>530</v>
      </c>
      <c r="DW172" s="373" t="s">
        <v>531</v>
      </c>
      <c r="DX172" s="373" t="s">
        <v>532</v>
      </c>
      <c r="DY172" s="373" t="s">
        <v>533</v>
      </c>
      <c r="DZ172" s="373" t="s">
        <v>836</v>
      </c>
      <c r="EA172" s="373" t="s">
        <v>837</v>
      </c>
      <c r="EB172" s="373" t="s">
        <v>535</v>
      </c>
      <c r="EC172" s="373" t="s">
        <v>536</v>
      </c>
      <c r="ED172" s="373" t="s">
        <v>537</v>
      </c>
      <c r="EE172" s="373" t="s">
        <v>538</v>
      </c>
      <c r="EF172" s="373" t="s">
        <v>529</v>
      </c>
      <c r="EG172" s="373" t="s">
        <v>539</v>
      </c>
      <c r="EH172" s="373" t="s">
        <v>838</v>
      </c>
      <c r="EI172" s="373" t="s">
        <v>839</v>
      </c>
      <c r="EJ172" s="373" t="s">
        <v>542</v>
      </c>
      <c r="EK172" s="373" t="s">
        <v>840</v>
      </c>
      <c r="EL172" s="373" t="s">
        <v>544</v>
      </c>
      <c r="EM172" s="373" t="s">
        <v>545</v>
      </c>
      <c r="EN172" s="373" t="s">
        <v>740</v>
      </c>
      <c r="EO172" s="373" t="s">
        <v>546</v>
      </c>
      <c r="EP172" s="374" t="s">
        <v>548</v>
      </c>
      <c r="EQ172" s="374" t="s">
        <v>841</v>
      </c>
      <c r="ER172" s="374" t="s">
        <v>842</v>
      </c>
      <c r="ES172" s="374" t="s">
        <v>551</v>
      </c>
      <c r="ET172" s="374" t="s">
        <v>843</v>
      </c>
      <c r="EU172" s="374" t="s">
        <v>553</v>
      </c>
      <c r="EV172" s="374" t="s">
        <v>554</v>
      </c>
      <c r="EW172" s="374" t="s">
        <v>555</v>
      </c>
      <c r="EX172" s="374" t="s">
        <v>844</v>
      </c>
      <c r="EY172" s="374" t="s">
        <v>743</v>
      </c>
      <c r="EZ172" s="374" t="s">
        <v>547</v>
      </c>
      <c r="FA172" s="374" t="s">
        <v>557</v>
      </c>
      <c r="FB172" s="374" t="s">
        <v>558</v>
      </c>
      <c r="FC172" s="374" t="s">
        <v>559</v>
      </c>
      <c r="FD172" s="374" t="s">
        <v>744</v>
      </c>
      <c r="FE172" s="374" t="s">
        <v>560</v>
      </c>
      <c r="FF172" s="374" t="s">
        <v>561</v>
      </c>
      <c r="FG172" s="374" t="s">
        <v>562</v>
      </c>
      <c r="FH172" s="374" t="s">
        <v>563</v>
      </c>
      <c r="FI172" s="374" t="s">
        <v>845</v>
      </c>
      <c r="FJ172" s="373" t="s">
        <v>567</v>
      </c>
      <c r="FK172" s="373" t="s">
        <v>568</v>
      </c>
      <c r="FL172" s="373" t="s">
        <v>846</v>
      </c>
      <c r="FM172" s="373" t="s">
        <v>847</v>
      </c>
      <c r="FN172" s="373" t="s">
        <v>848</v>
      </c>
      <c r="FO172" s="373" t="s">
        <v>849</v>
      </c>
      <c r="FP172" s="373" t="s">
        <v>572</v>
      </c>
      <c r="FQ172" s="373" t="s">
        <v>749</v>
      </c>
      <c r="FR172" s="373" t="s">
        <v>573</v>
      </c>
      <c r="FS172" s="373" t="s">
        <v>850</v>
      </c>
      <c r="FT172" s="373" t="s">
        <v>565</v>
      </c>
      <c r="FU172" s="373" t="s">
        <v>851</v>
      </c>
      <c r="FV172" s="373" t="s">
        <v>852</v>
      </c>
      <c r="FW172" s="373" t="s">
        <v>853</v>
      </c>
      <c r="FX172" s="373" t="s">
        <v>578</v>
      </c>
      <c r="FY172" s="373" t="s">
        <v>854</v>
      </c>
      <c r="FZ172" s="373" t="s">
        <v>855</v>
      </c>
      <c r="GA172" s="373" t="s">
        <v>580</v>
      </c>
      <c r="GB172" s="373" t="s">
        <v>751</v>
      </c>
      <c r="GC172" s="373" t="s">
        <v>752</v>
      </c>
      <c r="GD172" s="374" t="s">
        <v>856</v>
      </c>
      <c r="GE172" s="374" t="s">
        <v>857</v>
      </c>
      <c r="GF172" s="374" t="s">
        <v>584</v>
      </c>
      <c r="GG172" s="374" t="s">
        <v>585</v>
      </c>
      <c r="GH172" s="374" t="s">
        <v>858</v>
      </c>
      <c r="GI172" s="374" t="s">
        <v>754</v>
      </c>
      <c r="GJ172" s="374" t="s">
        <v>859</v>
      </c>
      <c r="GK172" s="374" t="s">
        <v>588</v>
      </c>
      <c r="GL172" s="374" t="s">
        <v>860</v>
      </c>
      <c r="GM172" s="374" t="s">
        <v>861</v>
      </c>
      <c r="GN172" s="374" t="s">
        <v>581</v>
      </c>
      <c r="GO172" s="374" t="s">
        <v>862</v>
      </c>
      <c r="GP172" s="374" t="s">
        <v>863</v>
      </c>
      <c r="GQ172" s="374" t="s">
        <v>590</v>
      </c>
      <c r="GR172" s="374" t="s">
        <v>591</v>
      </c>
      <c r="GS172" s="374" t="s">
        <v>592</v>
      </c>
      <c r="GT172" s="374" t="s">
        <v>864</v>
      </c>
      <c r="GU172" s="374" t="s">
        <v>865</v>
      </c>
      <c r="GV172" s="374" t="s">
        <v>593</v>
      </c>
      <c r="GW172" s="384" t="s">
        <v>594</v>
      </c>
      <c r="GX172" s="422" t="s">
        <v>889</v>
      </c>
      <c r="GY172" s="422" t="s">
        <v>890</v>
      </c>
      <c r="GZ172" s="422" t="s">
        <v>891</v>
      </c>
      <c r="HA172" s="422" t="s">
        <v>888</v>
      </c>
      <c r="HB172" s="422" t="s">
        <v>892</v>
      </c>
    </row>
    <row r="173" spans="3:210" ht="15.75" x14ac:dyDescent="0.25">
      <c r="C173" s="67">
        <v>0</v>
      </c>
      <c r="D173" s="72" t="str">
        <f>VLOOKUP(Tabla12[[#This Row],[CÓDIGO DEL PRODUCTO Y/O SERVICIO ]],Tabla3[],2)</f>
        <v xml:space="preserve">Seleccionar producto o servicio </v>
      </c>
      <c r="E173" s="72"/>
      <c r="F173" s="72">
        <f>VLOOKUP(Tabla12[[#This Row],[CÓDIGO DEL PRODUCTO Y/O SERVICIO ]],Tabla3[],3)</f>
        <v>0</v>
      </c>
      <c r="G173" s="72">
        <f>Tabla12[[#This Row],[UNIDADES PRODUCIDAS AÑO 1 1 ]]*F151</f>
        <v>0</v>
      </c>
      <c r="H173" s="112">
        <f>VLOOKUP(Tabla12[[#This Row],[CÓDIGO DEL PRODUCTO Y/O SERVICIO ]],Tabla3[],9)</f>
        <v>0</v>
      </c>
      <c r="I173" s="72">
        <f>Tabla12[[#This Row],[CANTIDADES A UTILIZAR EN EL AÑO 1 1]]*(1+Tabla12[[#This Row],[CAMBIO PORCENTUAL EN UNIDADES VENDIDAS AÑO 2 1 ]])</f>
        <v>0</v>
      </c>
      <c r="J173" s="112">
        <f>VLOOKUP(Tabla12[[#This Row],[CÓDIGO DEL PRODUCTO Y/O SERVICIO ]],Tabla3[],13)</f>
        <v>0</v>
      </c>
      <c r="K173" s="72">
        <f>Tabla12[[#This Row],[CANTIDADES A UTILIZAR EN EL AÑO 2 1]]*(1+Tabla12[[#This Row],[CAMBIO PORCENTUAL EN UNIDADES VENDIDAS AÑO 3 1 ]])</f>
        <v>0</v>
      </c>
      <c r="L173" s="112">
        <f>VLOOKUP(Tabla12[[#This Row],[CÓDIGO DEL PRODUCTO Y/O SERVICIO ]],Tabla3[],17)</f>
        <v>0</v>
      </c>
      <c r="M173" s="72">
        <f>Tabla12[[#This Row],[CANTIDADES A UTILIZAR EN EL AÑO 3 1 ]]*(1+Tabla12[[#This Row],[CAMBIO PORCENTUAL EN UNIDADES VENDIDAS AÑO 4 1]])</f>
        <v>0</v>
      </c>
      <c r="N173" s="112">
        <f>VLOOKUP(Tabla12[[#This Row],[CÓDIGO DEL PRODUCTO Y/O SERVICIO ]],Tabla3[],21)</f>
        <v>0</v>
      </c>
      <c r="O173" s="72">
        <f>Tabla12[[#This Row],[CANTIDADES A UTILIZAR EN EL AÑO 4 1 ]]*(1+Tabla12[[#This Row],[CAMBIO PORCENTUAL EN UNIDADES VENDIDAS AÑO 5 1 ]])</f>
        <v>0</v>
      </c>
      <c r="P173" s="344">
        <f>IF(Tabla12[[#This Row],[CANTIDADES A UTILIZAR EN EL AÑO 1 1]]=0,0,Tabla12[[#This Row],[CANTIDADES A UTILIZAR EN EL AÑO 1 1]]*1/Tabla12[[#This Row],[UNIDADES PRODUCIDAS AÑO 1 1 ]])</f>
        <v>0</v>
      </c>
      <c r="Q173" s="344">
        <f>$C$134*(1+BASES!$E$10)</f>
        <v>60672.000000000007</v>
      </c>
      <c r="R173" s="344">
        <f>Tabla12[[#This Row],[COSTO UNITARIO AÑO 2 1 ]]*(1+BASES!$F$10)</f>
        <v>61351.52640000001</v>
      </c>
      <c r="S173" s="344">
        <f>Tabla12[[#This Row],[COSTO UNITARIO AÑO 3 1 ]]*(1+BASES!$G$10)</f>
        <v>62038.663495680019</v>
      </c>
      <c r="T173" s="344">
        <f>Tabla12[[#This Row],[COSTO UNITARIO AÑO 4 1 ]]*(1+BASES!$H$10)</f>
        <v>62733.496526831645</v>
      </c>
      <c r="U173" s="344">
        <f>Tabla12[[#This Row],[COSTO POR UNIDAD DE PRODUCTO (1)]]*$C$134*VLOOKUP(Tabla12[[#This Row],[CÓDIGO DEL PRODUCTO Y/O SERVICIO ]],Tabla3[],3)</f>
        <v>0</v>
      </c>
      <c r="V173" s="344">
        <f>Tabla12[[#This Row],[COSTO POR UNIDAD DE PRODUCTO (1)]]*Tabla12[[#This Row],[COSTO UNITARIO AÑO 2 1 ]]*VLOOKUP(Tabla12[[#This Row],[CÓDIGO DEL PRODUCTO Y/O SERVICIO ]],Tabla3[],6)</f>
        <v>0</v>
      </c>
      <c r="W173" s="344">
        <f>Tabla12[[#This Row],[COSTO POR UNIDAD DE PRODUCTO (1)]]*Tabla12[[#This Row],[COSTO UNITARIO AÑO 3 1 ]]*VLOOKUP(Tabla12[[#This Row],[CÓDIGO DEL PRODUCTO Y/O SERVICIO ]],Tabla3[],10)</f>
        <v>0</v>
      </c>
      <c r="X173" s="344">
        <f>Tabla12[[#This Row],[COSTO POR UNIDAD DE PRODUCTO (1)]]*Tabla12[[#This Row],[COSTO UNITARIO AÑO 4 1 ]]*VLOOKUP(Tabla12[[#This Row],[CÓDIGO DEL PRODUCTO Y/O SERVICIO ]],Tabla3[],14)</f>
        <v>0</v>
      </c>
      <c r="Y173" s="344">
        <f>Tabla12[[#This Row],[COSTO POR UNIDAD DE PRODUCTO (1)]]*Tabla12[[#This Row],[COSTO UNITARIO AÑO 5 1 ]]*VLOOKUP(Tabla12[[#This Row],[CÓDIGO DEL PRODUCTO Y/O SERVICIO ]],Tabla3[],18)</f>
        <v>0</v>
      </c>
      <c r="Z173" s="114">
        <f>VLOOKUP(Tabla12[[#This Row],[CÓDIGO DEL PRODUCTO Y/O SERVICIO ]],Tabla3[],3)</f>
        <v>0</v>
      </c>
      <c r="AA173" s="114">
        <f>Tabla12[[#This Row],[UNIDADES PRODUCIDAS AÑO 1 2]]*G151</f>
        <v>0</v>
      </c>
      <c r="AB173" s="112">
        <f>VLOOKUP(Tabla12[[#This Row],[CÓDIGO DEL PRODUCTO Y/O SERVICIO ]],Tabla3[],9)</f>
        <v>0</v>
      </c>
      <c r="AC173" s="114">
        <f>Tabla12[[#This Row],[CANTIDADES A UTILIZAR EN EL AÑO 1 2 ]]*(1+Tabla12[[#This Row],[CAMBIO PORCENTUAL EN UNIDADES VENDIDAS AÑO 2 2 ]])</f>
        <v>0</v>
      </c>
      <c r="AD173" s="112">
        <f>VLOOKUP(Tabla12[[#This Row],[CÓDIGO DEL PRODUCTO Y/O SERVICIO ]],Tabla3[],13)</f>
        <v>0</v>
      </c>
      <c r="AE173" s="114">
        <f>Tabla12[[#This Row],[CANTIDADES A UTILIZAR EN EL AÑO 2 2 ]]*(1+Tabla12[[#This Row],[CAMBIO PORCENTUAL EN UNIDADES VENDIDAS AÑO 3 2]])</f>
        <v>0</v>
      </c>
      <c r="AF173" s="112">
        <f>VLOOKUP(Tabla12[[#This Row],[CÓDIGO DEL PRODUCTO Y/O SERVICIO ]],Tabla3[],17)</f>
        <v>0</v>
      </c>
      <c r="AG173" s="114">
        <f>Tabla12[[#This Row],[CANTIDADES A UTILIZAR EN EL AÑO 3 2]]*(1+Tabla12[[#This Row],[CAMBIO PORCENTUAL EN UNIDADES VENDIDAS AÑO 4 2]])</f>
        <v>0</v>
      </c>
      <c r="AH173" s="112">
        <f>VLOOKUP(Tabla12[[#This Row],[CÓDIGO DEL PRODUCTO Y/O SERVICIO ]],Tabla3[],21)</f>
        <v>0</v>
      </c>
      <c r="AI173" s="114">
        <f>Tabla12[[#This Row],[CANTIDADES A UTILIZAR EN EL AÑO 4 2]]*(1+Tabla12[[#This Row],[CAMBIO PORCENTUAL EN UNIDADES VENDIDAS AÑO 5 2]])</f>
        <v>0</v>
      </c>
      <c r="AJ173" s="344">
        <f>IF(Tabla12[[#This Row],[CANTIDADES A UTILIZAR EN EL AÑO 1 2 ]]=0,0,Tabla12[[#This Row],[CANTIDADES A UTILIZAR EN EL AÑO 1 2 ]]*1/Tabla12[[#This Row],[UNIDADES PRODUCIDAS AÑO 1 2]])</f>
        <v>0</v>
      </c>
      <c r="AK173" s="344">
        <f>$C$135*(1+BASES!$E$10)</f>
        <v>20224.000000000004</v>
      </c>
      <c r="AL173" s="344">
        <f>Tabla12[[#This Row],[COSTO UNITARIO AÑO 2 2]]*(1+BASES!$F$10)</f>
        <v>20450.508800000007</v>
      </c>
      <c r="AM173" s="344">
        <f>Tabla12[[#This Row],[COSTO UNITARIO AÑO 3 2 ]]*(1+BASES!$G$10)</f>
        <v>20679.55449856001</v>
      </c>
      <c r="AN173" s="344">
        <f>Tabla12[[#This Row],[COSTO UNITARIO AÑO 4 2 ]]*(1+BASES!$H$10)</f>
        <v>20911.165508943883</v>
      </c>
      <c r="AO173" s="344">
        <f>Tabla12[[#This Row],[COSTO POR UNIDAD DE PRODUCTO (2)]]*$C$135*VLOOKUP(Tabla12[[#This Row],[CÓDIGO DEL PRODUCTO Y/O SERVICIO ]],Tabla3[],3)</f>
        <v>0</v>
      </c>
      <c r="AP173" s="344">
        <f>Tabla12[[#This Row],[COSTO POR UNIDAD DE PRODUCTO (2)]]*Tabla12[[#This Row],[COSTO UNITARIO AÑO 2 2]]*VLOOKUP(Tabla12[[#This Row],[CÓDIGO DEL PRODUCTO Y/O SERVICIO ]],Tabla3[],6)</f>
        <v>0</v>
      </c>
      <c r="AQ173" s="344">
        <f>Tabla12[[#This Row],[COSTO POR UNIDAD DE PRODUCTO (2)]]*Tabla12[[#This Row],[COSTO UNITARIO AÑO 3 2 ]]*VLOOKUP(Tabla12[[#This Row],[CÓDIGO DEL PRODUCTO Y/O SERVICIO ]],Tabla3[],10)</f>
        <v>0</v>
      </c>
      <c r="AR173" s="344">
        <f>Tabla12[[#This Row],[COSTO POR UNIDAD DE PRODUCTO (2)]]*Tabla12[[#This Row],[COSTO UNITARIO AÑO 4 2 ]]*VLOOKUP(Tabla12[[#This Row],[CÓDIGO DEL PRODUCTO Y/O SERVICIO ]],Tabla3[],14)</f>
        <v>0</v>
      </c>
      <c r="AS173" s="344">
        <f>Tabla12[[#This Row],[COSTO POR UNIDAD DE PRODUCTO (2)]]*Tabla12[[#This Row],[COSTO UNITARIO AÑO 5 2 ]]*VLOOKUP(Tabla12[[#This Row],[CÓDIGO DEL PRODUCTO Y/O SERVICIO ]],Tabla3[],18)</f>
        <v>0</v>
      </c>
      <c r="AT173" s="114">
        <f>VLOOKUP(Tabla12[[#This Row],[CÓDIGO DEL PRODUCTO Y/O SERVICIO ]],Tabla3[],3)</f>
        <v>0</v>
      </c>
      <c r="AU173" s="114">
        <f>Tabla12[[#This Row],[UNIDADES PRODUCIDAS AÑO 1 3]]*H151</f>
        <v>0</v>
      </c>
      <c r="AV173" s="112">
        <f>VLOOKUP(Tabla12[[#This Row],[CÓDIGO DEL PRODUCTO Y/O SERVICIO ]],Tabla3[],9)</f>
        <v>0</v>
      </c>
      <c r="AW173" s="114">
        <f>Tabla12[[#This Row],[CANTIDADES A UTILIZAR EN EL AÑO 1 3]]*(1+Tabla12[[#This Row],[CAMBIO PORCENTUAL EN UNIDADES VENDIDAS AÑO 2 3]])</f>
        <v>0</v>
      </c>
      <c r="AX173" s="112">
        <f>VLOOKUP(Tabla12[[#This Row],[CÓDIGO DEL PRODUCTO Y/O SERVICIO ]],Tabla3[],13)</f>
        <v>0</v>
      </c>
      <c r="AY173" s="114">
        <f>Tabla12[[#This Row],[CANTIDADES A UTILIZAR EN EL AÑO 2 3]]*(1+Tabla12[[#This Row],[CAMBIO PORCENTUAL EN UNIDADES VENDIDAS AÑO 3 3]])</f>
        <v>0</v>
      </c>
      <c r="AZ173" s="112">
        <f>VLOOKUP(Tabla12[[#This Row],[CÓDIGO DEL PRODUCTO Y/O SERVICIO ]],Tabla3[],17)</f>
        <v>0</v>
      </c>
      <c r="BA173" s="114">
        <f>Tabla12[[#This Row],[CANTIDADES A UTILIZAR EN EL AÑO 3 3]]*(1+Tabla12[[#This Row],[CAMBIO PORCENTUAL EN UNIDADES VENDIDAS AÑO 4 3]])</f>
        <v>0</v>
      </c>
      <c r="BB173" s="112">
        <f>VLOOKUP(Tabla12[[#This Row],[CÓDIGO DEL PRODUCTO Y/O SERVICIO ]],Tabla3[],21)</f>
        <v>0</v>
      </c>
      <c r="BC173" s="114">
        <f>Tabla12[[#This Row],[CANTIDADES A UTILIZAR EN EL AÑO 4 3]]*(1+Tabla12[[#This Row],[CAMBIO PORCENTUAL EN UNIDADES VENDIDAS AÑO 5 3]])</f>
        <v>0</v>
      </c>
      <c r="BD173" s="344">
        <f>IF(Tabla12[[#This Row],[CANTIDADES A UTILIZAR EN EL AÑO 1 3]]=0,0,Tabla12[[#This Row],[CANTIDADES A UTILIZAR EN EL AÑO 1 3]]*1/Tabla12[[#This Row],[UNIDADES PRODUCIDAS AÑO 1 3]])</f>
        <v>0</v>
      </c>
      <c r="BE173" s="344">
        <f>$C$136*(1+BASES!$E$10)</f>
        <v>0</v>
      </c>
      <c r="BF173" s="344">
        <f>Tabla12[[#This Row],[COSTO UNITARIO AÑO 2 3]]*(1+BASES!$F$10)</f>
        <v>0</v>
      </c>
      <c r="BG173" s="344">
        <f>Tabla12[[#This Row],[COSTO UNITARIO AÑO 3 3 ]]*(1+BASES!$G$10)</f>
        <v>0</v>
      </c>
      <c r="BH173" s="344">
        <f>Tabla12[[#This Row],[COSTO UNITARIO AÑO 4 3]]*(1+BASES!$H$10)</f>
        <v>0</v>
      </c>
      <c r="BI173" s="344">
        <f>Tabla12[[#This Row],[COSTO POR UNIDAD DE PRODUCTO (3)]]*$C$136*VLOOKUP(Tabla12[[#This Row],[CÓDIGO DEL PRODUCTO Y/O SERVICIO ]],Tabla3[],3)</f>
        <v>0</v>
      </c>
      <c r="BJ173" s="344">
        <f>Tabla12[[#This Row],[COSTO POR UNIDAD DE PRODUCTO (3)]]*Tabla12[[#This Row],[COSTO UNITARIO AÑO 2 3]]*VLOOKUP(Tabla12[[#This Row],[CÓDIGO DEL PRODUCTO Y/O SERVICIO ]],Tabla3[],6)</f>
        <v>0</v>
      </c>
      <c r="BK173" s="344">
        <f>Tabla12[[#This Row],[COSTO POR UNIDAD DE PRODUCTO (3)]]*Tabla12[[#This Row],[COSTO UNITARIO AÑO 3 3 ]]*VLOOKUP(Tabla12[[#This Row],[CÓDIGO DEL PRODUCTO Y/O SERVICIO ]],Tabla3[],10)</f>
        <v>0</v>
      </c>
      <c r="BL173" s="344">
        <f>Tabla12[[#This Row],[COSTO POR UNIDAD DE PRODUCTO (3)]]*Tabla12[[#This Row],[COSTO UNITARIO AÑO 4 3]]*VLOOKUP(Tabla12[[#This Row],[CÓDIGO DEL PRODUCTO Y/O SERVICIO ]],Tabla3[],14)</f>
        <v>0</v>
      </c>
      <c r="BM173" s="344">
        <f>Tabla12[[#This Row],[COSTO POR UNIDAD DE PRODUCTO (3)]]*Tabla12[[#This Row],[COSTO UNITARIO AÑO 5 3 ]]*VLOOKUP(Tabla12[[#This Row],[CÓDIGO DEL PRODUCTO Y/O SERVICIO ]],Tabla3[],18)</f>
        <v>0</v>
      </c>
      <c r="BN173" s="114">
        <f>VLOOKUP(Tabla12[[#This Row],[CÓDIGO DEL PRODUCTO Y/O SERVICIO ]],Tabla3[],3)</f>
        <v>0</v>
      </c>
      <c r="BO173" s="114">
        <f>Tabla12[[#This Row],[UNIDADES PRODUCIDAS AÑO 1 4]]*I151</f>
        <v>0</v>
      </c>
      <c r="BP173" s="112">
        <f>VLOOKUP(Tabla12[[#This Row],[CÓDIGO DEL PRODUCTO Y/O SERVICIO ]],Tabla3[],9)</f>
        <v>0</v>
      </c>
      <c r="BQ173" s="114">
        <f>Tabla12[[#This Row],[CANTIDADES A UTILIZAR EN EL AÑO 1 4]]*(1+Tabla12[[#This Row],[CAMBIO PORCENTUAL EN UNIDADES VENDIDAS AÑO 2 4]])</f>
        <v>0</v>
      </c>
      <c r="BR173" s="112">
        <f>VLOOKUP(Tabla12[[#This Row],[CÓDIGO DEL PRODUCTO Y/O SERVICIO ]],Tabla3[],13)</f>
        <v>0</v>
      </c>
      <c r="BS173" s="114">
        <f>Tabla12[[#This Row],[CANTIDADES A UTILIZAR EN EL AÑO 2 4]]*(1+Tabla12[[#This Row],[CAMBIO PORCENTUAL EN UNIDADES VENDIDAS AÑO 3 4]])</f>
        <v>0</v>
      </c>
      <c r="BT173" s="112">
        <f>VLOOKUP(Tabla12[[#This Row],[CÓDIGO DEL PRODUCTO Y/O SERVICIO ]],Tabla3[],17)</f>
        <v>0</v>
      </c>
      <c r="BU173" s="114">
        <f>Tabla12[[#This Row],[CANTIDADES A UTILIZAR EN EL AÑO 3 4 ]]*(1+Tabla12[[#This Row],[CAMBIO PORCENTUAL EN UNIDADES VENDIDAS AÑO 4 4 ]])</f>
        <v>0</v>
      </c>
      <c r="BV173" s="112">
        <f>VLOOKUP(Tabla12[[#This Row],[CÓDIGO DEL PRODUCTO Y/O SERVICIO ]],Tabla3[],21)</f>
        <v>0</v>
      </c>
      <c r="BW173" s="114">
        <f>Tabla12[[#This Row],[CANTIDADES A UTILIZAR EN EL AÑO 4 4 ]]*(1+Tabla12[[#This Row],[CAMBIO PORCENTUAL EN UNIDADES VENDIDAS AÑO 5 4 ]])</f>
        <v>0</v>
      </c>
      <c r="BX173" s="344">
        <f>IF(Tabla12[[#This Row],[CANTIDADES A UTILIZAR EN EL AÑO 1 4]]=0,0,Tabla12[[#This Row],[CANTIDADES A UTILIZAR EN EL AÑO 1 4]]*1/Tabla12[[#This Row],[UNIDADES PRODUCIDAS AÑO 1 4]])</f>
        <v>0</v>
      </c>
      <c r="BY173" s="344">
        <f>$C$137*(1+BASES!$E$10)</f>
        <v>0</v>
      </c>
      <c r="BZ173" s="344">
        <f>Tabla12[[#This Row],[COSTO UNITARIO AÑO 2 4 ]]*(1+BASES!$F$10)</f>
        <v>0</v>
      </c>
      <c r="CA173" s="344">
        <f>Tabla12[[#This Row],[COSTO UNITARIO AÑO 3 4 ]]*(1+BASES!$G$10)</f>
        <v>0</v>
      </c>
      <c r="CB173" s="344">
        <f>Tabla12[[#This Row],[COSTO UNITARIO AÑO 4 4 ]]*(1+BASES!$H$10)</f>
        <v>0</v>
      </c>
      <c r="CC173" s="344">
        <f>Tabla12[[#This Row],[COSTO POR UNIDAD DE PRODUCTO (4)]]*$C$137*VLOOKUP(Tabla12[[#This Row],[CÓDIGO DEL PRODUCTO Y/O SERVICIO ]],Tabla3[],3)</f>
        <v>0</v>
      </c>
      <c r="CD173" s="344">
        <f>Tabla12[[#This Row],[COSTO POR UNIDAD DE PRODUCTO (4)]]*Tabla12[[#This Row],[COSTO UNITARIO AÑO 2 4 ]]*VLOOKUP(Tabla12[[#This Row],[CÓDIGO DEL PRODUCTO Y/O SERVICIO ]],Tabla3[],6)</f>
        <v>0</v>
      </c>
      <c r="CE173" s="344">
        <f>Tabla12[[#This Row],[COSTO POR UNIDAD DE PRODUCTO (4)]]*Tabla12[[#This Row],[COSTO UNITARIO AÑO 3 4 ]]*VLOOKUP(Tabla12[[#This Row],[CÓDIGO DEL PRODUCTO Y/O SERVICIO ]],Tabla3[],10)</f>
        <v>0</v>
      </c>
      <c r="CF173" s="344">
        <f>Tabla12[[#This Row],[COSTO POR UNIDAD DE PRODUCTO (4)]]*Tabla12[[#This Row],[COSTO UNITARIO AÑO 4 4 ]]*VLOOKUP(Tabla12[[#This Row],[CÓDIGO DEL PRODUCTO Y/O SERVICIO ]],Tabla3[],14)</f>
        <v>0</v>
      </c>
      <c r="CG173" s="344">
        <f>Tabla12[[#This Row],[COSTO POR UNIDAD DE PRODUCTO (4)]]*Tabla12[[#This Row],[COSTO UNITARIO AÑO 5 4 ]]*VLOOKUP(Tabla12[[#This Row],[CÓDIGO DEL PRODUCTO Y/O SERVICIO ]],Tabla3[],18)</f>
        <v>0</v>
      </c>
      <c r="CH173" s="114">
        <f>VLOOKUP(Tabla12[[#This Row],[CÓDIGO DEL PRODUCTO Y/O SERVICIO ]],Tabla3[],3)</f>
        <v>0</v>
      </c>
      <c r="CI173" s="114">
        <f>Tabla12[[#This Row],[UNIDADES PRODUCIDAS AÑO 1 5]]*J151</f>
        <v>0</v>
      </c>
      <c r="CJ173" s="112">
        <f>VLOOKUP(Tabla12[[#This Row],[CÓDIGO DEL PRODUCTO Y/O SERVICIO ]],Tabla3[],9)</f>
        <v>0</v>
      </c>
      <c r="CK173" s="114">
        <f>Tabla12[[#This Row],[CANTIDADES A UTILIZAR EN EL AÑO 1 5]]*(1+Tabla12[[#This Row],[CAMBIO PORCENTUAL EN UNIDADES VENDIDAS AÑO 2 5 ]])</f>
        <v>0</v>
      </c>
      <c r="CL173" s="112">
        <f>VLOOKUP(Tabla12[[#This Row],[CÓDIGO DEL PRODUCTO Y/O SERVICIO ]],Tabla3[],13)</f>
        <v>0</v>
      </c>
      <c r="CM173" s="114">
        <f>Tabla12[[#This Row],[CANTIDADES A UTILIZAR EN EL AÑO 2 5]]*(1+Tabla12[[#This Row],[CAMBIO PORCENTUAL EN UNIDADES VENDIDAS AÑO 3 5 ]])</f>
        <v>0</v>
      </c>
      <c r="CN173" s="112">
        <f>VLOOKUP(Tabla12[[#This Row],[CÓDIGO DEL PRODUCTO Y/O SERVICIO ]],Tabla3[],17)</f>
        <v>0</v>
      </c>
      <c r="CO173" s="114">
        <f>Tabla12[[#This Row],[CANTIDADES A UTILIZAR EN EL AÑO 3 5 ]]*(1+Tabla12[[#This Row],[CAMBIO PORCENTUAL EN UNIDADES VENDIDAS AÑO 4 5 ]])</f>
        <v>0</v>
      </c>
      <c r="CP173" s="112">
        <f>VLOOKUP(Tabla12[[#This Row],[CÓDIGO DEL PRODUCTO Y/O SERVICIO ]],Tabla3[],21)</f>
        <v>0</v>
      </c>
      <c r="CQ173" s="114">
        <f>Tabla12[[#This Row],[CANTIDADES A UTILIZAR EN EL AÑO 4 5 ]]*(1+Tabla12[[#This Row],[CAMBIO PORCENTUAL EN UNIDADES VENDIDAS AÑO 5 5]])</f>
        <v>0</v>
      </c>
      <c r="CR173" s="344">
        <f>IF(Tabla12[[#This Row],[CANTIDADES A UTILIZAR EN EL AÑO 1 5]]=0,0,Tabla12[[#This Row],[CANTIDADES A UTILIZAR EN EL AÑO 1 5]]*1/Tabla12[[#This Row],[UNIDADES PRODUCIDAS AÑO 1 5]])</f>
        <v>0</v>
      </c>
      <c r="CS173" s="344">
        <f>$C$138*(1+BASES!$E$10)</f>
        <v>0</v>
      </c>
      <c r="CT173" s="344">
        <f>Tabla12[[#This Row],[COSTO UNITARIO AÑO 2 5]]*(1+BASES!$F$10)</f>
        <v>0</v>
      </c>
      <c r="CU173" s="344">
        <f>Tabla12[[#This Row],[COSTO UNITARIO AÑO 3 5]]*(1+BASES!$G$10)</f>
        <v>0</v>
      </c>
      <c r="CV173" s="344">
        <f>Tabla12[[#This Row],[COSTO UNITARIO AÑO 4 5]]*(1+BASES!$H$10)</f>
        <v>0</v>
      </c>
      <c r="CW173" s="344">
        <f>Tabla12[[#This Row],[COSTO POR UNIDAD DE PRODUCTO (5)]]*$C$138*VLOOKUP(Tabla12[[#This Row],[CÓDIGO DEL PRODUCTO Y/O SERVICIO ]],Tabla3[],3)</f>
        <v>0</v>
      </c>
      <c r="CX173" s="344">
        <f>Tabla12[[#This Row],[COSTO POR UNIDAD DE PRODUCTO (5)]]*Tabla12[[#This Row],[COSTO UNITARIO AÑO 2 5]]*VLOOKUP(Tabla12[[#This Row],[CÓDIGO DEL PRODUCTO Y/O SERVICIO ]],Tabla3[],6)</f>
        <v>0</v>
      </c>
      <c r="CY173" s="344">
        <f>Tabla12[[#This Row],[COSTO POR UNIDAD DE PRODUCTO (5)]]*Tabla12[[#This Row],[COSTO UNITARIO AÑO 3 5]]*VLOOKUP(Tabla12[[#This Row],[CÓDIGO DEL PRODUCTO Y/O SERVICIO ]],Tabla3[],10)</f>
        <v>0</v>
      </c>
      <c r="CZ173" s="344">
        <f>Tabla12[[#This Row],[COSTO POR UNIDAD DE PRODUCTO (5)]]*Tabla12[[#This Row],[COSTO UNITARIO AÑO 4 5]]*VLOOKUP(Tabla12[[#This Row],[CÓDIGO DEL PRODUCTO Y/O SERVICIO ]],Tabla3[],14)</f>
        <v>0</v>
      </c>
      <c r="DA173" s="344">
        <f>Tabla12[[#This Row],[COSTO POR UNIDAD DE PRODUCTO (5)]]*Tabla12[[#This Row],[COSTO UNITARIO AÑO 5 5 ]]*VLOOKUP(Tabla12[[#This Row],[CÓDIGO DEL PRODUCTO Y/O SERVICIO ]],Tabla3[],18)</f>
        <v>0</v>
      </c>
      <c r="DB173" s="114">
        <f>VLOOKUP(Tabla12[[#This Row],[CÓDIGO DEL PRODUCTO Y/O SERVICIO ]],Tabla3[],3)</f>
        <v>0</v>
      </c>
      <c r="DC173" s="114">
        <f>Tabla12[[#This Row],[UNIDADES PRODUCIDAS AÑO 1 6]]*K151</f>
        <v>0</v>
      </c>
      <c r="DD173" s="112">
        <f>VLOOKUP(Tabla12[[#This Row],[CÓDIGO DEL PRODUCTO Y/O SERVICIO ]],Tabla3[],9)</f>
        <v>0</v>
      </c>
      <c r="DE173" s="114">
        <f>Tabla12[[#This Row],[CANTIDADES A UTILIZAR EN EL AÑO 1 6]]*(1+Tabla12[[#This Row],[CAMBIO PORCENTUAL EN UNIDADES VENDIDAS AÑO 2 6]])</f>
        <v>0</v>
      </c>
      <c r="DF173" s="112">
        <f>VLOOKUP(Tabla12[[#This Row],[CÓDIGO DEL PRODUCTO Y/O SERVICIO ]],Tabla3[],13)</f>
        <v>0</v>
      </c>
      <c r="DG173" s="114">
        <f>Tabla12[[#This Row],[CANTIDADES A UTILIZAR EN EL AÑO 2 6]]*(1+Tabla12[[#This Row],[CAMBIO PORCENTUAL EN UNIDADES VENDIDAS AÑO 3 6]])</f>
        <v>0</v>
      </c>
      <c r="DH173" s="112">
        <f>VLOOKUP(Tabla12[[#This Row],[CÓDIGO DEL PRODUCTO Y/O SERVICIO ]],Tabla3[],17)</f>
        <v>0</v>
      </c>
      <c r="DI173" s="114">
        <f>Tabla12[[#This Row],[CANTIDADES A UTILIZAR EN EL AÑO 3 6]]*(1+Tabla12[[#This Row],[CAMBIO PORCENTUAL EN UNIDADES VENDIDAS AÑO 4 6]])</f>
        <v>0</v>
      </c>
      <c r="DJ173" s="112">
        <f>VLOOKUP(Tabla12[[#This Row],[CÓDIGO DEL PRODUCTO Y/O SERVICIO ]],Tabla3[],21)</f>
        <v>0</v>
      </c>
      <c r="DK173" s="114">
        <f>Tabla12[[#This Row],[CANTIDADES A UTILIZAR EN EL AÑO 4 6]]*(1+Tabla12[[#This Row],[CAMBIO PORCENTUAL EN UNIDADES VENDIDAS AÑO 5 6]])</f>
        <v>0</v>
      </c>
      <c r="DL173" s="344">
        <f>IF(Tabla12[[#This Row],[CANTIDADES A UTILIZAR EN EL AÑO 1 6]]=0,0,Tabla12[[#This Row],[CANTIDADES A UTILIZAR EN EL AÑO 1 6]]*1/Tabla12[[#This Row],[UNIDADES PRODUCIDAS AÑO 1 6]])</f>
        <v>0</v>
      </c>
      <c r="DM173" s="344">
        <f>$C$139*(1+BASES!$E$10)</f>
        <v>0</v>
      </c>
      <c r="DN173" s="344">
        <f>Tabla12[[#This Row],[COSTO UNITARIO AÑO 2 6]]*(1+BASES!$F$10)</f>
        <v>0</v>
      </c>
      <c r="DO173" s="344">
        <f>Tabla12[[#This Row],[COSTO UNITARIO AÑO 3 6]]*(1+BASES!$G$10)</f>
        <v>0</v>
      </c>
      <c r="DP173" s="344">
        <f>Tabla12[[#This Row],[COSTO UNITARIO AÑO 4 6]]*(1+BASES!$H$10)</f>
        <v>0</v>
      </c>
      <c r="DQ173" s="344">
        <f>Tabla12[[#This Row],[COSTO POR UNIDAD DE PRODUCTO (6)]]*$C$139*VLOOKUP(Tabla12[[#This Row],[CÓDIGO DEL PRODUCTO Y/O SERVICIO ]],Tabla3[],3)</f>
        <v>0</v>
      </c>
      <c r="DR173" s="344">
        <f>Tabla12[[#This Row],[COSTO POR UNIDAD DE PRODUCTO (6)]]*Tabla12[[#This Row],[COSTO UNITARIO AÑO 2 6]]*VLOOKUP(Tabla12[[#This Row],[CÓDIGO DEL PRODUCTO Y/O SERVICIO ]],Tabla3[],6)</f>
        <v>0</v>
      </c>
      <c r="DS173" s="344">
        <f>Tabla12[[#This Row],[COSTO POR UNIDAD DE PRODUCTO (6)]]*Tabla12[[#This Row],[COSTO UNITARIO AÑO 3 6]]*VLOOKUP(Tabla12[[#This Row],[CÓDIGO DEL PRODUCTO Y/O SERVICIO ]],Tabla3[],10)</f>
        <v>0</v>
      </c>
      <c r="DT173" s="344">
        <f>Tabla12[[#This Row],[COSTO POR UNIDAD DE PRODUCTO (6)]]*Tabla12[[#This Row],[COSTO UNITARIO AÑO 4 6]]*VLOOKUP(Tabla12[[#This Row],[CÓDIGO DEL PRODUCTO Y/O SERVICIO ]],Tabla3[],14)</f>
        <v>0</v>
      </c>
      <c r="DU173" s="344">
        <f>Tabla12[[#This Row],[COSTO POR UNIDAD DE PRODUCTO (6)]]*Tabla12[[#This Row],[COSTO UNITARIO AÑO 5 6]]*VLOOKUP(Tabla12[[#This Row],[CÓDIGO DEL PRODUCTO Y/O SERVICIO ]],Tabla3[],18)</f>
        <v>0</v>
      </c>
      <c r="DV173" s="114">
        <f>VLOOKUP(Tabla12[[#This Row],[CÓDIGO DEL PRODUCTO Y/O SERVICIO ]],Tabla3[],3)</f>
        <v>0</v>
      </c>
      <c r="DW173" s="114">
        <f>Tabla12[[#This Row],[UNIDADES PRODUCIDAS AÑO 1 7]]*L151</f>
        <v>0</v>
      </c>
      <c r="DX173" s="112">
        <f>VLOOKUP(Tabla12[[#This Row],[CÓDIGO DEL PRODUCTO Y/O SERVICIO ]],Tabla3[],9)</f>
        <v>0</v>
      </c>
      <c r="DY173" s="114">
        <f>Tabla12[[#This Row],[CANTIDADES A UTILIZAR EN EL AÑO 1 7]]*(1+Tabla12[[#This Row],[CAMBIO PORCENTUAL EN UNIDADES VENDIDAS AÑO 2 7]])</f>
        <v>0</v>
      </c>
      <c r="DZ173" s="112">
        <f>VLOOKUP(Tabla12[[#This Row],[CÓDIGO DEL PRODUCTO Y/O SERVICIO ]],Tabla3[],13)</f>
        <v>0</v>
      </c>
      <c r="EA173" s="114">
        <f>Tabla12[[#This Row],[CANTIDADES A UTILIZAR EN EL AÑO 2 7]]*(1+Tabla12[[#This Row],[CAMBIO PORCENTUAL EN UNIDADES VENDIDAS AÑO 3 7]])</f>
        <v>0</v>
      </c>
      <c r="EB173" s="112">
        <f>VLOOKUP(Tabla12[[#This Row],[CÓDIGO DEL PRODUCTO Y/O SERVICIO ]],Tabla3[],17)</f>
        <v>0</v>
      </c>
      <c r="EC173" s="114">
        <f>Tabla12[[#This Row],[CANTIDADES A UTILIZAR EN EL AÑO 3 7]]*(1+Tabla12[[#This Row],[CAMBIO PORCENTUAL EN UNIDADES VENDIDAS AÑO 4 7]])</f>
        <v>0</v>
      </c>
      <c r="ED173" s="112">
        <f>VLOOKUP(Tabla12[[#This Row],[CÓDIGO DEL PRODUCTO Y/O SERVICIO ]],Tabla3[],21)</f>
        <v>0</v>
      </c>
      <c r="EE173" s="114">
        <f>Tabla12[[#This Row],[CANTIDADES A UTILIZAR EN EL AÑO 4 7]]*(1+Tabla12[[#This Row],[CAMBIO PORCENTUAL EN UNIDADES VENDIDAS AÑO 5 7]])</f>
        <v>0</v>
      </c>
      <c r="EF173" s="344">
        <f>IF(Tabla12[[#This Row],[CANTIDADES A UTILIZAR EN EL AÑO 1 7]]=0,0,Tabla12[[#This Row],[CANTIDADES A UTILIZAR EN EL AÑO 1 7]]*1/Tabla12[[#This Row],[UNIDADES PRODUCIDAS AÑO 1 7]])</f>
        <v>0</v>
      </c>
      <c r="EG173" s="344">
        <f>$C$140*(1+BASES!$E$10)</f>
        <v>0</v>
      </c>
      <c r="EH173" s="344">
        <f>Tabla12[[#This Row],[COSTO UNITARIO AÑO 2 7]]*(1+BASES!$F$10)</f>
        <v>0</v>
      </c>
      <c r="EI173" s="344">
        <f>Tabla12[[#This Row],[COSTO UNITARIO AÑO 3 7]]*(1+BASES!$G$10)</f>
        <v>0</v>
      </c>
      <c r="EJ173" s="344">
        <f>Tabla12[[#This Row],[COSTO UNITARIO AÑO 4 7]]*(1+BASES!$H$10)</f>
        <v>0</v>
      </c>
      <c r="EK173" s="344">
        <f>Tabla12[[#This Row],[COSTO POR UNIDAD DE PRODUCTO (7)]]*$C$140*VLOOKUP(Tabla12[[#This Row],[CÓDIGO DEL PRODUCTO Y/O SERVICIO ]],Tabla3[],3)</f>
        <v>0</v>
      </c>
      <c r="EL173" s="344">
        <f>Tabla12[[#This Row],[COSTO POR UNIDAD DE PRODUCTO (7)]]*Tabla12[[#This Row],[COSTO UNITARIO AÑO 2 7]]*VLOOKUP(Tabla12[[#This Row],[CÓDIGO DEL PRODUCTO Y/O SERVICIO ]],Tabla3[],6)</f>
        <v>0</v>
      </c>
      <c r="EM173" s="344">
        <f>Tabla12[[#This Row],[COSTO POR UNIDAD DE PRODUCTO (7)]]*Tabla12[[#This Row],[COSTO UNITARIO AÑO 3 7]]*VLOOKUP(Tabla12[[#This Row],[CÓDIGO DEL PRODUCTO Y/O SERVICIO ]],Tabla3[],10)</f>
        <v>0</v>
      </c>
      <c r="EN173" s="344">
        <f>Tabla12[[#This Row],[COSTO POR UNIDAD DE PRODUCTO (7)]]*Tabla12[[#This Row],[COSTO UNITARIO AÑO 4 7]]*VLOOKUP(Tabla12[[#This Row],[CÓDIGO DEL PRODUCTO Y/O SERVICIO ]],Tabla3[],14)</f>
        <v>0</v>
      </c>
      <c r="EO173" s="344">
        <f>Tabla12[[#This Row],[COSTO POR UNIDAD DE PRODUCTO (7)]]*Tabla12[[#This Row],[COSTO UNITARIO AÑO 5 7]]*VLOOKUP(Tabla12[[#This Row],[CÓDIGO DEL PRODUCTO Y/O SERVICIO ]],Tabla3[],18)</f>
        <v>0</v>
      </c>
      <c r="EP173" s="114">
        <f>VLOOKUP(Tabla12[[#This Row],[CÓDIGO DEL PRODUCTO Y/O SERVICIO ]],Tabla3[],3)</f>
        <v>0</v>
      </c>
      <c r="EQ173" s="114">
        <f>Tabla12[[#This Row],[UNIDADES PRODUCIDAS AÑO 1 8]]*M151</f>
        <v>0</v>
      </c>
      <c r="ER173" s="112">
        <f>VLOOKUP(Tabla12[[#This Row],[CÓDIGO DEL PRODUCTO Y/O SERVICIO ]],Tabla3[],9)</f>
        <v>0</v>
      </c>
      <c r="ES173" s="114">
        <f>Tabla12[[#This Row],[CANTIDADES A UTILIZAR EN EL AÑO 1 8]]*(1+Tabla12[[#This Row],[CAMBIO PORCENTUAL EN UNIDADES VENDIDAS AÑO 2 8]])</f>
        <v>0</v>
      </c>
      <c r="ET173" s="112">
        <f>VLOOKUP(Tabla12[[#This Row],[CÓDIGO DEL PRODUCTO Y/O SERVICIO ]],Tabla3[],13)</f>
        <v>0</v>
      </c>
      <c r="EU173" s="114">
        <f>Tabla12[[#This Row],[CANTIDADES A UTILIZAR EN EL AÑO 2 8]]*(1+Tabla12[[#This Row],[CAMBIO PORCENTUAL EN UNIDADES VENDIDAS AÑO 3 8]])</f>
        <v>0</v>
      </c>
      <c r="EV173" s="112">
        <f>VLOOKUP(Tabla12[[#This Row],[CÓDIGO DEL PRODUCTO Y/O SERVICIO ]],Tabla3[],17)</f>
        <v>0</v>
      </c>
      <c r="EW173" s="114">
        <f>Tabla12[[#This Row],[CANTIDADES A UTILIZAR EN EL AÑO 3 8]]*(1+Tabla12[[#This Row],[CAMBIO PORCENTUAL EN UNIDADES VENDIDAS AÑO 4 8]])</f>
        <v>0</v>
      </c>
      <c r="EX173" s="112">
        <f>VLOOKUP(Tabla12[[#This Row],[CÓDIGO DEL PRODUCTO Y/O SERVICIO ]],Tabla3[],21)</f>
        <v>0</v>
      </c>
      <c r="EY173" s="114">
        <f>Tabla12[[#This Row],[CANTIDADES A UTILIZAR EN EL AÑO 4 8]]*(1+Tabla12[[#This Row],[CAMBIO PORCENTUAL EN UNIDADES VENDIDAS AÑO 5 8]])</f>
        <v>0</v>
      </c>
      <c r="EZ173" s="344">
        <f>IF(Tabla12[[#This Row],[CANTIDADES A UTILIZAR EN EL AÑO 1 8]]=0,0,Tabla12[[#This Row],[CANTIDADES A UTILIZAR EN EL AÑO 1 8]]*1/Tabla12[[#This Row],[UNIDADES PRODUCIDAS AÑO 1 8]])</f>
        <v>0</v>
      </c>
      <c r="FA173" s="344">
        <f>$C$141*(1+BASES!$E$10)</f>
        <v>0</v>
      </c>
      <c r="FB173" s="344">
        <f>Tabla12[[#This Row],[COSTO UNITARIO AÑO 2 8]]*(1+BASES!$F$10)</f>
        <v>0</v>
      </c>
      <c r="FC173" s="344">
        <f>Tabla12[[#This Row],[COSTO UNITARIO AÑO 3 8]]*(1+BASES!$G$10)</f>
        <v>0</v>
      </c>
      <c r="FD173" s="344">
        <f>Tabla12[[#This Row],[COSTO UNITARIO AÑO 4 8]]*(1+BASES!$H$10)</f>
        <v>0</v>
      </c>
      <c r="FE173" s="344">
        <f>Tabla12[[#This Row],[COSTO POR UNIDAD DE PRODUCTO (8)]]*$C$141*VLOOKUP(Tabla12[[#This Row],[CÓDIGO DEL PRODUCTO Y/O SERVICIO ]],Tabla3[],3)</f>
        <v>0</v>
      </c>
      <c r="FF173" s="344">
        <f>Tabla12[[#This Row],[COSTO POR UNIDAD DE PRODUCTO (8)]]*Tabla12[[#This Row],[COSTO UNITARIO AÑO 2 8]]*VLOOKUP(Tabla12[[#This Row],[CÓDIGO DEL PRODUCTO Y/O SERVICIO ]],Tabla3[],6)</f>
        <v>0</v>
      </c>
      <c r="FG173" s="344">
        <f>Tabla12[[#This Row],[COSTO POR UNIDAD DE PRODUCTO (8)]]*Tabla12[[#This Row],[COSTO UNITARIO AÑO 3 8]]*VLOOKUP(Tabla12[[#This Row],[CÓDIGO DEL PRODUCTO Y/O SERVICIO ]],Tabla3[],10)</f>
        <v>0</v>
      </c>
      <c r="FH173" s="344">
        <f>Tabla12[[#This Row],[COSTO POR UNIDAD DE PRODUCTO (8)]]*Tabla12[[#This Row],[COSTO UNITARIO AÑO 4 8]]*VLOOKUP(Tabla12[[#This Row],[CÓDIGO DEL PRODUCTO Y/O SERVICIO ]],Tabla3[],14)</f>
        <v>0</v>
      </c>
      <c r="FI173" s="344">
        <f>Tabla12[[#This Row],[COSTO POR UNIDAD DE PRODUCTO (8)]]*Tabla12[[#This Row],[COSTO UNITARIO AÑO 5 8]]*VLOOKUP(Tabla12[[#This Row],[CÓDIGO DEL PRODUCTO Y/O SERVICIO ]],Tabla3[],18)</f>
        <v>0</v>
      </c>
      <c r="FJ173" s="114">
        <f>VLOOKUP(Tabla12[[#This Row],[CÓDIGO DEL PRODUCTO Y/O SERVICIO ]],Tabla3[],3)</f>
        <v>0</v>
      </c>
      <c r="FK173" s="114">
        <f>Tabla12[[#This Row],[UNIDADES PRODUCIDAS AÑO 1 9 ]]*N151</f>
        <v>0</v>
      </c>
      <c r="FL173" s="112">
        <f>VLOOKUP(Tabla12[[#This Row],[CÓDIGO DEL PRODUCTO Y/O SERVICIO ]],Tabla3[],9)</f>
        <v>0</v>
      </c>
      <c r="FM173" s="114">
        <f>Tabla12[[#This Row],[CANTIDADES A UTILIZAR EN EL AÑO 1 9]]*(1+Tabla12[[#This Row],[CAMBIO PORCENTUAL UNIDADES VENDIDAS AÑO 2 9 ]])</f>
        <v>0</v>
      </c>
      <c r="FN173" s="112">
        <f>VLOOKUP(Tabla12[[#This Row],[CÓDIGO DEL PRODUCTO Y/O SERVICIO ]],Tabla3[],13)</f>
        <v>0</v>
      </c>
      <c r="FO173" s="114">
        <f>Tabla12[[#This Row],[CANTIDADES A UTILIZAR EN EL AÑO 2 9 ]]*(1+Tabla12[[#This Row],[CAMBIO PORCENTUAL EN UNIDADES VENDIDAS AÑO 3 9 ]])</f>
        <v>0</v>
      </c>
      <c r="FP173" s="112">
        <f>VLOOKUP(Tabla12[[#This Row],[CÓDIGO DEL PRODUCTO Y/O SERVICIO ]],Tabla3[],17)</f>
        <v>0</v>
      </c>
      <c r="FQ173" s="114">
        <f>Tabla12[[#This Row],[CANTIDADES A UTILIZAR EN EL AÑO 3 9 ]]*(1+Tabla12[[#This Row],[CAMBIO PORCENTUAL EN UNIDADES VENDIDAS AÑO 4 9 ]])</f>
        <v>0</v>
      </c>
      <c r="FR173" s="112">
        <f>VLOOKUP(Tabla12[[#This Row],[CÓDIGO DEL PRODUCTO Y/O SERVICIO ]],Tabla3[],21)</f>
        <v>0</v>
      </c>
      <c r="FS173" s="114">
        <f>Tabla12[[#This Row],[CANTIDADES A UTILIZAR EN EL AÑO 4 9]]*(1+Tabla12[[#This Row],[CAMBIO PORCENTUAL EN UNIDADES VENDIDAS AÑO 5 9]])</f>
        <v>0</v>
      </c>
      <c r="FT173" s="344">
        <f>IF(Tabla12[[#This Row],[CANTIDADES A UTILIZAR EN EL AÑO 1 9]]=0,0,Tabla12[[#This Row],[CANTIDADES A UTILIZAR EN EL AÑO 1 9]]*1/Tabla12[[#This Row],[UNIDADES PRODUCIDAS AÑO 1 9 ]])</f>
        <v>0</v>
      </c>
      <c r="FU173" s="344">
        <f>$C$142*(1+BASES!$E$10)</f>
        <v>0</v>
      </c>
      <c r="FV173" s="344">
        <f>Tabla12[[#This Row],[COSTO UNITARIO AÑO 2 9]]*(1+BASES!$F$10)</f>
        <v>0</v>
      </c>
      <c r="FW173" s="344">
        <f>Tabla12[[#This Row],[COSTO UNITARIO AÑO 3 9]]*(1+BASES!$G$10)</f>
        <v>0</v>
      </c>
      <c r="FX173" s="344">
        <f>Tabla12[[#This Row],[COSTO UNITARIO AÑO 4 9]]*(1+BASES!$H$10)</f>
        <v>0</v>
      </c>
      <c r="FY173" s="344">
        <f>Tabla12[[#This Row],[COSTO POR UNIDAD DE PRODUCTO (9)]]*$C$142*VLOOKUP(Tabla12[[#This Row],[CÓDIGO DEL PRODUCTO Y/O SERVICIO ]],Tabla3[],3)</f>
        <v>0</v>
      </c>
      <c r="FZ173" s="344">
        <f>Tabla12[[#This Row],[COSTO POR UNIDAD DE PRODUCTO (9)]]*Tabla12[[#This Row],[COSTO UNITARIO AÑO 2 9]]*VLOOKUP(Tabla12[[#This Row],[CÓDIGO DEL PRODUCTO Y/O SERVICIO ]],Tabla3[],6)</f>
        <v>0</v>
      </c>
      <c r="GA173" s="344">
        <f>Tabla12[[#This Row],[COSTO POR UNIDAD DE PRODUCTO (9)]]*Tabla12[[#This Row],[COSTO UNITARIO AÑO 3 9]]*VLOOKUP(Tabla12[[#This Row],[CÓDIGO DEL PRODUCTO Y/O SERVICIO ]],Tabla3[],10)</f>
        <v>0</v>
      </c>
      <c r="GB173" s="344">
        <f>Tabla12[[#This Row],[COSTO POR UNIDAD DE PRODUCTO (9)]]*Tabla12[[#This Row],[COSTO UNITARIO AÑO 4 9]]*VLOOKUP(Tabla12[[#This Row],[CÓDIGO DEL PRODUCTO Y/O SERVICIO ]],Tabla3[],14)</f>
        <v>0</v>
      </c>
      <c r="GC173" s="344">
        <f>Tabla12[[#This Row],[COSTO POR UNIDAD DE PRODUCTO (9)]]*Tabla12[[#This Row],[COSTO UNITARIO AÑO 5 9]]*VLOOKUP(Tabla12[[#This Row],[CÓDIGO DEL PRODUCTO Y/O SERVICIO ]],Tabla3[],18)</f>
        <v>0</v>
      </c>
      <c r="GD173" s="114">
        <f>VLOOKUP(Tabla12[[#This Row],[CÓDIGO DEL PRODUCTO Y/O SERVICIO ]],Tabla3[],3)</f>
        <v>0</v>
      </c>
      <c r="GE173" s="114">
        <f>Tabla12[[#This Row],[UNIDADES PRODUCIDAS AÑO 1 10 ]]*O151</f>
        <v>0</v>
      </c>
      <c r="GF173" s="112">
        <f>VLOOKUP(Tabla12[[#This Row],[CÓDIGO DEL PRODUCTO Y/O SERVICIO ]],Tabla3[],9)</f>
        <v>0</v>
      </c>
      <c r="GG173" s="112">
        <f>Tabla12[[#This Row],[CANTIDADES A UTILIZAR EN EL AÑO 1 10 ]]*(1+Tabla12[[#This Row],[CAMBIO PORCENTUAL EN UNIDADES VENDIDAS AÑO 2 10 ]])</f>
        <v>0</v>
      </c>
      <c r="GH173" s="112">
        <f>VLOOKUP(Tabla12[[#This Row],[CÓDIGO DEL PRODUCTO Y/O SERVICIO ]],Tabla3[],13)</f>
        <v>0</v>
      </c>
      <c r="GI173" s="114">
        <f>Tabla12[[#This Row],[CANTIDADES A UTILIZAR EN EL AÑO 2 10]]*(1+Tabla12[[#This Row],[CAMBIO PORCENTUAL EN UNIDADES VENDIDAS AÑO 3 10 ]])</f>
        <v>0</v>
      </c>
      <c r="GJ173" s="112">
        <f>VLOOKUP(Tabla12[[#This Row],[CÓDIGO DEL PRODUCTO Y/O SERVICIO ]],Tabla3[],17)</f>
        <v>0</v>
      </c>
      <c r="GK173" s="114">
        <f>Tabla12[[#This Row],[CANTIDADES A UTILIZAR EN EL AÑO 3 10]]*(1+Tabla12[[#This Row],[CAMBIO PORCENTUAL EN UNIDADES VENDIDAS AÑO 4 10 ]])</f>
        <v>0</v>
      </c>
      <c r="GL173" s="112">
        <f>VLOOKUP(Tabla12[[#This Row],[CÓDIGO DEL PRODUCTO Y/O SERVICIO ]],Tabla3[],21)</f>
        <v>0</v>
      </c>
      <c r="GM173" s="114">
        <f>Tabla12[[#This Row],[CANTIDADES A UTILIZAR EN EL AÑO 4 10 ]]*(1+Tabla12[[#This Row],[CAMBIO PORCENTUAL EN UNIDADES VENDIDAS AÑO 5 10 ]])</f>
        <v>0</v>
      </c>
      <c r="GN173" s="344">
        <f>IF(Tabla12[[#This Row],[CANTIDADES A UTILIZAR EN EL AÑO 1 10 ]]=0,0,Tabla12[[#This Row],[CANTIDADES A UTILIZAR EN EL AÑO 1 10 ]]*1/Tabla12[[#This Row],[UNIDADES PRODUCIDAS AÑO 1 10 ]])</f>
        <v>0</v>
      </c>
      <c r="GO173" s="344">
        <f>$C$143*(1+BASES!$E$10)</f>
        <v>0</v>
      </c>
      <c r="GP173" s="344">
        <f>Tabla12[[#This Row],[COSTO UNITARIO AÑO 2 10 ]]*(1+BASES!$F$10)</f>
        <v>0</v>
      </c>
      <c r="GQ173" s="344">
        <f>Tabla12[[#This Row],[COSTO UNITARIO AÑO 3 10 ]]*(1+BASES!$G$10)</f>
        <v>0</v>
      </c>
      <c r="GR173" s="344">
        <f>Tabla12[[#This Row],[COSTO UNITARIO AÑO 4 10]]*(1+BASES!$H$10)</f>
        <v>0</v>
      </c>
      <c r="GS173" s="344">
        <f>Tabla12[[#This Row],[COSTO POR UNIDAD DE PRODUCTO (10)]]*$C$143*VLOOKUP(Tabla12[[#This Row],[CÓDIGO DEL PRODUCTO Y/O SERVICIO ]],Tabla3[],3)</f>
        <v>0</v>
      </c>
      <c r="GT173" s="344">
        <f>Tabla12[[#This Row],[COSTO POR UNIDAD DE PRODUCTO (10)]]*Tabla12[[#This Row],[COSTO UNITARIO AÑO 2 10 ]]*VLOOKUP(Tabla12[[#This Row],[CÓDIGO DEL PRODUCTO Y/O SERVICIO ]],Tabla3[],6)</f>
        <v>0</v>
      </c>
      <c r="GU173" s="344">
        <f>Tabla12[[#This Row],[COSTO POR UNIDAD DE PRODUCTO (10)]]*Tabla12[[#This Row],[COSTO UNITARIO AÑO 3 10 ]]*VLOOKUP(Tabla12[[#This Row],[CÓDIGO DEL PRODUCTO Y/O SERVICIO ]],Tabla3[],10)</f>
        <v>0</v>
      </c>
      <c r="GV173" s="344">
        <f>Tabla12[[#This Row],[COSTO POR UNIDAD DE PRODUCTO (10)]]*Tabla12[[#This Row],[COSTO UNITARIO AÑO 4 10]]*VLOOKUP(Tabla12[[#This Row],[CÓDIGO DEL PRODUCTO Y/O SERVICIO ]],Tabla3[],14)</f>
        <v>0</v>
      </c>
      <c r="GW173" s="344">
        <f>Tabla12[[#This Row],[COSTO POR UNIDAD DE PRODUCTO (10)]]*Tabla12[[#This Row],[COSTO UNITARIO AÑO 5 10 ]]*VLOOKUP(Tabla12[[#This Row],[CÓDIGO DEL PRODUCTO Y/O SERVICIO ]],Tabla3[],18)</f>
        <v>0</v>
      </c>
      <c r="GX173" s="383">
        <f>Tabla12[[#This Row],[AÑO 1 10 ]]+Tabla12[[#This Row],[AÑO 1 9 ]]+Tabla12[[#This Row],[AÑO 1 8]]+Tabla12[[#This Row],[AÑO 1 7]]+Tabla12[[#This Row],[AÑO 1 6]]+Tabla12[[#This Row],[AÑO 1 5]]+Tabla12[[#This Row],[AÑO 1 4 ]]+Tabla12[[#This Row],[AÑO 1 3]]+Tabla12[[#This Row],[AÑO 1 2]]+Tabla12[[#This Row],[AÑO 1 1]]</f>
        <v>0</v>
      </c>
      <c r="GY173" s="383">
        <f>Tabla12[[#This Row],[AÑO 2 10 ]]+Tabla12[[#This Row],[AÑO 2 9 ]]+Tabla12[[#This Row],[AÑO 2 8]]+Tabla12[[#This Row],[AÑO 2 7]]+Tabla12[[#This Row],[AÑO 2 6]]+Tabla12[[#This Row],[AÑO 2 5]]+Tabla12[[#This Row],[AÑO 2 4 ]]+Tabla12[[#This Row],[AÑO 2 3]]+Tabla12[[#This Row],[AÑO 2 2 ]]+Tabla12[[#This Row],[AÑO 2 1 ]]</f>
        <v>0</v>
      </c>
      <c r="GZ173" s="383">
        <f>Tabla12[[#This Row],[AÑO 3 10 ]]+Tabla12[[#This Row],[AÑO 3 9]]+Tabla12[[#This Row],[AÑO 3 8]]+Tabla12[[#This Row],[AÑO 3 7]]+Tabla12[[#This Row],[AÑO 3 6]]+Tabla12[[#This Row],[AÑO 3 5]]+Tabla12[[#This Row],[AÑO 3 4 ]]+Tabla12[[#This Row],[AÑO 3 3 ]]+Tabla12[[#This Row],[AÑO 3 2 ]]+Tabla12[[#This Row],[AÑO 3 1 ]]</f>
        <v>0</v>
      </c>
      <c r="HA173" s="383">
        <f>Tabla12[[#This Row],[AÑO 4 10 ]]+Tabla12[[#This Row],[AÑO 4 9]]+Tabla12[[#This Row],[AÑO 4 8]]+Tabla12[[#This Row],[AÑO 4 7]]+Tabla12[[#This Row],[AÑO 4 6]]+Tabla12[[#This Row],[AÑO 4 5]]+Tabla12[[#This Row],[AÑO 4 4 ]]+Tabla12[[#This Row],[AÑO 4 3 ]]+Tabla12[[#This Row],[AÑO 4 2 ]]+Tabla12[[#This Row],[AÑO 4 1 ]]</f>
        <v>0</v>
      </c>
      <c r="HB173" s="383">
        <f>Tabla12[[#This Row],[AÑO 5 10 ]]+Tabla12[[#This Row],[AÑO 5 9]]+Tabla12[[#This Row],[AÑO 5 8]]+Tabla12[[#This Row],[AÑO 5 7]]+Tabla12[[#This Row],[AÑO 5 6]]+Tabla12[[#This Row],[AÑO 5 5]]+Tabla12[[#This Row],[AÑO 5 4 ]]+Tabla12[[#This Row],[AÑO 5 3 ]]+Tabla12[[#This Row],[AÑO 5 2 ]]+Tabla12[[#This Row],[AÑO 5 1 ]]</f>
        <v>0</v>
      </c>
    </row>
    <row r="174" spans="3:210" ht="15.75" x14ac:dyDescent="0.25">
      <c r="C174" s="62">
        <v>1</v>
      </c>
      <c r="D174" s="359" t="str">
        <f>VLOOKUP(Tabla12[[#This Row],[CÓDIGO DEL PRODUCTO Y/O SERVICIO ]],Tabla3[],2)</f>
        <v>Amor Amor</v>
      </c>
      <c r="E174" s="364"/>
      <c r="F174" s="359">
        <f>VLOOKUP(Tabla12[[#This Row],[CÓDIGO DEL PRODUCTO Y/O SERVICIO ]],Tabla3[],3)</f>
        <v>300</v>
      </c>
      <c r="G174" s="359">
        <f>Tabla12[[#This Row],[UNIDADES PRODUCIDAS AÑO 1 1 ]]*F152</f>
        <v>300</v>
      </c>
      <c r="H174" s="112">
        <f>VLOOKUP(Tabla12[[#This Row],[CÓDIGO DEL PRODUCTO Y/O SERVICIO ]],Tabla3[],9)</f>
        <v>0.16666666666666666</v>
      </c>
      <c r="I174" s="359">
        <f>Tabla12[[#This Row],[CANTIDADES A UTILIZAR EN EL AÑO 1 1]]*(1+Tabla12[[#This Row],[CAMBIO PORCENTUAL EN UNIDADES VENDIDAS AÑO 2 1 ]])</f>
        <v>350</v>
      </c>
      <c r="J174" s="112">
        <f>VLOOKUP(Tabla12[[#This Row],[CÓDIGO DEL PRODUCTO Y/O SERVICIO ]],Tabla3[],13)</f>
        <v>0.42857142857142855</v>
      </c>
      <c r="K174" s="359">
        <f>Tabla12[[#This Row],[CANTIDADES A UTILIZAR EN EL AÑO 2 1]]*(1+Tabla12[[#This Row],[CAMBIO PORCENTUAL EN UNIDADES VENDIDAS AÑO 3 1 ]])</f>
        <v>500</v>
      </c>
      <c r="L174" s="112">
        <f>VLOOKUP(Tabla12[[#This Row],[CÓDIGO DEL PRODUCTO Y/O SERVICIO ]],Tabla3[],17)</f>
        <v>0.1</v>
      </c>
      <c r="M174" s="359">
        <f>Tabla12[[#This Row],[CANTIDADES A UTILIZAR EN EL AÑO 3 1 ]]*(1+Tabla12[[#This Row],[CAMBIO PORCENTUAL EN UNIDADES VENDIDAS AÑO 4 1]])</f>
        <v>550</v>
      </c>
      <c r="N174" s="112">
        <f>VLOOKUP(Tabla12[[#This Row],[CÓDIGO DEL PRODUCTO Y/O SERVICIO ]],Tabla3[],21)</f>
        <v>0.27272727272727271</v>
      </c>
      <c r="O174" s="359">
        <f>Tabla12[[#This Row],[CANTIDADES A UTILIZAR EN EL AÑO 4 1 ]]*(1+Tabla12[[#This Row],[CAMBIO PORCENTUAL EN UNIDADES VENDIDAS AÑO 5 1 ]])</f>
        <v>700</v>
      </c>
      <c r="P174" s="344">
        <f>IF(Tabla12[[#This Row],[CANTIDADES A UTILIZAR EN EL AÑO 1 1]]=0,0,Tabla12[[#This Row],[CANTIDADES A UTILIZAR EN EL AÑO 1 1]]*1/Tabla12[[#This Row],[UNIDADES PRODUCIDAS AÑO 1 1 ]])</f>
        <v>1</v>
      </c>
      <c r="Q174" s="344">
        <f>$C$134*(1+BASES!$E$10)</f>
        <v>60672.000000000007</v>
      </c>
      <c r="R174" s="344">
        <f>Tabla12[[#This Row],[COSTO UNITARIO AÑO 2 1 ]]*(1+BASES!$F$10)</f>
        <v>61351.52640000001</v>
      </c>
      <c r="S174" s="344">
        <f>Tabla12[[#This Row],[COSTO UNITARIO AÑO 3 1 ]]*(1+BASES!$G$10)</f>
        <v>62038.663495680019</v>
      </c>
      <c r="T174" s="344">
        <f>Tabla12[[#This Row],[COSTO UNITARIO AÑO 4 1 ]]*(1+BASES!$H$10)</f>
        <v>62733.496526831645</v>
      </c>
      <c r="U174" s="344">
        <f>Tabla12[[#This Row],[COSTO POR UNIDAD DE PRODUCTO (1)]]*$C$134*VLOOKUP(Tabla12[[#This Row],[CÓDIGO DEL PRODUCTO Y/O SERVICIO ]],Tabla3[],3)</f>
        <v>18000000</v>
      </c>
      <c r="V174" s="344">
        <f>Tabla12[[#This Row],[COSTO POR UNIDAD DE PRODUCTO (1)]]*Tabla12[[#This Row],[COSTO UNITARIO AÑO 2 1 ]]*VLOOKUP(Tabla12[[#This Row],[CÓDIGO DEL PRODUCTO Y/O SERVICIO ]],Tabla3[],6)</f>
        <v>21235200.000000004</v>
      </c>
      <c r="W174" s="344">
        <f>Tabla12[[#This Row],[COSTO POR UNIDAD DE PRODUCTO (1)]]*Tabla12[[#This Row],[COSTO UNITARIO AÑO 3 1 ]]*VLOOKUP(Tabla12[[#This Row],[CÓDIGO DEL PRODUCTO Y/O SERVICIO ]],Tabla3[],10)</f>
        <v>30675763.200000007</v>
      </c>
      <c r="X174" s="344">
        <f>Tabla12[[#This Row],[COSTO POR UNIDAD DE PRODUCTO (1)]]*Tabla12[[#This Row],[COSTO UNITARIO AÑO 4 1 ]]*VLOOKUP(Tabla12[[#This Row],[CÓDIGO DEL PRODUCTO Y/O SERVICIO ]],Tabla3[],14)</f>
        <v>34121264.922624007</v>
      </c>
      <c r="Y174" s="344">
        <f>Tabla12[[#This Row],[COSTO POR UNIDAD DE PRODUCTO (1)]]*Tabla12[[#This Row],[COSTO UNITARIO AÑO 5 1 ]]*VLOOKUP(Tabla12[[#This Row],[CÓDIGO DEL PRODUCTO Y/O SERVICIO ]],Tabla3[],18)</f>
        <v>43913447.568782151</v>
      </c>
      <c r="Z174" s="114">
        <f>VLOOKUP(Tabla12[[#This Row],[CÓDIGO DEL PRODUCTO Y/O SERVICIO ]],Tabla3[],3)</f>
        <v>300</v>
      </c>
      <c r="AA174" s="114">
        <f>Tabla12[[#This Row],[UNIDADES PRODUCIDAS AÑO 1 2]]*G152</f>
        <v>300</v>
      </c>
      <c r="AB174" s="112">
        <f>VLOOKUP(Tabla12[[#This Row],[CÓDIGO DEL PRODUCTO Y/O SERVICIO ]],Tabla3[],9)</f>
        <v>0.16666666666666666</v>
      </c>
      <c r="AC174" s="114">
        <f>Tabla12[[#This Row],[CANTIDADES A UTILIZAR EN EL AÑO 1 2 ]]*(1+Tabla12[[#This Row],[CAMBIO PORCENTUAL EN UNIDADES VENDIDAS AÑO 2 2 ]])</f>
        <v>350</v>
      </c>
      <c r="AD174" s="112">
        <f>VLOOKUP(Tabla12[[#This Row],[CÓDIGO DEL PRODUCTO Y/O SERVICIO ]],Tabla3[],13)</f>
        <v>0.42857142857142855</v>
      </c>
      <c r="AE174" s="114">
        <f>Tabla12[[#This Row],[CANTIDADES A UTILIZAR EN EL AÑO 2 2 ]]*(1+Tabla12[[#This Row],[CAMBIO PORCENTUAL EN UNIDADES VENDIDAS AÑO 3 2]])</f>
        <v>500</v>
      </c>
      <c r="AF174" s="112">
        <f>VLOOKUP(Tabla12[[#This Row],[CÓDIGO DEL PRODUCTO Y/O SERVICIO ]],Tabla3[],17)</f>
        <v>0.1</v>
      </c>
      <c r="AG174" s="114">
        <f>Tabla12[[#This Row],[CANTIDADES A UTILIZAR EN EL AÑO 3 2]]*(1+Tabla12[[#This Row],[CAMBIO PORCENTUAL EN UNIDADES VENDIDAS AÑO 4 2]])</f>
        <v>550</v>
      </c>
      <c r="AH174" s="112">
        <f>VLOOKUP(Tabla12[[#This Row],[CÓDIGO DEL PRODUCTO Y/O SERVICIO ]],Tabla3[],21)</f>
        <v>0.27272727272727271</v>
      </c>
      <c r="AI174" s="114">
        <f>Tabla12[[#This Row],[CANTIDADES A UTILIZAR EN EL AÑO 4 2]]*(1+Tabla12[[#This Row],[CAMBIO PORCENTUAL EN UNIDADES VENDIDAS AÑO 5 2]])</f>
        <v>700</v>
      </c>
      <c r="AJ174" s="344">
        <f>IF(Tabla12[[#This Row],[CANTIDADES A UTILIZAR EN EL AÑO 1 2 ]]=0,0,Tabla12[[#This Row],[CANTIDADES A UTILIZAR EN EL AÑO 1 2 ]]*1/Tabla12[[#This Row],[UNIDADES PRODUCIDAS AÑO 1 2]])</f>
        <v>1</v>
      </c>
      <c r="AK174" s="344">
        <f>$C$135*(1+BASES!$E$10)</f>
        <v>20224.000000000004</v>
      </c>
      <c r="AL174" s="344">
        <f>Tabla12[[#This Row],[COSTO UNITARIO AÑO 2 2]]*(1+BASES!$F$10)</f>
        <v>20450.508800000007</v>
      </c>
      <c r="AM174" s="344">
        <f>Tabla12[[#This Row],[COSTO UNITARIO AÑO 3 2 ]]*(1+BASES!$G$10)</f>
        <v>20679.55449856001</v>
      </c>
      <c r="AN174" s="344">
        <f>Tabla12[[#This Row],[COSTO UNITARIO AÑO 4 2 ]]*(1+BASES!$H$10)</f>
        <v>20911.165508943883</v>
      </c>
      <c r="AO174" s="344">
        <f>Tabla12[[#This Row],[COSTO POR UNIDAD DE PRODUCTO (2)]]*$C$135*VLOOKUP(Tabla12[[#This Row],[CÓDIGO DEL PRODUCTO Y/O SERVICIO ]],Tabla3[],3)</f>
        <v>6000000</v>
      </c>
      <c r="AP174" s="344">
        <f>Tabla12[[#This Row],[COSTO POR UNIDAD DE PRODUCTO (2)]]*Tabla12[[#This Row],[COSTO UNITARIO AÑO 2 2]]*VLOOKUP(Tabla12[[#This Row],[CÓDIGO DEL PRODUCTO Y/O SERVICIO ]],Tabla3[],6)</f>
        <v>7078400.0000000009</v>
      </c>
      <c r="AQ174" s="344">
        <f>Tabla12[[#This Row],[COSTO POR UNIDAD DE PRODUCTO (2)]]*Tabla12[[#This Row],[COSTO UNITARIO AÑO 3 2 ]]*VLOOKUP(Tabla12[[#This Row],[CÓDIGO DEL PRODUCTO Y/O SERVICIO ]],Tabla3[],10)</f>
        <v>10225254.400000004</v>
      </c>
      <c r="AR174" s="344">
        <f>Tabla12[[#This Row],[COSTO POR UNIDAD DE PRODUCTO (2)]]*Tabla12[[#This Row],[COSTO UNITARIO AÑO 4 2 ]]*VLOOKUP(Tabla12[[#This Row],[CÓDIGO DEL PRODUCTO Y/O SERVICIO ]],Tabla3[],14)</f>
        <v>11373754.974208005</v>
      </c>
      <c r="AS174" s="344">
        <f>Tabla12[[#This Row],[COSTO POR UNIDAD DE PRODUCTO (2)]]*Tabla12[[#This Row],[COSTO UNITARIO AÑO 5 2 ]]*VLOOKUP(Tabla12[[#This Row],[CÓDIGO DEL PRODUCTO Y/O SERVICIO ]],Tabla3[],18)</f>
        <v>14637815.856260719</v>
      </c>
      <c r="AT174" s="114">
        <f>VLOOKUP(Tabla12[[#This Row],[CÓDIGO DEL PRODUCTO Y/O SERVICIO ]],Tabla3[],3)</f>
        <v>300</v>
      </c>
      <c r="AU174" s="114">
        <f>Tabla12[[#This Row],[UNIDADES PRODUCIDAS AÑO 1 3]]*H152</f>
        <v>0</v>
      </c>
      <c r="AV174" s="112">
        <f>VLOOKUP(Tabla12[[#This Row],[CÓDIGO DEL PRODUCTO Y/O SERVICIO ]],Tabla3[],9)</f>
        <v>0.16666666666666666</v>
      </c>
      <c r="AW174" s="114">
        <f>Tabla12[[#This Row],[CANTIDADES A UTILIZAR EN EL AÑO 1 3]]*(1+Tabla12[[#This Row],[CAMBIO PORCENTUAL EN UNIDADES VENDIDAS AÑO 2 3]])</f>
        <v>0</v>
      </c>
      <c r="AX174" s="112">
        <f>VLOOKUP(Tabla12[[#This Row],[CÓDIGO DEL PRODUCTO Y/O SERVICIO ]],Tabla3[],13)</f>
        <v>0.42857142857142855</v>
      </c>
      <c r="AY174" s="114">
        <f>Tabla12[[#This Row],[CANTIDADES A UTILIZAR EN EL AÑO 2 3]]*(1+Tabla12[[#This Row],[CAMBIO PORCENTUAL EN UNIDADES VENDIDAS AÑO 3 3]])</f>
        <v>0</v>
      </c>
      <c r="AZ174" s="112">
        <f>VLOOKUP(Tabla12[[#This Row],[CÓDIGO DEL PRODUCTO Y/O SERVICIO ]],Tabla3[],17)</f>
        <v>0.1</v>
      </c>
      <c r="BA174" s="114">
        <f>Tabla12[[#This Row],[CANTIDADES A UTILIZAR EN EL AÑO 3 3]]*(1+Tabla12[[#This Row],[CAMBIO PORCENTUAL EN UNIDADES VENDIDAS AÑO 4 3]])</f>
        <v>0</v>
      </c>
      <c r="BB174" s="112">
        <f>VLOOKUP(Tabla12[[#This Row],[CÓDIGO DEL PRODUCTO Y/O SERVICIO ]],Tabla3[],21)</f>
        <v>0.27272727272727271</v>
      </c>
      <c r="BC174" s="114">
        <f>Tabla12[[#This Row],[CANTIDADES A UTILIZAR EN EL AÑO 4 3]]*(1+Tabla12[[#This Row],[CAMBIO PORCENTUAL EN UNIDADES VENDIDAS AÑO 5 3]])</f>
        <v>0</v>
      </c>
      <c r="BD174" s="344">
        <f>IF(Tabla12[[#This Row],[CANTIDADES A UTILIZAR EN EL AÑO 1 3]]=0,0,Tabla12[[#This Row],[CANTIDADES A UTILIZAR EN EL AÑO 1 3]]*1/Tabla12[[#This Row],[UNIDADES PRODUCIDAS AÑO 1 3]])</f>
        <v>0</v>
      </c>
      <c r="BE174" s="344">
        <f>$C$136*(1+BASES!$E$10)</f>
        <v>0</v>
      </c>
      <c r="BF174" s="344">
        <f>Tabla12[[#This Row],[COSTO UNITARIO AÑO 2 3]]*(1+BASES!$F$10)</f>
        <v>0</v>
      </c>
      <c r="BG174" s="344">
        <f>Tabla12[[#This Row],[COSTO UNITARIO AÑO 3 3 ]]*(1+BASES!$G$10)</f>
        <v>0</v>
      </c>
      <c r="BH174" s="344">
        <f>Tabla12[[#This Row],[COSTO UNITARIO AÑO 4 3]]*(1+BASES!$H$10)</f>
        <v>0</v>
      </c>
      <c r="BI174" s="344">
        <f>Tabla12[[#This Row],[COSTO POR UNIDAD DE PRODUCTO (3)]]*$C$136*VLOOKUP(Tabla12[[#This Row],[CÓDIGO DEL PRODUCTO Y/O SERVICIO ]],Tabla3[],3)</f>
        <v>0</v>
      </c>
      <c r="BJ174" s="344">
        <f>Tabla12[[#This Row],[COSTO POR UNIDAD DE PRODUCTO (3)]]*Tabla12[[#This Row],[COSTO UNITARIO AÑO 2 3]]*VLOOKUP(Tabla12[[#This Row],[CÓDIGO DEL PRODUCTO Y/O SERVICIO ]],Tabla3[],6)</f>
        <v>0</v>
      </c>
      <c r="BK174" s="344">
        <f>Tabla12[[#This Row],[COSTO POR UNIDAD DE PRODUCTO (3)]]*Tabla12[[#This Row],[COSTO UNITARIO AÑO 3 3 ]]*VLOOKUP(Tabla12[[#This Row],[CÓDIGO DEL PRODUCTO Y/O SERVICIO ]],Tabla3[],10)</f>
        <v>0</v>
      </c>
      <c r="BL174" s="344">
        <f>Tabla12[[#This Row],[COSTO POR UNIDAD DE PRODUCTO (3)]]*Tabla12[[#This Row],[COSTO UNITARIO AÑO 4 3]]*VLOOKUP(Tabla12[[#This Row],[CÓDIGO DEL PRODUCTO Y/O SERVICIO ]],Tabla3[],14)</f>
        <v>0</v>
      </c>
      <c r="BM174" s="344">
        <f>Tabla12[[#This Row],[COSTO POR UNIDAD DE PRODUCTO (3)]]*Tabla12[[#This Row],[COSTO UNITARIO AÑO 5 3 ]]*VLOOKUP(Tabla12[[#This Row],[CÓDIGO DEL PRODUCTO Y/O SERVICIO ]],Tabla3[],18)</f>
        <v>0</v>
      </c>
      <c r="BN174" s="114">
        <f>VLOOKUP(Tabla12[[#This Row],[CÓDIGO DEL PRODUCTO Y/O SERVICIO ]],Tabla3[],3)</f>
        <v>300</v>
      </c>
      <c r="BO174" s="114">
        <f>Tabla12[[#This Row],[UNIDADES PRODUCIDAS AÑO 1 4]]*I152</f>
        <v>0</v>
      </c>
      <c r="BP174" s="112">
        <f>VLOOKUP(Tabla12[[#This Row],[CÓDIGO DEL PRODUCTO Y/O SERVICIO ]],Tabla3[],9)</f>
        <v>0.16666666666666666</v>
      </c>
      <c r="BQ174" s="114">
        <f>Tabla12[[#This Row],[CANTIDADES A UTILIZAR EN EL AÑO 1 4]]*(1+Tabla12[[#This Row],[CAMBIO PORCENTUAL EN UNIDADES VENDIDAS AÑO 2 4]])</f>
        <v>0</v>
      </c>
      <c r="BR174" s="112">
        <f>VLOOKUP(Tabla12[[#This Row],[CÓDIGO DEL PRODUCTO Y/O SERVICIO ]],Tabla3[],13)</f>
        <v>0.42857142857142855</v>
      </c>
      <c r="BS174" s="114">
        <f>Tabla12[[#This Row],[CANTIDADES A UTILIZAR EN EL AÑO 2 4]]*(1+Tabla12[[#This Row],[CAMBIO PORCENTUAL EN UNIDADES VENDIDAS AÑO 3 4]])</f>
        <v>0</v>
      </c>
      <c r="BT174" s="112">
        <f>VLOOKUP(Tabla12[[#This Row],[CÓDIGO DEL PRODUCTO Y/O SERVICIO ]],Tabla3[],17)</f>
        <v>0.1</v>
      </c>
      <c r="BU174" s="114">
        <f>Tabla12[[#This Row],[CANTIDADES A UTILIZAR EN EL AÑO 3 4 ]]*(1+Tabla12[[#This Row],[CAMBIO PORCENTUAL EN UNIDADES VENDIDAS AÑO 4 4 ]])</f>
        <v>0</v>
      </c>
      <c r="BV174" s="112">
        <f>VLOOKUP(Tabla12[[#This Row],[CÓDIGO DEL PRODUCTO Y/O SERVICIO ]],Tabla3[],21)</f>
        <v>0.27272727272727271</v>
      </c>
      <c r="BW174" s="114">
        <f>Tabla12[[#This Row],[CANTIDADES A UTILIZAR EN EL AÑO 4 4 ]]*(1+Tabla12[[#This Row],[CAMBIO PORCENTUAL EN UNIDADES VENDIDAS AÑO 5 4 ]])</f>
        <v>0</v>
      </c>
      <c r="BX174" s="344">
        <f>IF(Tabla12[[#This Row],[CANTIDADES A UTILIZAR EN EL AÑO 1 4]]=0,0,Tabla12[[#This Row],[CANTIDADES A UTILIZAR EN EL AÑO 1 4]]*1/Tabla12[[#This Row],[UNIDADES PRODUCIDAS AÑO 1 4]])</f>
        <v>0</v>
      </c>
      <c r="BY174" s="344">
        <f>$C$137*(1+BASES!$E$10)</f>
        <v>0</v>
      </c>
      <c r="BZ174" s="344">
        <f>Tabla12[[#This Row],[COSTO UNITARIO AÑO 2 4 ]]*(1+BASES!$F$10)</f>
        <v>0</v>
      </c>
      <c r="CA174" s="344">
        <f>Tabla12[[#This Row],[COSTO UNITARIO AÑO 3 4 ]]*(1+BASES!$G$10)</f>
        <v>0</v>
      </c>
      <c r="CB174" s="344">
        <f>Tabla12[[#This Row],[COSTO UNITARIO AÑO 4 4 ]]*(1+BASES!$H$10)</f>
        <v>0</v>
      </c>
      <c r="CC174" s="344">
        <f>Tabla12[[#This Row],[COSTO POR UNIDAD DE PRODUCTO (4)]]*$C$137*VLOOKUP(Tabla12[[#This Row],[CÓDIGO DEL PRODUCTO Y/O SERVICIO ]],Tabla3[],3)</f>
        <v>0</v>
      </c>
      <c r="CD174" s="344">
        <f>Tabla12[[#This Row],[COSTO POR UNIDAD DE PRODUCTO (4)]]*Tabla12[[#This Row],[COSTO UNITARIO AÑO 2 4 ]]*VLOOKUP(Tabla12[[#This Row],[CÓDIGO DEL PRODUCTO Y/O SERVICIO ]],Tabla3[],6)</f>
        <v>0</v>
      </c>
      <c r="CE174" s="344">
        <f>Tabla12[[#This Row],[COSTO POR UNIDAD DE PRODUCTO (4)]]*Tabla12[[#This Row],[COSTO UNITARIO AÑO 3 4 ]]*VLOOKUP(Tabla12[[#This Row],[CÓDIGO DEL PRODUCTO Y/O SERVICIO ]],Tabla3[],10)</f>
        <v>0</v>
      </c>
      <c r="CF174" s="344">
        <f>Tabla12[[#This Row],[COSTO POR UNIDAD DE PRODUCTO (4)]]*Tabla12[[#This Row],[COSTO UNITARIO AÑO 4 4 ]]*VLOOKUP(Tabla12[[#This Row],[CÓDIGO DEL PRODUCTO Y/O SERVICIO ]],Tabla3[],14)</f>
        <v>0</v>
      </c>
      <c r="CG174" s="344">
        <f>Tabla12[[#This Row],[COSTO POR UNIDAD DE PRODUCTO (4)]]*Tabla12[[#This Row],[COSTO UNITARIO AÑO 5 4 ]]*VLOOKUP(Tabla12[[#This Row],[CÓDIGO DEL PRODUCTO Y/O SERVICIO ]],Tabla3[],18)</f>
        <v>0</v>
      </c>
      <c r="CH174" s="114">
        <f>VLOOKUP(Tabla12[[#This Row],[CÓDIGO DEL PRODUCTO Y/O SERVICIO ]],Tabla3[],3)</f>
        <v>300</v>
      </c>
      <c r="CI174" s="114">
        <f>Tabla12[[#This Row],[UNIDADES PRODUCIDAS AÑO 1 5]]*J152</f>
        <v>0</v>
      </c>
      <c r="CJ174" s="112">
        <f>VLOOKUP(Tabla12[[#This Row],[CÓDIGO DEL PRODUCTO Y/O SERVICIO ]],Tabla3[],9)</f>
        <v>0.16666666666666666</v>
      </c>
      <c r="CK174" s="114">
        <f>Tabla12[[#This Row],[CANTIDADES A UTILIZAR EN EL AÑO 1 5]]*(1+Tabla12[[#This Row],[CAMBIO PORCENTUAL EN UNIDADES VENDIDAS AÑO 2 5 ]])</f>
        <v>0</v>
      </c>
      <c r="CL174" s="112">
        <f>VLOOKUP(Tabla12[[#This Row],[CÓDIGO DEL PRODUCTO Y/O SERVICIO ]],Tabla3[],13)</f>
        <v>0.42857142857142855</v>
      </c>
      <c r="CM174" s="114">
        <f>Tabla12[[#This Row],[CANTIDADES A UTILIZAR EN EL AÑO 2 5]]*(1+Tabla12[[#This Row],[CAMBIO PORCENTUAL EN UNIDADES VENDIDAS AÑO 3 5 ]])</f>
        <v>0</v>
      </c>
      <c r="CN174" s="112">
        <f>VLOOKUP(Tabla12[[#This Row],[CÓDIGO DEL PRODUCTO Y/O SERVICIO ]],Tabla3[],17)</f>
        <v>0.1</v>
      </c>
      <c r="CO174" s="114">
        <f>Tabla12[[#This Row],[CANTIDADES A UTILIZAR EN EL AÑO 3 5 ]]*(1+Tabla12[[#This Row],[CAMBIO PORCENTUAL EN UNIDADES VENDIDAS AÑO 4 5 ]])</f>
        <v>0</v>
      </c>
      <c r="CP174" s="112">
        <f>VLOOKUP(Tabla12[[#This Row],[CÓDIGO DEL PRODUCTO Y/O SERVICIO ]],Tabla3[],21)</f>
        <v>0.27272727272727271</v>
      </c>
      <c r="CQ174" s="114">
        <f>Tabla12[[#This Row],[CANTIDADES A UTILIZAR EN EL AÑO 4 5 ]]*(1+Tabla12[[#This Row],[CAMBIO PORCENTUAL EN UNIDADES VENDIDAS AÑO 5 5]])</f>
        <v>0</v>
      </c>
      <c r="CR174" s="344">
        <f>IF(Tabla12[[#This Row],[CANTIDADES A UTILIZAR EN EL AÑO 1 5]]=0,0,Tabla12[[#This Row],[CANTIDADES A UTILIZAR EN EL AÑO 1 5]]*1/Tabla12[[#This Row],[UNIDADES PRODUCIDAS AÑO 1 5]])</f>
        <v>0</v>
      </c>
      <c r="CS174" s="344">
        <f>$C$138*(1+BASES!$E$10)</f>
        <v>0</v>
      </c>
      <c r="CT174" s="344">
        <f>Tabla12[[#This Row],[COSTO UNITARIO AÑO 2 5]]*(1+BASES!$F$10)</f>
        <v>0</v>
      </c>
      <c r="CU174" s="344">
        <f>Tabla12[[#This Row],[COSTO UNITARIO AÑO 3 5]]*(1+BASES!$G$10)</f>
        <v>0</v>
      </c>
      <c r="CV174" s="344">
        <f>Tabla12[[#This Row],[COSTO UNITARIO AÑO 4 5]]*(1+BASES!$H$10)</f>
        <v>0</v>
      </c>
      <c r="CW174" s="344">
        <f>Tabla12[[#This Row],[COSTO POR UNIDAD DE PRODUCTO (5)]]*$C$138*VLOOKUP(Tabla12[[#This Row],[CÓDIGO DEL PRODUCTO Y/O SERVICIO ]],Tabla3[],3)</f>
        <v>0</v>
      </c>
      <c r="CX174" s="344">
        <f>Tabla12[[#This Row],[COSTO POR UNIDAD DE PRODUCTO (5)]]*Tabla12[[#This Row],[COSTO UNITARIO AÑO 2 5]]*VLOOKUP(Tabla12[[#This Row],[CÓDIGO DEL PRODUCTO Y/O SERVICIO ]],Tabla3[],6)</f>
        <v>0</v>
      </c>
      <c r="CY174" s="344">
        <f>Tabla12[[#This Row],[COSTO POR UNIDAD DE PRODUCTO (5)]]*Tabla12[[#This Row],[COSTO UNITARIO AÑO 3 5]]*VLOOKUP(Tabla12[[#This Row],[CÓDIGO DEL PRODUCTO Y/O SERVICIO ]],Tabla3[],10)</f>
        <v>0</v>
      </c>
      <c r="CZ174" s="344">
        <f>Tabla12[[#This Row],[COSTO POR UNIDAD DE PRODUCTO (5)]]*Tabla12[[#This Row],[COSTO UNITARIO AÑO 4 5]]*VLOOKUP(Tabla12[[#This Row],[CÓDIGO DEL PRODUCTO Y/O SERVICIO ]],Tabla3[],14)</f>
        <v>0</v>
      </c>
      <c r="DA174" s="344">
        <f>Tabla12[[#This Row],[COSTO POR UNIDAD DE PRODUCTO (5)]]*Tabla12[[#This Row],[COSTO UNITARIO AÑO 5 5 ]]*VLOOKUP(Tabla12[[#This Row],[CÓDIGO DEL PRODUCTO Y/O SERVICIO ]],Tabla3[],18)</f>
        <v>0</v>
      </c>
      <c r="DB174" s="114">
        <f>VLOOKUP(Tabla12[[#This Row],[CÓDIGO DEL PRODUCTO Y/O SERVICIO ]],Tabla3[],3)</f>
        <v>300</v>
      </c>
      <c r="DC174" s="114">
        <f>Tabla12[[#This Row],[UNIDADES PRODUCIDAS AÑO 1 6]]*K152</f>
        <v>0</v>
      </c>
      <c r="DD174" s="112">
        <f>VLOOKUP(Tabla12[[#This Row],[CÓDIGO DEL PRODUCTO Y/O SERVICIO ]],Tabla3[],9)</f>
        <v>0.16666666666666666</v>
      </c>
      <c r="DE174" s="114">
        <f>Tabla12[[#This Row],[CANTIDADES A UTILIZAR EN EL AÑO 1 6]]*(1+Tabla12[[#This Row],[CAMBIO PORCENTUAL EN UNIDADES VENDIDAS AÑO 2 6]])</f>
        <v>0</v>
      </c>
      <c r="DF174" s="112">
        <f>VLOOKUP(Tabla12[[#This Row],[CÓDIGO DEL PRODUCTO Y/O SERVICIO ]],Tabla3[],13)</f>
        <v>0.42857142857142855</v>
      </c>
      <c r="DG174" s="114">
        <f>Tabla12[[#This Row],[CANTIDADES A UTILIZAR EN EL AÑO 2 6]]*(1+Tabla12[[#This Row],[CAMBIO PORCENTUAL EN UNIDADES VENDIDAS AÑO 3 6]])</f>
        <v>0</v>
      </c>
      <c r="DH174" s="112">
        <f>VLOOKUP(Tabla12[[#This Row],[CÓDIGO DEL PRODUCTO Y/O SERVICIO ]],Tabla3[],17)</f>
        <v>0.1</v>
      </c>
      <c r="DI174" s="114">
        <f>Tabla12[[#This Row],[CANTIDADES A UTILIZAR EN EL AÑO 3 6]]*(1+Tabla12[[#This Row],[CAMBIO PORCENTUAL EN UNIDADES VENDIDAS AÑO 4 6]])</f>
        <v>0</v>
      </c>
      <c r="DJ174" s="112">
        <f>VLOOKUP(Tabla12[[#This Row],[CÓDIGO DEL PRODUCTO Y/O SERVICIO ]],Tabla3[],21)</f>
        <v>0.27272727272727271</v>
      </c>
      <c r="DK174" s="114">
        <f>Tabla12[[#This Row],[CANTIDADES A UTILIZAR EN EL AÑO 4 6]]*(1+Tabla12[[#This Row],[CAMBIO PORCENTUAL EN UNIDADES VENDIDAS AÑO 5 6]])</f>
        <v>0</v>
      </c>
      <c r="DL174" s="344">
        <f>IF(Tabla12[[#This Row],[CANTIDADES A UTILIZAR EN EL AÑO 1 6]]=0,0,Tabla12[[#This Row],[CANTIDADES A UTILIZAR EN EL AÑO 1 6]]*1/Tabla12[[#This Row],[UNIDADES PRODUCIDAS AÑO 1 6]])</f>
        <v>0</v>
      </c>
      <c r="DM174" s="344">
        <f>$C$139*(1+BASES!$E$10)</f>
        <v>0</v>
      </c>
      <c r="DN174" s="344">
        <f>Tabla12[[#This Row],[COSTO UNITARIO AÑO 2 6]]*(1+BASES!$F$10)</f>
        <v>0</v>
      </c>
      <c r="DO174" s="344">
        <f>Tabla12[[#This Row],[COSTO UNITARIO AÑO 3 6]]*(1+BASES!$G$10)</f>
        <v>0</v>
      </c>
      <c r="DP174" s="344">
        <f>Tabla12[[#This Row],[COSTO UNITARIO AÑO 4 6]]*(1+BASES!$H$10)</f>
        <v>0</v>
      </c>
      <c r="DQ174" s="344">
        <f>Tabla12[[#This Row],[COSTO POR UNIDAD DE PRODUCTO (6)]]*$C$139*VLOOKUP(Tabla12[[#This Row],[CÓDIGO DEL PRODUCTO Y/O SERVICIO ]],Tabla3[],3)</f>
        <v>0</v>
      </c>
      <c r="DR174" s="344">
        <f>Tabla12[[#This Row],[COSTO POR UNIDAD DE PRODUCTO (6)]]*Tabla12[[#This Row],[COSTO UNITARIO AÑO 2 6]]*VLOOKUP(Tabla12[[#This Row],[CÓDIGO DEL PRODUCTO Y/O SERVICIO ]],Tabla3[],6)</f>
        <v>0</v>
      </c>
      <c r="DS174" s="344">
        <f>Tabla12[[#This Row],[COSTO POR UNIDAD DE PRODUCTO (6)]]*Tabla12[[#This Row],[COSTO UNITARIO AÑO 3 6]]*VLOOKUP(Tabla12[[#This Row],[CÓDIGO DEL PRODUCTO Y/O SERVICIO ]],Tabla3[],10)</f>
        <v>0</v>
      </c>
      <c r="DT174" s="344">
        <f>Tabla12[[#This Row],[COSTO POR UNIDAD DE PRODUCTO (6)]]*Tabla12[[#This Row],[COSTO UNITARIO AÑO 4 6]]*VLOOKUP(Tabla12[[#This Row],[CÓDIGO DEL PRODUCTO Y/O SERVICIO ]],Tabla3[],14)</f>
        <v>0</v>
      </c>
      <c r="DU174" s="344">
        <f>Tabla12[[#This Row],[COSTO POR UNIDAD DE PRODUCTO (6)]]*Tabla12[[#This Row],[COSTO UNITARIO AÑO 5 6]]*VLOOKUP(Tabla12[[#This Row],[CÓDIGO DEL PRODUCTO Y/O SERVICIO ]],Tabla3[],18)</f>
        <v>0</v>
      </c>
      <c r="DV174" s="114">
        <f>VLOOKUP(Tabla12[[#This Row],[CÓDIGO DEL PRODUCTO Y/O SERVICIO ]],Tabla3[],3)</f>
        <v>300</v>
      </c>
      <c r="DW174" s="114">
        <f>Tabla12[[#This Row],[UNIDADES PRODUCIDAS AÑO 1 7]]*L152</f>
        <v>0</v>
      </c>
      <c r="DX174" s="112">
        <f>VLOOKUP(Tabla12[[#This Row],[CÓDIGO DEL PRODUCTO Y/O SERVICIO ]],Tabla3[],9)</f>
        <v>0.16666666666666666</v>
      </c>
      <c r="DY174" s="114">
        <f>Tabla12[[#This Row],[CANTIDADES A UTILIZAR EN EL AÑO 1 7]]*(1+Tabla12[[#This Row],[CAMBIO PORCENTUAL EN UNIDADES VENDIDAS AÑO 2 7]])</f>
        <v>0</v>
      </c>
      <c r="DZ174" s="112">
        <f>VLOOKUP(Tabla12[[#This Row],[CÓDIGO DEL PRODUCTO Y/O SERVICIO ]],Tabla3[],13)</f>
        <v>0.42857142857142855</v>
      </c>
      <c r="EA174" s="114">
        <f>Tabla12[[#This Row],[CANTIDADES A UTILIZAR EN EL AÑO 2 7]]*(1+Tabla12[[#This Row],[CAMBIO PORCENTUAL EN UNIDADES VENDIDAS AÑO 3 7]])</f>
        <v>0</v>
      </c>
      <c r="EB174" s="112">
        <f>VLOOKUP(Tabla12[[#This Row],[CÓDIGO DEL PRODUCTO Y/O SERVICIO ]],Tabla3[],17)</f>
        <v>0.1</v>
      </c>
      <c r="EC174" s="114">
        <f>Tabla12[[#This Row],[CANTIDADES A UTILIZAR EN EL AÑO 3 7]]*(1+Tabla12[[#This Row],[CAMBIO PORCENTUAL EN UNIDADES VENDIDAS AÑO 4 7]])</f>
        <v>0</v>
      </c>
      <c r="ED174" s="112">
        <f>VLOOKUP(Tabla12[[#This Row],[CÓDIGO DEL PRODUCTO Y/O SERVICIO ]],Tabla3[],21)</f>
        <v>0.27272727272727271</v>
      </c>
      <c r="EE174" s="114">
        <f>Tabla12[[#This Row],[CANTIDADES A UTILIZAR EN EL AÑO 4 7]]*(1+Tabla12[[#This Row],[CAMBIO PORCENTUAL EN UNIDADES VENDIDAS AÑO 5 7]])</f>
        <v>0</v>
      </c>
      <c r="EF174" s="344">
        <f>IF(Tabla12[[#This Row],[CANTIDADES A UTILIZAR EN EL AÑO 1 7]]=0,0,Tabla12[[#This Row],[CANTIDADES A UTILIZAR EN EL AÑO 1 7]]*1/Tabla12[[#This Row],[UNIDADES PRODUCIDAS AÑO 1 7]])</f>
        <v>0</v>
      </c>
      <c r="EG174" s="344">
        <f>$C$140*(1+BASES!$E$10)</f>
        <v>0</v>
      </c>
      <c r="EH174" s="344">
        <f>Tabla12[[#This Row],[COSTO UNITARIO AÑO 2 7]]*(1+BASES!$F$10)</f>
        <v>0</v>
      </c>
      <c r="EI174" s="344">
        <f>Tabla12[[#This Row],[COSTO UNITARIO AÑO 3 7]]*(1+BASES!$G$10)</f>
        <v>0</v>
      </c>
      <c r="EJ174" s="344">
        <f>Tabla12[[#This Row],[COSTO UNITARIO AÑO 4 7]]*(1+BASES!$H$10)</f>
        <v>0</v>
      </c>
      <c r="EK174" s="344">
        <f>Tabla12[[#This Row],[COSTO POR UNIDAD DE PRODUCTO (7)]]*$C$140*VLOOKUP(Tabla12[[#This Row],[CÓDIGO DEL PRODUCTO Y/O SERVICIO ]],Tabla3[],3)</f>
        <v>0</v>
      </c>
      <c r="EL174" s="344">
        <f>Tabla12[[#This Row],[COSTO POR UNIDAD DE PRODUCTO (7)]]*Tabla12[[#This Row],[COSTO UNITARIO AÑO 2 7]]*VLOOKUP(Tabla12[[#This Row],[CÓDIGO DEL PRODUCTO Y/O SERVICIO ]],Tabla3[],6)</f>
        <v>0</v>
      </c>
      <c r="EM174" s="344">
        <f>Tabla12[[#This Row],[COSTO POR UNIDAD DE PRODUCTO (7)]]*Tabla12[[#This Row],[COSTO UNITARIO AÑO 3 7]]*VLOOKUP(Tabla12[[#This Row],[CÓDIGO DEL PRODUCTO Y/O SERVICIO ]],Tabla3[],10)</f>
        <v>0</v>
      </c>
      <c r="EN174" s="344">
        <f>Tabla12[[#This Row],[COSTO POR UNIDAD DE PRODUCTO (7)]]*Tabla12[[#This Row],[COSTO UNITARIO AÑO 4 7]]*VLOOKUP(Tabla12[[#This Row],[CÓDIGO DEL PRODUCTO Y/O SERVICIO ]],Tabla3[],14)</f>
        <v>0</v>
      </c>
      <c r="EO174" s="344">
        <f>Tabla12[[#This Row],[COSTO POR UNIDAD DE PRODUCTO (7)]]*Tabla12[[#This Row],[COSTO UNITARIO AÑO 5 7]]*VLOOKUP(Tabla12[[#This Row],[CÓDIGO DEL PRODUCTO Y/O SERVICIO ]],Tabla3[],18)</f>
        <v>0</v>
      </c>
      <c r="EP174" s="114">
        <f>VLOOKUP(Tabla12[[#This Row],[CÓDIGO DEL PRODUCTO Y/O SERVICIO ]],Tabla3[],3)</f>
        <v>300</v>
      </c>
      <c r="EQ174" s="114">
        <f>Tabla12[[#This Row],[UNIDADES PRODUCIDAS AÑO 1 8]]*M152</f>
        <v>0</v>
      </c>
      <c r="ER174" s="112">
        <f>VLOOKUP(Tabla12[[#This Row],[CÓDIGO DEL PRODUCTO Y/O SERVICIO ]],Tabla3[],9)</f>
        <v>0.16666666666666666</v>
      </c>
      <c r="ES174" s="114">
        <f>Tabla12[[#This Row],[CANTIDADES A UTILIZAR EN EL AÑO 1 8]]*(1+Tabla12[[#This Row],[CAMBIO PORCENTUAL EN UNIDADES VENDIDAS AÑO 2 8]])</f>
        <v>0</v>
      </c>
      <c r="ET174" s="112">
        <f>VLOOKUP(Tabla12[[#This Row],[CÓDIGO DEL PRODUCTO Y/O SERVICIO ]],Tabla3[],13)</f>
        <v>0.42857142857142855</v>
      </c>
      <c r="EU174" s="114">
        <f>Tabla12[[#This Row],[CANTIDADES A UTILIZAR EN EL AÑO 2 8]]*(1+Tabla12[[#This Row],[CAMBIO PORCENTUAL EN UNIDADES VENDIDAS AÑO 3 8]])</f>
        <v>0</v>
      </c>
      <c r="EV174" s="112">
        <f>VLOOKUP(Tabla12[[#This Row],[CÓDIGO DEL PRODUCTO Y/O SERVICIO ]],Tabla3[],17)</f>
        <v>0.1</v>
      </c>
      <c r="EW174" s="114">
        <f>Tabla12[[#This Row],[CANTIDADES A UTILIZAR EN EL AÑO 3 8]]*(1+Tabla12[[#This Row],[CAMBIO PORCENTUAL EN UNIDADES VENDIDAS AÑO 4 8]])</f>
        <v>0</v>
      </c>
      <c r="EX174" s="112">
        <f>VLOOKUP(Tabla12[[#This Row],[CÓDIGO DEL PRODUCTO Y/O SERVICIO ]],Tabla3[],21)</f>
        <v>0.27272727272727271</v>
      </c>
      <c r="EY174" s="114">
        <f>Tabla12[[#This Row],[CANTIDADES A UTILIZAR EN EL AÑO 4 8]]*(1+Tabla12[[#This Row],[CAMBIO PORCENTUAL EN UNIDADES VENDIDAS AÑO 5 8]])</f>
        <v>0</v>
      </c>
      <c r="EZ174" s="344">
        <f>IF(Tabla12[[#This Row],[CANTIDADES A UTILIZAR EN EL AÑO 1 8]]=0,0,Tabla12[[#This Row],[CANTIDADES A UTILIZAR EN EL AÑO 1 8]]*1/Tabla12[[#This Row],[UNIDADES PRODUCIDAS AÑO 1 8]])</f>
        <v>0</v>
      </c>
      <c r="FA174" s="344">
        <f>$C$141*(1+BASES!$E$10)</f>
        <v>0</v>
      </c>
      <c r="FB174" s="344">
        <f>Tabla12[[#This Row],[COSTO UNITARIO AÑO 2 8]]*(1+BASES!$F$10)</f>
        <v>0</v>
      </c>
      <c r="FC174" s="344">
        <f>Tabla12[[#This Row],[COSTO UNITARIO AÑO 3 8]]*(1+BASES!$G$10)</f>
        <v>0</v>
      </c>
      <c r="FD174" s="344">
        <f>Tabla12[[#This Row],[COSTO UNITARIO AÑO 4 8]]*(1+BASES!$H$10)</f>
        <v>0</v>
      </c>
      <c r="FE174" s="344">
        <f>Tabla12[[#This Row],[COSTO POR UNIDAD DE PRODUCTO (8)]]*$C$141*VLOOKUP(Tabla12[[#This Row],[CÓDIGO DEL PRODUCTO Y/O SERVICIO ]],Tabla3[],3)</f>
        <v>0</v>
      </c>
      <c r="FF174" s="344">
        <f>Tabla12[[#This Row],[COSTO POR UNIDAD DE PRODUCTO (8)]]*Tabla12[[#This Row],[COSTO UNITARIO AÑO 2 8]]*VLOOKUP(Tabla12[[#This Row],[CÓDIGO DEL PRODUCTO Y/O SERVICIO ]],Tabla3[],6)</f>
        <v>0</v>
      </c>
      <c r="FG174" s="344">
        <f>Tabla12[[#This Row],[COSTO POR UNIDAD DE PRODUCTO (8)]]*Tabla12[[#This Row],[COSTO UNITARIO AÑO 3 8]]*VLOOKUP(Tabla12[[#This Row],[CÓDIGO DEL PRODUCTO Y/O SERVICIO ]],Tabla3[],10)</f>
        <v>0</v>
      </c>
      <c r="FH174" s="344">
        <f>Tabla12[[#This Row],[COSTO POR UNIDAD DE PRODUCTO (8)]]*Tabla12[[#This Row],[COSTO UNITARIO AÑO 4 8]]*VLOOKUP(Tabla12[[#This Row],[CÓDIGO DEL PRODUCTO Y/O SERVICIO ]],Tabla3[],14)</f>
        <v>0</v>
      </c>
      <c r="FI174" s="344">
        <f>Tabla12[[#This Row],[COSTO POR UNIDAD DE PRODUCTO (8)]]*Tabla12[[#This Row],[COSTO UNITARIO AÑO 5 8]]*VLOOKUP(Tabla12[[#This Row],[CÓDIGO DEL PRODUCTO Y/O SERVICIO ]],Tabla3[],18)</f>
        <v>0</v>
      </c>
      <c r="FJ174" s="114">
        <f>VLOOKUP(Tabla12[[#This Row],[CÓDIGO DEL PRODUCTO Y/O SERVICIO ]],Tabla3[],3)</f>
        <v>300</v>
      </c>
      <c r="FK174" s="114">
        <f>Tabla12[[#This Row],[UNIDADES PRODUCIDAS AÑO 1 9 ]]*N152</f>
        <v>0</v>
      </c>
      <c r="FL174" s="112">
        <f>VLOOKUP(Tabla12[[#This Row],[CÓDIGO DEL PRODUCTO Y/O SERVICIO ]],Tabla3[],9)</f>
        <v>0.16666666666666666</v>
      </c>
      <c r="FM174" s="114">
        <f>Tabla12[[#This Row],[CANTIDADES A UTILIZAR EN EL AÑO 1 9]]*(1+Tabla12[[#This Row],[CAMBIO PORCENTUAL UNIDADES VENDIDAS AÑO 2 9 ]])</f>
        <v>0</v>
      </c>
      <c r="FN174" s="112">
        <f>VLOOKUP(Tabla12[[#This Row],[CÓDIGO DEL PRODUCTO Y/O SERVICIO ]],Tabla3[],13)</f>
        <v>0.42857142857142855</v>
      </c>
      <c r="FO174" s="114">
        <f>Tabla12[[#This Row],[CANTIDADES A UTILIZAR EN EL AÑO 2 9 ]]*(1+Tabla12[[#This Row],[CAMBIO PORCENTUAL EN UNIDADES VENDIDAS AÑO 3 9 ]])</f>
        <v>0</v>
      </c>
      <c r="FP174" s="112">
        <f>VLOOKUP(Tabla12[[#This Row],[CÓDIGO DEL PRODUCTO Y/O SERVICIO ]],Tabla3[],17)</f>
        <v>0.1</v>
      </c>
      <c r="FQ174" s="114">
        <f>Tabla12[[#This Row],[CANTIDADES A UTILIZAR EN EL AÑO 3 9 ]]*(1+Tabla12[[#This Row],[CAMBIO PORCENTUAL EN UNIDADES VENDIDAS AÑO 4 9 ]])</f>
        <v>0</v>
      </c>
      <c r="FR174" s="112">
        <f>VLOOKUP(Tabla12[[#This Row],[CÓDIGO DEL PRODUCTO Y/O SERVICIO ]],Tabla3[],21)</f>
        <v>0.27272727272727271</v>
      </c>
      <c r="FS174" s="114">
        <f>Tabla12[[#This Row],[CANTIDADES A UTILIZAR EN EL AÑO 4 9]]*(1+Tabla12[[#This Row],[CAMBIO PORCENTUAL EN UNIDADES VENDIDAS AÑO 5 9]])</f>
        <v>0</v>
      </c>
      <c r="FT174" s="344">
        <f>IF(Tabla12[[#This Row],[CANTIDADES A UTILIZAR EN EL AÑO 1 9]]=0,0,Tabla12[[#This Row],[CANTIDADES A UTILIZAR EN EL AÑO 1 9]]*1/Tabla12[[#This Row],[UNIDADES PRODUCIDAS AÑO 1 9 ]])</f>
        <v>0</v>
      </c>
      <c r="FU174" s="344">
        <f>$C$142*(1+BASES!$E$10)</f>
        <v>0</v>
      </c>
      <c r="FV174" s="344">
        <f>Tabla12[[#This Row],[COSTO UNITARIO AÑO 2 9]]*(1+BASES!$F$10)</f>
        <v>0</v>
      </c>
      <c r="FW174" s="344">
        <f>Tabla12[[#This Row],[COSTO UNITARIO AÑO 3 9]]*(1+BASES!$G$10)</f>
        <v>0</v>
      </c>
      <c r="FX174" s="344">
        <f>Tabla12[[#This Row],[COSTO UNITARIO AÑO 4 9]]*(1+BASES!$H$10)</f>
        <v>0</v>
      </c>
      <c r="FY174" s="344">
        <f>Tabla12[[#This Row],[COSTO POR UNIDAD DE PRODUCTO (9)]]*$C$142*VLOOKUP(Tabla12[[#This Row],[CÓDIGO DEL PRODUCTO Y/O SERVICIO ]],Tabla3[],3)</f>
        <v>0</v>
      </c>
      <c r="FZ174" s="344">
        <f>Tabla12[[#This Row],[COSTO POR UNIDAD DE PRODUCTO (9)]]*Tabla12[[#This Row],[COSTO UNITARIO AÑO 2 9]]*VLOOKUP(Tabla12[[#This Row],[CÓDIGO DEL PRODUCTO Y/O SERVICIO ]],Tabla3[],6)</f>
        <v>0</v>
      </c>
      <c r="GA174" s="344">
        <f>Tabla12[[#This Row],[COSTO POR UNIDAD DE PRODUCTO (9)]]*Tabla12[[#This Row],[COSTO UNITARIO AÑO 3 9]]*VLOOKUP(Tabla12[[#This Row],[CÓDIGO DEL PRODUCTO Y/O SERVICIO ]],Tabla3[],10)</f>
        <v>0</v>
      </c>
      <c r="GB174" s="344">
        <f>Tabla12[[#This Row],[COSTO POR UNIDAD DE PRODUCTO (9)]]*Tabla12[[#This Row],[COSTO UNITARIO AÑO 4 9]]*VLOOKUP(Tabla12[[#This Row],[CÓDIGO DEL PRODUCTO Y/O SERVICIO ]],Tabla3[],14)</f>
        <v>0</v>
      </c>
      <c r="GC174" s="344">
        <f>Tabla12[[#This Row],[COSTO POR UNIDAD DE PRODUCTO (9)]]*Tabla12[[#This Row],[COSTO UNITARIO AÑO 5 9]]*VLOOKUP(Tabla12[[#This Row],[CÓDIGO DEL PRODUCTO Y/O SERVICIO ]],Tabla3[],18)</f>
        <v>0</v>
      </c>
      <c r="GD174" s="114">
        <f>VLOOKUP(Tabla12[[#This Row],[CÓDIGO DEL PRODUCTO Y/O SERVICIO ]],Tabla3[],3)</f>
        <v>300</v>
      </c>
      <c r="GE174" s="114">
        <f>Tabla12[[#This Row],[UNIDADES PRODUCIDAS AÑO 1 10 ]]*O152</f>
        <v>0</v>
      </c>
      <c r="GF174" s="112">
        <f>VLOOKUP(Tabla12[[#This Row],[CÓDIGO DEL PRODUCTO Y/O SERVICIO ]],Tabla3[],9)</f>
        <v>0.16666666666666666</v>
      </c>
      <c r="GG174" s="112">
        <f>Tabla12[[#This Row],[CANTIDADES A UTILIZAR EN EL AÑO 1 10 ]]*(1+Tabla12[[#This Row],[CAMBIO PORCENTUAL EN UNIDADES VENDIDAS AÑO 2 10 ]])</f>
        <v>0</v>
      </c>
      <c r="GH174" s="112">
        <f>VLOOKUP(Tabla12[[#This Row],[CÓDIGO DEL PRODUCTO Y/O SERVICIO ]],Tabla3[],13)</f>
        <v>0.42857142857142855</v>
      </c>
      <c r="GI174" s="114">
        <f>Tabla12[[#This Row],[CANTIDADES A UTILIZAR EN EL AÑO 2 10]]*(1+Tabla12[[#This Row],[CAMBIO PORCENTUAL EN UNIDADES VENDIDAS AÑO 3 10 ]])</f>
        <v>0</v>
      </c>
      <c r="GJ174" s="112">
        <f>VLOOKUP(Tabla12[[#This Row],[CÓDIGO DEL PRODUCTO Y/O SERVICIO ]],Tabla3[],17)</f>
        <v>0.1</v>
      </c>
      <c r="GK174" s="114">
        <f>Tabla12[[#This Row],[CANTIDADES A UTILIZAR EN EL AÑO 3 10]]*(1+Tabla12[[#This Row],[CAMBIO PORCENTUAL EN UNIDADES VENDIDAS AÑO 4 10 ]])</f>
        <v>0</v>
      </c>
      <c r="GL174" s="112">
        <f>VLOOKUP(Tabla12[[#This Row],[CÓDIGO DEL PRODUCTO Y/O SERVICIO ]],Tabla3[],21)</f>
        <v>0.27272727272727271</v>
      </c>
      <c r="GM174" s="114">
        <f>Tabla12[[#This Row],[CANTIDADES A UTILIZAR EN EL AÑO 4 10 ]]*(1+Tabla12[[#This Row],[CAMBIO PORCENTUAL EN UNIDADES VENDIDAS AÑO 5 10 ]])</f>
        <v>0</v>
      </c>
      <c r="GN174" s="344">
        <f>IF(Tabla12[[#This Row],[CANTIDADES A UTILIZAR EN EL AÑO 1 10 ]]=0,0,Tabla12[[#This Row],[CANTIDADES A UTILIZAR EN EL AÑO 1 10 ]]*1/Tabla12[[#This Row],[UNIDADES PRODUCIDAS AÑO 1 10 ]])</f>
        <v>0</v>
      </c>
      <c r="GO174" s="344">
        <f>$C$143*(1+BASES!$E$10)</f>
        <v>0</v>
      </c>
      <c r="GP174" s="344">
        <f>Tabla12[[#This Row],[COSTO UNITARIO AÑO 2 10 ]]*(1+BASES!$F$10)</f>
        <v>0</v>
      </c>
      <c r="GQ174" s="344">
        <f>Tabla12[[#This Row],[COSTO UNITARIO AÑO 3 10 ]]*(1+BASES!$G$10)</f>
        <v>0</v>
      </c>
      <c r="GR174" s="344">
        <f>Tabla12[[#This Row],[COSTO UNITARIO AÑO 4 10]]*(1+BASES!$H$10)</f>
        <v>0</v>
      </c>
      <c r="GS174" s="344">
        <f>Tabla12[[#This Row],[COSTO POR UNIDAD DE PRODUCTO (10)]]*$C$143*VLOOKUP(Tabla12[[#This Row],[CÓDIGO DEL PRODUCTO Y/O SERVICIO ]],Tabla3[],3)</f>
        <v>0</v>
      </c>
      <c r="GT174" s="344">
        <f>Tabla12[[#This Row],[COSTO POR UNIDAD DE PRODUCTO (10)]]*Tabla12[[#This Row],[COSTO UNITARIO AÑO 2 10 ]]*VLOOKUP(Tabla12[[#This Row],[CÓDIGO DEL PRODUCTO Y/O SERVICIO ]],Tabla3[],6)</f>
        <v>0</v>
      </c>
      <c r="GU174" s="344">
        <f>Tabla12[[#This Row],[COSTO POR UNIDAD DE PRODUCTO (10)]]*Tabla12[[#This Row],[COSTO UNITARIO AÑO 3 10 ]]*VLOOKUP(Tabla12[[#This Row],[CÓDIGO DEL PRODUCTO Y/O SERVICIO ]],Tabla3[],10)</f>
        <v>0</v>
      </c>
      <c r="GV174" s="344">
        <f>Tabla12[[#This Row],[COSTO POR UNIDAD DE PRODUCTO (10)]]*Tabla12[[#This Row],[COSTO UNITARIO AÑO 4 10]]*VLOOKUP(Tabla12[[#This Row],[CÓDIGO DEL PRODUCTO Y/O SERVICIO ]],Tabla3[],14)</f>
        <v>0</v>
      </c>
      <c r="GW174" s="344">
        <f>Tabla12[[#This Row],[COSTO POR UNIDAD DE PRODUCTO (10)]]*Tabla12[[#This Row],[COSTO UNITARIO AÑO 5 10 ]]*VLOOKUP(Tabla12[[#This Row],[CÓDIGO DEL PRODUCTO Y/O SERVICIO ]],Tabla3[],18)</f>
        <v>0</v>
      </c>
      <c r="GX174" s="383">
        <f>Tabla12[[#This Row],[AÑO 1 10 ]]+Tabla12[[#This Row],[AÑO 1 9 ]]+Tabla12[[#This Row],[AÑO 1 8]]+Tabla12[[#This Row],[AÑO 1 7]]+Tabla12[[#This Row],[AÑO 1 6]]+Tabla12[[#This Row],[AÑO 1 5]]+Tabla12[[#This Row],[AÑO 1 4 ]]+Tabla12[[#This Row],[AÑO 1 3]]+Tabla12[[#This Row],[AÑO 1 2]]+Tabla12[[#This Row],[AÑO 1 1]]</f>
        <v>24000000</v>
      </c>
      <c r="GY174" s="383">
        <f>Tabla12[[#This Row],[AÑO 2 10 ]]+Tabla12[[#This Row],[AÑO 2 9 ]]+Tabla12[[#This Row],[AÑO 2 8]]+Tabla12[[#This Row],[AÑO 2 7]]+Tabla12[[#This Row],[AÑO 2 6]]+Tabla12[[#This Row],[AÑO 2 5]]+Tabla12[[#This Row],[AÑO 2 4 ]]+Tabla12[[#This Row],[AÑO 2 3]]+Tabla12[[#This Row],[AÑO 2 2 ]]+Tabla12[[#This Row],[AÑO 2 1 ]]</f>
        <v>28313600.000000004</v>
      </c>
      <c r="GZ174" s="383">
        <f>Tabla12[[#This Row],[AÑO 3 10 ]]+Tabla12[[#This Row],[AÑO 3 9]]+Tabla12[[#This Row],[AÑO 3 8]]+Tabla12[[#This Row],[AÑO 3 7]]+Tabla12[[#This Row],[AÑO 3 6]]+Tabla12[[#This Row],[AÑO 3 5]]+Tabla12[[#This Row],[AÑO 3 4 ]]+Tabla12[[#This Row],[AÑO 3 3 ]]+Tabla12[[#This Row],[AÑO 3 2 ]]+Tabla12[[#This Row],[AÑO 3 1 ]]</f>
        <v>40901017.600000009</v>
      </c>
      <c r="HA174" s="383">
        <f>Tabla12[[#This Row],[AÑO 4 10 ]]+Tabla12[[#This Row],[AÑO 4 9]]+Tabla12[[#This Row],[AÑO 4 8]]+Tabla12[[#This Row],[AÑO 4 7]]+Tabla12[[#This Row],[AÑO 4 6]]+Tabla12[[#This Row],[AÑO 4 5]]+Tabla12[[#This Row],[AÑO 4 4 ]]+Tabla12[[#This Row],[AÑO 4 3 ]]+Tabla12[[#This Row],[AÑO 4 2 ]]+Tabla12[[#This Row],[AÑO 4 1 ]]</f>
        <v>45495019.896832012</v>
      </c>
      <c r="HB174" s="383">
        <f>Tabla12[[#This Row],[AÑO 5 10 ]]+Tabla12[[#This Row],[AÑO 5 9]]+Tabla12[[#This Row],[AÑO 5 8]]+Tabla12[[#This Row],[AÑO 5 7]]+Tabla12[[#This Row],[AÑO 5 6]]+Tabla12[[#This Row],[AÑO 5 5]]+Tabla12[[#This Row],[AÑO 5 4 ]]+Tabla12[[#This Row],[AÑO 5 3 ]]+Tabla12[[#This Row],[AÑO 5 2 ]]+Tabla12[[#This Row],[AÑO 5 1 ]]</f>
        <v>58551263.425042868</v>
      </c>
    </row>
    <row r="175" spans="3:210" ht="15.75" x14ac:dyDescent="0.25">
      <c r="C175" s="62">
        <v>2</v>
      </c>
      <c r="D175" s="359" t="str">
        <f>VLOOKUP(Tabla12[[#This Row],[CÓDIGO DEL PRODUCTO Y/O SERVICIO ]],Tabla3[],2)</f>
        <v>Tierno Corazón</v>
      </c>
      <c r="E175" s="364"/>
      <c r="F175" s="359">
        <f>VLOOKUP(Tabla12[[#This Row],[CÓDIGO DEL PRODUCTO Y/O SERVICIO ]],Tabla3[],3)</f>
        <v>400</v>
      </c>
      <c r="G175" s="359">
        <f>Tabla12[[#This Row],[UNIDADES PRODUCIDAS AÑO 1 1 ]]*F152</f>
        <v>400</v>
      </c>
      <c r="H175" s="112">
        <f>VLOOKUP(Tabla12[[#This Row],[CÓDIGO DEL PRODUCTO Y/O SERVICIO ]],Tabla3[],9)</f>
        <v>0.25</v>
      </c>
      <c r="I175" s="359">
        <f>Tabla12[[#This Row],[CANTIDADES A UTILIZAR EN EL AÑO 1 1]]*(1+Tabla12[[#This Row],[CAMBIO PORCENTUAL EN UNIDADES VENDIDAS AÑO 2 1 ]])</f>
        <v>500</v>
      </c>
      <c r="J175" s="112">
        <f>VLOOKUP(Tabla12[[#This Row],[CÓDIGO DEL PRODUCTO Y/O SERVICIO ]],Tabla3[],13)</f>
        <v>0.36</v>
      </c>
      <c r="K175" s="359">
        <f>Tabla12[[#This Row],[CANTIDADES A UTILIZAR EN EL AÑO 2 1]]*(1+Tabla12[[#This Row],[CAMBIO PORCENTUAL EN UNIDADES VENDIDAS AÑO 3 1 ]])</f>
        <v>679.99999999999989</v>
      </c>
      <c r="L175" s="112">
        <f>VLOOKUP(Tabla12[[#This Row],[CÓDIGO DEL PRODUCTO Y/O SERVICIO ]],Tabla3[],17)</f>
        <v>5.8823529411764705E-2</v>
      </c>
      <c r="M175" s="359">
        <f>Tabla12[[#This Row],[CANTIDADES A UTILIZAR EN EL AÑO 3 1 ]]*(1+Tabla12[[#This Row],[CAMBIO PORCENTUAL EN UNIDADES VENDIDAS AÑO 4 1]])</f>
        <v>719.99999999999989</v>
      </c>
      <c r="N175" s="112">
        <f>VLOOKUP(Tabla12[[#This Row],[CÓDIGO DEL PRODUCTO Y/O SERVICIO ]],Tabla3[],21)</f>
        <v>0.22222222222222221</v>
      </c>
      <c r="O175" s="359">
        <f>Tabla12[[#This Row],[CANTIDADES A UTILIZAR EN EL AÑO 4 1 ]]*(1+Tabla12[[#This Row],[CAMBIO PORCENTUAL EN UNIDADES VENDIDAS AÑO 5 1 ]])</f>
        <v>879.99999999999989</v>
      </c>
      <c r="P175" s="344">
        <f>IF(Tabla12[[#This Row],[CANTIDADES A UTILIZAR EN EL AÑO 1 1]]=0,0,Tabla12[[#This Row],[CANTIDADES A UTILIZAR EN EL AÑO 1 1]]*1/Tabla12[[#This Row],[UNIDADES PRODUCIDAS AÑO 1 1 ]])</f>
        <v>1</v>
      </c>
      <c r="Q175" s="344">
        <f>$C$134*(1+BASES!$E$10)</f>
        <v>60672.000000000007</v>
      </c>
      <c r="R175" s="344">
        <f>Tabla12[[#This Row],[COSTO UNITARIO AÑO 2 1 ]]*(1+BASES!$F$10)</f>
        <v>61351.52640000001</v>
      </c>
      <c r="S175" s="344">
        <f>Tabla12[[#This Row],[COSTO UNITARIO AÑO 3 1 ]]*(1+BASES!$G$10)</f>
        <v>62038.663495680019</v>
      </c>
      <c r="T175" s="344">
        <f>Tabla12[[#This Row],[COSTO UNITARIO AÑO 4 1 ]]*(1+BASES!$H$10)</f>
        <v>62733.496526831645</v>
      </c>
      <c r="U175" s="344">
        <f>Tabla12[[#This Row],[COSTO POR UNIDAD DE PRODUCTO (1)]]*$C$134*VLOOKUP(Tabla12[[#This Row],[CÓDIGO DEL PRODUCTO Y/O SERVICIO ]],Tabla3[],3)</f>
        <v>24000000</v>
      </c>
      <c r="V175" s="344">
        <f>Tabla12[[#This Row],[COSTO POR UNIDAD DE PRODUCTO (1)]]*Tabla12[[#This Row],[COSTO UNITARIO AÑO 2 1 ]]*VLOOKUP(Tabla12[[#This Row],[CÓDIGO DEL PRODUCTO Y/O SERVICIO ]],Tabla3[],6)</f>
        <v>30336000.000000004</v>
      </c>
      <c r="W175" s="344">
        <f>Tabla12[[#This Row],[COSTO POR UNIDAD DE PRODUCTO (1)]]*Tabla12[[#This Row],[COSTO UNITARIO AÑO 3 1 ]]*VLOOKUP(Tabla12[[#This Row],[CÓDIGO DEL PRODUCTO Y/O SERVICIO ]],Tabla3[],10)</f>
        <v>41719037.952000007</v>
      </c>
      <c r="X175" s="344">
        <f>Tabla12[[#This Row],[COSTO POR UNIDAD DE PRODUCTO (1)]]*Tabla12[[#This Row],[COSTO UNITARIO AÑO 4 1 ]]*VLOOKUP(Tabla12[[#This Row],[CÓDIGO DEL PRODUCTO Y/O SERVICIO ]],Tabla3[],14)</f>
        <v>44667837.716889612</v>
      </c>
      <c r="Y175" s="344">
        <f>Tabla12[[#This Row],[COSTO POR UNIDAD DE PRODUCTO (1)]]*Tabla12[[#This Row],[COSTO UNITARIO AÑO 5 1 ]]*VLOOKUP(Tabla12[[#This Row],[CÓDIGO DEL PRODUCTO Y/O SERVICIO ]],Tabla3[],18)</f>
        <v>55205476.943611845</v>
      </c>
      <c r="Z175" s="114">
        <f>VLOOKUP(Tabla12[[#This Row],[CÓDIGO DEL PRODUCTO Y/O SERVICIO ]],Tabla3[],3)</f>
        <v>400</v>
      </c>
      <c r="AA175" s="114">
        <f>Tabla12[[#This Row],[UNIDADES PRODUCIDAS AÑO 1 2]]*G152</f>
        <v>400</v>
      </c>
      <c r="AB175" s="112">
        <f>VLOOKUP(Tabla12[[#This Row],[CÓDIGO DEL PRODUCTO Y/O SERVICIO ]],Tabla3[],9)</f>
        <v>0.25</v>
      </c>
      <c r="AC175" s="114">
        <f>Tabla12[[#This Row],[CANTIDADES A UTILIZAR EN EL AÑO 1 2 ]]*(1+Tabla12[[#This Row],[CAMBIO PORCENTUAL EN UNIDADES VENDIDAS AÑO 2 2 ]])</f>
        <v>500</v>
      </c>
      <c r="AD175" s="112">
        <f>VLOOKUP(Tabla12[[#This Row],[CÓDIGO DEL PRODUCTO Y/O SERVICIO ]],Tabla3[],13)</f>
        <v>0.36</v>
      </c>
      <c r="AE175" s="114">
        <f>Tabla12[[#This Row],[CANTIDADES A UTILIZAR EN EL AÑO 2 2 ]]*(1+Tabla12[[#This Row],[CAMBIO PORCENTUAL EN UNIDADES VENDIDAS AÑO 3 2]])</f>
        <v>679.99999999999989</v>
      </c>
      <c r="AF175" s="112">
        <f>VLOOKUP(Tabla12[[#This Row],[CÓDIGO DEL PRODUCTO Y/O SERVICIO ]],Tabla3[],17)</f>
        <v>5.8823529411764705E-2</v>
      </c>
      <c r="AG175" s="114">
        <f>Tabla12[[#This Row],[CANTIDADES A UTILIZAR EN EL AÑO 3 2]]*(1+Tabla12[[#This Row],[CAMBIO PORCENTUAL EN UNIDADES VENDIDAS AÑO 4 2]])</f>
        <v>719.99999999999989</v>
      </c>
      <c r="AH175" s="112">
        <f>VLOOKUP(Tabla12[[#This Row],[CÓDIGO DEL PRODUCTO Y/O SERVICIO ]],Tabla3[],21)</f>
        <v>0.22222222222222221</v>
      </c>
      <c r="AI175" s="114">
        <f>Tabla12[[#This Row],[CANTIDADES A UTILIZAR EN EL AÑO 4 2]]*(1+Tabla12[[#This Row],[CAMBIO PORCENTUAL EN UNIDADES VENDIDAS AÑO 5 2]])</f>
        <v>879.99999999999989</v>
      </c>
      <c r="AJ175" s="344">
        <f>IF(Tabla12[[#This Row],[CANTIDADES A UTILIZAR EN EL AÑO 1 2 ]]=0,0,Tabla12[[#This Row],[CANTIDADES A UTILIZAR EN EL AÑO 1 2 ]]*1/Tabla12[[#This Row],[UNIDADES PRODUCIDAS AÑO 1 2]])</f>
        <v>1</v>
      </c>
      <c r="AK175" s="344">
        <f>$C$135*(1+BASES!$E$10)</f>
        <v>20224.000000000004</v>
      </c>
      <c r="AL175" s="344">
        <f>Tabla12[[#This Row],[COSTO UNITARIO AÑO 2 2]]*(1+BASES!$F$10)</f>
        <v>20450.508800000007</v>
      </c>
      <c r="AM175" s="344">
        <f>Tabla12[[#This Row],[COSTO UNITARIO AÑO 3 2 ]]*(1+BASES!$G$10)</f>
        <v>20679.55449856001</v>
      </c>
      <c r="AN175" s="344">
        <f>Tabla12[[#This Row],[COSTO UNITARIO AÑO 4 2 ]]*(1+BASES!$H$10)</f>
        <v>20911.165508943883</v>
      </c>
      <c r="AO175" s="344">
        <f>Tabla12[[#This Row],[COSTO POR UNIDAD DE PRODUCTO (2)]]*$C$135*VLOOKUP(Tabla12[[#This Row],[CÓDIGO DEL PRODUCTO Y/O SERVICIO ]],Tabla3[],3)</f>
        <v>8000000</v>
      </c>
      <c r="AP175" s="344">
        <f>Tabla12[[#This Row],[COSTO POR UNIDAD DE PRODUCTO (2)]]*Tabla12[[#This Row],[COSTO UNITARIO AÑO 2 2]]*VLOOKUP(Tabla12[[#This Row],[CÓDIGO DEL PRODUCTO Y/O SERVICIO ]],Tabla3[],6)</f>
        <v>10112000.000000002</v>
      </c>
      <c r="AQ175" s="344">
        <f>Tabla12[[#This Row],[COSTO POR UNIDAD DE PRODUCTO (2)]]*Tabla12[[#This Row],[COSTO UNITARIO AÑO 3 2 ]]*VLOOKUP(Tabla12[[#This Row],[CÓDIGO DEL PRODUCTO Y/O SERVICIO ]],Tabla3[],10)</f>
        <v>13906345.984000005</v>
      </c>
      <c r="AR175" s="344">
        <f>Tabla12[[#This Row],[COSTO POR UNIDAD DE PRODUCTO (2)]]*Tabla12[[#This Row],[COSTO UNITARIO AÑO 4 2 ]]*VLOOKUP(Tabla12[[#This Row],[CÓDIGO DEL PRODUCTO Y/O SERVICIO ]],Tabla3[],14)</f>
        <v>14889279.238963207</v>
      </c>
      <c r="AS175" s="344">
        <f>Tabla12[[#This Row],[COSTO POR UNIDAD DE PRODUCTO (2)]]*Tabla12[[#This Row],[COSTO UNITARIO AÑO 5 2 ]]*VLOOKUP(Tabla12[[#This Row],[CÓDIGO DEL PRODUCTO Y/O SERVICIO ]],Tabla3[],18)</f>
        <v>18401825.647870615</v>
      </c>
      <c r="AT175" s="114">
        <f>VLOOKUP(Tabla12[[#This Row],[CÓDIGO DEL PRODUCTO Y/O SERVICIO ]],Tabla3[],3)</f>
        <v>400</v>
      </c>
      <c r="AU175" s="114">
        <f>Tabla12[[#This Row],[UNIDADES PRODUCIDAS AÑO 1 3]]*H152</f>
        <v>0</v>
      </c>
      <c r="AV175" s="112">
        <f>VLOOKUP(Tabla12[[#This Row],[CÓDIGO DEL PRODUCTO Y/O SERVICIO ]],Tabla3[],9)</f>
        <v>0.25</v>
      </c>
      <c r="AW175" s="114">
        <f>Tabla12[[#This Row],[CANTIDADES A UTILIZAR EN EL AÑO 1 3]]*(1+Tabla12[[#This Row],[CAMBIO PORCENTUAL EN UNIDADES VENDIDAS AÑO 2 3]])</f>
        <v>0</v>
      </c>
      <c r="AX175" s="112">
        <f>VLOOKUP(Tabla12[[#This Row],[CÓDIGO DEL PRODUCTO Y/O SERVICIO ]],Tabla3[],13)</f>
        <v>0.36</v>
      </c>
      <c r="AY175" s="114">
        <f>Tabla12[[#This Row],[CANTIDADES A UTILIZAR EN EL AÑO 2 3]]*(1+Tabla12[[#This Row],[CAMBIO PORCENTUAL EN UNIDADES VENDIDAS AÑO 3 3]])</f>
        <v>0</v>
      </c>
      <c r="AZ175" s="112">
        <f>VLOOKUP(Tabla12[[#This Row],[CÓDIGO DEL PRODUCTO Y/O SERVICIO ]],Tabla3[],17)</f>
        <v>5.8823529411764705E-2</v>
      </c>
      <c r="BA175" s="114">
        <f>Tabla12[[#This Row],[CANTIDADES A UTILIZAR EN EL AÑO 3 3]]*(1+Tabla12[[#This Row],[CAMBIO PORCENTUAL EN UNIDADES VENDIDAS AÑO 4 3]])</f>
        <v>0</v>
      </c>
      <c r="BB175" s="112">
        <f>VLOOKUP(Tabla12[[#This Row],[CÓDIGO DEL PRODUCTO Y/O SERVICIO ]],Tabla3[],21)</f>
        <v>0.22222222222222221</v>
      </c>
      <c r="BC175" s="114">
        <f>Tabla12[[#This Row],[CANTIDADES A UTILIZAR EN EL AÑO 4 3]]*(1+Tabla12[[#This Row],[CAMBIO PORCENTUAL EN UNIDADES VENDIDAS AÑO 5 3]])</f>
        <v>0</v>
      </c>
      <c r="BD175" s="344">
        <f>IF(Tabla12[[#This Row],[CANTIDADES A UTILIZAR EN EL AÑO 1 3]]=0,0,Tabla12[[#This Row],[CANTIDADES A UTILIZAR EN EL AÑO 1 3]]*1/Tabla12[[#This Row],[UNIDADES PRODUCIDAS AÑO 1 3]])</f>
        <v>0</v>
      </c>
      <c r="BE175" s="344">
        <f>$C$136*(1+BASES!$E$10)</f>
        <v>0</v>
      </c>
      <c r="BF175" s="344">
        <f>Tabla12[[#This Row],[COSTO UNITARIO AÑO 2 3]]*(1+BASES!$F$10)</f>
        <v>0</v>
      </c>
      <c r="BG175" s="344">
        <f>Tabla12[[#This Row],[COSTO UNITARIO AÑO 3 3 ]]*(1+BASES!$G$10)</f>
        <v>0</v>
      </c>
      <c r="BH175" s="344">
        <f>Tabla12[[#This Row],[COSTO UNITARIO AÑO 4 3]]*(1+BASES!$H$10)</f>
        <v>0</v>
      </c>
      <c r="BI175" s="344">
        <f>Tabla12[[#This Row],[COSTO POR UNIDAD DE PRODUCTO (3)]]*$C$136*VLOOKUP(Tabla12[[#This Row],[CÓDIGO DEL PRODUCTO Y/O SERVICIO ]],Tabla3[],3)</f>
        <v>0</v>
      </c>
      <c r="BJ175" s="344">
        <f>Tabla12[[#This Row],[COSTO POR UNIDAD DE PRODUCTO (3)]]*Tabla12[[#This Row],[COSTO UNITARIO AÑO 2 3]]*VLOOKUP(Tabla12[[#This Row],[CÓDIGO DEL PRODUCTO Y/O SERVICIO ]],Tabla3[],6)</f>
        <v>0</v>
      </c>
      <c r="BK175" s="344">
        <f>Tabla12[[#This Row],[COSTO POR UNIDAD DE PRODUCTO (3)]]*Tabla12[[#This Row],[COSTO UNITARIO AÑO 3 3 ]]*VLOOKUP(Tabla12[[#This Row],[CÓDIGO DEL PRODUCTO Y/O SERVICIO ]],Tabla3[],10)</f>
        <v>0</v>
      </c>
      <c r="BL175" s="344">
        <f>Tabla12[[#This Row],[COSTO POR UNIDAD DE PRODUCTO (3)]]*Tabla12[[#This Row],[COSTO UNITARIO AÑO 4 3]]*VLOOKUP(Tabla12[[#This Row],[CÓDIGO DEL PRODUCTO Y/O SERVICIO ]],Tabla3[],14)</f>
        <v>0</v>
      </c>
      <c r="BM175" s="344">
        <f>Tabla12[[#This Row],[COSTO POR UNIDAD DE PRODUCTO (3)]]*Tabla12[[#This Row],[COSTO UNITARIO AÑO 5 3 ]]*VLOOKUP(Tabla12[[#This Row],[CÓDIGO DEL PRODUCTO Y/O SERVICIO ]],Tabla3[],18)</f>
        <v>0</v>
      </c>
      <c r="BN175" s="114">
        <f>VLOOKUP(Tabla12[[#This Row],[CÓDIGO DEL PRODUCTO Y/O SERVICIO ]],Tabla3[],3)</f>
        <v>400</v>
      </c>
      <c r="BO175" s="114">
        <f>Tabla12[[#This Row],[UNIDADES PRODUCIDAS AÑO 1 4]]*I152</f>
        <v>0</v>
      </c>
      <c r="BP175" s="112">
        <f>VLOOKUP(Tabla12[[#This Row],[CÓDIGO DEL PRODUCTO Y/O SERVICIO ]],Tabla3[],9)</f>
        <v>0.25</v>
      </c>
      <c r="BQ175" s="114">
        <f>Tabla12[[#This Row],[CANTIDADES A UTILIZAR EN EL AÑO 1 4]]*(1+Tabla12[[#This Row],[CAMBIO PORCENTUAL EN UNIDADES VENDIDAS AÑO 2 4]])</f>
        <v>0</v>
      </c>
      <c r="BR175" s="112">
        <f>VLOOKUP(Tabla12[[#This Row],[CÓDIGO DEL PRODUCTO Y/O SERVICIO ]],Tabla3[],13)</f>
        <v>0.36</v>
      </c>
      <c r="BS175" s="114">
        <f>Tabla12[[#This Row],[CANTIDADES A UTILIZAR EN EL AÑO 2 4]]*(1+Tabla12[[#This Row],[CAMBIO PORCENTUAL EN UNIDADES VENDIDAS AÑO 3 4]])</f>
        <v>0</v>
      </c>
      <c r="BT175" s="112">
        <f>VLOOKUP(Tabla12[[#This Row],[CÓDIGO DEL PRODUCTO Y/O SERVICIO ]],Tabla3[],17)</f>
        <v>5.8823529411764705E-2</v>
      </c>
      <c r="BU175" s="114">
        <f>Tabla12[[#This Row],[CANTIDADES A UTILIZAR EN EL AÑO 3 4 ]]*(1+Tabla12[[#This Row],[CAMBIO PORCENTUAL EN UNIDADES VENDIDAS AÑO 4 4 ]])</f>
        <v>0</v>
      </c>
      <c r="BV175" s="112">
        <f>VLOOKUP(Tabla12[[#This Row],[CÓDIGO DEL PRODUCTO Y/O SERVICIO ]],Tabla3[],21)</f>
        <v>0.22222222222222221</v>
      </c>
      <c r="BW175" s="114">
        <f>Tabla12[[#This Row],[CANTIDADES A UTILIZAR EN EL AÑO 4 4 ]]*(1+Tabla12[[#This Row],[CAMBIO PORCENTUAL EN UNIDADES VENDIDAS AÑO 5 4 ]])</f>
        <v>0</v>
      </c>
      <c r="BX175" s="344">
        <f>IF(Tabla12[[#This Row],[CANTIDADES A UTILIZAR EN EL AÑO 1 4]]=0,0,Tabla12[[#This Row],[CANTIDADES A UTILIZAR EN EL AÑO 1 4]]*1/Tabla12[[#This Row],[UNIDADES PRODUCIDAS AÑO 1 4]])</f>
        <v>0</v>
      </c>
      <c r="BY175" s="344">
        <f>$C$137*(1+BASES!$E$10)</f>
        <v>0</v>
      </c>
      <c r="BZ175" s="344">
        <f>Tabla12[[#This Row],[COSTO UNITARIO AÑO 2 4 ]]*(1+BASES!$F$10)</f>
        <v>0</v>
      </c>
      <c r="CA175" s="344">
        <f>Tabla12[[#This Row],[COSTO UNITARIO AÑO 3 4 ]]*(1+BASES!$G$10)</f>
        <v>0</v>
      </c>
      <c r="CB175" s="344">
        <f>Tabla12[[#This Row],[COSTO UNITARIO AÑO 4 4 ]]*(1+BASES!$H$10)</f>
        <v>0</v>
      </c>
      <c r="CC175" s="344">
        <f>Tabla12[[#This Row],[COSTO POR UNIDAD DE PRODUCTO (4)]]*$C$137*VLOOKUP(Tabla12[[#This Row],[CÓDIGO DEL PRODUCTO Y/O SERVICIO ]],Tabla3[],3)</f>
        <v>0</v>
      </c>
      <c r="CD175" s="344">
        <f>Tabla12[[#This Row],[COSTO POR UNIDAD DE PRODUCTO (4)]]*Tabla12[[#This Row],[COSTO UNITARIO AÑO 2 4 ]]*VLOOKUP(Tabla12[[#This Row],[CÓDIGO DEL PRODUCTO Y/O SERVICIO ]],Tabla3[],6)</f>
        <v>0</v>
      </c>
      <c r="CE175" s="344">
        <f>Tabla12[[#This Row],[COSTO POR UNIDAD DE PRODUCTO (4)]]*Tabla12[[#This Row],[COSTO UNITARIO AÑO 3 4 ]]*VLOOKUP(Tabla12[[#This Row],[CÓDIGO DEL PRODUCTO Y/O SERVICIO ]],Tabla3[],10)</f>
        <v>0</v>
      </c>
      <c r="CF175" s="344">
        <f>Tabla12[[#This Row],[COSTO POR UNIDAD DE PRODUCTO (4)]]*Tabla12[[#This Row],[COSTO UNITARIO AÑO 4 4 ]]*VLOOKUP(Tabla12[[#This Row],[CÓDIGO DEL PRODUCTO Y/O SERVICIO ]],Tabla3[],14)</f>
        <v>0</v>
      </c>
      <c r="CG175" s="344">
        <f>Tabla12[[#This Row],[COSTO POR UNIDAD DE PRODUCTO (4)]]*Tabla12[[#This Row],[COSTO UNITARIO AÑO 5 4 ]]*VLOOKUP(Tabla12[[#This Row],[CÓDIGO DEL PRODUCTO Y/O SERVICIO ]],Tabla3[],18)</f>
        <v>0</v>
      </c>
      <c r="CH175" s="114">
        <f>VLOOKUP(Tabla12[[#This Row],[CÓDIGO DEL PRODUCTO Y/O SERVICIO ]],Tabla3[],3)</f>
        <v>400</v>
      </c>
      <c r="CI175" s="114">
        <f>Tabla12[[#This Row],[UNIDADES PRODUCIDAS AÑO 1 5]]*J152</f>
        <v>0</v>
      </c>
      <c r="CJ175" s="112">
        <f>VLOOKUP(Tabla12[[#This Row],[CÓDIGO DEL PRODUCTO Y/O SERVICIO ]],Tabla3[],9)</f>
        <v>0.25</v>
      </c>
      <c r="CK175" s="114">
        <f>Tabla12[[#This Row],[CANTIDADES A UTILIZAR EN EL AÑO 1 5]]*(1+Tabla12[[#This Row],[CAMBIO PORCENTUAL EN UNIDADES VENDIDAS AÑO 2 5 ]])</f>
        <v>0</v>
      </c>
      <c r="CL175" s="112">
        <f>VLOOKUP(Tabla12[[#This Row],[CÓDIGO DEL PRODUCTO Y/O SERVICIO ]],Tabla3[],13)</f>
        <v>0.36</v>
      </c>
      <c r="CM175" s="114">
        <f>Tabla12[[#This Row],[CANTIDADES A UTILIZAR EN EL AÑO 2 5]]*(1+Tabla12[[#This Row],[CAMBIO PORCENTUAL EN UNIDADES VENDIDAS AÑO 3 5 ]])</f>
        <v>0</v>
      </c>
      <c r="CN175" s="112">
        <f>VLOOKUP(Tabla12[[#This Row],[CÓDIGO DEL PRODUCTO Y/O SERVICIO ]],Tabla3[],17)</f>
        <v>5.8823529411764705E-2</v>
      </c>
      <c r="CO175" s="114">
        <f>Tabla12[[#This Row],[CANTIDADES A UTILIZAR EN EL AÑO 3 5 ]]*(1+Tabla12[[#This Row],[CAMBIO PORCENTUAL EN UNIDADES VENDIDAS AÑO 4 5 ]])</f>
        <v>0</v>
      </c>
      <c r="CP175" s="112">
        <f>VLOOKUP(Tabla12[[#This Row],[CÓDIGO DEL PRODUCTO Y/O SERVICIO ]],Tabla3[],21)</f>
        <v>0.22222222222222221</v>
      </c>
      <c r="CQ175" s="114">
        <f>Tabla12[[#This Row],[CANTIDADES A UTILIZAR EN EL AÑO 4 5 ]]*(1+Tabla12[[#This Row],[CAMBIO PORCENTUAL EN UNIDADES VENDIDAS AÑO 5 5]])</f>
        <v>0</v>
      </c>
      <c r="CR175" s="344">
        <f>IF(Tabla12[[#This Row],[CANTIDADES A UTILIZAR EN EL AÑO 1 5]]=0,0,Tabla12[[#This Row],[CANTIDADES A UTILIZAR EN EL AÑO 1 5]]*1/Tabla12[[#This Row],[UNIDADES PRODUCIDAS AÑO 1 5]])</f>
        <v>0</v>
      </c>
      <c r="CS175" s="344">
        <f>$C$138*(1+BASES!$E$10)</f>
        <v>0</v>
      </c>
      <c r="CT175" s="344">
        <f>Tabla12[[#This Row],[COSTO UNITARIO AÑO 2 5]]*(1+BASES!$F$10)</f>
        <v>0</v>
      </c>
      <c r="CU175" s="344">
        <f>Tabla12[[#This Row],[COSTO UNITARIO AÑO 3 5]]*(1+BASES!$G$10)</f>
        <v>0</v>
      </c>
      <c r="CV175" s="344">
        <f>Tabla12[[#This Row],[COSTO UNITARIO AÑO 4 5]]*(1+BASES!$H$10)</f>
        <v>0</v>
      </c>
      <c r="CW175" s="344">
        <f>Tabla12[[#This Row],[COSTO POR UNIDAD DE PRODUCTO (5)]]*$C$138*VLOOKUP(Tabla12[[#This Row],[CÓDIGO DEL PRODUCTO Y/O SERVICIO ]],Tabla3[],3)</f>
        <v>0</v>
      </c>
      <c r="CX175" s="344">
        <f>Tabla12[[#This Row],[COSTO POR UNIDAD DE PRODUCTO (5)]]*Tabla12[[#This Row],[COSTO UNITARIO AÑO 2 5]]*VLOOKUP(Tabla12[[#This Row],[CÓDIGO DEL PRODUCTO Y/O SERVICIO ]],Tabla3[],6)</f>
        <v>0</v>
      </c>
      <c r="CY175" s="344">
        <f>Tabla12[[#This Row],[COSTO POR UNIDAD DE PRODUCTO (5)]]*Tabla12[[#This Row],[COSTO UNITARIO AÑO 3 5]]*VLOOKUP(Tabla12[[#This Row],[CÓDIGO DEL PRODUCTO Y/O SERVICIO ]],Tabla3[],10)</f>
        <v>0</v>
      </c>
      <c r="CZ175" s="344">
        <f>Tabla12[[#This Row],[COSTO POR UNIDAD DE PRODUCTO (5)]]*Tabla12[[#This Row],[COSTO UNITARIO AÑO 4 5]]*VLOOKUP(Tabla12[[#This Row],[CÓDIGO DEL PRODUCTO Y/O SERVICIO ]],Tabla3[],14)</f>
        <v>0</v>
      </c>
      <c r="DA175" s="344">
        <f>Tabla12[[#This Row],[COSTO POR UNIDAD DE PRODUCTO (5)]]*Tabla12[[#This Row],[COSTO UNITARIO AÑO 5 5 ]]*VLOOKUP(Tabla12[[#This Row],[CÓDIGO DEL PRODUCTO Y/O SERVICIO ]],Tabla3[],18)</f>
        <v>0</v>
      </c>
      <c r="DB175" s="114">
        <f>VLOOKUP(Tabla12[[#This Row],[CÓDIGO DEL PRODUCTO Y/O SERVICIO ]],Tabla3[],3)</f>
        <v>400</v>
      </c>
      <c r="DC175" s="114">
        <f>Tabla12[[#This Row],[UNIDADES PRODUCIDAS AÑO 1 6]]*K152</f>
        <v>0</v>
      </c>
      <c r="DD175" s="112">
        <f>VLOOKUP(Tabla12[[#This Row],[CÓDIGO DEL PRODUCTO Y/O SERVICIO ]],Tabla3[],9)</f>
        <v>0.25</v>
      </c>
      <c r="DE175" s="114">
        <f>Tabla12[[#This Row],[CANTIDADES A UTILIZAR EN EL AÑO 1 6]]*(1+Tabla12[[#This Row],[CAMBIO PORCENTUAL EN UNIDADES VENDIDAS AÑO 2 6]])</f>
        <v>0</v>
      </c>
      <c r="DF175" s="112">
        <f>VLOOKUP(Tabla12[[#This Row],[CÓDIGO DEL PRODUCTO Y/O SERVICIO ]],Tabla3[],13)</f>
        <v>0.36</v>
      </c>
      <c r="DG175" s="114">
        <f>Tabla12[[#This Row],[CANTIDADES A UTILIZAR EN EL AÑO 2 6]]*(1+Tabla12[[#This Row],[CAMBIO PORCENTUAL EN UNIDADES VENDIDAS AÑO 3 6]])</f>
        <v>0</v>
      </c>
      <c r="DH175" s="112">
        <f>VLOOKUP(Tabla12[[#This Row],[CÓDIGO DEL PRODUCTO Y/O SERVICIO ]],Tabla3[],17)</f>
        <v>5.8823529411764705E-2</v>
      </c>
      <c r="DI175" s="114">
        <f>Tabla12[[#This Row],[CANTIDADES A UTILIZAR EN EL AÑO 3 6]]*(1+Tabla12[[#This Row],[CAMBIO PORCENTUAL EN UNIDADES VENDIDAS AÑO 4 6]])</f>
        <v>0</v>
      </c>
      <c r="DJ175" s="112">
        <f>VLOOKUP(Tabla12[[#This Row],[CÓDIGO DEL PRODUCTO Y/O SERVICIO ]],Tabla3[],21)</f>
        <v>0.22222222222222221</v>
      </c>
      <c r="DK175" s="114">
        <f>Tabla12[[#This Row],[CANTIDADES A UTILIZAR EN EL AÑO 4 6]]*(1+Tabla12[[#This Row],[CAMBIO PORCENTUAL EN UNIDADES VENDIDAS AÑO 5 6]])</f>
        <v>0</v>
      </c>
      <c r="DL175" s="344">
        <f>IF(Tabla12[[#This Row],[CANTIDADES A UTILIZAR EN EL AÑO 1 6]]=0,0,Tabla12[[#This Row],[CANTIDADES A UTILIZAR EN EL AÑO 1 6]]*1/Tabla12[[#This Row],[UNIDADES PRODUCIDAS AÑO 1 6]])</f>
        <v>0</v>
      </c>
      <c r="DM175" s="344">
        <f>$C$139*(1+BASES!$E$10)</f>
        <v>0</v>
      </c>
      <c r="DN175" s="344">
        <f>Tabla12[[#This Row],[COSTO UNITARIO AÑO 2 6]]*(1+BASES!$F$10)</f>
        <v>0</v>
      </c>
      <c r="DO175" s="344">
        <f>Tabla12[[#This Row],[COSTO UNITARIO AÑO 3 6]]*(1+BASES!$G$10)</f>
        <v>0</v>
      </c>
      <c r="DP175" s="344">
        <f>Tabla12[[#This Row],[COSTO UNITARIO AÑO 4 6]]*(1+BASES!$H$10)</f>
        <v>0</v>
      </c>
      <c r="DQ175" s="344">
        <f>Tabla12[[#This Row],[COSTO POR UNIDAD DE PRODUCTO (6)]]*$C$139*VLOOKUP(Tabla12[[#This Row],[CÓDIGO DEL PRODUCTO Y/O SERVICIO ]],Tabla3[],3)</f>
        <v>0</v>
      </c>
      <c r="DR175" s="344">
        <f>Tabla12[[#This Row],[COSTO POR UNIDAD DE PRODUCTO (6)]]*Tabla12[[#This Row],[COSTO UNITARIO AÑO 2 6]]*VLOOKUP(Tabla12[[#This Row],[CÓDIGO DEL PRODUCTO Y/O SERVICIO ]],Tabla3[],6)</f>
        <v>0</v>
      </c>
      <c r="DS175" s="344">
        <f>Tabla12[[#This Row],[COSTO POR UNIDAD DE PRODUCTO (6)]]*Tabla12[[#This Row],[COSTO UNITARIO AÑO 3 6]]*VLOOKUP(Tabla12[[#This Row],[CÓDIGO DEL PRODUCTO Y/O SERVICIO ]],Tabla3[],10)</f>
        <v>0</v>
      </c>
      <c r="DT175" s="344">
        <f>Tabla12[[#This Row],[COSTO POR UNIDAD DE PRODUCTO (6)]]*Tabla12[[#This Row],[COSTO UNITARIO AÑO 4 6]]*VLOOKUP(Tabla12[[#This Row],[CÓDIGO DEL PRODUCTO Y/O SERVICIO ]],Tabla3[],14)</f>
        <v>0</v>
      </c>
      <c r="DU175" s="344">
        <f>Tabla12[[#This Row],[COSTO POR UNIDAD DE PRODUCTO (6)]]*Tabla12[[#This Row],[COSTO UNITARIO AÑO 5 6]]*VLOOKUP(Tabla12[[#This Row],[CÓDIGO DEL PRODUCTO Y/O SERVICIO ]],Tabla3[],18)</f>
        <v>0</v>
      </c>
      <c r="DV175" s="114">
        <f>VLOOKUP(Tabla12[[#This Row],[CÓDIGO DEL PRODUCTO Y/O SERVICIO ]],Tabla3[],3)</f>
        <v>400</v>
      </c>
      <c r="DW175" s="114">
        <f>Tabla12[[#This Row],[UNIDADES PRODUCIDAS AÑO 1 7]]*L152</f>
        <v>0</v>
      </c>
      <c r="DX175" s="112">
        <f>VLOOKUP(Tabla12[[#This Row],[CÓDIGO DEL PRODUCTO Y/O SERVICIO ]],Tabla3[],9)</f>
        <v>0.25</v>
      </c>
      <c r="DY175" s="114">
        <f>Tabla12[[#This Row],[CANTIDADES A UTILIZAR EN EL AÑO 1 7]]*(1+Tabla12[[#This Row],[CAMBIO PORCENTUAL EN UNIDADES VENDIDAS AÑO 2 7]])</f>
        <v>0</v>
      </c>
      <c r="DZ175" s="112">
        <f>VLOOKUP(Tabla12[[#This Row],[CÓDIGO DEL PRODUCTO Y/O SERVICIO ]],Tabla3[],13)</f>
        <v>0.36</v>
      </c>
      <c r="EA175" s="114">
        <f>Tabla12[[#This Row],[CANTIDADES A UTILIZAR EN EL AÑO 2 7]]*(1+Tabla12[[#This Row],[CAMBIO PORCENTUAL EN UNIDADES VENDIDAS AÑO 3 7]])</f>
        <v>0</v>
      </c>
      <c r="EB175" s="112">
        <f>VLOOKUP(Tabla12[[#This Row],[CÓDIGO DEL PRODUCTO Y/O SERVICIO ]],Tabla3[],17)</f>
        <v>5.8823529411764705E-2</v>
      </c>
      <c r="EC175" s="114">
        <f>Tabla12[[#This Row],[CANTIDADES A UTILIZAR EN EL AÑO 3 7]]*(1+Tabla12[[#This Row],[CAMBIO PORCENTUAL EN UNIDADES VENDIDAS AÑO 4 7]])</f>
        <v>0</v>
      </c>
      <c r="ED175" s="112">
        <f>VLOOKUP(Tabla12[[#This Row],[CÓDIGO DEL PRODUCTO Y/O SERVICIO ]],Tabla3[],21)</f>
        <v>0.22222222222222221</v>
      </c>
      <c r="EE175" s="114">
        <f>Tabla12[[#This Row],[CANTIDADES A UTILIZAR EN EL AÑO 4 7]]*(1+Tabla12[[#This Row],[CAMBIO PORCENTUAL EN UNIDADES VENDIDAS AÑO 5 7]])</f>
        <v>0</v>
      </c>
      <c r="EF175" s="344">
        <f>IF(Tabla12[[#This Row],[CANTIDADES A UTILIZAR EN EL AÑO 1 7]]=0,0,Tabla12[[#This Row],[CANTIDADES A UTILIZAR EN EL AÑO 1 7]]*1/Tabla12[[#This Row],[UNIDADES PRODUCIDAS AÑO 1 7]])</f>
        <v>0</v>
      </c>
      <c r="EG175" s="344">
        <f>$C$140*(1+BASES!$E$10)</f>
        <v>0</v>
      </c>
      <c r="EH175" s="344">
        <f>Tabla12[[#This Row],[COSTO UNITARIO AÑO 2 7]]*(1+BASES!$F$10)</f>
        <v>0</v>
      </c>
      <c r="EI175" s="344">
        <f>Tabla12[[#This Row],[COSTO UNITARIO AÑO 3 7]]*(1+BASES!$G$10)</f>
        <v>0</v>
      </c>
      <c r="EJ175" s="344">
        <f>Tabla12[[#This Row],[COSTO UNITARIO AÑO 4 7]]*(1+BASES!$H$10)</f>
        <v>0</v>
      </c>
      <c r="EK175" s="344">
        <f>Tabla12[[#This Row],[COSTO POR UNIDAD DE PRODUCTO (7)]]*$C$140*VLOOKUP(Tabla12[[#This Row],[CÓDIGO DEL PRODUCTO Y/O SERVICIO ]],Tabla3[],3)</f>
        <v>0</v>
      </c>
      <c r="EL175" s="344">
        <f>Tabla12[[#This Row],[COSTO POR UNIDAD DE PRODUCTO (7)]]*Tabla12[[#This Row],[COSTO UNITARIO AÑO 2 7]]*VLOOKUP(Tabla12[[#This Row],[CÓDIGO DEL PRODUCTO Y/O SERVICIO ]],Tabla3[],6)</f>
        <v>0</v>
      </c>
      <c r="EM175" s="344">
        <f>Tabla12[[#This Row],[COSTO POR UNIDAD DE PRODUCTO (7)]]*Tabla12[[#This Row],[COSTO UNITARIO AÑO 3 7]]*VLOOKUP(Tabla12[[#This Row],[CÓDIGO DEL PRODUCTO Y/O SERVICIO ]],Tabla3[],10)</f>
        <v>0</v>
      </c>
      <c r="EN175" s="344">
        <f>Tabla12[[#This Row],[COSTO POR UNIDAD DE PRODUCTO (7)]]*Tabla12[[#This Row],[COSTO UNITARIO AÑO 4 7]]*VLOOKUP(Tabla12[[#This Row],[CÓDIGO DEL PRODUCTO Y/O SERVICIO ]],Tabla3[],14)</f>
        <v>0</v>
      </c>
      <c r="EO175" s="344">
        <f>Tabla12[[#This Row],[COSTO POR UNIDAD DE PRODUCTO (7)]]*Tabla12[[#This Row],[COSTO UNITARIO AÑO 5 7]]*VLOOKUP(Tabla12[[#This Row],[CÓDIGO DEL PRODUCTO Y/O SERVICIO ]],Tabla3[],18)</f>
        <v>0</v>
      </c>
      <c r="EP175" s="114">
        <f>VLOOKUP(Tabla12[[#This Row],[CÓDIGO DEL PRODUCTO Y/O SERVICIO ]],Tabla3[],3)</f>
        <v>400</v>
      </c>
      <c r="EQ175" s="114">
        <f>Tabla12[[#This Row],[UNIDADES PRODUCIDAS AÑO 1 8]]*M152</f>
        <v>0</v>
      </c>
      <c r="ER175" s="112">
        <f>VLOOKUP(Tabla12[[#This Row],[CÓDIGO DEL PRODUCTO Y/O SERVICIO ]],Tabla3[],9)</f>
        <v>0.25</v>
      </c>
      <c r="ES175" s="114">
        <f>Tabla12[[#This Row],[CANTIDADES A UTILIZAR EN EL AÑO 1 8]]*(1+Tabla12[[#This Row],[CAMBIO PORCENTUAL EN UNIDADES VENDIDAS AÑO 2 8]])</f>
        <v>0</v>
      </c>
      <c r="ET175" s="112">
        <f>VLOOKUP(Tabla12[[#This Row],[CÓDIGO DEL PRODUCTO Y/O SERVICIO ]],Tabla3[],13)</f>
        <v>0.36</v>
      </c>
      <c r="EU175" s="114">
        <f>Tabla12[[#This Row],[CANTIDADES A UTILIZAR EN EL AÑO 2 8]]*(1+Tabla12[[#This Row],[CAMBIO PORCENTUAL EN UNIDADES VENDIDAS AÑO 3 8]])</f>
        <v>0</v>
      </c>
      <c r="EV175" s="112">
        <f>VLOOKUP(Tabla12[[#This Row],[CÓDIGO DEL PRODUCTO Y/O SERVICIO ]],Tabla3[],17)</f>
        <v>5.8823529411764705E-2</v>
      </c>
      <c r="EW175" s="114">
        <f>Tabla12[[#This Row],[CANTIDADES A UTILIZAR EN EL AÑO 3 8]]*(1+Tabla12[[#This Row],[CAMBIO PORCENTUAL EN UNIDADES VENDIDAS AÑO 4 8]])</f>
        <v>0</v>
      </c>
      <c r="EX175" s="112">
        <f>VLOOKUP(Tabla12[[#This Row],[CÓDIGO DEL PRODUCTO Y/O SERVICIO ]],Tabla3[],21)</f>
        <v>0.22222222222222221</v>
      </c>
      <c r="EY175" s="114">
        <f>Tabla12[[#This Row],[CANTIDADES A UTILIZAR EN EL AÑO 4 8]]*(1+Tabla12[[#This Row],[CAMBIO PORCENTUAL EN UNIDADES VENDIDAS AÑO 5 8]])</f>
        <v>0</v>
      </c>
      <c r="EZ175" s="344">
        <f>IF(Tabla12[[#This Row],[CANTIDADES A UTILIZAR EN EL AÑO 1 8]]=0,0,Tabla12[[#This Row],[CANTIDADES A UTILIZAR EN EL AÑO 1 8]]*1/Tabla12[[#This Row],[UNIDADES PRODUCIDAS AÑO 1 8]])</f>
        <v>0</v>
      </c>
      <c r="FA175" s="344">
        <f>$C$141*(1+BASES!$E$10)</f>
        <v>0</v>
      </c>
      <c r="FB175" s="344">
        <f>Tabla12[[#This Row],[COSTO UNITARIO AÑO 2 8]]*(1+BASES!$F$10)</f>
        <v>0</v>
      </c>
      <c r="FC175" s="344">
        <f>Tabla12[[#This Row],[COSTO UNITARIO AÑO 3 8]]*(1+BASES!$G$10)</f>
        <v>0</v>
      </c>
      <c r="FD175" s="344">
        <f>Tabla12[[#This Row],[COSTO UNITARIO AÑO 4 8]]*(1+BASES!$H$10)</f>
        <v>0</v>
      </c>
      <c r="FE175" s="344">
        <f>Tabla12[[#This Row],[COSTO POR UNIDAD DE PRODUCTO (8)]]*$C$141*VLOOKUP(Tabla12[[#This Row],[CÓDIGO DEL PRODUCTO Y/O SERVICIO ]],Tabla3[],3)</f>
        <v>0</v>
      </c>
      <c r="FF175" s="344">
        <f>Tabla12[[#This Row],[COSTO POR UNIDAD DE PRODUCTO (8)]]*Tabla12[[#This Row],[COSTO UNITARIO AÑO 2 8]]*VLOOKUP(Tabla12[[#This Row],[CÓDIGO DEL PRODUCTO Y/O SERVICIO ]],Tabla3[],6)</f>
        <v>0</v>
      </c>
      <c r="FG175" s="344">
        <f>Tabla12[[#This Row],[COSTO POR UNIDAD DE PRODUCTO (8)]]*Tabla12[[#This Row],[COSTO UNITARIO AÑO 3 8]]*VLOOKUP(Tabla12[[#This Row],[CÓDIGO DEL PRODUCTO Y/O SERVICIO ]],Tabla3[],10)</f>
        <v>0</v>
      </c>
      <c r="FH175" s="344">
        <f>Tabla12[[#This Row],[COSTO POR UNIDAD DE PRODUCTO (8)]]*Tabla12[[#This Row],[COSTO UNITARIO AÑO 4 8]]*VLOOKUP(Tabla12[[#This Row],[CÓDIGO DEL PRODUCTO Y/O SERVICIO ]],Tabla3[],14)</f>
        <v>0</v>
      </c>
      <c r="FI175" s="344">
        <f>Tabla12[[#This Row],[COSTO POR UNIDAD DE PRODUCTO (8)]]*Tabla12[[#This Row],[COSTO UNITARIO AÑO 5 8]]*VLOOKUP(Tabla12[[#This Row],[CÓDIGO DEL PRODUCTO Y/O SERVICIO ]],Tabla3[],18)</f>
        <v>0</v>
      </c>
      <c r="FJ175" s="114">
        <f>VLOOKUP(Tabla12[[#This Row],[CÓDIGO DEL PRODUCTO Y/O SERVICIO ]],Tabla3[],3)</f>
        <v>400</v>
      </c>
      <c r="FK175" s="114">
        <f>Tabla12[[#This Row],[UNIDADES PRODUCIDAS AÑO 1 9 ]]*N152</f>
        <v>0</v>
      </c>
      <c r="FL175" s="112">
        <f>VLOOKUP(Tabla12[[#This Row],[CÓDIGO DEL PRODUCTO Y/O SERVICIO ]],Tabla3[],9)</f>
        <v>0.25</v>
      </c>
      <c r="FM175" s="114">
        <f>Tabla12[[#This Row],[CANTIDADES A UTILIZAR EN EL AÑO 1 9]]*(1+Tabla12[[#This Row],[CAMBIO PORCENTUAL UNIDADES VENDIDAS AÑO 2 9 ]])</f>
        <v>0</v>
      </c>
      <c r="FN175" s="112">
        <f>VLOOKUP(Tabla12[[#This Row],[CÓDIGO DEL PRODUCTO Y/O SERVICIO ]],Tabla3[],13)</f>
        <v>0.36</v>
      </c>
      <c r="FO175" s="114">
        <f>Tabla12[[#This Row],[CANTIDADES A UTILIZAR EN EL AÑO 2 9 ]]*(1+Tabla12[[#This Row],[CAMBIO PORCENTUAL EN UNIDADES VENDIDAS AÑO 3 9 ]])</f>
        <v>0</v>
      </c>
      <c r="FP175" s="112">
        <f>VLOOKUP(Tabla12[[#This Row],[CÓDIGO DEL PRODUCTO Y/O SERVICIO ]],Tabla3[],17)</f>
        <v>5.8823529411764705E-2</v>
      </c>
      <c r="FQ175" s="114">
        <f>Tabla12[[#This Row],[CANTIDADES A UTILIZAR EN EL AÑO 3 9 ]]*(1+Tabla12[[#This Row],[CAMBIO PORCENTUAL EN UNIDADES VENDIDAS AÑO 4 9 ]])</f>
        <v>0</v>
      </c>
      <c r="FR175" s="112">
        <f>VLOOKUP(Tabla12[[#This Row],[CÓDIGO DEL PRODUCTO Y/O SERVICIO ]],Tabla3[],21)</f>
        <v>0.22222222222222221</v>
      </c>
      <c r="FS175" s="114">
        <f>Tabla12[[#This Row],[CANTIDADES A UTILIZAR EN EL AÑO 4 9]]*(1+Tabla12[[#This Row],[CAMBIO PORCENTUAL EN UNIDADES VENDIDAS AÑO 5 9]])</f>
        <v>0</v>
      </c>
      <c r="FT175" s="344">
        <f>IF(Tabla12[[#This Row],[CANTIDADES A UTILIZAR EN EL AÑO 1 9]]=0,0,Tabla12[[#This Row],[CANTIDADES A UTILIZAR EN EL AÑO 1 9]]*1/Tabla12[[#This Row],[UNIDADES PRODUCIDAS AÑO 1 9 ]])</f>
        <v>0</v>
      </c>
      <c r="FU175" s="344">
        <f>$C$142*(1+BASES!$E$10)</f>
        <v>0</v>
      </c>
      <c r="FV175" s="344">
        <f>Tabla12[[#This Row],[COSTO UNITARIO AÑO 2 9]]*(1+BASES!$F$10)</f>
        <v>0</v>
      </c>
      <c r="FW175" s="344">
        <f>Tabla12[[#This Row],[COSTO UNITARIO AÑO 3 9]]*(1+BASES!$G$10)</f>
        <v>0</v>
      </c>
      <c r="FX175" s="344">
        <f>Tabla12[[#This Row],[COSTO UNITARIO AÑO 4 9]]*(1+BASES!$H$10)</f>
        <v>0</v>
      </c>
      <c r="FY175" s="344">
        <f>Tabla12[[#This Row],[COSTO POR UNIDAD DE PRODUCTO (9)]]*$C$142*VLOOKUP(Tabla12[[#This Row],[CÓDIGO DEL PRODUCTO Y/O SERVICIO ]],Tabla3[],3)</f>
        <v>0</v>
      </c>
      <c r="FZ175" s="344">
        <f>Tabla12[[#This Row],[COSTO POR UNIDAD DE PRODUCTO (9)]]*Tabla12[[#This Row],[COSTO UNITARIO AÑO 2 9]]*VLOOKUP(Tabla12[[#This Row],[CÓDIGO DEL PRODUCTO Y/O SERVICIO ]],Tabla3[],6)</f>
        <v>0</v>
      </c>
      <c r="GA175" s="344">
        <f>Tabla12[[#This Row],[COSTO POR UNIDAD DE PRODUCTO (9)]]*Tabla12[[#This Row],[COSTO UNITARIO AÑO 3 9]]*VLOOKUP(Tabla12[[#This Row],[CÓDIGO DEL PRODUCTO Y/O SERVICIO ]],Tabla3[],10)</f>
        <v>0</v>
      </c>
      <c r="GB175" s="344">
        <f>Tabla12[[#This Row],[COSTO POR UNIDAD DE PRODUCTO (9)]]*Tabla12[[#This Row],[COSTO UNITARIO AÑO 4 9]]*VLOOKUP(Tabla12[[#This Row],[CÓDIGO DEL PRODUCTO Y/O SERVICIO ]],Tabla3[],14)</f>
        <v>0</v>
      </c>
      <c r="GC175" s="344">
        <f>Tabla12[[#This Row],[COSTO POR UNIDAD DE PRODUCTO (9)]]*Tabla12[[#This Row],[COSTO UNITARIO AÑO 5 9]]*VLOOKUP(Tabla12[[#This Row],[CÓDIGO DEL PRODUCTO Y/O SERVICIO ]],Tabla3[],18)</f>
        <v>0</v>
      </c>
      <c r="GD175" s="114">
        <f>VLOOKUP(Tabla12[[#This Row],[CÓDIGO DEL PRODUCTO Y/O SERVICIO ]],Tabla3[],3)</f>
        <v>400</v>
      </c>
      <c r="GE175" s="114">
        <f>Tabla12[[#This Row],[UNIDADES PRODUCIDAS AÑO 1 10 ]]*O152</f>
        <v>0</v>
      </c>
      <c r="GF175" s="112">
        <f>VLOOKUP(Tabla12[[#This Row],[CÓDIGO DEL PRODUCTO Y/O SERVICIO ]],Tabla3[],9)</f>
        <v>0.25</v>
      </c>
      <c r="GG175" s="112">
        <f>Tabla12[[#This Row],[CANTIDADES A UTILIZAR EN EL AÑO 1 10 ]]*(1+Tabla12[[#This Row],[CAMBIO PORCENTUAL EN UNIDADES VENDIDAS AÑO 2 10 ]])</f>
        <v>0</v>
      </c>
      <c r="GH175" s="112">
        <f>VLOOKUP(Tabla12[[#This Row],[CÓDIGO DEL PRODUCTO Y/O SERVICIO ]],Tabla3[],13)</f>
        <v>0.36</v>
      </c>
      <c r="GI175" s="114">
        <f>Tabla12[[#This Row],[CANTIDADES A UTILIZAR EN EL AÑO 2 10]]*(1+Tabla12[[#This Row],[CAMBIO PORCENTUAL EN UNIDADES VENDIDAS AÑO 3 10 ]])</f>
        <v>0</v>
      </c>
      <c r="GJ175" s="112">
        <f>VLOOKUP(Tabla12[[#This Row],[CÓDIGO DEL PRODUCTO Y/O SERVICIO ]],Tabla3[],17)</f>
        <v>5.8823529411764705E-2</v>
      </c>
      <c r="GK175" s="114">
        <f>Tabla12[[#This Row],[CANTIDADES A UTILIZAR EN EL AÑO 3 10]]*(1+Tabla12[[#This Row],[CAMBIO PORCENTUAL EN UNIDADES VENDIDAS AÑO 4 10 ]])</f>
        <v>0</v>
      </c>
      <c r="GL175" s="112">
        <f>VLOOKUP(Tabla12[[#This Row],[CÓDIGO DEL PRODUCTO Y/O SERVICIO ]],Tabla3[],21)</f>
        <v>0.22222222222222221</v>
      </c>
      <c r="GM175" s="114">
        <f>Tabla12[[#This Row],[CANTIDADES A UTILIZAR EN EL AÑO 4 10 ]]*(1+Tabla12[[#This Row],[CAMBIO PORCENTUAL EN UNIDADES VENDIDAS AÑO 5 10 ]])</f>
        <v>0</v>
      </c>
      <c r="GN175" s="344">
        <f>IF(Tabla12[[#This Row],[CANTIDADES A UTILIZAR EN EL AÑO 1 10 ]]=0,0,Tabla12[[#This Row],[CANTIDADES A UTILIZAR EN EL AÑO 1 10 ]]*1/Tabla12[[#This Row],[UNIDADES PRODUCIDAS AÑO 1 10 ]])</f>
        <v>0</v>
      </c>
      <c r="GO175" s="344">
        <f>$C$143*(1+BASES!$E$10)</f>
        <v>0</v>
      </c>
      <c r="GP175" s="344">
        <f>Tabla12[[#This Row],[COSTO UNITARIO AÑO 2 10 ]]*(1+BASES!$F$10)</f>
        <v>0</v>
      </c>
      <c r="GQ175" s="344">
        <f>Tabla12[[#This Row],[COSTO UNITARIO AÑO 3 10 ]]*(1+BASES!$G$10)</f>
        <v>0</v>
      </c>
      <c r="GR175" s="344">
        <f>Tabla12[[#This Row],[COSTO UNITARIO AÑO 4 10]]*(1+BASES!$H$10)</f>
        <v>0</v>
      </c>
      <c r="GS175" s="344">
        <f>Tabla12[[#This Row],[COSTO POR UNIDAD DE PRODUCTO (10)]]*$C$143*VLOOKUP(Tabla12[[#This Row],[CÓDIGO DEL PRODUCTO Y/O SERVICIO ]],Tabla3[],3)</f>
        <v>0</v>
      </c>
      <c r="GT175" s="344">
        <f>Tabla12[[#This Row],[COSTO POR UNIDAD DE PRODUCTO (10)]]*Tabla12[[#This Row],[COSTO UNITARIO AÑO 2 10 ]]*VLOOKUP(Tabla12[[#This Row],[CÓDIGO DEL PRODUCTO Y/O SERVICIO ]],Tabla3[],6)</f>
        <v>0</v>
      </c>
      <c r="GU175" s="344">
        <f>Tabla12[[#This Row],[COSTO POR UNIDAD DE PRODUCTO (10)]]*Tabla12[[#This Row],[COSTO UNITARIO AÑO 3 10 ]]*VLOOKUP(Tabla12[[#This Row],[CÓDIGO DEL PRODUCTO Y/O SERVICIO ]],Tabla3[],10)</f>
        <v>0</v>
      </c>
      <c r="GV175" s="344">
        <f>Tabla12[[#This Row],[COSTO POR UNIDAD DE PRODUCTO (10)]]*Tabla12[[#This Row],[COSTO UNITARIO AÑO 4 10]]*VLOOKUP(Tabla12[[#This Row],[CÓDIGO DEL PRODUCTO Y/O SERVICIO ]],Tabla3[],14)</f>
        <v>0</v>
      </c>
      <c r="GW175" s="344">
        <f>Tabla12[[#This Row],[COSTO POR UNIDAD DE PRODUCTO (10)]]*Tabla12[[#This Row],[COSTO UNITARIO AÑO 5 10 ]]*VLOOKUP(Tabla12[[#This Row],[CÓDIGO DEL PRODUCTO Y/O SERVICIO ]],Tabla3[],18)</f>
        <v>0</v>
      </c>
      <c r="GX175" s="383">
        <f>Tabla12[[#This Row],[AÑO 1 10 ]]+Tabla12[[#This Row],[AÑO 1 9 ]]+Tabla12[[#This Row],[AÑO 1 8]]+Tabla12[[#This Row],[AÑO 1 7]]+Tabla12[[#This Row],[AÑO 1 6]]+Tabla12[[#This Row],[AÑO 1 5]]+Tabla12[[#This Row],[AÑO 1 4 ]]+Tabla12[[#This Row],[AÑO 1 3]]+Tabla12[[#This Row],[AÑO 1 2]]+Tabla12[[#This Row],[AÑO 1 1]]</f>
        <v>32000000</v>
      </c>
      <c r="GY175" s="383">
        <f>Tabla12[[#This Row],[AÑO 2 10 ]]+Tabla12[[#This Row],[AÑO 2 9 ]]+Tabla12[[#This Row],[AÑO 2 8]]+Tabla12[[#This Row],[AÑO 2 7]]+Tabla12[[#This Row],[AÑO 2 6]]+Tabla12[[#This Row],[AÑO 2 5]]+Tabla12[[#This Row],[AÑO 2 4 ]]+Tabla12[[#This Row],[AÑO 2 3]]+Tabla12[[#This Row],[AÑO 2 2 ]]+Tabla12[[#This Row],[AÑO 2 1 ]]</f>
        <v>40448000.000000007</v>
      </c>
      <c r="GZ175" s="383">
        <f>Tabla12[[#This Row],[AÑO 3 10 ]]+Tabla12[[#This Row],[AÑO 3 9]]+Tabla12[[#This Row],[AÑO 3 8]]+Tabla12[[#This Row],[AÑO 3 7]]+Tabla12[[#This Row],[AÑO 3 6]]+Tabla12[[#This Row],[AÑO 3 5]]+Tabla12[[#This Row],[AÑO 3 4 ]]+Tabla12[[#This Row],[AÑO 3 3 ]]+Tabla12[[#This Row],[AÑO 3 2 ]]+Tabla12[[#This Row],[AÑO 3 1 ]]</f>
        <v>55625383.936000012</v>
      </c>
      <c r="HA175" s="383">
        <f>Tabla12[[#This Row],[AÑO 4 10 ]]+Tabla12[[#This Row],[AÑO 4 9]]+Tabla12[[#This Row],[AÑO 4 8]]+Tabla12[[#This Row],[AÑO 4 7]]+Tabla12[[#This Row],[AÑO 4 6]]+Tabla12[[#This Row],[AÑO 4 5]]+Tabla12[[#This Row],[AÑO 4 4 ]]+Tabla12[[#This Row],[AÑO 4 3 ]]+Tabla12[[#This Row],[AÑO 4 2 ]]+Tabla12[[#This Row],[AÑO 4 1 ]]</f>
        <v>59557116.955852821</v>
      </c>
      <c r="HB175" s="383">
        <f>Tabla12[[#This Row],[AÑO 5 10 ]]+Tabla12[[#This Row],[AÑO 5 9]]+Tabla12[[#This Row],[AÑO 5 8]]+Tabla12[[#This Row],[AÑO 5 7]]+Tabla12[[#This Row],[AÑO 5 6]]+Tabla12[[#This Row],[AÑO 5 5]]+Tabla12[[#This Row],[AÑO 5 4 ]]+Tabla12[[#This Row],[AÑO 5 3 ]]+Tabla12[[#This Row],[AÑO 5 2 ]]+Tabla12[[#This Row],[AÑO 5 1 ]]</f>
        <v>73607302.59148246</v>
      </c>
    </row>
    <row r="176" spans="3:210" ht="15.75" x14ac:dyDescent="0.25">
      <c r="C176" s="62">
        <v>3</v>
      </c>
      <c r="D176" s="359" t="str">
        <f>VLOOKUP(Tabla12[[#This Row],[CÓDIGO DEL PRODUCTO Y/O SERVICIO ]],Tabla3[],2)</f>
        <v>Caja de Rosas</v>
      </c>
      <c r="E176" s="364"/>
      <c r="F176" s="359">
        <f>VLOOKUP(Tabla12[[#This Row],[CÓDIGO DEL PRODUCTO Y/O SERVICIO ]],Tabla3[],3)</f>
        <v>500</v>
      </c>
      <c r="G176" s="359">
        <f>Tabla12[[#This Row],[UNIDADES PRODUCIDAS AÑO 1 1 ]]*F152</f>
        <v>500</v>
      </c>
      <c r="H176" s="112">
        <f>VLOOKUP(Tabla12[[#This Row],[CÓDIGO DEL PRODUCTO Y/O SERVICIO ]],Tabla3[],9)</f>
        <v>0.36</v>
      </c>
      <c r="I176" s="359">
        <f>Tabla12[[#This Row],[CANTIDADES A UTILIZAR EN EL AÑO 1 1]]*(1+Tabla12[[#This Row],[CAMBIO PORCENTUAL EN UNIDADES VENDIDAS AÑO 2 1 ]])</f>
        <v>679.99999999999989</v>
      </c>
      <c r="J176" s="112">
        <f>VLOOKUP(Tabla12[[#This Row],[CÓDIGO DEL PRODUCTO Y/O SERVICIO ]],Tabla3[],13)</f>
        <v>2.9411764705882353E-2</v>
      </c>
      <c r="K176" s="359">
        <f>Tabla12[[#This Row],[CANTIDADES A UTILIZAR EN EL AÑO 2 1]]*(1+Tabla12[[#This Row],[CAMBIO PORCENTUAL EN UNIDADES VENDIDAS AÑO 3 1 ]])</f>
        <v>699.99999999999977</v>
      </c>
      <c r="L176" s="112">
        <f>VLOOKUP(Tabla12[[#This Row],[CÓDIGO DEL PRODUCTO Y/O SERVICIO ]],Tabla3[],17)</f>
        <v>7.1428571428571425E-2</v>
      </c>
      <c r="M176" s="359">
        <f>Tabla12[[#This Row],[CANTIDADES A UTILIZAR EN EL AÑO 3 1 ]]*(1+Tabla12[[#This Row],[CAMBIO PORCENTUAL EN UNIDADES VENDIDAS AÑO 4 1]])</f>
        <v>749.99999999999977</v>
      </c>
      <c r="N176" s="112">
        <f>VLOOKUP(Tabla12[[#This Row],[CÓDIGO DEL PRODUCTO Y/O SERVICIO ]],Tabla3[],21)</f>
        <v>6.6666666666666666E-2</v>
      </c>
      <c r="O176" s="359">
        <f>Tabla12[[#This Row],[CANTIDADES A UTILIZAR EN EL AÑO 4 1 ]]*(1+Tabla12[[#This Row],[CAMBIO PORCENTUAL EN UNIDADES VENDIDAS AÑO 5 1 ]])</f>
        <v>799.99999999999977</v>
      </c>
      <c r="P176" s="344">
        <f>IF(Tabla12[[#This Row],[CANTIDADES A UTILIZAR EN EL AÑO 1 1]]=0,0,Tabla12[[#This Row],[CANTIDADES A UTILIZAR EN EL AÑO 1 1]]*1/Tabla12[[#This Row],[UNIDADES PRODUCIDAS AÑO 1 1 ]])</f>
        <v>1</v>
      </c>
      <c r="Q176" s="344">
        <f>$C$134*(1+BASES!$E$10)</f>
        <v>60672.000000000007</v>
      </c>
      <c r="R176" s="344">
        <f>Tabla12[[#This Row],[COSTO UNITARIO AÑO 2 1 ]]*(1+BASES!$F$10)</f>
        <v>61351.52640000001</v>
      </c>
      <c r="S176" s="344">
        <f>Tabla12[[#This Row],[COSTO UNITARIO AÑO 3 1 ]]*(1+BASES!$G$10)</f>
        <v>62038.663495680019</v>
      </c>
      <c r="T176" s="344">
        <f>Tabla12[[#This Row],[COSTO UNITARIO AÑO 4 1 ]]*(1+BASES!$H$10)</f>
        <v>62733.496526831645</v>
      </c>
      <c r="U176" s="344">
        <f>Tabla12[[#This Row],[COSTO POR UNIDAD DE PRODUCTO (1)]]*$C$134*VLOOKUP(Tabla12[[#This Row],[CÓDIGO DEL PRODUCTO Y/O SERVICIO ]],Tabla3[],3)</f>
        <v>30000000</v>
      </c>
      <c r="V176" s="344">
        <f>Tabla12[[#This Row],[COSTO POR UNIDAD DE PRODUCTO (1)]]*Tabla12[[#This Row],[COSTO UNITARIO AÑO 2 1 ]]*VLOOKUP(Tabla12[[#This Row],[CÓDIGO DEL PRODUCTO Y/O SERVICIO ]],Tabla3[],6)</f>
        <v>41256960.000000007</v>
      </c>
      <c r="W176" s="344">
        <f>Tabla12[[#This Row],[COSTO POR UNIDAD DE PRODUCTO (1)]]*Tabla12[[#This Row],[COSTO UNITARIO AÑO 3 1 ]]*VLOOKUP(Tabla12[[#This Row],[CÓDIGO DEL PRODUCTO Y/O SERVICIO ]],Tabla3[],10)</f>
        <v>42946068.480000004</v>
      </c>
      <c r="X176" s="344">
        <f>Tabla12[[#This Row],[COSTO POR UNIDAD DE PRODUCTO (1)]]*Tabla12[[#This Row],[COSTO UNITARIO AÑO 4 1 ]]*VLOOKUP(Tabla12[[#This Row],[CÓDIGO DEL PRODUCTO Y/O SERVICIO ]],Tabla3[],14)</f>
        <v>46528997.621760011</v>
      </c>
      <c r="Y176" s="344">
        <f>Tabla12[[#This Row],[COSTO POR UNIDAD DE PRODUCTO (1)]]*Tabla12[[#This Row],[COSTO UNITARIO AÑO 5 1 ]]*VLOOKUP(Tabla12[[#This Row],[CÓDIGO DEL PRODUCTO Y/O SERVICIO ]],Tabla3[],18)</f>
        <v>50186797.221465319</v>
      </c>
      <c r="Z176" s="114">
        <f>VLOOKUP(Tabla12[[#This Row],[CÓDIGO DEL PRODUCTO Y/O SERVICIO ]],Tabla3[],3)</f>
        <v>500</v>
      </c>
      <c r="AA176" s="114">
        <f>Tabla12[[#This Row],[UNIDADES PRODUCIDAS AÑO 1 2]]*G152</f>
        <v>500</v>
      </c>
      <c r="AB176" s="112">
        <f>VLOOKUP(Tabla12[[#This Row],[CÓDIGO DEL PRODUCTO Y/O SERVICIO ]],Tabla3[],9)</f>
        <v>0.36</v>
      </c>
      <c r="AC176" s="114">
        <f>Tabla12[[#This Row],[CANTIDADES A UTILIZAR EN EL AÑO 1 2 ]]*(1+Tabla12[[#This Row],[CAMBIO PORCENTUAL EN UNIDADES VENDIDAS AÑO 2 2 ]])</f>
        <v>679.99999999999989</v>
      </c>
      <c r="AD176" s="112">
        <f>VLOOKUP(Tabla12[[#This Row],[CÓDIGO DEL PRODUCTO Y/O SERVICIO ]],Tabla3[],13)</f>
        <v>2.9411764705882353E-2</v>
      </c>
      <c r="AE176" s="114">
        <f>Tabla12[[#This Row],[CANTIDADES A UTILIZAR EN EL AÑO 2 2 ]]*(1+Tabla12[[#This Row],[CAMBIO PORCENTUAL EN UNIDADES VENDIDAS AÑO 3 2]])</f>
        <v>699.99999999999977</v>
      </c>
      <c r="AF176" s="112">
        <f>VLOOKUP(Tabla12[[#This Row],[CÓDIGO DEL PRODUCTO Y/O SERVICIO ]],Tabla3[],17)</f>
        <v>7.1428571428571425E-2</v>
      </c>
      <c r="AG176" s="114">
        <f>Tabla12[[#This Row],[CANTIDADES A UTILIZAR EN EL AÑO 3 2]]*(1+Tabla12[[#This Row],[CAMBIO PORCENTUAL EN UNIDADES VENDIDAS AÑO 4 2]])</f>
        <v>749.99999999999977</v>
      </c>
      <c r="AH176" s="112">
        <f>VLOOKUP(Tabla12[[#This Row],[CÓDIGO DEL PRODUCTO Y/O SERVICIO ]],Tabla3[],21)</f>
        <v>6.6666666666666666E-2</v>
      </c>
      <c r="AI176" s="114">
        <f>Tabla12[[#This Row],[CANTIDADES A UTILIZAR EN EL AÑO 4 2]]*(1+Tabla12[[#This Row],[CAMBIO PORCENTUAL EN UNIDADES VENDIDAS AÑO 5 2]])</f>
        <v>799.99999999999977</v>
      </c>
      <c r="AJ176" s="344">
        <f>IF(Tabla12[[#This Row],[CANTIDADES A UTILIZAR EN EL AÑO 1 2 ]]=0,0,Tabla12[[#This Row],[CANTIDADES A UTILIZAR EN EL AÑO 1 2 ]]*1/Tabla12[[#This Row],[UNIDADES PRODUCIDAS AÑO 1 2]])</f>
        <v>1</v>
      </c>
      <c r="AK176" s="344">
        <f>$C$135*(1+BASES!$E$10)</f>
        <v>20224.000000000004</v>
      </c>
      <c r="AL176" s="344">
        <f>Tabla12[[#This Row],[COSTO UNITARIO AÑO 2 2]]*(1+BASES!$F$10)</f>
        <v>20450.508800000007</v>
      </c>
      <c r="AM176" s="344">
        <f>Tabla12[[#This Row],[COSTO UNITARIO AÑO 3 2 ]]*(1+BASES!$G$10)</f>
        <v>20679.55449856001</v>
      </c>
      <c r="AN176" s="344">
        <f>Tabla12[[#This Row],[COSTO UNITARIO AÑO 4 2 ]]*(1+BASES!$H$10)</f>
        <v>20911.165508943883</v>
      </c>
      <c r="AO176" s="344">
        <f>Tabla12[[#This Row],[COSTO POR UNIDAD DE PRODUCTO (2)]]*$C$135*VLOOKUP(Tabla12[[#This Row],[CÓDIGO DEL PRODUCTO Y/O SERVICIO ]],Tabla3[],3)</f>
        <v>10000000</v>
      </c>
      <c r="AP176" s="344">
        <f>Tabla12[[#This Row],[COSTO POR UNIDAD DE PRODUCTO (2)]]*Tabla12[[#This Row],[COSTO UNITARIO AÑO 2 2]]*VLOOKUP(Tabla12[[#This Row],[CÓDIGO DEL PRODUCTO Y/O SERVICIO ]],Tabla3[],6)</f>
        <v>13752320.000000002</v>
      </c>
      <c r="AQ176" s="344">
        <f>Tabla12[[#This Row],[COSTO POR UNIDAD DE PRODUCTO (2)]]*Tabla12[[#This Row],[COSTO UNITARIO AÑO 3 2 ]]*VLOOKUP(Tabla12[[#This Row],[CÓDIGO DEL PRODUCTO Y/O SERVICIO ]],Tabla3[],10)</f>
        <v>14315356.160000006</v>
      </c>
      <c r="AR176" s="344">
        <f>Tabla12[[#This Row],[COSTO POR UNIDAD DE PRODUCTO (2)]]*Tabla12[[#This Row],[COSTO UNITARIO AÑO 4 2 ]]*VLOOKUP(Tabla12[[#This Row],[CÓDIGO DEL PRODUCTO Y/O SERVICIO ]],Tabla3[],14)</f>
        <v>15509665.873920007</v>
      </c>
      <c r="AS176" s="344">
        <f>Tabla12[[#This Row],[COSTO POR UNIDAD DE PRODUCTO (2)]]*Tabla12[[#This Row],[COSTO UNITARIO AÑO 5 2 ]]*VLOOKUP(Tabla12[[#This Row],[CÓDIGO DEL PRODUCTO Y/O SERVICIO ]],Tabla3[],18)</f>
        <v>16728932.407155106</v>
      </c>
      <c r="AT176" s="114">
        <f>VLOOKUP(Tabla12[[#This Row],[CÓDIGO DEL PRODUCTO Y/O SERVICIO ]],Tabla3[],3)</f>
        <v>500</v>
      </c>
      <c r="AU176" s="114">
        <f>Tabla12[[#This Row],[UNIDADES PRODUCIDAS AÑO 1 3]]*H152</f>
        <v>0</v>
      </c>
      <c r="AV176" s="112">
        <f>VLOOKUP(Tabla12[[#This Row],[CÓDIGO DEL PRODUCTO Y/O SERVICIO ]],Tabla3[],9)</f>
        <v>0.36</v>
      </c>
      <c r="AW176" s="114">
        <f>Tabla12[[#This Row],[CANTIDADES A UTILIZAR EN EL AÑO 1 3]]*(1+Tabla12[[#This Row],[CAMBIO PORCENTUAL EN UNIDADES VENDIDAS AÑO 2 3]])</f>
        <v>0</v>
      </c>
      <c r="AX176" s="112">
        <f>VLOOKUP(Tabla12[[#This Row],[CÓDIGO DEL PRODUCTO Y/O SERVICIO ]],Tabla3[],13)</f>
        <v>2.9411764705882353E-2</v>
      </c>
      <c r="AY176" s="114">
        <f>Tabla12[[#This Row],[CANTIDADES A UTILIZAR EN EL AÑO 2 3]]*(1+Tabla12[[#This Row],[CAMBIO PORCENTUAL EN UNIDADES VENDIDAS AÑO 3 3]])</f>
        <v>0</v>
      </c>
      <c r="AZ176" s="112">
        <f>VLOOKUP(Tabla12[[#This Row],[CÓDIGO DEL PRODUCTO Y/O SERVICIO ]],Tabla3[],17)</f>
        <v>7.1428571428571425E-2</v>
      </c>
      <c r="BA176" s="114">
        <f>Tabla12[[#This Row],[CANTIDADES A UTILIZAR EN EL AÑO 3 3]]*(1+Tabla12[[#This Row],[CAMBIO PORCENTUAL EN UNIDADES VENDIDAS AÑO 4 3]])</f>
        <v>0</v>
      </c>
      <c r="BB176" s="112">
        <f>VLOOKUP(Tabla12[[#This Row],[CÓDIGO DEL PRODUCTO Y/O SERVICIO ]],Tabla3[],21)</f>
        <v>6.6666666666666666E-2</v>
      </c>
      <c r="BC176" s="114">
        <f>Tabla12[[#This Row],[CANTIDADES A UTILIZAR EN EL AÑO 4 3]]*(1+Tabla12[[#This Row],[CAMBIO PORCENTUAL EN UNIDADES VENDIDAS AÑO 5 3]])</f>
        <v>0</v>
      </c>
      <c r="BD176" s="344">
        <f>IF(Tabla12[[#This Row],[CANTIDADES A UTILIZAR EN EL AÑO 1 3]]=0,0,Tabla12[[#This Row],[CANTIDADES A UTILIZAR EN EL AÑO 1 3]]*1/Tabla12[[#This Row],[UNIDADES PRODUCIDAS AÑO 1 3]])</f>
        <v>0</v>
      </c>
      <c r="BE176" s="344">
        <f>$C$136*(1+BASES!$E$10)</f>
        <v>0</v>
      </c>
      <c r="BF176" s="344">
        <f>Tabla12[[#This Row],[COSTO UNITARIO AÑO 2 3]]*(1+BASES!$F$10)</f>
        <v>0</v>
      </c>
      <c r="BG176" s="344">
        <f>Tabla12[[#This Row],[COSTO UNITARIO AÑO 3 3 ]]*(1+BASES!$G$10)</f>
        <v>0</v>
      </c>
      <c r="BH176" s="344">
        <f>Tabla12[[#This Row],[COSTO UNITARIO AÑO 4 3]]*(1+BASES!$H$10)</f>
        <v>0</v>
      </c>
      <c r="BI176" s="344">
        <f>Tabla12[[#This Row],[COSTO POR UNIDAD DE PRODUCTO (3)]]*$C$136*VLOOKUP(Tabla12[[#This Row],[CÓDIGO DEL PRODUCTO Y/O SERVICIO ]],Tabla3[],3)</f>
        <v>0</v>
      </c>
      <c r="BJ176" s="344">
        <f>Tabla12[[#This Row],[COSTO POR UNIDAD DE PRODUCTO (3)]]*Tabla12[[#This Row],[COSTO UNITARIO AÑO 2 3]]*VLOOKUP(Tabla12[[#This Row],[CÓDIGO DEL PRODUCTO Y/O SERVICIO ]],Tabla3[],6)</f>
        <v>0</v>
      </c>
      <c r="BK176" s="344">
        <f>Tabla12[[#This Row],[COSTO POR UNIDAD DE PRODUCTO (3)]]*Tabla12[[#This Row],[COSTO UNITARIO AÑO 3 3 ]]*VLOOKUP(Tabla12[[#This Row],[CÓDIGO DEL PRODUCTO Y/O SERVICIO ]],Tabla3[],10)</f>
        <v>0</v>
      </c>
      <c r="BL176" s="344">
        <f>Tabla12[[#This Row],[COSTO POR UNIDAD DE PRODUCTO (3)]]*Tabla12[[#This Row],[COSTO UNITARIO AÑO 4 3]]*VLOOKUP(Tabla12[[#This Row],[CÓDIGO DEL PRODUCTO Y/O SERVICIO ]],Tabla3[],14)</f>
        <v>0</v>
      </c>
      <c r="BM176" s="344">
        <f>Tabla12[[#This Row],[COSTO POR UNIDAD DE PRODUCTO (3)]]*Tabla12[[#This Row],[COSTO UNITARIO AÑO 5 3 ]]*VLOOKUP(Tabla12[[#This Row],[CÓDIGO DEL PRODUCTO Y/O SERVICIO ]],Tabla3[],18)</f>
        <v>0</v>
      </c>
      <c r="BN176" s="114">
        <f>VLOOKUP(Tabla12[[#This Row],[CÓDIGO DEL PRODUCTO Y/O SERVICIO ]],Tabla3[],3)</f>
        <v>500</v>
      </c>
      <c r="BO176" s="114">
        <f>Tabla12[[#This Row],[UNIDADES PRODUCIDAS AÑO 1 4]]*I152</f>
        <v>0</v>
      </c>
      <c r="BP176" s="112">
        <f>VLOOKUP(Tabla12[[#This Row],[CÓDIGO DEL PRODUCTO Y/O SERVICIO ]],Tabla3[],9)</f>
        <v>0.36</v>
      </c>
      <c r="BQ176" s="114">
        <f>Tabla12[[#This Row],[CANTIDADES A UTILIZAR EN EL AÑO 1 4]]*(1+Tabla12[[#This Row],[CAMBIO PORCENTUAL EN UNIDADES VENDIDAS AÑO 2 4]])</f>
        <v>0</v>
      </c>
      <c r="BR176" s="112">
        <f>VLOOKUP(Tabla12[[#This Row],[CÓDIGO DEL PRODUCTO Y/O SERVICIO ]],Tabla3[],13)</f>
        <v>2.9411764705882353E-2</v>
      </c>
      <c r="BS176" s="114">
        <f>Tabla12[[#This Row],[CANTIDADES A UTILIZAR EN EL AÑO 2 4]]*(1+Tabla12[[#This Row],[CAMBIO PORCENTUAL EN UNIDADES VENDIDAS AÑO 3 4]])</f>
        <v>0</v>
      </c>
      <c r="BT176" s="112">
        <f>VLOOKUP(Tabla12[[#This Row],[CÓDIGO DEL PRODUCTO Y/O SERVICIO ]],Tabla3[],17)</f>
        <v>7.1428571428571425E-2</v>
      </c>
      <c r="BU176" s="114">
        <f>Tabla12[[#This Row],[CANTIDADES A UTILIZAR EN EL AÑO 3 4 ]]*(1+Tabla12[[#This Row],[CAMBIO PORCENTUAL EN UNIDADES VENDIDAS AÑO 4 4 ]])</f>
        <v>0</v>
      </c>
      <c r="BV176" s="112">
        <f>VLOOKUP(Tabla12[[#This Row],[CÓDIGO DEL PRODUCTO Y/O SERVICIO ]],Tabla3[],21)</f>
        <v>6.6666666666666666E-2</v>
      </c>
      <c r="BW176" s="114">
        <f>Tabla12[[#This Row],[CANTIDADES A UTILIZAR EN EL AÑO 4 4 ]]*(1+Tabla12[[#This Row],[CAMBIO PORCENTUAL EN UNIDADES VENDIDAS AÑO 5 4 ]])</f>
        <v>0</v>
      </c>
      <c r="BX176" s="344">
        <f>IF(Tabla12[[#This Row],[CANTIDADES A UTILIZAR EN EL AÑO 1 4]]=0,0,Tabla12[[#This Row],[CANTIDADES A UTILIZAR EN EL AÑO 1 4]]*1/Tabla12[[#This Row],[UNIDADES PRODUCIDAS AÑO 1 4]])</f>
        <v>0</v>
      </c>
      <c r="BY176" s="344">
        <f>$C$137*(1+BASES!$E$10)</f>
        <v>0</v>
      </c>
      <c r="BZ176" s="344">
        <f>Tabla12[[#This Row],[COSTO UNITARIO AÑO 2 4 ]]*(1+BASES!$F$10)</f>
        <v>0</v>
      </c>
      <c r="CA176" s="344">
        <f>Tabla12[[#This Row],[COSTO UNITARIO AÑO 3 4 ]]*(1+BASES!$G$10)</f>
        <v>0</v>
      </c>
      <c r="CB176" s="344">
        <f>Tabla12[[#This Row],[COSTO UNITARIO AÑO 4 4 ]]*(1+BASES!$H$10)</f>
        <v>0</v>
      </c>
      <c r="CC176" s="344">
        <f>Tabla12[[#This Row],[COSTO POR UNIDAD DE PRODUCTO (4)]]*$C$137*VLOOKUP(Tabla12[[#This Row],[CÓDIGO DEL PRODUCTO Y/O SERVICIO ]],Tabla3[],3)</f>
        <v>0</v>
      </c>
      <c r="CD176" s="344">
        <f>Tabla12[[#This Row],[COSTO POR UNIDAD DE PRODUCTO (4)]]*Tabla12[[#This Row],[COSTO UNITARIO AÑO 2 4 ]]*VLOOKUP(Tabla12[[#This Row],[CÓDIGO DEL PRODUCTO Y/O SERVICIO ]],Tabla3[],6)</f>
        <v>0</v>
      </c>
      <c r="CE176" s="344">
        <f>Tabla12[[#This Row],[COSTO POR UNIDAD DE PRODUCTO (4)]]*Tabla12[[#This Row],[COSTO UNITARIO AÑO 3 4 ]]*VLOOKUP(Tabla12[[#This Row],[CÓDIGO DEL PRODUCTO Y/O SERVICIO ]],Tabla3[],10)</f>
        <v>0</v>
      </c>
      <c r="CF176" s="344">
        <f>Tabla12[[#This Row],[COSTO POR UNIDAD DE PRODUCTO (4)]]*Tabla12[[#This Row],[COSTO UNITARIO AÑO 4 4 ]]*VLOOKUP(Tabla12[[#This Row],[CÓDIGO DEL PRODUCTO Y/O SERVICIO ]],Tabla3[],14)</f>
        <v>0</v>
      </c>
      <c r="CG176" s="344">
        <f>Tabla12[[#This Row],[COSTO POR UNIDAD DE PRODUCTO (4)]]*Tabla12[[#This Row],[COSTO UNITARIO AÑO 5 4 ]]*VLOOKUP(Tabla12[[#This Row],[CÓDIGO DEL PRODUCTO Y/O SERVICIO ]],Tabla3[],18)</f>
        <v>0</v>
      </c>
      <c r="CH176" s="114">
        <f>VLOOKUP(Tabla12[[#This Row],[CÓDIGO DEL PRODUCTO Y/O SERVICIO ]],Tabla3[],3)</f>
        <v>500</v>
      </c>
      <c r="CI176" s="114">
        <f>Tabla12[[#This Row],[UNIDADES PRODUCIDAS AÑO 1 5]]*J152</f>
        <v>0</v>
      </c>
      <c r="CJ176" s="112">
        <f>VLOOKUP(Tabla12[[#This Row],[CÓDIGO DEL PRODUCTO Y/O SERVICIO ]],Tabla3[],9)</f>
        <v>0.36</v>
      </c>
      <c r="CK176" s="114">
        <f>Tabla12[[#This Row],[CANTIDADES A UTILIZAR EN EL AÑO 1 5]]*(1+Tabla12[[#This Row],[CAMBIO PORCENTUAL EN UNIDADES VENDIDAS AÑO 2 5 ]])</f>
        <v>0</v>
      </c>
      <c r="CL176" s="112">
        <f>VLOOKUP(Tabla12[[#This Row],[CÓDIGO DEL PRODUCTO Y/O SERVICIO ]],Tabla3[],13)</f>
        <v>2.9411764705882353E-2</v>
      </c>
      <c r="CM176" s="114">
        <f>Tabla12[[#This Row],[CANTIDADES A UTILIZAR EN EL AÑO 2 5]]*(1+Tabla12[[#This Row],[CAMBIO PORCENTUAL EN UNIDADES VENDIDAS AÑO 3 5 ]])</f>
        <v>0</v>
      </c>
      <c r="CN176" s="112">
        <f>VLOOKUP(Tabla12[[#This Row],[CÓDIGO DEL PRODUCTO Y/O SERVICIO ]],Tabla3[],17)</f>
        <v>7.1428571428571425E-2</v>
      </c>
      <c r="CO176" s="114">
        <f>Tabla12[[#This Row],[CANTIDADES A UTILIZAR EN EL AÑO 3 5 ]]*(1+Tabla12[[#This Row],[CAMBIO PORCENTUAL EN UNIDADES VENDIDAS AÑO 4 5 ]])</f>
        <v>0</v>
      </c>
      <c r="CP176" s="112">
        <f>VLOOKUP(Tabla12[[#This Row],[CÓDIGO DEL PRODUCTO Y/O SERVICIO ]],Tabla3[],21)</f>
        <v>6.6666666666666666E-2</v>
      </c>
      <c r="CQ176" s="114">
        <f>Tabla12[[#This Row],[CANTIDADES A UTILIZAR EN EL AÑO 4 5 ]]*(1+Tabla12[[#This Row],[CAMBIO PORCENTUAL EN UNIDADES VENDIDAS AÑO 5 5]])</f>
        <v>0</v>
      </c>
      <c r="CR176" s="344">
        <f>IF(Tabla12[[#This Row],[CANTIDADES A UTILIZAR EN EL AÑO 1 5]]=0,0,Tabla12[[#This Row],[CANTIDADES A UTILIZAR EN EL AÑO 1 5]]*1/Tabla12[[#This Row],[UNIDADES PRODUCIDAS AÑO 1 5]])</f>
        <v>0</v>
      </c>
      <c r="CS176" s="344">
        <f>$C$138*(1+BASES!$E$10)</f>
        <v>0</v>
      </c>
      <c r="CT176" s="344">
        <f>Tabla12[[#This Row],[COSTO UNITARIO AÑO 2 5]]*(1+BASES!$F$10)</f>
        <v>0</v>
      </c>
      <c r="CU176" s="344">
        <f>Tabla12[[#This Row],[COSTO UNITARIO AÑO 3 5]]*(1+BASES!$G$10)</f>
        <v>0</v>
      </c>
      <c r="CV176" s="344">
        <f>Tabla12[[#This Row],[COSTO UNITARIO AÑO 4 5]]*(1+BASES!$H$10)</f>
        <v>0</v>
      </c>
      <c r="CW176" s="344">
        <f>Tabla12[[#This Row],[COSTO POR UNIDAD DE PRODUCTO (5)]]*$C$138*VLOOKUP(Tabla12[[#This Row],[CÓDIGO DEL PRODUCTO Y/O SERVICIO ]],Tabla3[],3)</f>
        <v>0</v>
      </c>
      <c r="CX176" s="344">
        <f>Tabla12[[#This Row],[COSTO POR UNIDAD DE PRODUCTO (5)]]*Tabla12[[#This Row],[COSTO UNITARIO AÑO 2 5]]*VLOOKUP(Tabla12[[#This Row],[CÓDIGO DEL PRODUCTO Y/O SERVICIO ]],Tabla3[],6)</f>
        <v>0</v>
      </c>
      <c r="CY176" s="344">
        <f>Tabla12[[#This Row],[COSTO POR UNIDAD DE PRODUCTO (5)]]*Tabla12[[#This Row],[COSTO UNITARIO AÑO 3 5]]*VLOOKUP(Tabla12[[#This Row],[CÓDIGO DEL PRODUCTO Y/O SERVICIO ]],Tabla3[],10)</f>
        <v>0</v>
      </c>
      <c r="CZ176" s="344">
        <f>Tabla12[[#This Row],[COSTO POR UNIDAD DE PRODUCTO (5)]]*Tabla12[[#This Row],[COSTO UNITARIO AÑO 4 5]]*VLOOKUP(Tabla12[[#This Row],[CÓDIGO DEL PRODUCTO Y/O SERVICIO ]],Tabla3[],14)</f>
        <v>0</v>
      </c>
      <c r="DA176" s="344">
        <f>Tabla12[[#This Row],[COSTO POR UNIDAD DE PRODUCTO (5)]]*Tabla12[[#This Row],[COSTO UNITARIO AÑO 5 5 ]]*VLOOKUP(Tabla12[[#This Row],[CÓDIGO DEL PRODUCTO Y/O SERVICIO ]],Tabla3[],18)</f>
        <v>0</v>
      </c>
      <c r="DB176" s="114">
        <f>VLOOKUP(Tabla12[[#This Row],[CÓDIGO DEL PRODUCTO Y/O SERVICIO ]],Tabla3[],3)</f>
        <v>500</v>
      </c>
      <c r="DC176" s="114">
        <f>Tabla12[[#This Row],[UNIDADES PRODUCIDAS AÑO 1 6]]*K152</f>
        <v>0</v>
      </c>
      <c r="DD176" s="112">
        <f>VLOOKUP(Tabla12[[#This Row],[CÓDIGO DEL PRODUCTO Y/O SERVICIO ]],Tabla3[],9)</f>
        <v>0.36</v>
      </c>
      <c r="DE176" s="114">
        <f>Tabla12[[#This Row],[CANTIDADES A UTILIZAR EN EL AÑO 1 6]]*(1+Tabla12[[#This Row],[CAMBIO PORCENTUAL EN UNIDADES VENDIDAS AÑO 2 6]])</f>
        <v>0</v>
      </c>
      <c r="DF176" s="112">
        <f>VLOOKUP(Tabla12[[#This Row],[CÓDIGO DEL PRODUCTO Y/O SERVICIO ]],Tabla3[],13)</f>
        <v>2.9411764705882353E-2</v>
      </c>
      <c r="DG176" s="114">
        <f>Tabla12[[#This Row],[CANTIDADES A UTILIZAR EN EL AÑO 2 6]]*(1+Tabla12[[#This Row],[CAMBIO PORCENTUAL EN UNIDADES VENDIDAS AÑO 3 6]])</f>
        <v>0</v>
      </c>
      <c r="DH176" s="112">
        <f>VLOOKUP(Tabla12[[#This Row],[CÓDIGO DEL PRODUCTO Y/O SERVICIO ]],Tabla3[],17)</f>
        <v>7.1428571428571425E-2</v>
      </c>
      <c r="DI176" s="114">
        <f>Tabla12[[#This Row],[CANTIDADES A UTILIZAR EN EL AÑO 3 6]]*(1+Tabla12[[#This Row],[CAMBIO PORCENTUAL EN UNIDADES VENDIDAS AÑO 4 6]])</f>
        <v>0</v>
      </c>
      <c r="DJ176" s="112">
        <f>VLOOKUP(Tabla12[[#This Row],[CÓDIGO DEL PRODUCTO Y/O SERVICIO ]],Tabla3[],21)</f>
        <v>6.6666666666666666E-2</v>
      </c>
      <c r="DK176" s="114">
        <f>Tabla12[[#This Row],[CANTIDADES A UTILIZAR EN EL AÑO 4 6]]*(1+Tabla12[[#This Row],[CAMBIO PORCENTUAL EN UNIDADES VENDIDAS AÑO 5 6]])</f>
        <v>0</v>
      </c>
      <c r="DL176" s="344">
        <f>IF(Tabla12[[#This Row],[CANTIDADES A UTILIZAR EN EL AÑO 1 6]]=0,0,Tabla12[[#This Row],[CANTIDADES A UTILIZAR EN EL AÑO 1 6]]*1/Tabla12[[#This Row],[UNIDADES PRODUCIDAS AÑO 1 6]])</f>
        <v>0</v>
      </c>
      <c r="DM176" s="344">
        <f>$C$139*(1+BASES!$E$10)</f>
        <v>0</v>
      </c>
      <c r="DN176" s="344">
        <f>Tabla12[[#This Row],[COSTO UNITARIO AÑO 2 6]]*(1+BASES!$F$10)</f>
        <v>0</v>
      </c>
      <c r="DO176" s="344">
        <f>Tabla12[[#This Row],[COSTO UNITARIO AÑO 3 6]]*(1+BASES!$G$10)</f>
        <v>0</v>
      </c>
      <c r="DP176" s="344">
        <f>Tabla12[[#This Row],[COSTO UNITARIO AÑO 4 6]]*(1+BASES!$H$10)</f>
        <v>0</v>
      </c>
      <c r="DQ176" s="344">
        <f>Tabla12[[#This Row],[COSTO POR UNIDAD DE PRODUCTO (6)]]*$C$139*VLOOKUP(Tabla12[[#This Row],[CÓDIGO DEL PRODUCTO Y/O SERVICIO ]],Tabla3[],3)</f>
        <v>0</v>
      </c>
      <c r="DR176" s="344">
        <f>Tabla12[[#This Row],[COSTO POR UNIDAD DE PRODUCTO (6)]]*Tabla12[[#This Row],[COSTO UNITARIO AÑO 2 6]]*VLOOKUP(Tabla12[[#This Row],[CÓDIGO DEL PRODUCTO Y/O SERVICIO ]],Tabla3[],6)</f>
        <v>0</v>
      </c>
      <c r="DS176" s="344">
        <f>Tabla12[[#This Row],[COSTO POR UNIDAD DE PRODUCTO (6)]]*Tabla12[[#This Row],[COSTO UNITARIO AÑO 3 6]]*VLOOKUP(Tabla12[[#This Row],[CÓDIGO DEL PRODUCTO Y/O SERVICIO ]],Tabla3[],10)</f>
        <v>0</v>
      </c>
      <c r="DT176" s="344">
        <f>Tabla12[[#This Row],[COSTO POR UNIDAD DE PRODUCTO (6)]]*Tabla12[[#This Row],[COSTO UNITARIO AÑO 4 6]]*VLOOKUP(Tabla12[[#This Row],[CÓDIGO DEL PRODUCTO Y/O SERVICIO ]],Tabla3[],14)</f>
        <v>0</v>
      </c>
      <c r="DU176" s="344">
        <f>Tabla12[[#This Row],[COSTO POR UNIDAD DE PRODUCTO (6)]]*Tabla12[[#This Row],[COSTO UNITARIO AÑO 5 6]]*VLOOKUP(Tabla12[[#This Row],[CÓDIGO DEL PRODUCTO Y/O SERVICIO ]],Tabla3[],18)</f>
        <v>0</v>
      </c>
      <c r="DV176" s="114">
        <f>VLOOKUP(Tabla12[[#This Row],[CÓDIGO DEL PRODUCTO Y/O SERVICIO ]],Tabla3[],3)</f>
        <v>500</v>
      </c>
      <c r="DW176" s="114">
        <f>Tabla12[[#This Row],[UNIDADES PRODUCIDAS AÑO 1 7]]*L152</f>
        <v>0</v>
      </c>
      <c r="DX176" s="112">
        <f>VLOOKUP(Tabla12[[#This Row],[CÓDIGO DEL PRODUCTO Y/O SERVICIO ]],Tabla3[],9)</f>
        <v>0.36</v>
      </c>
      <c r="DY176" s="114">
        <f>Tabla12[[#This Row],[CANTIDADES A UTILIZAR EN EL AÑO 1 7]]*(1+Tabla12[[#This Row],[CAMBIO PORCENTUAL EN UNIDADES VENDIDAS AÑO 2 7]])</f>
        <v>0</v>
      </c>
      <c r="DZ176" s="112">
        <f>VLOOKUP(Tabla12[[#This Row],[CÓDIGO DEL PRODUCTO Y/O SERVICIO ]],Tabla3[],13)</f>
        <v>2.9411764705882353E-2</v>
      </c>
      <c r="EA176" s="114">
        <f>Tabla12[[#This Row],[CANTIDADES A UTILIZAR EN EL AÑO 2 7]]*(1+Tabla12[[#This Row],[CAMBIO PORCENTUAL EN UNIDADES VENDIDAS AÑO 3 7]])</f>
        <v>0</v>
      </c>
      <c r="EB176" s="112">
        <f>VLOOKUP(Tabla12[[#This Row],[CÓDIGO DEL PRODUCTO Y/O SERVICIO ]],Tabla3[],17)</f>
        <v>7.1428571428571425E-2</v>
      </c>
      <c r="EC176" s="114">
        <f>Tabla12[[#This Row],[CANTIDADES A UTILIZAR EN EL AÑO 3 7]]*(1+Tabla12[[#This Row],[CAMBIO PORCENTUAL EN UNIDADES VENDIDAS AÑO 4 7]])</f>
        <v>0</v>
      </c>
      <c r="ED176" s="112">
        <f>VLOOKUP(Tabla12[[#This Row],[CÓDIGO DEL PRODUCTO Y/O SERVICIO ]],Tabla3[],21)</f>
        <v>6.6666666666666666E-2</v>
      </c>
      <c r="EE176" s="114">
        <f>Tabla12[[#This Row],[CANTIDADES A UTILIZAR EN EL AÑO 4 7]]*(1+Tabla12[[#This Row],[CAMBIO PORCENTUAL EN UNIDADES VENDIDAS AÑO 5 7]])</f>
        <v>0</v>
      </c>
      <c r="EF176" s="344">
        <f>IF(Tabla12[[#This Row],[CANTIDADES A UTILIZAR EN EL AÑO 1 7]]=0,0,Tabla12[[#This Row],[CANTIDADES A UTILIZAR EN EL AÑO 1 7]]*1/Tabla12[[#This Row],[UNIDADES PRODUCIDAS AÑO 1 7]])</f>
        <v>0</v>
      </c>
      <c r="EG176" s="344">
        <f>$C$140*(1+BASES!$E$10)</f>
        <v>0</v>
      </c>
      <c r="EH176" s="344">
        <f>Tabla12[[#This Row],[COSTO UNITARIO AÑO 2 7]]*(1+BASES!$F$10)</f>
        <v>0</v>
      </c>
      <c r="EI176" s="344">
        <f>Tabla12[[#This Row],[COSTO UNITARIO AÑO 3 7]]*(1+BASES!$G$10)</f>
        <v>0</v>
      </c>
      <c r="EJ176" s="344">
        <f>Tabla12[[#This Row],[COSTO UNITARIO AÑO 4 7]]*(1+BASES!$H$10)</f>
        <v>0</v>
      </c>
      <c r="EK176" s="344">
        <f>Tabla12[[#This Row],[COSTO POR UNIDAD DE PRODUCTO (7)]]*$C$140*VLOOKUP(Tabla12[[#This Row],[CÓDIGO DEL PRODUCTO Y/O SERVICIO ]],Tabla3[],3)</f>
        <v>0</v>
      </c>
      <c r="EL176" s="344">
        <f>Tabla12[[#This Row],[COSTO POR UNIDAD DE PRODUCTO (7)]]*Tabla12[[#This Row],[COSTO UNITARIO AÑO 2 7]]*VLOOKUP(Tabla12[[#This Row],[CÓDIGO DEL PRODUCTO Y/O SERVICIO ]],Tabla3[],6)</f>
        <v>0</v>
      </c>
      <c r="EM176" s="344">
        <f>Tabla12[[#This Row],[COSTO POR UNIDAD DE PRODUCTO (7)]]*Tabla12[[#This Row],[COSTO UNITARIO AÑO 3 7]]*VLOOKUP(Tabla12[[#This Row],[CÓDIGO DEL PRODUCTO Y/O SERVICIO ]],Tabla3[],10)</f>
        <v>0</v>
      </c>
      <c r="EN176" s="344">
        <f>Tabla12[[#This Row],[COSTO POR UNIDAD DE PRODUCTO (7)]]*Tabla12[[#This Row],[COSTO UNITARIO AÑO 4 7]]*VLOOKUP(Tabla12[[#This Row],[CÓDIGO DEL PRODUCTO Y/O SERVICIO ]],Tabla3[],14)</f>
        <v>0</v>
      </c>
      <c r="EO176" s="344">
        <f>Tabla12[[#This Row],[COSTO POR UNIDAD DE PRODUCTO (7)]]*Tabla12[[#This Row],[COSTO UNITARIO AÑO 5 7]]*VLOOKUP(Tabla12[[#This Row],[CÓDIGO DEL PRODUCTO Y/O SERVICIO ]],Tabla3[],18)</f>
        <v>0</v>
      </c>
      <c r="EP176" s="114">
        <f>VLOOKUP(Tabla12[[#This Row],[CÓDIGO DEL PRODUCTO Y/O SERVICIO ]],Tabla3[],3)</f>
        <v>500</v>
      </c>
      <c r="EQ176" s="114">
        <f>Tabla12[[#This Row],[UNIDADES PRODUCIDAS AÑO 1 8]]*M152</f>
        <v>0</v>
      </c>
      <c r="ER176" s="112">
        <f>VLOOKUP(Tabla12[[#This Row],[CÓDIGO DEL PRODUCTO Y/O SERVICIO ]],Tabla3[],9)</f>
        <v>0.36</v>
      </c>
      <c r="ES176" s="114">
        <f>Tabla12[[#This Row],[CANTIDADES A UTILIZAR EN EL AÑO 1 8]]*(1+Tabla12[[#This Row],[CAMBIO PORCENTUAL EN UNIDADES VENDIDAS AÑO 2 8]])</f>
        <v>0</v>
      </c>
      <c r="ET176" s="112">
        <f>VLOOKUP(Tabla12[[#This Row],[CÓDIGO DEL PRODUCTO Y/O SERVICIO ]],Tabla3[],13)</f>
        <v>2.9411764705882353E-2</v>
      </c>
      <c r="EU176" s="114">
        <f>Tabla12[[#This Row],[CANTIDADES A UTILIZAR EN EL AÑO 2 8]]*(1+Tabla12[[#This Row],[CAMBIO PORCENTUAL EN UNIDADES VENDIDAS AÑO 3 8]])</f>
        <v>0</v>
      </c>
      <c r="EV176" s="112">
        <f>VLOOKUP(Tabla12[[#This Row],[CÓDIGO DEL PRODUCTO Y/O SERVICIO ]],Tabla3[],17)</f>
        <v>7.1428571428571425E-2</v>
      </c>
      <c r="EW176" s="114">
        <f>Tabla12[[#This Row],[CANTIDADES A UTILIZAR EN EL AÑO 3 8]]*(1+Tabla12[[#This Row],[CAMBIO PORCENTUAL EN UNIDADES VENDIDAS AÑO 4 8]])</f>
        <v>0</v>
      </c>
      <c r="EX176" s="112">
        <f>VLOOKUP(Tabla12[[#This Row],[CÓDIGO DEL PRODUCTO Y/O SERVICIO ]],Tabla3[],21)</f>
        <v>6.6666666666666666E-2</v>
      </c>
      <c r="EY176" s="114">
        <f>Tabla12[[#This Row],[CANTIDADES A UTILIZAR EN EL AÑO 4 8]]*(1+Tabla12[[#This Row],[CAMBIO PORCENTUAL EN UNIDADES VENDIDAS AÑO 5 8]])</f>
        <v>0</v>
      </c>
      <c r="EZ176" s="344">
        <f>IF(Tabla12[[#This Row],[CANTIDADES A UTILIZAR EN EL AÑO 1 8]]=0,0,Tabla12[[#This Row],[CANTIDADES A UTILIZAR EN EL AÑO 1 8]]*1/Tabla12[[#This Row],[UNIDADES PRODUCIDAS AÑO 1 8]])</f>
        <v>0</v>
      </c>
      <c r="FA176" s="344">
        <f>$C$141*(1+BASES!$E$10)</f>
        <v>0</v>
      </c>
      <c r="FB176" s="344">
        <f>Tabla12[[#This Row],[COSTO UNITARIO AÑO 2 8]]*(1+BASES!$F$10)</f>
        <v>0</v>
      </c>
      <c r="FC176" s="344">
        <f>Tabla12[[#This Row],[COSTO UNITARIO AÑO 3 8]]*(1+BASES!$G$10)</f>
        <v>0</v>
      </c>
      <c r="FD176" s="344">
        <f>Tabla12[[#This Row],[COSTO UNITARIO AÑO 4 8]]*(1+BASES!$H$10)</f>
        <v>0</v>
      </c>
      <c r="FE176" s="344">
        <f>Tabla12[[#This Row],[COSTO POR UNIDAD DE PRODUCTO (8)]]*$C$141*VLOOKUP(Tabla12[[#This Row],[CÓDIGO DEL PRODUCTO Y/O SERVICIO ]],Tabla3[],3)</f>
        <v>0</v>
      </c>
      <c r="FF176" s="344">
        <f>Tabla12[[#This Row],[COSTO POR UNIDAD DE PRODUCTO (8)]]*Tabla12[[#This Row],[COSTO UNITARIO AÑO 2 8]]*VLOOKUP(Tabla12[[#This Row],[CÓDIGO DEL PRODUCTO Y/O SERVICIO ]],Tabla3[],6)</f>
        <v>0</v>
      </c>
      <c r="FG176" s="344">
        <f>Tabla12[[#This Row],[COSTO POR UNIDAD DE PRODUCTO (8)]]*Tabla12[[#This Row],[COSTO UNITARIO AÑO 3 8]]*VLOOKUP(Tabla12[[#This Row],[CÓDIGO DEL PRODUCTO Y/O SERVICIO ]],Tabla3[],10)</f>
        <v>0</v>
      </c>
      <c r="FH176" s="344">
        <f>Tabla12[[#This Row],[COSTO POR UNIDAD DE PRODUCTO (8)]]*Tabla12[[#This Row],[COSTO UNITARIO AÑO 4 8]]*VLOOKUP(Tabla12[[#This Row],[CÓDIGO DEL PRODUCTO Y/O SERVICIO ]],Tabla3[],14)</f>
        <v>0</v>
      </c>
      <c r="FI176" s="344">
        <f>Tabla12[[#This Row],[COSTO POR UNIDAD DE PRODUCTO (8)]]*Tabla12[[#This Row],[COSTO UNITARIO AÑO 5 8]]*VLOOKUP(Tabla12[[#This Row],[CÓDIGO DEL PRODUCTO Y/O SERVICIO ]],Tabla3[],18)</f>
        <v>0</v>
      </c>
      <c r="FJ176" s="114">
        <f>VLOOKUP(Tabla12[[#This Row],[CÓDIGO DEL PRODUCTO Y/O SERVICIO ]],Tabla3[],3)</f>
        <v>500</v>
      </c>
      <c r="FK176" s="114">
        <f>Tabla12[[#This Row],[UNIDADES PRODUCIDAS AÑO 1 9 ]]*N152</f>
        <v>0</v>
      </c>
      <c r="FL176" s="112">
        <f>VLOOKUP(Tabla12[[#This Row],[CÓDIGO DEL PRODUCTO Y/O SERVICIO ]],Tabla3[],9)</f>
        <v>0.36</v>
      </c>
      <c r="FM176" s="114">
        <f>Tabla12[[#This Row],[CANTIDADES A UTILIZAR EN EL AÑO 1 9]]*(1+Tabla12[[#This Row],[CAMBIO PORCENTUAL UNIDADES VENDIDAS AÑO 2 9 ]])</f>
        <v>0</v>
      </c>
      <c r="FN176" s="112">
        <f>VLOOKUP(Tabla12[[#This Row],[CÓDIGO DEL PRODUCTO Y/O SERVICIO ]],Tabla3[],13)</f>
        <v>2.9411764705882353E-2</v>
      </c>
      <c r="FO176" s="114">
        <f>Tabla12[[#This Row],[CANTIDADES A UTILIZAR EN EL AÑO 2 9 ]]*(1+Tabla12[[#This Row],[CAMBIO PORCENTUAL EN UNIDADES VENDIDAS AÑO 3 9 ]])</f>
        <v>0</v>
      </c>
      <c r="FP176" s="112">
        <f>VLOOKUP(Tabla12[[#This Row],[CÓDIGO DEL PRODUCTO Y/O SERVICIO ]],Tabla3[],17)</f>
        <v>7.1428571428571425E-2</v>
      </c>
      <c r="FQ176" s="114">
        <f>Tabla12[[#This Row],[CANTIDADES A UTILIZAR EN EL AÑO 3 9 ]]*(1+Tabla12[[#This Row],[CAMBIO PORCENTUAL EN UNIDADES VENDIDAS AÑO 4 9 ]])</f>
        <v>0</v>
      </c>
      <c r="FR176" s="112">
        <f>VLOOKUP(Tabla12[[#This Row],[CÓDIGO DEL PRODUCTO Y/O SERVICIO ]],Tabla3[],21)</f>
        <v>6.6666666666666666E-2</v>
      </c>
      <c r="FS176" s="114">
        <f>Tabla12[[#This Row],[CANTIDADES A UTILIZAR EN EL AÑO 4 9]]*(1+Tabla12[[#This Row],[CAMBIO PORCENTUAL EN UNIDADES VENDIDAS AÑO 5 9]])</f>
        <v>0</v>
      </c>
      <c r="FT176" s="344">
        <f>IF(Tabla12[[#This Row],[CANTIDADES A UTILIZAR EN EL AÑO 1 9]]=0,0,Tabla12[[#This Row],[CANTIDADES A UTILIZAR EN EL AÑO 1 9]]*1/Tabla12[[#This Row],[UNIDADES PRODUCIDAS AÑO 1 9 ]])</f>
        <v>0</v>
      </c>
      <c r="FU176" s="344">
        <f>$C$142*(1+BASES!$E$10)</f>
        <v>0</v>
      </c>
      <c r="FV176" s="344">
        <f>Tabla12[[#This Row],[COSTO UNITARIO AÑO 2 9]]*(1+BASES!$F$10)</f>
        <v>0</v>
      </c>
      <c r="FW176" s="344">
        <f>Tabla12[[#This Row],[COSTO UNITARIO AÑO 3 9]]*(1+BASES!$G$10)</f>
        <v>0</v>
      </c>
      <c r="FX176" s="344">
        <f>Tabla12[[#This Row],[COSTO UNITARIO AÑO 4 9]]*(1+BASES!$H$10)</f>
        <v>0</v>
      </c>
      <c r="FY176" s="344">
        <f>Tabla12[[#This Row],[COSTO POR UNIDAD DE PRODUCTO (9)]]*$C$142*VLOOKUP(Tabla12[[#This Row],[CÓDIGO DEL PRODUCTO Y/O SERVICIO ]],Tabla3[],3)</f>
        <v>0</v>
      </c>
      <c r="FZ176" s="344">
        <f>Tabla12[[#This Row],[COSTO POR UNIDAD DE PRODUCTO (9)]]*Tabla12[[#This Row],[COSTO UNITARIO AÑO 2 9]]*VLOOKUP(Tabla12[[#This Row],[CÓDIGO DEL PRODUCTO Y/O SERVICIO ]],Tabla3[],6)</f>
        <v>0</v>
      </c>
      <c r="GA176" s="344">
        <f>Tabla12[[#This Row],[COSTO POR UNIDAD DE PRODUCTO (9)]]*Tabla12[[#This Row],[COSTO UNITARIO AÑO 3 9]]*VLOOKUP(Tabla12[[#This Row],[CÓDIGO DEL PRODUCTO Y/O SERVICIO ]],Tabla3[],10)</f>
        <v>0</v>
      </c>
      <c r="GB176" s="344">
        <f>Tabla12[[#This Row],[COSTO POR UNIDAD DE PRODUCTO (9)]]*Tabla12[[#This Row],[COSTO UNITARIO AÑO 4 9]]*VLOOKUP(Tabla12[[#This Row],[CÓDIGO DEL PRODUCTO Y/O SERVICIO ]],Tabla3[],14)</f>
        <v>0</v>
      </c>
      <c r="GC176" s="344">
        <f>Tabla12[[#This Row],[COSTO POR UNIDAD DE PRODUCTO (9)]]*Tabla12[[#This Row],[COSTO UNITARIO AÑO 5 9]]*VLOOKUP(Tabla12[[#This Row],[CÓDIGO DEL PRODUCTO Y/O SERVICIO ]],Tabla3[],18)</f>
        <v>0</v>
      </c>
      <c r="GD176" s="114">
        <f>VLOOKUP(Tabla12[[#This Row],[CÓDIGO DEL PRODUCTO Y/O SERVICIO ]],Tabla3[],3)</f>
        <v>500</v>
      </c>
      <c r="GE176" s="114">
        <f>Tabla12[[#This Row],[UNIDADES PRODUCIDAS AÑO 1 10 ]]*O152</f>
        <v>0</v>
      </c>
      <c r="GF176" s="112">
        <f>VLOOKUP(Tabla12[[#This Row],[CÓDIGO DEL PRODUCTO Y/O SERVICIO ]],Tabla3[],9)</f>
        <v>0.36</v>
      </c>
      <c r="GG176" s="112">
        <f>Tabla12[[#This Row],[CANTIDADES A UTILIZAR EN EL AÑO 1 10 ]]*(1+Tabla12[[#This Row],[CAMBIO PORCENTUAL EN UNIDADES VENDIDAS AÑO 2 10 ]])</f>
        <v>0</v>
      </c>
      <c r="GH176" s="112">
        <f>VLOOKUP(Tabla12[[#This Row],[CÓDIGO DEL PRODUCTO Y/O SERVICIO ]],Tabla3[],13)</f>
        <v>2.9411764705882353E-2</v>
      </c>
      <c r="GI176" s="114">
        <f>Tabla12[[#This Row],[CANTIDADES A UTILIZAR EN EL AÑO 2 10]]*(1+Tabla12[[#This Row],[CAMBIO PORCENTUAL EN UNIDADES VENDIDAS AÑO 3 10 ]])</f>
        <v>0</v>
      </c>
      <c r="GJ176" s="112">
        <f>VLOOKUP(Tabla12[[#This Row],[CÓDIGO DEL PRODUCTO Y/O SERVICIO ]],Tabla3[],17)</f>
        <v>7.1428571428571425E-2</v>
      </c>
      <c r="GK176" s="114">
        <f>Tabla12[[#This Row],[CANTIDADES A UTILIZAR EN EL AÑO 3 10]]*(1+Tabla12[[#This Row],[CAMBIO PORCENTUAL EN UNIDADES VENDIDAS AÑO 4 10 ]])</f>
        <v>0</v>
      </c>
      <c r="GL176" s="112">
        <f>VLOOKUP(Tabla12[[#This Row],[CÓDIGO DEL PRODUCTO Y/O SERVICIO ]],Tabla3[],21)</f>
        <v>6.6666666666666666E-2</v>
      </c>
      <c r="GM176" s="114">
        <f>Tabla12[[#This Row],[CANTIDADES A UTILIZAR EN EL AÑO 4 10 ]]*(1+Tabla12[[#This Row],[CAMBIO PORCENTUAL EN UNIDADES VENDIDAS AÑO 5 10 ]])</f>
        <v>0</v>
      </c>
      <c r="GN176" s="344">
        <f>IF(Tabla12[[#This Row],[CANTIDADES A UTILIZAR EN EL AÑO 1 10 ]]=0,0,Tabla12[[#This Row],[CANTIDADES A UTILIZAR EN EL AÑO 1 10 ]]*1/Tabla12[[#This Row],[UNIDADES PRODUCIDAS AÑO 1 10 ]])</f>
        <v>0</v>
      </c>
      <c r="GO176" s="344">
        <f>$C$143*(1+BASES!$E$10)</f>
        <v>0</v>
      </c>
      <c r="GP176" s="344">
        <f>Tabla12[[#This Row],[COSTO UNITARIO AÑO 2 10 ]]*(1+BASES!$F$10)</f>
        <v>0</v>
      </c>
      <c r="GQ176" s="344">
        <f>Tabla12[[#This Row],[COSTO UNITARIO AÑO 3 10 ]]*(1+BASES!$G$10)</f>
        <v>0</v>
      </c>
      <c r="GR176" s="344">
        <f>Tabla12[[#This Row],[COSTO UNITARIO AÑO 4 10]]*(1+BASES!$H$10)</f>
        <v>0</v>
      </c>
      <c r="GS176" s="344">
        <f>Tabla12[[#This Row],[COSTO POR UNIDAD DE PRODUCTO (10)]]*$C$143*VLOOKUP(Tabla12[[#This Row],[CÓDIGO DEL PRODUCTO Y/O SERVICIO ]],Tabla3[],3)</f>
        <v>0</v>
      </c>
      <c r="GT176" s="344">
        <f>Tabla12[[#This Row],[COSTO POR UNIDAD DE PRODUCTO (10)]]*Tabla12[[#This Row],[COSTO UNITARIO AÑO 2 10 ]]*VLOOKUP(Tabla12[[#This Row],[CÓDIGO DEL PRODUCTO Y/O SERVICIO ]],Tabla3[],6)</f>
        <v>0</v>
      </c>
      <c r="GU176" s="344">
        <f>Tabla12[[#This Row],[COSTO POR UNIDAD DE PRODUCTO (10)]]*Tabla12[[#This Row],[COSTO UNITARIO AÑO 3 10 ]]*VLOOKUP(Tabla12[[#This Row],[CÓDIGO DEL PRODUCTO Y/O SERVICIO ]],Tabla3[],10)</f>
        <v>0</v>
      </c>
      <c r="GV176" s="344">
        <f>Tabla12[[#This Row],[COSTO POR UNIDAD DE PRODUCTO (10)]]*Tabla12[[#This Row],[COSTO UNITARIO AÑO 4 10]]*VLOOKUP(Tabla12[[#This Row],[CÓDIGO DEL PRODUCTO Y/O SERVICIO ]],Tabla3[],14)</f>
        <v>0</v>
      </c>
      <c r="GW176" s="344">
        <f>Tabla12[[#This Row],[COSTO POR UNIDAD DE PRODUCTO (10)]]*Tabla12[[#This Row],[COSTO UNITARIO AÑO 5 10 ]]*VLOOKUP(Tabla12[[#This Row],[CÓDIGO DEL PRODUCTO Y/O SERVICIO ]],Tabla3[],18)</f>
        <v>0</v>
      </c>
      <c r="GX176" s="383">
        <f>Tabla12[[#This Row],[AÑO 1 10 ]]+Tabla12[[#This Row],[AÑO 1 9 ]]+Tabla12[[#This Row],[AÑO 1 8]]+Tabla12[[#This Row],[AÑO 1 7]]+Tabla12[[#This Row],[AÑO 1 6]]+Tabla12[[#This Row],[AÑO 1 5]]+Tabla12[[#This Row],[AÑO 1 4 ]]+Tabla12[[#This Row],[AÑO 1 3]]+Tabla12[[#This Row],[AÑO 1 2]]+Tabla12[[#This Row],[AÑO 1 1]]</f>
        <v>40000000</v>
      </c>
      <c r="GY176" s="383">
        <f>Tabla12[[#This Row],[AÑO 2 10 ]]+Tabla12[[#This Row],[AÑO 2 9 ]]+Tabla12[[#This Row],[AÑO 2 8]]+Tabla12[[#This Row],[AÑO 2 7]]+Tabla12[[#This Row],[AÑO 2 6]]+Tabla12[[#This Row],[AÑO 2 5]]+Tabla12[[#This Row],[AÑO 2 4 ]]+Tabla12[[#This Row],[AÑO 2 3]]+Tabla12[[#This Row],[AÑO 2 2 ]]+Tabla12[[#This Row],[AÑO 2 1 ]]</f>
        <v>55009280.000000007</v>
      </c>
      <c r="GZ176" s="383">
        <f>Tabla12[[#This Row],[AÑO 3 10 ]]+Tabla12[[#This Row],[AÑO 3 9]]+Tabla12[[#This Row],[AÑO 3 8]]+Tabla12[[#This Row],[AÑO 3 7]]+Tabla12[[#This Row],[AÑO 3 6]]+Tabla12[[#This Row],[AÑO 3 5]]+Tabla12[[#This Row],[AÑO 3 4 ]]+Tabla12[[#This Row],[AÑO 3 3 ]]+Tabla12[[#This Row],[AÑO 3 2 ]]+Tabla12[[#This Row],[AÑO 3 1 ]]</f>
        <v>57261424.640000008</v>
      </c>
      <c r="HA176" s="383">
        <f>Tabla12[[#This Row],[AÑO 4 10 ]]+Tabla12[[#This Row],[AÑO 4 9]]+Tabla12[[#This Row],[AÑO 4 8]]+Tabla12[[#This Row],[AÑO 4 7]]+Tabla12[[#This Row],[AÑO 4 6]]+Tabla12[[#This Row],[AÑO 4 5]]+Tabla12[[#This Row],[AÑO 4 4 ]]+Tabla12[[#This Row],[AÑO 4 3 ]]+Tabla12[[#This Row],[AÑO 4 2 ]]+Tabla12[[#This Row],[AÑO 4 1 ]]</f>
        <v>62038663.495680019</v>
      </c>
      <c r="HB176" s="383">
        <f>Tabla12[[#This Row],[AÑO 5 10 ]]+Tabla12[[#This Row],[AÑO 5 9]]+Tabla12[[#This Row],[AÑO 5 8]]+Tabla12[[#This Row],[AÑO 5 7]]+Tabla12[[#This Row],[AÑO 5 6]]+Tabla12[[#This Row],[AÑO 5 5]]+Tabla12[[#This Row],[AÑO 5 4 ]]+Tabla12[[#This Row],[AÑO 5 3 ]]+Tabla12[[#This Row],[AÑO 5 2 ]]+Tabla12[[#This Row],[AÑO 5 1 ]]</f>
        <v>66915729.628620423</v>
      </c>
    </row>
    <row r="177" spans="3:210" ht="15.75" x14ac:dyDescent="0.25">
      <c r="C177" s="62">
        <v>4</v>
      </c>
      <c r="D177" s="72" t="str">
        <f>VLOOKUP(Tabla12[[#This Row],[CÓDIGO DEL PRODUCTO Y/O SERVICIO ]],Tabla3[],2)</f>
        <v>Pureza Amor</v>
      </c>
      <c r="E177" s="364"/>
      <c r="F177" s="72">
        <f>VLOOKUP(Tabla12[[#This Row],[CÓDIGO DEL PRODUCTO Y/O SERVICIO ]],Tabla3[],3)</f>
        <v>450</v>
      </c>
      <c r="G177" s="72">
        <f>Tabla12[[#This Row],[UNIDADES PRODUCIDAS AÑO 1 1 ]]*F155</f>
        <v>450</v>
      </c>
      <c r="H177" s="112">
        <f>VLOOKUP(Tabla12[[#This Row],[CÓDIGO DEL PRODUCTO Y/O SERVICIO ]],Tabla3[],9)</f>
        <v>0.1111111111111111</v>
      </c>
      <c r="I177" s="72">
        <f>Tabla12[[#This Row],[CANTIDADES A UTILIZAR EN EL AÑO 1 1]]*(1+Tabla12[[#This Row],[CAMBIO PORCENTUAL EN UNIDADES VENDIDAS AÑO 2 1 ]])</f>
        <v>500</v>
      </c>
      <c r="J177" s="112">
        <f>VLOOKUP(Tabla12[[#This Row],[CÓDIGO DEL PRODUCTO Y/O SERVICIO ]],Tabla3[],13)</f>
        <v>0.12</v>
      </c>
      <c r="K177" s="72">
        <f>Tabla12[[#This Row],[CANTIDADES A UTILIZAR EN EL AÑO 2 1]]*(1+Tabla12[[#This Row],[CAMBIO PORCENTUAL EN UNIDADES VENDIDAS AÑO 3 1 ]])</f>
        <v>560</v>
      </c>
      <c r="L177" s="112">
        <f>VLOOKUP(Tabla12[[#This Row],[CÓDIGO DEL PRODUCTO Y/O SERVICIO ]],Tabla3[],17)</f>
        <v>8.9285714285714288E-2</v>
      </c>
      <c r="M177" s="72">
        <f>Tabla12[[#This Row],[CANTIDADES A UTILIZAR EN EL AÑO 3 1 ]]*(1+Tabla12[[#This Row],[CAMBIO PORCENTUAL EN UNIDADES VENDIDAS AÑO 4 1]])</f>
        <v>610</v>
      </c>
      <c r="N177" s="112">
        <f>VLOOKUP(Tabla12[[#This Row],[CÓDIGO DEL PRODUCTO Y/O SERVICIO ]],Tabla3[],21)</f>
        <v>6.5573770491803282E-2</v>
      </c>
      <c r="O177" s="72">
        <f>Tabla12[[#This Row],[CANTIDADES A UTILIZAR EN EL AÑO 4 1 ]]*(1+Tabla12[[#This Row],[CAMBIO PORCENTUAL EN UNIDADES VENDIDAS AÑO 5 1 ]])</f>
        <v>650</v>
      </c>
      <c r="P177" s="344">
        <f>IF(Tabla12[[#This Row],[CANTIDADES A UTILIZAR EN EL AÑO 1 1]]=0,0,Tabla12[[#This Row],[CANTIDADES A UTILIZAR EN EL AÑO 1 1]]*1/Tabla12[[#This Row],[UNIDADES PRODUCIDAS AÑO 1 1 ]])</f>
        <v>1</v>
      </c>
      <c r="Q177" s="344">
        <f>$C$134*(1+BASES!$E$10)</f>
        <v>60672.000000000007</v>
      </c>
      <c r="R177" s="344">
        <f>Tabla12[[#This Row],[COSTO UNITARIO AÑO 2 1 ]]*(1+BASES!$F$10)</f>
        <v>61351.52640000001</v>
      </c>
      <c r="S177" s="344">
        <f>Tabla12[[#This Row],[COSTO UNITARIO AÑO 3 1 ]]*(1+BASES!$G$10)</f>
        <v>62038.663495680019</v>
      </c>
      <c r="T177" s="344">
        <f>Tabla12[[#This Row],[COSTO UNITARIO AÑO 4 1 ]]*(1+BASES!$H$10)</f>
        <v>62733.496526831645</v>
      </c>
      <c r="U177" s="344">
        <f>Tabla12[[#This Row],[COSTO POR UNIDAD DE PRODUCTO (1)]]*$C$134*VLOOKUP(Tabla12[[#This Row],[CÓDIGO DEL PRODUCTO Y/O SERVICIO ]],Tabla3[],3)</f>
        <v>27000000</v>
      </c>
      <c r="V177" s="344">
        <f>Tabla12[[#This Row],[COSTO POR UNIDAD DE PRODUCTO (1)]]*Tabla12[[#This Row],[COSTO UNITARIO AÑO 2 1 ]]*VLOOKUP(Tabla12[[#This Row],[CÓDIGO DEL PRODUCTO Y/O SERVICIO ]],Tabla3[],6)</f>
        <v>30336000.000000004</v>
      </c>
      <c r="W177" s="344">
        <f>Tabla12[[#This Row],[COSTO POR UNIDAD DE PRODUCTO (1)]]*Tabla12[[#This Row],[COSTO UNITARIO AÑO 3 1 ]]*VLOOKUP(Tabla12[[#This Row],[CÓDIGO DEL PRODUCTO Y/O SERVICIO ]],Tabla3[],10)</f>
        <v>34356854.784000002</v>
      </c>
      <c r="X177" s="344">
        <f>Tabla12[[#This Row],[COSTO POR UNIDAD DE PRODUCTO (1)]]*Tabla12[[#This Row],[COSTO UNITARIO AÑO 4 1 ]]*VLOOKUP(Tabla12[[#This Row],[CÓDIGO DEL PRODUCTO Y/O SERVICIO ]],Tabla3[],14)</f>
        <v>37843584.732364811</v>
      </c>
      <c r="Y177" s="344">
        <f>Tabla12[[#This Row],[COSTO POR UNIDAD DE PRODUCTO (1)]]*Tabla12[[#This Row],[COSTO UNITARIO AÑO 5 1 ]]*VLOOKUP(Tabla12[[#This Row],[CÓDIGO DEL PRODUCTO Y/O SERVICIO ]],Tabla3[],18)</f>
        <v>40776772.742440566</v>
      </c>
      <c r="Z177" s="114">
        <f>VLOOKUP(Tabla12[[#This Row],[CÓDIGO DEL PRODUCTO Y/O SERVICIO ]],Tabla3[],3)</f>
        <v>450</v>
      </c>
      <c r="AA177" s="114">
        <f>Tabla12[[#This Row],[UNIDADES PRODUCIDAS AÑO 1 2]]*G155</f>
        <v>450</v>
      </c>
      <c r="AB177" s="112">
        <f>VLOOKUP(Tabla12[[#This Row],[CÓDIGO DEL PRODUCTO Y/O SERVICIO ]],Tabla3[],9)</f>
        <v>0.1111111111111111</v>
      </c>
      <c r="AC177" s="114">
        <f>Tabla12[[#This Row],[CANTIDADES A UTILIZAR EN EL AÑO 1 2 ]]*(1+Tabla12[[#This Row],[CAMBIO PORCENTUAL EN UNIDADES VENDIDAS AÑO 2 2 ]])</f>
        <v>500</v>
      </c>
      <c r="AD177" s="112">
        <f>VLOOKUP(Tabla12[[#This Row],[CÓDIGO DEL PRODUCTO Y/O SERVICIO ]],Tabla3[],13)</f>
        <v>0.12</v>
      </c>
      <c r="AE177" s="114">
        <f>Tabla12[[#This Row],[CANTIDADES A UTILIZAR EN EL AÑO 2 2 ]]*(1+Tabla12[[#This Row],[CAMBIO PORCENTUAL EN UNIDADES VENDIDAS AÑO 3 2]])</f>
        <v>560</v>
      </c>
      <c r="AF177" s="112">
        <f>VLOOKUP(Tabla12[[#This Row],[CÓDIGO DEL PRODUCTO Y/O SERVICIO ]],Tabla3[],17)</f>
        <v>8.9285714285714288E-2</v>
      </c>
      <c r="AG177" s="114">
        <f>Tabla12[[#This Row],[CANTIDADES A UTILIZAR EN EL AÑO 3 2]]*(1+Tabla12[[#This Row],[CAMBIO PORCENTUAL EN UNIDADES VENDIDAS AÑO 4 2]])</f>
        <v>610</v>
      </c>
      <c r="AH177" s="112">
        <f>VLOOKUP(Tabla12[[#This Row],[CÓDIGO DEL PRODUCTO Y/O SERVICIO ]],Tabla3[],21)</f>
        <v>6.5573770491803282E-2</v>
      </c>
      <c r="AI177" s="114">
        <f>Tabla12[[#This Row],[CANTIDADES A UTILIZAR EN EL AÑO 4 2]]*(1+Tabla12[[#This Row],[CAMBIO PORCENTUAL EN UNIDADES VENDIDAS AÑO 5 2]])</f>
        <v>650</v>
      </c>
      <c r="AJ177" s="344">
        <f>IF(Tabla12[[#This Row],[CANTIDADES A UTILIZAR EN EL AÑO 1 2 ]]=0,0,Tabla12[[#This Row],[CANTIDADES A UTILIZAR EN EL AÑO 1 2 ]]*1/Tabla12[[#This Row],[UNIDADES PRODUCIDAS AÑO 1 2]])</f>
        <v>1</v>
      </c>
      <c r="AK177" s="344">
        <f>$C$135*(1+BASES!$E$10)</f>
        <v>20224.000000000004</v>
      </c>
      <c r="AL177" s="344">
        <f>Tabla12[[#This Row],[COSTO UNITARIO AÑO 2 2]]*(1+BASES!$F$10)</f>
        <v>20450.508800000007</v>
      </c>
      <c r="AM177" s="344">
        <f>Tabla12[[#This Row],[COSTO UNITARIO AÑO 3 2 ]]*(1+BASES!$G$10)</f>
        <v>20679.55449856001</v>
      </c>
      <c r="AN177" s="344">
        <f>Tabla12[[#This Row],[COSTO UNITARIO AÑO 4 2 ]]*(1+BASES!$H$10)</f>
        <v>20911.165508943883</v>
      </c>
      <c r="AO177" s="344">
        <f>Tabla12[[#This Row],[COSTO POR UNIDAD DE PRODUCTO (2)]]*$C$135*VLOOKUP(Tabla12[[#This Row],[CÓDIGO DEL PRODUCTO Y/O SERVICIO ]],Tabla3[],3)</f>
        <v>9000000</v>
      </c>
      <c r="AP177" s="344">
        <f>Tabla12[[#This Row],[COSTO POR UNIDAD DE PRODUCTO (2)]]*Tabla12[[#This Row],[COSTO UNITARIO AÑO 2 2]]*VLOOKUP(Tabla12[[#This Row],[CÓDIGO DEL PRODUCTO Y/O SERVICIO ]],Tabla3[],6)</f>
        <v>10112000.000000002</v>
      </c>
      <c r="AQ177" s="344">
        <f>Tabla12[[#This Row],[COSTO POR UNIDAD DE PRODUCTO (2)]]*Tabla12[[#This Row],[COSTO UNITARIO AÑO 3 2 ]]*VLOOKUP(Tabla12[[#This Row],[CÓDIGO DEL PRODUCTO Y/O SERVICIO ]],Tabla3[],10)</f>
        <v>11452284.928000003</v>
      </c>
      <c r="AR177" s="344">
        <f>Tabla12[[#This Row],[COSTO POR UNIDAD DE PRODUCTO (2)]]*Tabla12[[#This Row],[COSTO UNITARIO AÑO 4 2 ]]*VLOOKUP(Tabla12[[#This Row],[CÓDIGO DEL PRODUCTO Y/O SERVICIO ]],Tabla3[],14)</f>
        <v>12614528.244121606</v>
      </c>
      <c r="AS177" s="344">
        <f>Tabla12[[#This Row],[COSTO POR UNIDAD DE PRODUCTO (2)]]*Tabla12[[#This Row],[COSTO UNITARIO AÑO 5 2 ]]*VLOOKUP(Tabla12[[#This Row],[CÓDIGO DEL PRODUCTO Y/O SERVICIO ]],Tabla3[],18)</f>
        <v>13592257.580813523</v>
      </c>
      <c r="AT177" s="114">
        <f>VLOOKUP(Tabla12[[#This Row],[CÓDIGO DEL PRODUCTO Y/O SERVICIO ]],Tabla3[],3)</f>
        <v>450</v>
      </c>
      <c r="AU177" s="114">
        <f>Tabla12[[#This Row],[UNIDADES PRODUCIDAS AÑO 1 3]]*H155</f>
        <v>0</v>
      </c>
      <c r="AV177" s="112">
        <f>VLOOKUP(Tabla12[[#This Row],[CÓDIGO DEL PRODUCTO Y/O SERVICIO ]],Tabla3[],9)</f>
        <v>0.1111111111111111</v>
      </c>
      <c r="AW177" s="114">
        <f>Tabla12[[#This Row],[CANTIDADES A UTILIZAR EN EL AÑO 1 3]]*(1+Tabla12[[#This Row],[CAMBIO PORCENTUAL EN UNIDADES VENDIDAS AÑO 2 3]])</f>
        <v>0</v>
      </c>
      <c r="AX177" s="112">
        <f>VLOOKUP(Tabla12[[#This Row],[CÓDIGO DEL PRODUCTO Y/O SERVICIO ]],Tabla3[],13)</f>
        <v>0.12</v>
      </c>
      <c r="AY177" s="114">
        <f>Tabla12[[#This Row],[CANTIDADES A UTILIZAR EN EL AÑO 2 3]]*(1+Tabla12[[#This Row],[CAMBIO PORCENTUAL EN UNIDADES VENDIDAS AÑO 3 3]])</f>
        <v>0</v>
      </c>
      <c r="AZ177" s="112">
        <f>VLOOKUP(Tabla12[[#This Row],[CÓDIGO DEL PRODUCTO Y/O SERVICIO ]],Tabla3[],17)</f>
        <v>8.9285714285714288E-2</v>
      </c>
      <c r="BA177" s="114">
        <f>Tabla12[[#This Row],[CANTIDADES A UTILIZAR EN EL AÑO 3 3]]*(1+Tabla12[[#This Row],[CAMBIO PORCENTUAL EN UNIDADES VENDIDAS AÑO 4 3]])</f>
        <v>0</v>
      </c>
      <c r="BB177" s="112">
        <f>VLOOKUP(Tabla12[[#This Row],[CÓDIGO DEL PRODUCTO Y/O SERVICIO ]],Tabla3[],21)</f>
        <v>6.5573770491803282E-2</v>
      </c>
      <c r="BC177" s="114">
        <f>Tabla12[[#This Row],[CANTIDADES A UTILIZAR EN EL AÑO 4 3]]*(1+Tabla12[[#This Row],[CAMBIO PORCENTUAL EN UNIDADES VENDIDAS AÑO 5 3]])</f>
        <v>0</v>
      </c>
      <c r="BD177" s="344">
        <f>IF(Tabla12[[#This Row],[CANTIDADES A UTILIZAR EN EL AÑO 1 3]]=0,0,Tabla12[[#This Row],[CANTIDADES A UTILIZAR EN EL AÑO 1 3]]*1/Tabla12[[#This Row],[UNIDADES PRODUCIDAS AÑO 1 3]])</f>
        <v>0</v>
      </c>
      <c r="BE177" s="344">
        <f>$C$136*(1+BASES!$E$10)</f>
        <v>0</v>
      </c>
      <c r="BF177" s="344">
        <f>Tabla12[[#This Row],[COSTO UNITARIO AÑO 2 3]]*(1+BASES!$F$10)</f>
        <v>0</v>
      </c>
      <c r="BG177" s="344">
        <f>Tabla12[[#This Row],[COSTO UNITARIO AÑO 3 3 ]]*(1+BASES!$G$10)</f>
        <v>0</v>
      </c>
      <c r="BH177" s="344">
        <f>Tabla12[[#This Row],[COSTO UNITARIO AÑO 4 3]]*(1+BASES!$H$10)</f>
        <v>0</v>
      </c>
      <c r="BI177" s="344">
        <f>Tabla12[[#This Row],[COSTO POR UNIDAD DE PRODUCTO (3)]]*$C$136*VLOOKUP(Tabla12[[#This Row],[CÓDIGO DEL PRODUCTO Y/O SERVICIO ]],Tabla3[],3)</f>
        <v>0</v>
      </c>
      <c r="BJ177" s="344">
        <f>Tabla12[[#This Row],[COSTO POR UNIDAD DE PRODUCTO (3)]]*Tabla12[[#This Row],[COSTO UNITARIO AÑO 2 3]]*VLOOKUP(Tabla12[[#This Row],[CÓDIGO DEL PRODUCTO Y/O SERVICIO ]],Tabla3[],6)</f>
        <v>0</v>
      </c>
      <c r="BK177" s="344">
        <f>Tabla12[[#This Row],[COSTO POR UNIDAD DE PRODUCTO (3)]]*Tabla12[[#This Row],[COSTO UNITARIO AÑO 3 3 ]]*VLOOKUP(Tabla12[[#This Row],[CÓDIGO DEL PRODUCTO Y/O SERVICIO ]],Tabla3[],10)</f>
        <v>0</v>
      </c>
      <c r="BL177" s="344">
        <f>Tabla12[[#This Row],[COSTO POR UNIDAD DE PRODUCTO (3)]]*Tabla12[[#This Row],[COSTO UNITARIO AÑO 4 3]]*VLOOKUP(Tabla12[[#This Row],[CÓDIGO DEL PRODUCTO Y/O SERVICIO ]],Tabla3[],14)</f>
        <v>0</v>
      </c>
      <c r="BM177" s="344">
        <f>Tabla12[[#This Row],[COSTO POR UNIDAD DE PRODUCTO (3)]]*Tabla12[[#This Row],[COSTO UNITARIO AÑO 5 3 ]]*VLOOKUP(Tabla12[[#This Row],[CÓDIGO DEL PRODUCTO Y/O SERVICIO ]],Tabla3[],18)</f>
        <v>0</v>
      </c>
      <c r="BN177" s="114">
        <f>VLOOKUP(Tabla12[[#This Row],[CÓDIGO DEL PRODUCTO Y/O SERVICIO ]],Tabla3[],3)</f>
        <v>450</v>
      </c>
      <c r="BO177" s="114">
        <f>Tabla12[[#This Row],[UNIDADES PRODUCIDAS AÑO 1 4]]*I155</f>
        <v>0</v>
      </c>
      <c r="BP177" s="112">
        <f>VLOOKUP(Tabla12[[#This Row],[CÓDIGO DEL PRODUCTO Y/O SERVICIO ]],Tabla3[],9)</f>
        <v>0.1111111111111111</v>
      </c>
      <c r="BQ177" s="114">
        <f>Tabla12[[#This Row],[CANTIDADES A UTILIZAR EN EL AÑO 1 4]]*(1+Tabla12[[#This Row],[CAMBIO PORCENTUAL EN UNIDADES VENDIDAS AÑO 2 4]])</f>
        <v>0</v>
      </c>
      <c r="BR177" s="112">
        <f>VLOOKUP(Tabla12[[#This Row],[CÓDIGO DEL PRODUCTO Y/O SERVICIO ]],Tabla3[],13)</f>
        <v>0.12</v>
      </c>
      <c r="BS177" s="114">
        <f>Tabla12[[#This Row],[CANTIDADES A UTILIZAR EN EL AÑO 2 4]]*(1+Tabla12[[#This Row],[CAMBIO PORCENTUAL EN UNIDADES VENDIDAS AÑO 3 4]])</f>
        <v>0</v>
      </c>
      <c r="BT177" s="112">
        <f>VLOOKUP(Tabla12[[#This Row],[CÓDIGO DEL PRODUCTO Y/O SERVICIO ]],Tabla3[],17)</f>
        <v>8.9285714285714288E-2</v>
      </c>
      <c r="BU177" s="114">
        <f>Tabla12[[#This Row],[CANTIDADES A UTILIZAR EN EL AÑO 3 4 ]]*(1+Tabla12[[#This Row],[CAMBIO PORCENTUAL EN UNIDADES VENDIDAS AÑO 4 4 ]])</f>
        <v>0</v>
      </c>
      <c r="BV177" s="112">
        <f>VLOOKUP(Tabla12[[#This Row],[CÓDIGO DEL PRODUCTO Y/O SERVICIO ]],Tabla3[],21)</f>
        <v>6.5573770491803282E-2</v>
      </c>
      <c r="BW177" s="114">
        <f>Tabla12[[#This Row],[CANTIDADES A UTILIZAR EN EL AÑO 4 4 ]]*(1+Tabla12[[#This Row],[CAMBIO PORCENTUAL EN UNIDADES VENDIDAS AÑO 5 4 ]])</f>
        <v>0</v>
      </c>
      <c r="BX177" s="344">
        <f>IF(Tabla12[[#This Row],[CANTIDADES A UTILIZAR EN EL AÑO 1 4]]=0,0,Tabla12[[#This Row],[CANTIDADES A UTILIZAR EN EL AÑO 1 4]]*1/Tabla12[[#This Row],[UNIDADES PRODUCIDAS AÑO 1 4]])</f>
        <v>0</v>
      </c>
      <c r="BY177" s="344">
        <f>$C$137*(1+BASES!$E$10)</f>
        <v>0</v>
      </c>
      <c r="BZ177" s="344">
        <f>Tabla12[[#This Row],[COSTO UNITARIO AÑO 2 4 ]]*(1+BASES!$F$10)</f>
        <v>0</v>
      </c>
      <c r="CA177" s="344">
        <f>Tabla12[[#This Row],[COSTO UNITARIO AÑO 3 4 ]]*(1+BASES!$G$10)</f>
        <v>0</v>
      </c>
      <c r="CB177" s="344">
        <f>Tabla12[[#This Row],[COSTO UNITARIO AÑO 4 4 ]]*(1+BASES!$H$10)</f>
        <v>0</v>
      </c>
      <c r="CC177" s="344">
        <f>Tabla12[[#This Row],[COSTO POR UNIDAD DE PRODUCTO (4)]]*$C$137*VLOOKUP(Tabla12[[#This Row],[CÓDIGO DEL PRODUCTO Y/O SERVICIO ]],Tabla3[],3)</f>
        <v>0</v>
      </c>
      <c r="CD177" s="344">
        <f>Tabla12[[#This Row],[COSTO POR UNIDAD DE PRODUCTO (4)]]*Tabla12[[#This Row],[COSTO UNITARIO AÑO 2 4 ]]*VLOOKUP(Tabla12[[#This Row],[CÓDIGO DEL PRODUCTO Y/O SERVICIO ]],Tabla3[],6)</f>
        <v>0</v>
      </c>
      <c r="CE177" s="344">
        <f>Tabla12[[#This Row],[COSTO POR UNIDAD DE PRODUCTO (4)]]*Tabla12[[#This Row],[COSTO UNITARIO AÑO 3 4 ]]*VLOOKUP(Tabla12[[#This Row],[CÓDIGO DEL PRODUCTO Y/O SERVICIO ]],Tabla3[],10)</f>
        <v>0</v>
      </c>
      <c r="CF177" s="344">
        <f>Tabla12[[#This Row],[COSTO POR UNIDAD DE PRODUCTO (4)]]*Tabla12[[#This Row],[COSTO UNITARIO AÑO 4 4 ]]*VLOOKUP(Tabla12[[#This Row],[CÓDIGO DEL PRODUCTO Y/O SERVICIO ]],Tabla3[],14)</f>
        <v>0</v>
      </c>
      <c r="CG177" s="344">
        <f>Tabla12[[#This Row],[COSTO POR UNIDAD DE PRODUCTO (4)]]*Tabla12[[#This Row],[COSTO UNITARIO AÑO 5 4 ]]*VLOOKUP(Tabla12[[#This Row],[CÓDIGO DEL PRODUCTO Y/O SERVICIO ]],Tabla3[],18)</f>
        <v>0</v>
      </c>
      <c r="CH177" s="114">
        <f>VLOOKUP(Tabla12[[#This Row],[CÓDIGO DEL PRODUCTO Y/O SERVICIO ]],Tabla3[],3)</f>
        <v>450</v>
      </c>
      <c r="CI177" s="114">
        <f>Tabla12[[#This Row],[UNIDADES PRODUCIDAS AÑO 1 5]]*J155</f>
        <v>0</v>
      </c>
      <c r="CJ177" s="112">
        <f>VLOOKUP(Tabla12[[#This Row],[CÓDIGO DEL PRODUCTO Y/O SERVICIO ]],Tabla3[],9)</f>
        <v>0.1111111111111111</v>
      </c>
      <c r="CK177" s="114">
        <f>Tabla12[[#This Row],[CANTIDADES A UTILIZAR EN EL AÑO 1 5]]*(1+Tabla12[[#This Row],[CAMBIO PORCENTUAL EN UNIDADES VENDIDAS AÑO 2 5 ]])</f>
        <v>0</v>
      </c>
      <c r="CL177" s="112">
        <f>VLOOKUP(Tabla12[[#This Row],[CÓDIGO DEL PRODUCTO Y/O SERVICIO ]],Tabla3[],13)</f>
        <v>0.12</v>
      </c>
      <c r="CM177" s="114">
        <f>Tabla12[[#This Row],[CANTIDADES A UTILIZAR EN EL AÑO 2 5]]*(1+Tabla12[[#This Row],[CAMBIO PORCENTUAL EN UNIDADES VENDIDAS AÑO 3 5 ]])</f>
        <v>0</v>
      </c>
      <c r="CN177" s="112">
        <f>VLOOKUP(Tabla12[[#This Row],[CÓDIGO DEL PRODUCTO Y/O SERVICIO ]],Tabla3[],17)</f>
        <v>8.9285714285714288E-2</v>
      </c>
      <c r="CO177" s="114">
        <f>Tabla12[[#This Row],[CANTIDADES A UTILIZAR EN EL AÑO 3 5 ]]*(1+Tabla12[[#This Row],[CAMBIO PORCENTUAL EN UNIDADES VENDIDAS AÑO 4 5 ]])</f>
        <v>0</v>
      </c>
      <c r="CP177" s="112">
        <f>VLOOKUP(Tabla12[[#This Row],[CÓDIGO DEL PRODUCTO Y/O SERVICIO ]],Tabla3[],21)</f>
        <v>6.5573770491803282E-2</v>
      </c>
      <c r="CQ177" s="114">
        <f>Tabla12[[#This Row],[CANTIDADES A UTILIZAR EN EL AÑO 4 5 ]]*(1+Tabla12[[#This Row],[CAMBIO PORCENTUAL EN UNIDADES VENDIDAS AÑO 5 5]])</f>
        <v>0</v>
      </c>
      <c r="CR177" s="344">
        <f>IF(Tabla12[[#This Row],[CANTIDADES A UTILIZAR EN EL AÑO 1 5]]=0,0,Tabla12[[#This Row],[CANTIDADES A UTILIZAR EN EL AÑO 1 5]]*1/Tabla12[[#This Row],[UNIDADES PRODUCIDAS AÑO 1 5]])</f>
        <v>0</v>
      </c>
      <c r="CS177" s="344">
        <f>$C$138*(1+BASES!$E$10)</f>
        <v>0</v>
      </c>
      <c r="CT177" s="344">
        <f>Tabla12[[#This Row],[COSTO UNITARIO AÑO 2 5]]*(1+BASES!$F$10)</f>
        <v>0</v>
      </c>
      <c r="CU177" s="344">
        <f>Tabla12[[#This Row],[COSTO UNITARIO AÑO 3 5]]*(1+BASES!$G$10)</f>
        <v>0</v>
      </c>
      <c r="CV177" s="344">
        <f>Tabla12[[#This Row],[COSTO UNITARIO AÑO 4 5]]*(1+BASES!$H$10)</f>
        <v>0</v>
      </c>
      <c r="CW177" s="344">
        <f>Tabla12[[#This Row],[COSTO POR UNIDAD DE PRODUCTO (5)]]*$C$138*VLOOKUP(Tabla12[[#This Row],[CÓDIGO DEL PRODUCTO Y/O SERVICIO ]],Tabla3[],3)</f>
        <v>0</v>
      </c>
      <c r="CX177" s="344">
        <f>Tabla12[[#This Row],[COSTO POR UNIDAD DE PRODUCTO (5)]]*Tabla12[[#This Row],[COSTO UNITARIO AÑO 2 5]]*VLOOKUP(Tabla12[[#This Row],[CÓDIGO DEL PRODUCTO Y/O SERVICIO ]],Tabla3[],6)</f>
        <v>0</v>
      </c>
      <c r="CY177" s="344">
        <f>Tabla12[[#This Row],[COSTO POR UNIDAD DE PRODUCTO (5)]]*Tabla12[[#This Row],[COSTO UNITARIO AÑO 3 5]]*VLOOKUP(Tabla12[[#This Row],[CÓDIGO DEL PRODUCTO Y/O SERVICIO ]],Tabla3[],10)</f>
        <v>0</v>
      </c>
      <c r="CZ177" s="344">
        <f>Tabla12[[#This Row],[COSTO POR UNIDAD DE PRODUCTO (5)]]*Tabla12[[#This Row],[COSTO UNITARIO AÑO 4 5]]*VLOOKUP(Tabla12[[#This Row],[CÓDIGO DEL PRODUCTO Y/O SERVICIO ]],Tabla3[],14)</f>
        <v>0</v>
      </c>
      <c r="DA177" s="344">
        <f>Tabla12[[#This Row],[COSTO POR UNIDAD DE PRODUCTO (5)]]*Tabla12[[#This Row],[COSTO UNITARIO AÑO 5 5 ]]*VLOOKUP(Tabla12[[#This Row],[CÓDIGO DEL PRODUCTO Y/O SERVICIO ]],Tabla3[],18)</f>
        <v>0</v>
      </c>
      <c r="DB177" s="114">
        <f>VLOOKUP(Tabla12[[#This Row],[CÓDIGO DEL PRODUCTO Y/O SERVICIO ]],Tabla3[],3)</f>
        <v>450</v>
      </c>
      <c r="DC177" s="114">
        <f>Tabla12[[#This Row],[UNIDADES PRODUCIDAS AÑO 1 6]]*K155</f>
        <v>0</v>
      </c>
      <c r="DD177" s="112">
        <f>VLOOKUP(Tabla12[[#This Row],[CÓDIGO DEL PRODUCTO Y/O SERVICIO ]],Tabla3[],9)</f>
        <v>0.1111111111111111</v>
      </c>
      <c r="DE177" s="114">
        <f>Tabla12[[#This Row],[CANTIDADES A UTILIZAR EN EL AÑO 1 6]]*(1+Tabla12[[#This Row],[CAMBIO PORCENTUAL EN UNIDADES VENDIDAS AÑO 2 6]])</f>
        <v>0</v>
      </c>
      <c r="DF177" s="112">
        <f>VLOOKUP(Tabla12[[#This Row],[CÓDIGO DEL PRODUCTO Y/O SERVICIO ]],Tabla3[],13)</f>
        <v>0.12</v>
      </c>
      <c r="DG177" s="114">
        <f>Tabla12[[#This Row],[CANTIDADES A UTILIZAR EN EL AÑO 2 6]]*(1+Tabla12[[#This Row],[CAMBIO PORCENTUAL EN UNIDADES VENDIDAS AÑO 3 6]])</f>
        <v>0</v>
      </c>
      <c r="DH177" s="112">
        <f>VLOOKUP(Tabla12[[#This Row],[CÓDIGO DEL PRODUCTO Y/O SERVICIO ]],Tabla3[],17)</f>
        <v>8.9285714285714288E-2</v>
      </c>
      <c r="DI177" s="114">
        <f>Tabla12[[#This Row],[CANTIDADES A UTILIZAR EN EL AÑO 3 6]]*(1+Tabla12[[#This Row],[CAMBIO PORCENTUAL EN UNIDADES VENDIDAS AÑO 4 6]])</f>
        <v>0</v>
      </c>
      <c r="DJ177" s="112">
        <f>VLOOKUP(Tabla12[[#This Row],[CÓDIGO DEL PRODUCTO Y/O SERVICIO ]],Tabla3[],21)</f>
        <v>6.5573770491803282E-2</v>
      </c>
      <c r="DK177" s="114">
        <f>Tabla12[[#This Row],[CANTIDADES A UTILIZAR EN EL AÑO 4 6]]*(1+Tabla12[[#This Row],[CAMBIO PORCENTUAL EN UNIDADES VENDIDAS AÑO 5 6]])</f>
        <v>0</v>
      </c>
      <c r="DL177" s="344">
        <f>IF(Tabla12[[#This Row],[CANTIDADES A UTILIZAR EN EL AÑO 1 6]]=0,0,Tabla12[[#This Row],[CANTIDADES A UTILIZAR EN EL AÑO 1 6]]*1/Tabla12[[#This Row],[UNIDADES PRODUCIDAS AÑO 1 6]])</f>
        <v>0</v>
      </c>
      <c r="DM177" s="344">
        <f>$C$139*(1+BASES!$E$10)</f>
        <v>0</v>
      </c>
      <c r="DN177" s="344">
        <f>Tabla12[[#This Row],[COSTO UNITARIO AÑO 2 6]]*(1+BASES!$F$10)</f>
        <v>0</v>
      </c>
      <c r="DO177" s="344">
        <f>Tabla12[[#This Row],[COSTO UNITARIO AÑO 3 6]]*(1+BASES!$G$10)</f>
        <v>0</v>
      </c>
      <c r="DP177" s="344">
        <f>Tabla12[[#This Row],[COSTO UNITARIO AÑO 4 6]]*(1+BASES!$H$10)</f>
        <v>0</v>
      </c>
      <c r="DQ177" s="344">
        <f>Tabla12[[#This Row],[COSTO POR UNIDAD DE PRODUCTO (6)]]*$C$139*VLOOKUP(Tabla12[[#This Row],[CÓDIGO DEL PRODUCTO Y/O SERVICIO ]],Tabla3[],3)</f>
        <v>0</v>
      </c>
      <c r="DR177" s="344">
        <f>Tabla12[[#This Row],[COSTO POR UNIDAD DE PRODUCTO (6)]]*Tabla12[[#This Row],[COSTO UNITARIO AÑO 2 6]]*VLOOKUP(Tabla12[[#This Row],[CÓDIGO DEL PRODUCTO Y/O SERVICIO ]],Tabla3[],6)</f>
        <v>0</v>
      </c>
      <c r="DS177" s="344">
        <f>Tabla12[[#This Row],[COSTO POR UNIDAD DE PRODUCTO (6)]]*Tabla12[[#This Row],[COSTO UNITARIO AÑO 3 6]]*VLOOKUP(Tabla12[[#This Row],[CÓDIGO DEL PRODUCTO Y/O SERVICIO ]],Tabla3[],10)</f>
        <v>0</v>
      </c>
      <c r="DT177" s="344">
        <f>Tabla12[[#This Row],[COSTO POR UNIDAD DE PRODUCTO (6)]]*Tabla12[[#This Row],[COSTO UNITARIO AÑO 4 6]]*VLOOKUP(Tabla12[[#This Row],[CÓDIGO DEL PRODUCTO Y/O SERVICIO ]],Tabla3[],14)</f>
        <v>0</v>
      </c>
      <c r="DU177" s="344">
        <f>Tabla12[[#This Row],[COSTO POR UNIDAD DE PRODUCTO (6)]]*Tabla12[[#This Row],[COSTO UNITARIO AÑO 5 6]]*VLOOKUP(Tabla12[[#This Row],[CÓDIGO DEL PRODUCTO Y/O SERVICIO ]],Tabla3[],18)</f>
        <v>0</v>
      </c>
      <c r="DV177" s="114">
        <f>VLOOKUP(Tabla12[[#This Row],[CÓDIGO DEL PRODUCTO Y/O SERVICIO ]],Tabla3[],3)</f>
        <v>450</v>
      </c>
      <c r="DW177" s="114">
        <f>Tabla12[[#This Row],[UNIDADES PRODUCIDAS AÑO 1 7]]*L155</f>
        <v>0</v>
      </c>
      <c r="DX177" s="112">
        <f>VLOOKUP(Tabla12[[#This Row],[CÓDIGO DEL PRODUCTO Y/O SERVICIO ]],Tabla3[],9)</f>
        <v>0.1111111111111111</v>
      </c>
      <c r="DY177" s="114">
        <f>Tabla12[[#This Row],[CANTIDADES A UTILIZAR EN EL AÑO 1 7]]*(1+Tabla12[[#This Row],[CAMBIO PORCENTUAL EN UNIDADES VENDIDAS AÑO 2 7]])</f>
        <v>0</v>
      </c>
      <c r="DZ177" s="112">
        <f>VLOOKUP(Tabla12[[#This Row],[CÓDIGO DEL PRODUCTO Y/O SERVICIO ]],Tabla3[],13)</f>
        <v>0.12</v>
      </c>
      <c r="EA177" s="114">
        <f>Tabla12[[#This Row],[CANTIDADES A UTILIZAR EN EL AÑO 2 7]]*(1+Tabla12[[#This Row],[CAMBIO PORCENTUAL EN UNIDADES VENDIDAS AÑO 3 7]])</f>
        <v>0</v>
      </c>
      <c r="EB177" s="112">
        <f>VLOOKUP(Tabla12[[#This Row],[CÓDIGO DEL PRODUCTO Y/O SERVICIO ]],Tabla3[],17)</f>
        <v>8.9285714285714288E-2</v>
      </c>
      <c r="EC177" s="114">
        <f>Tabla12[[#This Row],[CANTIDADES A UTILIZAR EN EL AÑO 3 7]]*(1+Tabla12[[#This Row],[CAMBIO PORCENTUAL EN UNIDADES VENDIDAS AÑO 4 7]])</f>
        <v>0</v>
      </c>
      <c r="ED177" s="112">
        <f>VLOOKUP(Tabla12[[#This Row],[CÓDIGO DEL PRODUCTO Y/O SERVICIO ]],Tabla3[],21)</f>
        <v>6.5573770491803282E-2</v>
      </c>
      <c r="EE177" s="114">
        <f>Tabla12[[#This Row],[CANTIDADES A UTILIZAR EN EL AÑO 4 7]]*(1+Tabla12[[#This Row],[CAMBIO PORCENTUAL EN UNIDADES VENDIDAS AÑO 5 7]])</f>
        <v>0</v>
      </c>
      <c r="EF177" s="344">
        <f>IF(Tabla12[[#This Row],[CANTIDADES A UTILIZAR EN EL AÑO 1 7]]=0,0,Tabla12[[#This Row],[CANTIDADES A UTILIZAR EN EL AÑO 1 7]]*1/Tabla12[[#This Row],[UNIDADES PRODUCIDAS AÑO 1 7]])</f>
        <v>0</v>
      </c>
      <c r="EG177" s="344">
        <f>$C$140*(1+BASES!$E$10)</f>
        <v>0</v>
      </c>
      <c r="EH177" s="344">
        <f>Tabla12[[#This Row],[COSTO UNITARIO AÑO 2 7]]*(1+BASES!$F$10)</f>
        <v>0</v>
      </c>
      <c r="EI177" s="344">
        <f>Tabla12[[#This Row],[COSTO UNITARIO AÑO 3 7]]*(1+BASES!$G$10)</f>
        <v>0</v>
      </c>
      <c r="EJ177" s="344">
        <f>Tabla12[[#This Row],[COSTO UNITARIO AÑO 4 7]]*(1+BASES!$H$10)</f>
        <v>0</v>
      </c>
      <c r="EK177" s="344">
        <f>Tabla12[[#This Row],[COSTO POR UNIDAD DE PRODUCTO (7)]]*$C$140*VLOOKUP(Tabla12[[#This Row],[CÓDIGO DEL PRODUCTO Y/O SERVICIO ]],Tabla3[],3)</f>
        <v>0</v>
      </c>
      <c r="EL177" s="344">
        <f>Tabla12[[#This Row],[COSTO POR UNIDAD DE PRODUCTO (7)]]*Tabla12[[#This Row],[COSTO UNITARIO AÑO 2 7]]*VLOOKUP(Tabla12[[#This Row],[CÓDIGO DEL PRODUCTO Y/O SERVICIO ]],Tabla3[],6)</f>
        <v>0</v>
      </c>
      <c r="EM177" s="344">
        <f>Tabla12[[#This Row],[COSTO POR UNIDAD DE PRODUCTO (7)]]*Tabla12[[#This Row],[COSTO UNITARIO AÑO 3 7]]*VLOOKUP(Tabla12[[#This Row],[CÓDIGO DEL PRODUCTO Y/O SERVICIO ]],Tabla3[],10)</f>
        <v>0</v>
      </c>
      <c r="EN177" s="344">
        <f>Tabla12[[#This Row],[COSTO POR UNIDAD DE PRODUCTO (7)]]*Tabla12[[#This Row],[COSTO UNITARIO AÑO 4 7]]*VLOOKUP(Tabla12[[#This Row],[CÓDIGO DEL PRODUCTO Y/O SERVICIO ]],Tabla3[],14)</f>
        <v>0</v>
      </c>
      <c r="EO177" s="344">
        <f>Tabla12[[#This Row],[COSTO POR UNIDAD DE PRODUCTO (7)]]*Tabla12[[#This Row],[COSTO UNITARIO AÑO 5 7]]*VLOOKUP(Tabla12[[#This Row],[CÓDIGO DEL PRODUCTO Y/O SERVICIO ]],Tabla3[],18)</f>
        <v>0</v>
      </c>
      <c r="EP177" s="114">
        <f>VLOOKUP(Tabla12[[#This Row],[CÓDIGO DEL PRODUCTO Y/O SERVICIO ]],Tabla3[],3)</f>
        <v>450</v>
      </c>
      <c r="EQ177" s="114">
        <f>Tabla12[[#This Row],[UNIDADES PRODUCIDAS AÑO 1 8]]*M155</f>
        <v>0</v>
      </c>
      <c r="ER177" s="112">
        <f>VLOOKUP(Tabla12[[#This Row],[CÓDIGO DEL PRODUCTO Y/O SERVICIO ]],Tabla3[],9)</f>
        <v>0.1111111111111111</v>
      </c>
      <c r="ES177" s="114">
        <f>Tabla12[[#This Row],[CANTIDADES A UTILIZAR EN EL AÑO 1 8]]*(1+Tabla12[[#This Row],[CAMBIO PORCENTUAL EN UNIDADES VENDIDAS AÑO 2 8]])</f>
        <v>0</v>
      </c>
      <c r="ET177" s="112">
        <f>VLOOKUP(Tabla12[[#This Row],[CÓDIGO DEL PRODUCTO Y/O SERVICIO ]],Tabla3[],13)</f>
        <v>0.12</v>
      </c>
      <c r="EU177" s="114">
        <f>Tabla12[[#This Row],[CANTIDADES A UTILIZAR EN EL AÑO 2 8]]*(1+Tabla12[[#This Row],[CAMBIO PORCENTUAL EN UNIDADES VENDIDAS AÑO 3 8]])</f>
        <v>0</v>
      </c>
      <c r="EV177" s="112">
        <f>VLOOKUP(Tabla12[[#This Row],[CÓDIGO DEL PRODUCTO Y/O SERVICIO ]],Tabla3[],17)</f>
        <v>8.9285714285714288E-2</v>
      </c>
      <c r="EW177" s="114">
        <f>Tabla12[[#This Row],[CANTIDADES A UTILIZAR EN EL AÑO 3 8]]*(1+Tabla12[[#This Row],[CAMBIO PORCENTUAL EN UNIDADES VENDIDAS AÑO 4 8]])</f>
        <v>0</v>
      </c>
      <c r="EX177" s="112">
        <f>VLOOKUP(Tabla12[[#This Row],[CÓDIGO DEL PRODUCTO Y/O SERVICIO ]],Tabla3[],21)</f>
        <v>6.5573770491803282E-2</v>
      </c>
      <c r="EY177" s="114">
        <f>Tabla12[[#This Row],[CANTIDADES A UTILIZAR EN EL AÑO 4 8]]*(1+Tabla12[[#This Row],[CAMBIO PORCENTUAL EN UNIDADES VENDIDAS AÑO 5 8]])</f>
        <v>0</v>
      </c>
      <c r="EZ177" s="344">
        <f>IF(Tabla12[[#This Row],[CANTIDADES A UTILIZAR EN EL AÑO 1 8]]=0,0,Tabla12[[#This Row],[CANTIDADES A UTILIZAR EN EL AÑO 1 8]]*1/Tabla12[[#This Row],[UNIDADES PRODUCIDAS AÑO 1 8]])</f>
        <v>0</v>
      </c>
      <c r="FA177" s="344">
        <f>$C$141*(1+BASES!$E$10)</f>
        <v>0</v>
      </c>
      <c r="FB177" s="344">
        <f>Tabla12[[#This Row],[COSTO UNITARIO AÑO 2 8]]*(1+BASES!$F$10)</f>
        <v>0</v>
      </c>
      <c r="FC177" s="344">
        <f>Tabla12[[#This Row],[COSTO UNITARIO AÑO 3 8]]*(1+BASES!$G$10)</f>
        <v>0</v>
      </c>
      <c r="FD177" s="344">
        <f>Tabla12[[#This Row],[COSTO UNITARIO AÑO 4 8]]*(1+BASES!$H$10)</f>
        <v>0</v>
      </c>
      <c r="FE177" s="344">
        <f>Tabla12[[#This Row],[COSTO POR UNIDAD DE PRODUCTO (8)]]*$C$141*VLOOKUP(Tabla12[[#This Row],[CÓDIGO DEL PRODUCTO Y/O SERVICIO ]],Tabla3[],3)</f>
        <v>0</v>
      </c>
      <c r="FF177" s="344">
        <f>Tabla12[[#This Row],[COSTO POR UNIDAD DE PRODUCTO (8)]]*Tabla12[[#This Row],[COSTO UNITARIO AÑO 2 8]]*VLOOKUP(Tabla12[[#This Row],[CÓDIGO DEL PRODUCTO Y/O SERVICIO ]],Tabla3[],6)</f>
        <v>0</v>
      </c>
      <c r="FG177" s="344">
        <f>Tabla12[[#This Row],[COSTO POR UNIDAD DE PRODUCTO (8)]]*Tabla12[[#This Row],[COSTO UNITARIO AÑO 3 8]]*VLOOKUP(Tabla12[[#This Row],[CÓDIGO DEL PRODUCTO Y/O SERVICIO ]],Tabla3[],10)</f>
        <v>0</v>
      </c>
      <c r="FH177" s="344">
        <f>Tabla12[[#This Row],[COSTO POR UNIDAD DE PRODUCTO (8)]]*Tabla12[[#This Row],[COSTO UNITARIO AÑO 4 8]]*VLOOKUP(Tabla12[[#This Row],[CÓDIGO DEL PRODUCTO Y/O SERVICIO ]],Tabla3[],14)</f>
        <v>0</v>
      </c>
      <c r="FI177" s="344">
        <f>Tabla12[[#This Row],[COSTO POR UNIDAD DE PRODUCTO (8)]]*Tabla12[[#This Row],[COSTO UNITARIO AÑO 5 8]]*VLOOKUP(Tabla12[[#This Row],[CÓDIGO DEL PRODUCTO Y/O SERVICIO ]],Tabla3[],18)</f>
        <v>0</v>
      </c>
      <c r="FJ177" s="114">
        <f>VLOOKUP(Tabla12[[#This Row],[CÓDIGO DEL PRODUCTO Y/O SERVICIO ]],Tabla3[],3)</f>
        <v>450</v>
      </c>
      <c r="FK177" s="114">
        <f>Tabla12[[#This Row],[UNIDADES PRODUCIDAS AÑO 1 9 ]]*N155</f>
        <v>0</v>
      </c>
      <c r="FL177" s="112">
        <f>VLOOKUP(Tabla12[[#This Row],[CÓDIGO DEL PRODUCTO Y/O SERVICIO ]],Tabla3[],9)</f>
        <v>0.1111111111111111</v>
      </c>
      <c r="FM177" s="114">
        <f>Tabla12[[#This Row],[CANTIDADES A UTILIZAR EN EL AÑO 1 9]]*(1+Tabla12[[#This Row],[CAMBIO PORCENTUAL UNIDADES VENDIDAS AÑO 2 9 ]])</f>
        <v>0</v>
      </c>
      <c r="FN177" s="112">
        <f>VLOOKUP(Tabla12[[#This Row],[CÓDIGO DEL PRODUCTO Y/O SERVICIO ]],Tabla3[],13)</f>
        <v>0.12</v>
      </c>
      <c r="FO177" s="114">
        <f>Tabla12[[#This Row],[CANTIDADES A UTILIZAR EN EL AÑO 2 9 ]]*(1+Tabla12[[#This Row],[CAMBIO PORCENTUAL EN UNIDADES VENDIDAS AÑO 3 9 ]])</f>
        <v>0</v>
      </c>
      <c r="FP177" s="112">
        <f>VLOOKUP(Tabla12[[#This Row],[CÓDIGO DEL PRODUCTO Y/O SERVICIO ]],Tabla3[],17)</f>
        <v>8.9285714285714288E-2</v>
      </c>
      <c r="FQ177" s="114">
        <f>Tabla12[[#This Row],[CANTIDADES A UTILIZAR EN EL AÑO 3 9 ]]*(1+Tabla12[[#This Row],[CAMBIO PORCENTUAL EN UNIDADES VENDIDAS AÑO 4 9 ]])</f>
        <v>0</v>
      </c>
      <c r="FR177" s="112">
        <f>VLOOKUP(Tabla12[[#This Row],[CÓDIGO DEL PRODUCTO Y/O SERVICIO ]],Tabla3[],21)</f>
        <v>6.5573770491803282E-2</v>
      </c>
      <c r="FS177" s="114">
        <f>Tabla12[[#This Row],[CANTIDADES A UTILIZAR EN EL AÑO 4 9]]*(1+Tabla12[[#This Row],[CAMBIO PORCENTUAL EN UNIDADES VENDIDAS AÑO 5 9]])</f>
        <v>0</v>
      </c>
      <c r="FT177" s="344">
        <f>IF(Tabla12[[#This Row],[CANTIDADES A UTILIZAR EN EL AÑO 1 9]]=0,0,Tabla12[[#This Row],[CANTIDADES A UTILIZAR EN EL AÑO 1 9]]*1/Tabla12[[#This Row],[UNIDADES PRODUCIDAS AÑO 1 9 ]])</f>
        <v>0</v>
      </c>
      <c r="FU177" s="344">
        <f>$C$142*(1+BASES!$E$10)</f>
        <v>0</v>
      </c>
      <c r="FV177" s="344">
        <f>Tabla12[[#This Row],[COSTO UNITARIO AÑO 2 9]]*(1+BASES!$F$10)</f>
        <v>0</v>
      </c>
      <c r="FW177" s="344">
        <f>Tabla12[[#This Row],[COSTO UNITARIO AÑO 3 9]]*(1+BASES!$G$10)</f>
        <v>0</v>
      </c>
      <c r="FX177" s="344">
        <f>Tabla12[[#This Row],[COSTO UNITARIO AÑO 4 9]]*(1+BASES!$H$10)</f>
        <v>0</v>
      </c>
      <c r="FY177" s="344">
        <f>Tabla12[[#This Row],[COSTO POR UNIDAD DE PRODUCTO (9)]]*$C$142*VLOOKUP(Tabla12[[#This Row],[CÓDIGO DEL PRODUCTO Y/O SERVICIO ]],Tabla3[],3)</f>
        <v>0</v>
      </c>
      <c r="FZ177" s="344">
        <f>Tabla12[[#This Row],[COSTO POR UNIDAD DE PRODUCTO (9)]]*Tabla12[[#This Row],[COSTO UNITARIO AÑO 2 9]]*VLOOKUP(Tabla12[[#This Row],[CÓDIGO DEL PRODUCTO Y/O SERVICIO ]],Tabla3[],6)</f>
        <v>0</v>
      </c>
      <c r="GA177" s="344">
        <f>Tabla12[[#This Row],[COSTO POR UNIDAD DE PRODUCTO (9)]]*Tabla12[[#This Row],[COSTO UNITARIO AÑO 3 9]]*VLOOKUP(Tabla12[[#This Row],[CÓDIGO DEL PRODUCTO Y/O SERVICIO ]],Tabla3[],10)</f>
        <v>0</v>
      </c>
      <c r="GB177" s="344">
        <f>Tabla12[[#This Row],[COSTO POR UNIDAD DE PRODUCTO (9)]]*Tabla12[[#This Row],[COSTO UNITARIO AÑO 4 9]]*VLOOKUP(Tabla12[[#This Row],[CÓDIGO DEL PRODUCTO Y/O SERVICIO ]],Tabla3[],14)</f>
        <v>0</v>
      </c>
      <c r="GC177" s="344">
        <f>Tabla12[[#This Row],[COSTO POR UNIDAD DE PRODUCTO (9)]]*Tabla12[[#This Row],[COSTO UNITARIO AÑO 5 9]]*VLOOKUP(Tabla12[[#This Row],[CÓDIGO DEL PRODUCTO Y/O SERVICIO ]],Tabla3[],18)</f>
        <v>0</v>
      </c>
      <c r="GD177" s="114">
        <f>VLOOKUP(Tabla12[[#This Row],[CÓDIGO DEL PRODUCTO Y/O SERVICIO ]],Tabla3[],3)</f>
        <v>450</v>
      </c>
      <c r="GE177" s="114">
        <f>Tabla12[[#This Row],[UNIDADES PRODUCIDAS AÑO 1 10 ]]*O155</f>
        <v>0</v>
      </c>
      <c r="GF177" s="112">
        <f>VLOOKUP(Tabla12[[#This Row],[CÓDIGO DEL PRODUCTO Y/O SERVICIO ]],Tabla3[],9)</f>
        <v>0.1111111111111111</v>
      </c>
      <c r="GG177" s="112">
        <f>Tabla12[[#This Row],[CANTIDADES A UTILIZAR EN EL AÑO 1 10 ]]*(1+Tabla12[[#This Row],[CAMBIO PORCENTUAL EN UNIDADES VENDIDAS AÑO 2 10 ]])</f>
        <v>0</v>
      </c>
      <c r="GH177" s="112">
        <f>VLOOKUP(Tabla12[[#This Row],[CÓDIGO DEL PRODUCTO Y/O SERVICIO ]],Tabla3[],13)</f>
        <v>0.12</v>
      </c>
      <c r="GI177" s="114">
        <f>Tabla12[[#This Row],[CANTIDADES A UTILIZAR EN EL AÑO 2 10]]*(1+Tabla12[[#This Row],[CAMBIO PORCENTUAL EN UNIDADES VENDIDAS AÑO 3 10 ]])</f>
        <v>0</v>
      </c>
      <c r="GJ177" s="112">
        <f>VLOOKUP(Tabla12[[#This Row],[CÓDIGO DEL PRODUCTO Y/O SERVICIO ]],Tabla3[],17)</f>
        <v>8.9285714285714288E-2</v>
      </c>
      <c r="GK177" s="114">
        <f>Tabla12[[#This Row],[CANTIDADES A UTILIZAR EN EL AÑO 3 10]]*(1+Tabla12[[#This Row],[CAMBIO PORCENTUAL EN UNIDADES VENDIDAS AÑO 4 10 ]])</f>
        <v>0</v>
      </c>
      <c r="GL177" s="112">
        <f>VLOOKUP(Tabla12[[#This Row],[CÓDIGO DEL PRODUCTO Y/O SERVICIO ]],Tabla3[],21)</f>
        <v>6.5573770491803282E-2</v>
      </c>
      <c r="GM177" s="114">
        <f>Tabla12[[#This Row],[CANTIDADES A UTILIZAR EN EL AÑO 4 10 ]]*(1+Tabla12[[#This Row],[CAMBIO PORCENTUAL EN UNIDADES VENDIDAS AÑO 5 10 ]])</f>
        <v>0</v>
      </c>
      <c r="GN177" s="344">
        <f>IF(Tabla12[[#This Row],[CANTIDADES A UTILIZAR EN EL AÑO 1 10 ]]=0,0,Tabla12[[#This Row],[CANTIDADES A UTILIZAR EN EL AÑO 1 10 ]]*1/Tabla12[[#This Row],[UNIDADES PRODUCIDAS AÑO 1 10 ]])</f>
        <v>0</v>
      </c>
      <c r="GO177" s="344">
        <f>$C$143*(1+BASES!$E$10)</f>
        <v>0</v>
      </c>
      <c r="GP177" s="344">
        <f>Tabla12[[#This Row],[COSTO UNITARIO AÑO 2 10 ]]*(1+BASES!$F$10)</f>
        <v>0</v>
      </c>
      <c r="GQ177" s="344">
        <f>Tabla12[[#This Row],[COSTO UNITARIO AÑO 3 10 ]]*(1+BASES!$G$10)</f>
        <v>0</v>
      </c>
      <c r="GR177" s="344">
        <f>Tabla12[[#This Row],[COSTO UNITARIO AÑO 4 10]]*(1+BASES!$H$10)</f>
        <v>0</v>
      </c>
      <c r="GS177" s="344">
        <f>Tabla12[[#This Row],[COSTO POR UNIDAD DE PRODUCTO (10)]]*$C$143*VLOOKUP(Tabla12[[#This Row],[CÓDIGO DEL PRODUCTO Y/O SERVICIO ]],Tabla3[],3)</f>
        <v>0</v>
      </c>
      <c r="GT177" s="344">
        <f>Tabla12[[#This Row],[COSTO POR UNIDAD DE PRODUCTO (10)]]*Tabla12[[#This Row],[COSTO UNITARIO AÑO 2 10 ]]*VLOOKUP(Tabla12[[#This Row],[CÓDIGO DEL PRODUCTO Y/O SERVICIO ]],Tabla3[],6)</f>
        <v>0</v>
      </c>
      <c r="GU177" s="344">
        <f>Tabla12[[#This Row],[COSTO POR UNIDAD DE PRODUCTO (10)]]*Tabla12[[#This Row],[COSTO UNITARIO AÑO 3 10 ]]*VLOOKUP(Tabla12[[#This Row],[CÓDIGO DEL PRODUCTO Y/O SERVICIO ]],Tabla3[],10)</f>
        <v>0</v>
      </c>
      <c r="GV177" s="344">
        <f>Tabla12[[#This Row],[COSTO POR UNIDAD DE PRODUCTO (10)]]*Tabla12[[#This Row],[COSTO UNITARIO AÑO 4 10]]*VLOOKUP(Tabla12[[#This Row],[CÓDIGO DEL PRODUCTO Y/O SERVICIO ]],Tabla3[],14)</f>
        <v>0</v>
      </c>
      <c r="GW177" s="344">
        <f>Tabla12[[#This Row],[COSTO POR UNIDAD DE PRODUCTO (10)]]*Tabla12[[#This Row],[COSTO UNITARIO AÑO 5 10 ]]*VLOOKUP(Tabla12[[#This Row],[CÓDIGO DEL PRODUCTO Y/O SERVICIO ]],Tabla3[],18)</f>
        <v>0</v>
      </c>
      <c r="GX177" s="383">
        <f>Tabla12[[#This Row],[AÑO 1 10 ]]+Tabla12[[#This Row],[AÑO 1 9 ]]+Tabla12[[#This Row],[AÑO 1 8]]+Tabla12[[#This Row],[AÑO 1 7]]+Tabla12[[#This Row],[AÑO 1 6]]+Tabla12[[#This Row],[AÑO 1 5]]+Tabla12[[#This Row],[AÑO 1 4 ]]+Tabla12[[#This Row],[AÑO 1 3]]+Tabla12[[#This Row],[AÑO 1 2]]+Tabla12[[#This Row],[AÑO 1 1]]</f>
        <v>36000000</v>
      </c>
      <c r="GY177" s="383">
        <f>Tabla12[[#This Row],[AÑO 2 10 ]]+Tabla12[[#This Row],[AÑO 2 9 ]]+Tabla12[[#This Row],[AÑO 2 8]]+Tabla12[[#This Row],[AÑO 2 7]]+Tabla12[[#This Row],[AÑO 2 6]]+Tabla12[[#This Row],[AÑO 2 5]]+Tabla12[[#This Row],[AÑO 2 4 ]]+Tabla12[[#This Row],[AÑO 2 3]]+Tabla12[[#This Row],[AÑO 2 2 ]]+Tabla12[[#This Row],[AÑO 2 1 ]]</f>
        <v>40448000.000000007</v>
      </c>
      <c r="GZ177" s="383">
        <f>Tabla12[[#This Row],[AÑO 3 10 ]]+Tabla12[[#This Row],[AÑO 3 9]]+Tabla12[[#This Row],[AÑO 3 8]]+Tabla12[[#This Row],[AÑO 3 7]]+Tabla12[[#This Row],[AÑO 3 6]]+Tabla12[[#This Row],[AÑO 3 5]]+Tabla12[[#This Row],[AÑO 3 4 ]]+Tabla12[[#This Row],[AÑO 3 3 ]]+Tabla12[[#This Row],[AÑO 3 2 ]]+Tabla12[[#This Row],[AÑO 3 1 ]]</f>
        <v>45809139.712000005</v>
      </c>
      <c r="HA177" s="383">
        <f>Tabla12[[#This Row],[AÑO 4 10 ]]+Tabla12[[#This Row],[AÑO 4 9]]+Tabla12[[#This Row],[AÑO 4 8]]+Tabla12[[#This Row],[AÑO 4 7]]+Tabla12[[#This Row],[AÑO 4 6]]+Tabla12[[#This Row],[AÑO 4 5]]+Tabla12[[#This Row],[AÑO 4 4 ]]+Tabla12[[#This Row],[AÑO 4 3 ]]+Tabla12[[#This Row],[AÑO 4 2 ]]+Tabla12[[#This Row],[AÑO 4 1 ]]</f>
        <v>50458112.976486415</v>
      </c>
      <c r="HB177" s="383">
        <f>Tabla12[[#This Row],[AÑO 5 10 ]]+Tabla12[[#This Row],[AÑO 5 9]]+Tabla12[[#This Row],[AÑO 5 8]]+Tabla12[[#This Row],[AÑO 5 7]]+Tabla12[[#This Row],[AÑO 5 6]]+Tabla12[[#This Row],[AÑO 5 5]]+Tabla12[[#This Row],[AÑO 5 4 ]]+Tabla12[[#This Row],[AÑO 5 3 ]]+Tabla12[[#This Row],[AÑO 5 2 ]]+Tabla12[[#This Row],[AÑO 5 1 ]]</f>
        <v>54369030.323254094</v>
      </c>
    </row>
    <row r="185" spans="3:210" s="7" customFormat="1" ht="15.75" hidden="1" x14ac:dyDescent="0.25">
      <c r="U185" s="382">
        <f>SUM(Tabla12[AÑO 1 1])</f>
        <v>99000000</v>
      </c>
      <c r="V185" s="382">
        <f>SUM(Tabla12[[AÑO 2 1 ]])</f>
        <v>123164160.00000001</v>
      </c>
      <c r="W185" s="382">
        <f>SUM(Tabla12[[AÑO 3 1 ]])</f>
        <v>149697724.41600001</v>
      </c>
      <c r="X185" s="382">
        <f>SUM(Tabla12[[AÑO 4 1 ]])</f>
        <v>163161684.99363843</v>
      </c>
      <c r="Y185" s="382">
        <f>SUM(Tabla12[[AÑO 5 1 ]])</f>
        <v>190082494.47629988</v>
      </c>
      <c r="AO185" s="382">
        <f>SUM(Tabla12[AÑO 1 2])</f>
        <v>33000000</v>
      </c>
      <c r="AP185" s="382">
        <f>SUM(Tabla12[[AÑO 2 2 ]])</f>
        <v>41054720.000000007</v>
      </c>
      <c r="AQ185" s="382">
        <f>SUM(Tabla12[[AÑO 3 2 ]])</f>
        <v>49899241.472000018</v>
      </c>
      <c r="AR185" s="382">
        <f>SUM(Tabla12[[AÑO 4 2 ]])</f>
        <v>54387228.331212826</v>
      </c>
      <c r="AS185" s="382">
        <f>SUM(Tabla12[[AÑO 5 2 ]])</f>
        <v>63360831.492099956</v>
      </c>
      <c r="BI185" s="382">
        <f>SUM(Tabla12[AÑO 1 3])</f>
        <v>0</v>
      </c>
      <c r="BJ185" s="382">
        <f>SUM(Tabla12[AÑO 2 3])</f>
        <v>0</v>
      </c>
      <c r="BK185" s="382">
        <f>SUM(Tabla12[[AÑO 3 3 ]])</f>
        <v>0</v>
      </c>
      <c r="BL185" s="382">
        <f>SUM(Tabla12[[AÑO 4 3 ]])</f>
        <v>0</v>
      </c>
      <c r="BM185" s="382">
        <f>SUM(Tabla12[[AÑO 5 3 ]])</f>
        <v>0</v>
      </c>
      <c r="CC185" s="382">
        <f>SUM(Tabla12[[AÑO 1 4 ]])</f>
        <v>0</v>
      </c>
      <c r="CD185" s="382">
        <f>SUM(Tabla12[[AÑO 2 4 ]])</f>
        <v>0</v>
      </c>
      <c r="CE185" s="382">
        <f>SUM(Tabla12[[AÑO 3 4 ]])</f>
        <v>0</v>
      </c>
      <c r="CF185" s="382">
        <f>SUM(Tabla12[[AÑO 4 4 ]])</f>
        <v>0</v>
      </c>
      <c r="CG185" s="382">
        <f>SUM(Tabla12[[AÑO 5 4 ]])</f>
        <v>0</v>
      </c>
      <c r="CW185" s="382">
        <f>SUM(Tabla12[AÑO 1 5])</f>
        <v>0</v>
      </c>
      <c r="CX185" s="382">
        <f>SUM(Tabla12[AÑO 2 5])</f>
        <v>0</v>
      </c>
      <c r="CY185" s="382">
        <f>SUM(Tabla12[AÑO 3 5])</f>
        <v>0</v>
      </c>
      <c r="CZ185" s="382">
        <f>SUM(Tabla12[AÑO 4 5])</f>
        <v>0</v>
      </c>
      <c r="DA185" s="382">
        <f>SUM(Tabla12[AÑO 5 5])</f>
        <v>0</v>
      </c>
      <c r="DQ185" s="382">
        <f>SUM(Tabla12[AÑO 1 6])</f>
        <v>0</v>
      </c>
      <c r="DR185" s="382">
        <f>SUM(Tabla12[AÑO 2 6])</f>
        <v>0</v>
      </c>
      <c r="DS185" s="382">
        <f>SUM(Tabla12[AÑO 3 6])</f>
        <v>0</v>
      </c>
      <c r="DT185" s="382">
        <f>SUM(Tabla12[AÑO 4 6])</f>
        <v>0</v>
      </c>
      <c r="DU185" s="382">
        <f>SUM(Tabla12[AÑO 5 6])</f>
        <v>0</v>
      </c>
      <c r="EK185" s="382">
        <f>SUM(Tabla12[AÑO 1 7])</f>
        <v>0</v>
      </c>
      <c r="EL185" s="382">
        <f>SUM(Tabla12[AÑO 2 7])</f>
        <v>0</v>
      </c>
      <c r="EM185" s="382">
        <f>SUM(Tabla12[AÑO 3 7])</f>
        <v>0</v>
      </c>
      <c r="EN185" s="382">
        <f>SUM(Tabla12[AÑO 4 7])</f>
        <v>0</v>
      </c>
      <c r="EO185" s="382">
        <f>SUM(Tabla12[AÑO 5 7])</f>
        <v>0</v>
      </c>
      <c r="FE185" s="382">
        <f>SUM(Tabla12[AÑO 1 8])</f>
        <v>0</v>
      </c>
      <c r="FF185" s="382">
        <f>SUM(Tabla12[AÑO 2 8])</f>
        <v>0</v>
      </c>
      <c r="FG185" s="382">
        <f>SUM(Tabla12[AÑO 3 8])</f>
        <v>0</v>
      </c>
      <c r="FH185" s="382">
        <f>SUM(Tabla12[AÑO 4 8])</f>
        <v>0</v>
      </c>
      <c r="FI185" s="382">
        <f>SUM(Tabla12[AÑO 5 8])</f>
        <v>0</v>
      </c>
      <c r="FY185" s="382">
        <f>SUM(Tabla12[[AÑO 1 9 ]])</f>
        <v>0</v>
      </c>
      <c r="FZ185" s="382">
        <f>SUM(Tabla12[[AÑO 2 9 ]])</f>
        <v>0</v>
      </c>
      <c r="GA185" s="382">
        <f>SUM(Tabla12[AÑO 3 9])</f>
        <v>0</v>
      </c>
      <c r="GB185" s="382">
        <f>SUM(Tabla12[AÑO 4 9])</f>
        <v>0</v>
      </c>
      <c r="GC185" s="382">
        <f>SUM(Tabla12[AÑO 5 9])</f>
        <v>0</v>
      </c>
      <c r="GS185" s="382">
        <f>SUM(Tabla12[[AÑO 1 10 ]])</f>
        <v>0</v>
      </c>
      <c r="GT185" s="382">
        <f>SUM(Tabla12[[AÑO 2 10 ]])</f>
        <v>0</v>
      </c>
      <c r="GU185" s="382">
        <f>SUM(Tabla12[[AÑO 3 10 ]])</f>
        <v>0</v>
      </c>
      <c r="GV185" s="382">
        <f>SUM(Tabla12[[AÑO 4 10 ]])</f>
        <v>0</v>
      </c>
      <c r="GW185" s="382">
        <f>SUM(Tabla12[[AÑO 5 10 ]])</f>
        <v>0</v>
      </c>
    </row>
    <row r="188" spans="3:210" ht="15.75" x14ac:dyDescent="0.25">
      <c r="C188" s="104"/>
      <c r="D188" s="379" t="s">
        <v>866</v>
      </c>
      <c r="E188" s="379"/>
      <c r="F188" s="379" t="s">
        <v>867</v>
      </c>
      <c r="G188" s="379" t="s">
        <v>450</v>
      </c>
      <c r="H188" s="379" t="s">
        <v>451</v>
      </c>
      <c r="I188" s="379" t="s">
        <v>452</v>
      </c>
    </row>
    <row r="189" spans="3:210" ht="15.75" x14ac:dyDescent="0.25">
      <c r="C189" s="92" t="s">
        <v>45</v>
      </c>
      <c r="D189" s="385">
        <f>U69+AO69+BI69+CC69+CW69+DQ69+EK69+FE69+FY69+GS69+HM69+IG69+JA69+JU69+KO69+LI69+MC69+MW69+NQ69+OK69</f>
        <v>41129000</v>
      </c>
      <c r="E189" s="385">
        <f>V69+AP69+BJ69+CD69+CX69+DR69+EL69+FF69+FZ69+GT69+HN69+IH69+JB69+JV69+KP69+LJ69+MD69+MX69+NR69+OL69</f>
        <v>50631592.960000001</v>
      </c>
      <c r="F189" s="385">
        <f>V69+AP69+BJ69+CD69+CX69+DR69+EL69+FF69+FZ69+GT69+HN69+IH69+JB69+JV69+KP69+LJ69+MD69+MX69+NR69+OL69</f>
        <v>50631592.960000001</v>
      </c>
      <c r="G189" s="385">
        <f>W69+AQ69+BK69+CE69+CY69+DS69+EM69+FG69+GA69+GU69+HO69+II69+JC69+JW69+KQ69+LK69+ME69+MY69+NS69+OM69</f>
        <v>59531022.106624007</v>
      </c>
      <c r="H189" s="385">
        <f>X69+AR69+BL69+CF69+CZ69+DT69+EN69+FH69+GB69+GV69+HP69+IJ69+JD69+JX69+KR69+LL69+MF69+MZ69+NT69+ON69</f>
        <v>64981777.691915073</v>
      </c>
      <c r="I189" s="385">
        <f>Y69+AS69+BM69+CG69+DA69+DU69+EO69+FI69+GC69+GW69+HQ69+IK69+JE69+JY69+KS69+LM69+MG69+NA69+NU69+OO69</f>
        <v>73909050.709776521</v>
      </c>
    </row>
    <row r="190" spans="3:210" ht="15.75" x14ac:dyDescent="0.25">
      <c r="C190" s="92" t="s">
        <v>46</v>
      </c>
      <c r="D190" s="385">
        <f>U125+AO125+BI125+CC125+CW125+DQ125+EK125+FE125+FY125+GS125</f>
        <v>13955700</v>
      </c>
      <c r="E190" s="385">
        <f>V125+AP125+BJ125+CD125+CX125+DR125+EL125+FF125+FZ125+GT125</f>
        <v>17362041.088000003</v>
      </c>
      <c r="F190" s="385">
        <f>V125+AP125+BJ125+CD125+CX125+DR125+EL125+FF125+FZ125+GT125</f>
        <v>17362041.088000003</v>
      </c>
      <c r="G190" s="385">
        <f>W125+AQ125+BK125+CE125+CY125+DS125+EM125+FG125+GA125+GU125</f>
        <v>21102389.218508806</v>
      </c>
      <c r="H190" s="385">
        <f>X125+AR125+BL125+CF125+CZ125+DT125+EN125+FH125+GB125+GV125</f>
        <v>23000358.861269899</v>
      </c>
      <c r="I190" s="385">
        <f>Y125+AS125+BM125+CG125+DA125+DU125+EO125+FI125+GC125+GW125</f>
        <v>26795295.638009071</v>
      </c>
    </row>
    <row r="191" spans="3:210" ht="16.5" thickBot="1" x14ac:dyDescent="0.3">
      <c r="C191" s="386" t="s">
        <v>868</v>
      </c>
      <c r="D191" s="387">
        <f>U185+AO185+BI185+CC185+CW185+DQ185+EK185+FE185+FY185+GS185</f>
        <v>132000000</v>
      </c>
      <c r="E191" s="387">
        <f t="shared" ref="E191" si="0">V185+AP185+BJ185+CD185+CX185+DR185+EL185+FF185+FZ185+GT185</f>
        <v>164218880.00000003</v>
      </c>
      <c r="F191" s="387">
        <f>V185+AP185+BJ185+CD185+CX185+DR185+EL185+FF185+FZ185+GT185</f>
        <v>164218880.00000003</v>
      </c>
      <c r="G191" s="387">
        <f>W185+AQ185+BK185+CE185+CY185+DS185+EM185+FG185+GA185+GU185</f>
        <v>199596965.88800001</v>
      </c>
      <c r="H191" s="387">
        <f>X185+AR185+BL185+CF185+CZ185+DT185+EN185+FH185+GB185+GV185</f>
        <v>217548913.32485124</v>
      </c>
      <c r="I191" s="387">
        <f>Y185+AS185+BM185+CG185+DA185+DU185+EO185+FI185+GC185+GW185</f>
        <v>253443325.96839982</v>
      </c>
    </row>
    <row r="192" spans="3:210" ht="16.5" thickBot="1" x14ac:dyDescent="0.3">
      <c r="C192" s="388" t="s">
        <v>47</v>
      </c>
      <c r="D192" s="389">
        <f>SUM(D189:D191)</f>
        <v>187084700</v>
      </c>
      <c r="E192" s="389">
        <f t="shared" ref="E192:I192" si="1">SUM(E189:E191)</f>
        <v>232212514.04800004</v>
      </c>
      <c r="F192" s="389">
        <f t="shared" si="1"/>
        <v>232212514.04800004</v>
      </c>
      <c r="G192" s="389">
        <f t="shared" si="1"/>
        <v>280230377.21313286</v>
      </c>
      <c r="H192" s="389">
        <f>SUM(H189:H191)</f>
        <v>305531049.8780362</v>
      </c>
      <c r="I192" s="389">
        <f t="shared" si="1"/>
        <v>354147672.31618541</v>
      </c>
    </row>
    <row r="199" spans="3:25" ht="15.75" x14ac:dyDescent="0.25">
      <c r="C199" s="602" t="s">
        <v>53</v>
      </c>
      <c r="D199" s="602"/>
      <c r="E199" s="602"/>
      <c r="F199" s="602"/>
      <c r="G199" s="602"/>
      <c r="H199" s="602"/>
      <c r="I199" s="602"/>
      <c r="J199" s="602"/>
      <c r="K199" s="602"/>
      <c r="L199" s="602"/>
      <c r="M199" s="602"/>
      <c r="N199" s="602"/>
      <c r="O199" s="602"/>
      <c r="P199" s="602"/>
      <c r="Q199" s="602"/>
      <c r="R199" s="602"/>
      <c r="S199" s="602"/>
      <c r="T199" s="602"/>
      <c r="U199" s="558" t="s">
        <v>54</v>
      </c>
      <c r="V199" s="558"/>
      <c r="W199" s="558"/>
      <c r="X199" s="558"/>
      <c r="Y199" s="558"/>
    </row>
    <row r="200" spans="3:25" ht="15.75" x14ac:dyDescent="0.25">
      <c r="C200" s="390"/>
      <c r="D200" s="390"/>
      <c r="E200" s="391"/>
      <c r="F200" s="635" t="s">
        <v>43</v>
      </c>
      <c r="G200" s="635"/>
      <c r="H200" s="635"/>
      <c r="I200" s="635"/>
      <c r="J200" s="635"/>
      <c r="K200" s="636" t="s">
        <v>44</v>
      </c>
      <c r="L200" s="636"/>
      <c r="M200" s="636"/>
      <c r="N200" s="636"/>
      <c r="O200" s="636"/>
      <c r="P200" s="637" t="s">
        <v>102</v>
      </c>
      <c r="Q200" s="637"/>
      <c r="R200" s="637"/>
      <c r="S200" s="637"/>
      <c r="T200" s="638"/>
      <c r="U200" s="558"/>
      <c r="V200" s="558"/>
      <c r="W200" s="558"/>
      <c r="X200" s="558"/>
      <c r="Y200" s="558"/>
    </row>
    <row r="201" spans="3:25" ht="15.75" x14ac:dyDescent="0.25">
      <c r="C201" s="368" t="s">
        <v>442</v>
      </c>
      <c r="D201" s="368" t="s">
        <v>443</v>
      </c>
      <c r="E201" s="368" t="s">
        <v>447</v>
      </c>
      <c r="F201" s="392" t="s">
        <v>866</v>
      </c>
      <c r="G201" s="392" t="s">
        <v>867</v>
      </c>
      <c r="H201" s="392" t="s">
        <v>450</v>
      </c>
      <c r="I201" s="392" t="s">
        <v>51</v>
      </c>
      <c r="J201" s="392" t="s">
        <v>452</v>
      </c>
      <c r="K201" s="392" t="s">
        <v>869</v>
      </c>
      <c r="L201" s="392" t="s">
        <v>870</v>
      </c>
      <c r="M201" s="392" t="s">
        <v>871</v>
      </c>
      <c r="N201" s="392" t="s">
        <v>872</v>
      </c>
      <c r="O201" s="392" t="s">
        <v>873</v>
      </c>
      <c r="P201" s="392" t="s">
        <v>874</v>
      </c>
      <c r="Q201" s="392" t="s">
        <v>875</v>
      </c>
      <c r="R201" s="392" t="s">
        <v>876</v>
      </c>
      <c r="S201" s="392" t="s">
        <v>877</v>
      </c>
      <c r="T201" s="392" t="s">
        <v>893</v>
      </c>
      <c r="U201" s="392" t="s">
        <v>894</v>
      </c>
      <c r="V201" s="392" t="s">
        <v>895</v>
      </c>
      <c r="W201" s="392" t="s">
        <v>896</v>
      </c>
      <c r="X201" s="392" t="s">
        <v>897</v>
      </c>
      <c r="Y201" s="392" t="s">
        <v>898</v>
      </c>
    </row>
    <row r="202" spans="3:25" ht="15.75" x14ac:dyDescent="0.25">
      <c r="C202" s="439">
        <v>0</v>
      </c>
      <c r="D202" s="375" t="str">
        <f>VLOOKUP(Tabla15[[#This Row],[CÓDIGO DEL PRODUCTO Y/O SERVICIO ]],Tabla3[],2)</f>
        <v xml:space="preserve">Seleccionar producto o servicio </v>
      </c>
      <c r="E202" s="375"/>
      <c r="F202" s="393">
        <f>IF(F55=0,0,OP55/F55)</f>
        <v>0</v>
      </c>
      <c r="G202" s="393">
        <f>IF(PRODUCTO_O_SERVICIO!G20=0,0,COSTOS_DE_PRODUCCION!OQ55/PRODUCTO_O_SERVICIO!G20)</f>
        <v>0</v>
      </c>
      <c r="H202" s="393">
        <f>IF(PRODUCTO_O_SERVICIO!K20=0,0,COSTOS_DE_PRODUCCION!OR55/PRODUCTO_O_SERVICIO!K20)</f>
        <v>0</v>
      </c>
      <c r="I202" s="393">
        <f>IF(PRODUCTO_O_SERVICIO!O20=0,0,COSTOS_DE_PRODUCCION!OS55/PRODUCTO_O_SERVICIO!O20)</f>
        <v>0</v>
      </c>
      <c r="J202" s="393">
        <f>IF(PRODUCTO_O_SERVICIO!S20=0,0,COSTOS_DE_PRODUCCION!OT55/PRODUCTO_O_SERVICIO!S20)</f>
        <v>0</v>
      </c>
      <c r="K202" s="393">
        <f>IF(PRODUCTO_O_SERVICIO!D20=0,0,COSTOS_DE_PRODUCCION!GX112/PRODUCTO_O_SERVICIO!D20)</f>
        <v>0</v>
      </c>
      <c r="L202" s="393">
        <f>IF(PRODUCTO_O_SERVICIO!G20=0,0,COSTOS_DE_PRODUCCION!GY112/PRODUCTO_O_SERVICIO!G20)</f>
        <v>0</v>
      </c>
      <c r="M202" s="393">
        <f>IF(PRODUCTO_O_SERVICIO!K20=0,0,COSTOS_DE_PRODUCCION!GZ112/PRODUCTO_O_SERVICIO!K20)</f>
        <v>0</v>
      </c>
      <c r="N202" s="393">
        <f>IF(PRODUCTO_O_SERVICIO!O20=0,0,COSTOS_DE_PRODUCCION!HA112/PRODUCTO_O_SERVICIO!O20)</f>
        <v>0</v>
      </c>
      <c r="O202" s="393">
        <f>IF(PRODUCTO_O_SERVICIO!S20=0,0,COSTOS_DE_PRODUCCION!HB112/PRODUCTO_O_SERVICIO!S20)</f>
        <v>0</v>
      </c>
      <c r="P202" s="393">
        <f>IF(PRODUCTO_O_SERVICIO!D20=0,0,COSTOS_DE_PRODUCCION!GX173/PRODUCTO_O_SERVICIO!D20)</f>
        <v>0</v>
      </c>
      <c r="Q202" s="393">
        <f>IF(PRODUCTO_O_SERVICIO!G20=0,0,COSTOS_DE_PRODUCCION!GY173/PRODUCTO_O_SERVICIO!G20)</f>
        <v>0</v>
      </c>
      <c r="R202" s="393">
        <f>IF(PRODUCTO_O_SERVICIO!K20=0,0,COSTOS_DE_PRODUCCION!GZ173/PRODUCTO_O_SERVICIO!K20)</f>
        <v>0</v>
      </c>
      <c r="S202" s="393">
        <f>IF(PRODUCTO_O_SERVICIO!O20=0,0,COSTOS_DE_PRODUCCION!HA173/PRODUCTO_O_SERVICIO!O20)</f>
        <v>0</v>
      </c>
      <c r="T202" s="393">
        <f>IF(PRODUCTO_O_SERVICIO!S20=0,0,COSTOS_DE_PRODUCCION!HB173/PRODUCTO_O_SERVICIO!S20)</f>
        <v>0</v>
      </c>
      <c r="U202" s="393">
        <f>Tabla15[[#This Row],[AÑO 1 ]]+Tabla15[[#This Row],[AÑO 1 2]]+Tabla15[[#This Row],[AÑO 1 3]]</f>
        <v>0</v>
      </c>
      <c r="V202" s="393">
        <f>Tabla15[[#This Row],[AÑO 2 ]]+Tabla15[[#This Row],[AÑO 2 2]]+Tabla15[[#This Row],[AÑO 2 3]]</f>
        <v>0</v>
      </c>
      <c r="W202" s="393">
        <f>Tabla15[[#This Row],[AÑO 3 ]]+Tabla15[[#This Row],[AÑO 3 2]]+Tabla15[[#This Row],[AÑO 3 3]]</f>
        <v>0</v>
      </c>
      <c r="X202" s="393">
        <f>Tabla15[[#This Row],[AÑO 4]]+Tabla15[[#This Row],[AÑO 4 2]]+Tabla15[[#This Row],[AÑO 4 3 ]]</f>
        <v>0</v>
      </c>
      <c r="Y202" s="393">
        <f>Tabla15[[#This Row],[AÑO 5 ]]+Tabla15[[#This Row],[AÑO 5 2]]+Tabla15[[#This Row],[AÑO 5 3]]</f>
        <v>0</v>
      </c>
    </row>
    <row r="203" spans="3:25" ht="15.75" x14ac:dyDescent="0.25">
      <c r="C203" s="363">
        <v>1</v>
      </c>
      <c r="D203" s="375" t="str">
        <f>VLOOKUP(Tabla15[[#This Row],[CÓDIGO DEL PRODUCTO Y/O SERVICIO ]],Tabla3[],2)</f>
        <v>Amor Amor</v>
      </c>
      <c r="E203" s="375"/>
      <c r="F203" s="393">
        <f>IF(F56=0,0,OP56/F56)</f>
        <v>16320</v>
      </c>
      <c r="G203" s="393">
        <f>IF(PRODUCTO_O_SERVICIO!G21=0,0,COSTOS_DE_PRODUCCION!OQ56/PRODUCTO_O_SERVICIO!G21)</f>
        <v>16502.784</v>
      </c>
      <c r="H203" s="393">
        <f>IF(PRODUCTO_O_SERVICIO!K21=0,0,COSTOS_DE_PRODUCCION!OR56/PRODUCTO_O_SERVICIO!K21)</f>
        <v>16687.615180800003</v>
      </c>
      <c r="I203" s="393">
        <f>IF(PRODUCTO_O_SERVICIO!O21=0,0,COSTOS_DE_PRODUCCION!OS56/PRODUCTO_O_SERVICIO!O21)</f>
        <v>16874.516470824969</v>
      </c>
      <c r="J203" s="393">
        <f>IF(PRODUCTO_O_SERVICIO!S21=0,0,COSTOS_DE_PRODUCCION!OT56/PRODUCTO_O_SERVICIO!S21)</f>
        <v>17063.511055298208</v>
      </c>
      <c r="K203" s="393">
        <f>IF(PRODUCTO_O_SERVICIO!D21=0,0,COSTOS_DE_PRODUCCION!GX113/PRODUCTO_O_SERVICIO!D21)</f>
        <v>8458</v>
      </c>
      <c r="L203" s="393">
        <f>IF(PRODUCTO_O_SERVICIO!G21=0,0,COSTOS_DE_PRODUCCION!GY113/PRODUCTO_O_SERVICIO!G21)</f>
        <v>8552.7296000000006</v>
      </c>
      <c r="M203" s="393">
        <f>IF(PRODUCTO_O_SERVICIO!K21=0,0,COSTOS_DE_PRODUCCION!GZ113/PRODUCTO_O_SERVICIO!K21)</f>
        <v>8648.5201715200019</v>
      </c>
      <c r="N203" s="393">
        <f>IF(PRODUCTO_O_SERVICIO!O21=0,0,COSTOS_DE_PRODUCCION!HA113/PRODUCTO_O_SERVICIO!O21)</f>
        <v>8745.3835974410267</v>
      </c>
      <c r="O203" s="393">
        <f>IF(PRODUCTO_O_SERVICIO!S21=0,0,COSTOS_DE_PRODUCCION!HB113/PRODUCTO_O_SERVICIO!S21)</f>
        <v>8843.3318937323675</v>
      </c>
      <c r="P203" s="393">
        <f>IF(PRODUCTO_O_SERVICIO!D21=0,0,COSTOS_DE_PRODUCCION!GX174/PRODUCTO_O_SERVICIO!D21)</f>
        <v>80000</v>
      </c>
      <c r="Q203" s="393">
        <f>IF(PRODUCTO_O_SERVICIO!G21=0,0,COSTOS_DE_PRODUCCION!GY174/PRODUCTO_O_SERVICIO!G21)</f>
        <v>80896.000000000015</v>
      </c>
      <c r="R203" s="393">
        <f>IF(PRODUCTO_O_SERVICIO!K21=0,0,COSTOS_DE_PRODUCCION!GZ174/PRODUCTO_O_SERVICIO!K21)</f>
        <v>81802.035200000013</v>
      </c>
      <c r="S203" s="393">
        <f>IF(PRODUCTO_O_SERVICIO!O21=0,0,COSTOS_DE_PRODUCCION!HA174/PRODUCTO_O_SERVICIO!O21)</f>
        <v>82718.217994240025</v>
      </c>
      <c r="T203" s="393">
        <f>IF(PRODUCTO_O_SERVICIO!S21=0,0,COSTOS_DE_PRODUCCION!HB174/PRODUCTO_O_SERVICIO!S21)</f>
        <v>83644.662035775531</v>
      </c>
      <c r="U203" s="393">
        <f>Tabla15[[#This Row],[AÑO 1 ]]+Tabla15[[#This Row],[AÑO 1 2]]+Tabla15[[#This Row],[AÑO 1 3]]</f>
        <v>104778</v>
      </c>
      <c r="V203" s="393">
        <f>Tabla15[[#This Row],[AÑO 2 ]]+Tabla15[[#This Row],[AÑO 2 2]]+Tabla15[[#This Row],[AÑO 2 3]]</f>
        <v>105951.51360000001</v>
      </c>
      <c r="W203" s="393">
        <f>Tabla15[[#This Row],[AÑO 3 ]]+Tabla15[[#This Row],[AÑO 3 2]]+Tabla15[[#This Row],[AÑO 3 3]]</f>
        <v>107138.17055232002</v>
      </c>
      <c r="X203" s="393">
        <f>Tabla15[[#This Row],[AÑO 4]]+Tabla15[[#This Row],[AÑO 4 2]]+Tabla15[[#This Row],[AÑO 4 3 ]]</f>
        <v>108338.11806250602</v>
      </c>
      <c r="Y203" s="393">
        <f>Tabla15[[#This Row],[AÑO 5 ]]+Tabla15[[#This Row],[AÑO 5 2]]+Tabla15[[#This Row],[AÑO 5 3]]</f>
        <v>109551.5049848061</v>
      </c>
    </row>
    <row r="204" spans="3:25" ht="15.75" x14ac:dyDescent="0.25">
      <c r="C204" s="363">
        <v>2</v>
      </c>
      <c r="D204" s="375" t="str">
        <f>VLOOKUP(Tabla15[[#This Row],[CÓDIGO DEL PRODUCTO Y/O SERVICIO ]],Tabla3[],2)</f>
        <v>Tierno Corazón</v>
      </c>
      <c r="E204" s="375"/>
      <c r="F204" s="393">
        <f t="shared" ref="F204:F206" si="2">IF(F57=0,0,OP57/F57)</f>
        <v>16320</v>
      </c>
      <c r="G204" s="393">
        <f>IF(PRODUCTO_O_SERVICIO!G22=0,0,COSTOS_DE_PRODUCCION!OQ57/PRODUCTO_O_SERVICIO!G22)</f>
        <v>16502.784000000003</v>
      </c>
      <c r="H204" s="393">
        <f>IF(PRODUCTO_O_SERVICIO!K22=0,0,COSTOS_DE_PRODUCCION!OR57/PRODUCTO_O_SERVICIO!K22)</f>
        <v>16687.615180800007</v>
      </c>
      <c r="I204" s="393">
        <f>IF(PRODUCTO_O_SERVICIO!O22=0,0,COSTOS_DE_PRODUCCION!OS57/PRODUCTO_O_SERVICIO!O22)</f>
        <v>16874.516470824965</v>
      </c>
      <c r="J204" s="393">
        <f>IF(PRODUCTO_O_SERVICIO!S22=0,0,COSTOS_DE_PRODUCCION!OT57/PRODUCTO_O_SERVICIO!S22)</f>
        <v>17063.511055298204</v>
      </c>
      <c r="K204" s="393">
        <f>IF(PRODUCTO_O_SERVICIO!D22=0,0,COSTOS_DE_PRODUCCION!GX114/PRODUCTO_O_SERVICIO!D22)</f>
        <v>8458</v>
      </c>
      <c r="L204" s="393">
        <f>IF(PRODUCTO_O_SERVICIO!G22=0,0,COSTOS_DE_PRODUCCION!GY114/PRODUCTO_O_SERVICIO!G22)</f>
        <v>8552.7296000000024</v>
      </c>
      <c r="M204" s="393">
        <f>IF(PRODUCTO_O_SERVICIO!K22=0,0,COSTOS_DE_PRODUCCION!GZ114/PRODUCTO_O_SERVICIO!K22)</f>
        <v>8648.5201715200019</v>
      </c>
      <c r="N204" s="393">
        <f>IF(PRODUCTO_O_SERVICIO!O22=0,0,COSTOS_DE_PRODUCCION!HA114/PRODUCTO_O_SERVICIO!O22)</f>
        <v>8745.3835974410267</v>
      </c>
      <c r="O204" s="393">
        <f>IF(PRODUCTO_O_SERVICIO!S22=0,0,COSTOS_DE_PRODUCCION!HB114/PRODUCTO_O_SERVICIO!S22)</f>
        <v>8843.3318937323675</v>
      </c>
      <c r="P204" s="393">
        <f>IF(PRODUCTO_O_SERVICIO!D22=0,0,COSTOS_DE_PRODUCCION!GX175/PRODUCTO_O_SERVICIO!D22)</f>
        <v>80000</v>
      </c>
      <c r="Q204" s="393">
        <f>IF(PRODUCTO_O_SERVICIO!G22=0,0,COSTOS_DE_PRODUCCION!GY175/PRODUCTO_O_SERVICIO!G22)</f>
        <v>80896.000000000015</v>
      </c>
      <c r="R204" s="393">
        <f>IF(PRODUCTO_O_SERVICIO!K22=0,0,COSTOS_DE_PRODUCCION!GZ175/PRODUCTO_O_SERVICIO!K22)</f>
        <v>81802.035200000013</v>
      </c>
      <c r="S204" s="393">
        <f>IF(PRODUCTO_O_SERVICIO!O22=0,0,COSTOS_DE_PRODUCCION!HA175/PRODUCTO_O_SERVICIO!O22)</f>
        <v>82718.217994240025</v>
      </c>
      <c r="T204" s="393">
        <f>IF(PRODUCTO_O_SERVICIO!S22=0,0,COSTOS_DE_PRODUCCION!HB175/PRODUCTO_O_SERVICIO!S22)</f>
        <v>83644.662035775516</v>
      </c>
      <c r="U204" s="393">
        <f>Tabla15[[#This Row],[AÑO 1 ]]+Tabla15[[#This Row],[AÑO 1 2]]+Tabla15[[#This Row],[AÑO 1 3]]</f>
        <v>104778</v>
      </c>
      <c r="V204" s="393">
        <f>Tabla15[[#This Row],[AÑO 2 ]]+Tabla15[[#This Row],[AÑO 2 2]]+Tabla15[[#This Row],[AÑO 2 3]]</f>
        <v>105951.51360000002</v>
      </c>
      <c r="W204" s="393">
        <f>Tabla15[[#This Row],[AÑO 3 ]]+Tabla15[[#This Row],[AÑO 3 2]]+Tabla15[[#This Row],[AÑO 3 3]]</f>
        <v>107138.17055232002</v>
      </c>
      <c r="X204" s="393">
        <f>Tabla15[[#This Row],[AÑO 4]]+Tabla15[[#This Row],[AÑO 4 2]]+Tabla15[[#This Row],[AÑO 4 3 ]]</f>
        <v>108338.11806250602</v>
      </c>
      <c r="Y204" s="393">
        <f>Tabla15[[#This Row],[AÑO 5 ]]+Tabla15[[#This Row],[AÑO 5 2]]+Tabla15[[#This Row],[AÑO 5 3]]</f>
        <v>109551.50498480609</v>
      </c>
    </row>
    <row r="205" spans="3:25" ht="15.75" x14ac:dyDescent="0.25">
      <c r="C205" s="363">
        <v>3</v>
      </c>
      <c r="D205" s="375" t="str">
        <f>VLOOKUP(Tabla15[[#This Row],[CÓDIGO DEL PRODUCTO Y/O SERVICIO ]],Tabla3[],2)</f>
        <v>Caja de Rosas</v>
      </c>
      <c r="E205" s="375"/>
      <c r="F205" s="393">
        <f t="shared" si="2"/>
        <v>25660</v>
      </c>
      <c r="G205" s="393">
        <f>IF(PRODUCTO_O_SERVICIO!G23=0,0,COSTOS_DE_PRODUCCION!OQ58/PRODUCTO_O_SERVICIO!G23)</f>
        <v>25947.392000000003</v>
      </c>
      <c r="H205" s="393">
        <f>IF(PRODUCTO_O_SERVICIO!K23=0,0,COSTOS_DE_PRODUCCION!OR58/PRODUCTO_O_SERVICIO!K23)</f>
        <v>26238.002790400002</v>
      </c>
      <c r="I205" s="393">
        <f>IF(PRODUCTO_O_SERVICIO!O23=0,0,COSTOS_DE_PRODUCCION!OS58/PRODUCTO_O_SERVICIO!O23)</f>
        <v>26531.868421652485</v>
      </c>
      <c r="J205" s="393">
        <f>IF(PRODUCTO_O_SERVICIO!S23=0,0,COSTOS_DE_PRODUCCION!OT58/PRODUCTO_O_SERVICIO!S23)</f>
        <v>26829.025347974999</v>
      </c>
      <c r="K205" s="393">
        <f>IF(PRODUCTO_O_SERVICIO!D23=0,0,COSTOS_DE_PRODUCCION!GX115/PRODUCTO_O_SERVICIO!D23)</f>
        <v>8458</v>
      </c>
      <c r="L205" s="393">
        <f>IF(PRODUCTO_O_SERVICIO!G23=0,0,COSTOS_DE_PRODUCCION!GY115/PRODUCTO_O_SERVICIO!G23)</f>
        <v>8552.7296000000006</v>
      </c>
      <c r="M205" s="393">
        <f>IF(PRODUCTO_O_SERVICIO!K23=0,0,COSTOS_DE_PRODUCCION!GZ115/PRODUCTO_O_SERVICIO!K23)</f>
        <v>8648.5201715200019</v>
      </c>
      <c r="N205" s="393">
        <f>IF(PRODUCTO_O_SERVICIO!O23=0,0,COSTOS_DE_PRODUCCION!HA115/PRODUCTO_O_SERVICIO!O23)</f>
        <v>8745.3835974410267</v>
      </c>
      <c r="O205" s="393">
        <f>IF(PRODUCTO_O_SERVICIO!S23=0,0,COSTOS_DE_PRODUCCION!HB115/PRODUCTO_O_SERVICIO!S23)</f>
        <v>8843.3318937323675</v>
      </c>
      <c r="P205" s="393">
        <f>IF(PRODUCTO_O_SERVICIO!D23=0,0,COSTOS_DE_PRODUCCION!GX176/PRODUCTO_O_SERVICIO!D23)</f>
        <v>80000</v>
      </c>
      <c r="Q205" s="393">
        <f>IF(PRODUCTO_O_SERVICIO!G23=0,0,COSTOS_DE_PRODUCCION!GY176/PRODUCTO_O_SERVICIO!G23)</f>
        <v>80896.000000000015</v>
      </c>
      <c r="R205" s="393">
        <f>IF(PRODUCTO_O_SERVICIO!K23=0,0,COSTOS_DE_PRODUCCION!GZ176/PRODUCTO_O_SERVICIO!K23)</f>
        <v>81802.035200000013</v>
      </c>
      <c r="S205" s="393">
        <f>IF(PRODUCTO_O_SERVICIO!O23=0,0,COSTOS_DE_PRODUCCION!HA176/PRODUCTO_O_SERVICIO!O23)</f>
        <v>82718.217994240025</v>
      </c>
      <c r="T205" s="393">
        <f>IF(PRODUCTO_O_SERVICIO!S23=0,0,COSTOS_DE_PRODUCCION!HB176/PRODUCTO_O_SERVICIO!S23)</f>
        <v>83644.662035775531</v>
      </c>
      <c r="U205" s="393">
        <f>Tabla15[[#This Row],[AÑO 1 ]]+Tabla15[[#This Row],[AÑO 1 2]]+Tabla15[[#This Row],[AÑO 1 3]]</f>
        <v>114118</v>
      </c>
      <c r="V205" s="393">
        <f>Tabla15[[#This Row],[AÑO 2 ]]+Tabla15[[#This Row],[AÑO 2 2]]+Tabla15[[#This Row],[AÑO 2 3]]</f>
        <v>115396.12160000001</v>
      </c>
      <c r="W205" s="393">
        <f>Tabla15[[#This Row],[AÑO 3 ]]+Tabla15[[#This Row],[AÑO 3 2]]+Tabla15[[#This Row],[AÑO 3 3]]</f>
        <v>116688.55816192002</v>
      </c>
      <c r="X205" s="393">
        <f>Tabla15[[#This Row],[AÑO 4]]+Tabla15[[#This Row],[AÑO 4 2]]+Tabla15[[#This Row],[AÑO 4 3 ]]</f>
        <v>117995.47001333354</v>
      </c>
      <c r="Y205" s="393">
        <f>Tabla15[[#This Row],[AÑO 5 ]]+Tabla15[[#This Row],[AÑO 5 2]]+Tabla15[[#This Row],[AÑO 5 3]]</f>
        <v>119317.0192774829</v>
      </c>
    </row>
    <row r="206" spans="3:25" ht="15.75" x14ac:dyDescent="0.25">
      <c r="C206" s="363">
        <v>4</v>
      </c>
      <c r="D206" s="375" t="str">
        <f>VLOOKUP(Tabla15[[#This Row],[CÓDIGO DEL PRODUCTO Y/O SERVICIO ]],Tabla3[],2)</f>
        <v>Pureza Amor</v>
      </c>
      <c r="E206" s="375"/>
      <c r="F206" s="393">
        <f t="shared" si="2"/>
        <v>37500</v>
      </c>
      <c r="G206" s="393">
        <f>IF(PRODUCTO_O_SERVICIO!G24=0,0,COSTOS_DE_PRODUCCION!OQ59/PRODUCTO_O_SERVICIO!G24)</f>
        <v>37920</v>
      </c>
      <c r="H206" s="393">
        <f>IF(PRODUCTO_O_SERVICIO!K24=0,0,COSTOS_DE_PRODUCCION!OR59/PRODUCTO_O_SERVICIO!K24)</f>
        <v>38344.704000000005</v>
      </c>
      <c r="I206" s="393">
        <f>IF(PRODUCTO_O_SERVICIO!O24=0,0,COSTOS_DE_PRODUCCION!OS59/PRODUCTO_O_SERVICIO!O24)</f>
        <v>38774.164684800009</v>
      </c>
      <c r="J206" s="393">
        <f>IF(PRODUCTO_O_SERVICIO!S24=0,0,COSTOS_DE_PRODUCCION!OT59/PRODUCTO_O_SERVICIO!S24)</f>
        <v>39208.435329269771</v>
      </c>
      <c r="K206" s="393">
        <f>IF(PRODUCTO_O_SERVICIO!D24=0,0,COSTOS_DE_PRODUCCION!GX116/PRODUCTO_O_SERVICIO!D24)</f>
        <v>8458</v>
      </c>
      <c r="L206" s="393">
        <f>IF(PRODUCTO_O_SERVICIO!G24=0,0,COSTOS_DE_PRODUCCION!GY116/PRODUCTO_O_SERVICIO!G24)</f>
        <v>8552.7296000000024</v>
      </c>
      <c r="M206" s="393">
        <f>IF(PRODUCTO_O_SERVICIO!K24=0,0,COSTOS_DE_PRODUCCION!GZ116/PRODUCTO_O_SERVICIO!K24)</f>
        <v>8648.5201715200019</v>
      </c>
      <c r="N206" s="393">
        <f>IF(PRODUCTO_O_SERVICIO!O24=0,0,COSTOS_DE_PRODUCCION!HA116/PRODUCTO_O_SERVICIO!O24)</f>
        <v>8745.3835974410267</v>
      </c>
      <c r="O206" s="393">
        <f>IF(PRODUCTO_O_SERVICIO!S24=0,0,COSTOS_DE_PRODUCCION!HB116/PRODUCTO_O_SERVICIO!S24)</f>
        <v>8843.3318937323675</v>
      </c>
      <c r="P206" s="393">
        <f>IF(PRODUCTO_O_SERVICIO!D24=0,0,COSTOS_DE_PRODUCCION!GX177/PRODUCTO_O_SERVICIO!D24)</f>
        <v>80000</v>
      </c>
      <c r="Q206" s="393">
        <f>IF(PRODUCTO_O_SERVICIO!G24=0,0,COSTOS_DE_PRODUCCION!GY177/PRODUCTO_O_SERVICIO!G24)</f>
        <v>80896.000000000015</v>
      </c>
      <c r="R206" s="393">
        <f>IF(PRODUCTO_O_SERVICIO!K24=0,0,COSTOS_DE_PRODUCCION!GZ177/PRODUCTO_O_SERVICIO!K24)</f>
        <v>81802.035200000013</v>
      </c>
      <c r="S206" s="393">
        <f>IF(PRODUCTO_O_SERVICIO!O24=0,0,COSTOS_DE_PRODUCCION!HA177/PRODUCTO_O_SERVICIO!O24)</f>
        <v>82718.217994240025</v>
      </c>
      <c r="T206" s="393">
        <f>IF(PRODUCTO_O_SERVICIO!S24=0,0,COSTOS_DE_PRODUCCION!HB177/PRODUCTO_O_SERVICIO!S24)</f>
        <v>83644.662035775531</v>
      </c>
      <c r="U206" s="393">
        <f>Tabla15[[#This Row],[AÑO 1 ]]+Tabla15[[#This Row],[AÑO 1 2]]+Tabla15[[#This Row],[AÑO 1 3]]</f>
        <v>125958</v>
      </c>
      <c r="V206" s="393">
        <f>Tabla15[[#This Row],[AÑO 2 ]]+Tabla15[[#This Row],[AÑO 2 2]]+Tabla15[[#This Row],[AÑO 2 3]]</f>
        <v>127368.72960000002</v>
      </c>
      <c r="W206" s="393">
        <f>Tabla15[[#This Row],[AÑO 3 ]]+Tabla15[[#This Row],[AÑO 3 2]]+Tabla15[[#This Row],[AÑO 3 3]]</f>
        <v>128795.25937152002</v>
      </c>
      <c r="X206" s="393">
        <f>Tabla15[[#This Row],[AÑO 4]]+Tabla15[[#This Row],[AÑO 4 2]]+Tabla15[[#This Row],[AÑO 4 3 ]]</f>
        <v>130237.76627648107</v>
      </c>
      <c r="Y206" s="393">
        <f>Tabla15[[#This Row],[AÑO 5 ]]+Tabla15[[#This Row],[AÑO 5 2]]+Tabla15[[#This Row],[AÑO 5 3]]</f>
        <v>131696.42925877767</v>
      </c>
    </row>
  </sheetData>
  <protectedRanges>
    <protectedRange algorithmName="SHA-512" hashValue="PI1FzmXxdjjbHe5ES7fZfhUBXFhVbo1bnvXE/2xlVmPC4IwsJyGU/90VUCFxrzbzt+Y/Gh4Eo/9shgSNWz2Dkg==" saltValue="8n1+OIXmuy91Y+3uFbTkOA==" spinCount="100000" sqref="C55:C58" name="Código"/>
  </protectedRanges>
  <mergeCells count="140">
    <mergeCell ref="F200:J200"/>
    <mergeCell ref="K200:O200"/>
    <mergeCell ref="P200:T200"/>
    <mergeCell ref="C199:T199"/>
    <mergeCell ref="U171:Y171"/>
    <mergeCell ref="P171:T171"/>
    <mergeCell ref="F170:Y170"/>
    <mergeCell ref="AO171:AS171"/>
    <mergeCell ref="AJ171:AN171"/>
    <mergeCell ref="Z170:AS170"/>
    <mergeCell ref="BI171:BM171"/>
    <mergeCell ref="BD171:BH171"/>
    <mergeCell ref="AT170:BM170"/>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10:FI110"/>
    <mergeCell ref="FE171:FI171"/>
    <mergeCell ref="EF53:EJ53"/>
    <mergeCell ref="DQ53:DU53"/>
    <mergeCell ref="DB52:DU52"/>
    <mergeCell ref="F90:O90"/>
    <mergeCell ref="F149:O149"/>
    <mergeCell ref="IV53:IZ53"/>
    <mergeCell ref="BX110:CB110"/>
    <mergeCell ref="CC110:CG110"/>
    <mergeCell ref="BN109:CG109"/>
    <mergeCell ref="AT110:BC110"/>
    <mergeCell ref="CW110:DA110"/>
    <mergeCell ref="CH110:CQ110"/>
    <mergeCell ref="CH109:DA109"/>
    <mergeCell ref="CR110:CV110"/>
    <mergeCell ref="BD110:BH110"/>
    <mergeCell ref="BI110:BM110"/>
    <mergeCell ref="AT109:BM109"/>
    <mergeCell ref="BN110:BW110"/>
    <mergeCell ref="P110:T110"/>
    <mergeCell ref="U110:Y110"/>
    <mergeCell ref="F109:Y109"/>
    <mergeCell ref="AJ110:AN110"/>
    <mergeCell ref="AO110:AS110"/>
    <mergeCell ref="Z109:AS109"/>
    <mergeCell ref="B5:G5"/>
    <mergeCell ref="CR53:CV53"/>
    <mergeCell ref="CW53:DA53"/>
    <mergeCell ref="CH52:DA52"/>
    <mergeCell ref="DL53:DP53"/>
    <mergeCell ref="F37:Y37"/>
    <mergeCell ref="U53:Y53"/>
    <mergeCell ref="AO53:AS53"/>
    <mergeCell ref="Z52:AS52"/>
    <mergeCell ref="AJ53:AN53"/>
    <mergeCell ref="P53:T53"/>
    <mergeCell ref="F52:Y52"/>
    <mergeCell ref="BD53:BH53"/>
    <mergeCell ref="BI53:BM53"/>
    <mergeCell ref="AT52:BM52"/>
    <mergeCell ref="BX53:CB53"/>
    <mergeCell ref="CC53:CG53"/>
    <mergeCell ref="BN52:CG52"/>
    <mergeCell ref="OK53:OO53"/>
    <mergeCell ref="OF53:OJ53"/>
    <mergeCell ref="NV52:OO52"/>
    <mergeCell ref="MW53:NA53"/>
    <mergeCell ref="MR53:MV53"/>
    <mergeCell ref="MH52:NA52"/>
    <mergeCell ref="NQ53:NU53"/>
    <mergeCell ref="NL53:NP53"/>
    <mergeCell ref="NB52:NU52"/>
    <mergeCell ref="LD53:LH53"/>
    <mergeCell ref="LI53:LM53"/>
    <mergeCell ref="KT52:LM52"/>
    <mergeCell ref="MC53:MG53"/>
    <mergeCell ref="LX53:MB53"/>
    <mergeCell ref="LN52:MG52"/>
    <mergeCell ref="JP53:JT53"/>
    <mergeCell ref="JU53:JY53"/>
    <mergeCell ref="JF52:JY52"/>
    <mergeCell ref="KJ53:KN53"/>
    <mergeCell ref="KO53:KS53"/>
    <mergeCell ref="JZ52:KS52"/>
    <mergeCell ref="FY171:GC171"/>
    <mergeCell ref="FT171:FX171"/>
    <mergeCell ref="EZ110:FD110"/>
    <mergeCell ref="EP110:EY110"/>
    <mergeCell ref="EP109:FI109"/>
    <mergeCell ref="DQ110:DU110"/>
    <mergeCell ref="DB109:DU109"/>
    <mergeCell ref="DL110:DP110"/>
    <mergeCell ref="FJ110:FS110"/>
    <mergeCell ref="FT110:FX110"/>
    <mergeCell ref="EK110:EO110"/>
    <mergeCell ref="EK171:EO171"/>
    <mergeCell ref="EF171:EJ171"/>
    <mergeCell ref="DV170:EO170"/>
    <mergeCell ref="DB110:DK110"/>
    <mergeCell ref="FJ170:GC170"/>
    <mergeCell ref="DV110:EF110"/>
    <mergeCell ref="EG110:EJ110"/>
    <mergeCell ref="DV109:EO109"/>
    <mergeCell ref="OP52:OT53"/>
    <mergeCell ref="GX109:HB110"/>
    <mergeCell ref="GX170:HB171"/>
    <mergeCell ref="U199:Y200"/>
    <mergeCell ref="GS171:GW171"/>
    <mergeCell ref="GN171:GR171"/>
    <mergeCell ref="GD170:GW170"/>
    <mergeCell ref="FY110:GC110"/>
    <mergeCell ref="FJ109:GC109"/>
    <mergeCell ref="GS110:GW110"/>
    <mergeCell ref="GD110:GM110"/>
    <mergeCell ref="GD109:GW109"/>
    <mergeCell ref="GN110:GR110"/>
    <mergeCell ref="CC171:CG171"/>
    <mergeCell ref="BX171:CB171"/>
    <mergeCell ref="BN170:CG170"/>
    <mergeCell ref="CR171:CV171"/>
    <mergeCell ref="CW171:DA171"/>
    <mergeCell ref="CH170:DA170"/>
    <mergeCell ref="DQ171:DU171"/>
    <mergeCell ref="DL171:DP171"/>
    <mergeCell ref="DB170:DU170"/>
    <mergeCell ref="EZ171:FD171"/>
    <mergeCell ref="EP170:FI170"/>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36</xdr:row>
                    <xdr:rowOff>180975</xdr:rowOff>
                  </from>
                  <to>
                    <xdr:col>1</xdr:col>
                    <xdr:colOff>2066925</xdr:colOff>
                    <xdr:row>38</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90</xdr:row>
                    <xdr:rowOff>0</xdr:rowOff>
                  </from>
                  <to>
                    <xdr:col>1</xdr:col>
                    <xdr:colOff>2095500</xdr:colOff>
                    <xdr:row>91</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110</xdr:row>
                    <xdr:rowOff>28575</xdr:rowOff>
                  </from>
                  <to>
                    <xdr:col>1</xdr:col>
                    <xdr:colOff>2085975</xdr:colOff>
                    <xdr:row>110</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148</xdr:row>
                    <xdr:rowOff>171450</xdr:rowOff>
                  </from>
                  <to>
                    <xdr:col>1</xdr:col>
                    <xdr:colOff>2114550</xdr:colOff>
                    <xdr:row>150</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171</xdr:row>
                    <xdr:rowOff>66675</xdr:rowOff>
                  </from>
                  <to>
                    <xdr:col>1</xdr:col>
                    <xdr:colOff>1981200</xdr:colOff>
                    <xdr:row>171</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199</xdr:row>
                    <xdr:rowOff>114300</xdr:rowOff>
                  </from>
                  <to>
                    <xdr:col>1</xdr:col>
                    <xdr:colOff>2000250</xdr:colOff>
                    <xdr:row>201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2</xdr:row>
                    <xdr:rowOff>19050</xdr:rowOff>
                  </from>
                  <to>
                    <xdr:col>7</xdr:col>
                    <xdr:colOff>1866900</xdr:colOff>
                    <xdr:row>4</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23"/>
  <sheetViews>
    <sheetView showGridLines="0" zoomScale="60" zoomScaleNormal="60" workbookViewId="0">
      <selection activeCell="J19" sqref="J19"/>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40" t="s">
        <v>55</v>
      </c>
      <c r="E6" s="641"/>
      <c r="F6" s="641"/>
      <c r="G6" s="641"/>
      <c r="H6" s="641"/>
      <c r="I6" s="641"/>
      <c r="J6" s="641"/>
      <c r="K6" s="641"/>
      <c r="L6" s="641"/>
      <c r="M6" s="641"/>
      <c r="N6" s="641"/>
      <c r="O6" s="642"/>
    </row>
    <row r="7" spans="4:15" ht="16.5" thickBot="1" x14ac:dyDescent="0.3">
      <c r="D7" s="63"/>
      <c r="E7" s="77" t="s">
        <v>352</v>
      </c>
      <c r="F7" s="645">
        <f>BASES!D7</f>
        <v>2021</v>
      </c>
      <c r="G7" s="646"/>
      <c r="H7" s="645">
        <f>BASES!E7</f>
        <v>2022</v>
      </c>
      <c r="I7" s="646"/>
      <c r="J7" s="645">
        <f>BASES!F7</f>
        <v>2023</v>
      </c>
      <c r="K7" s="646"/>
      <c r="L7" s="645">
        <f>BASES!G7</f>
        <v>2024</v>
      </c>
      <c r="M7" s="646"/>
      <c r="N7" s="645">
        <f>BASES!H7</f>
        <v>2025</v>
      </c>
      <c r="O7" s="646"/>
    </row>
    <row r="8" spans="4:15" ht="15.75" x14ac:dyDescent="0.25">
      <c r="D8" s="69" t="s">
        <v>354</v>
      </c>
      <c r="E8" s="69" t="s">
        <v>358</v>
      </c>
      <c r="F8" s="69" t="s">
        <v>357</v>
      </c>
      <c r="G8" s="69" t="s">
        <v>359</v>
      </c>
      <c r="H8" s="69" t="s">
        <v>360</v>
      </c>
      <c r="I8" s="69" t="s">
        <v>361</v>
      </c>
      <c r="J8" s="69" t="s">
        <v>362</v>
      </c>
      <c r="K8" s="69" t="s">
        <v>363</v>
      </c>
      <c r="L8" s="69" t="s">
        <v>364</v>
      </c>
      <c r="M8" s="69" t="s">
        <v>365</v>
      </c>
      <c r="N8" s="69" t="s">
        <v>366</v>
      </c>
      <c r="O8" s="69" t="s">
        <v>367</v>
      </c>
    </row>
    <row r="9" spans="4:15" ht="15.75" x14ac:dyDescent="0.25">
      <c r="D9" s="67">
        <v>0</v>
      </c>
      <c r="E9" s="72" t="str">
        <f>VLOOKUP(Tabla2[[#This Row],[CÓDIGO ]],Tabla3[],2,FALSE)</f>
        <v xml:space="preserve">Seleccionar producto o servicio </v>
      </c>
      <c r="F9" s="73"/>
      <c r="G9" s="73"/>
      <c r="H9" s="73"/>
      <c r="I9" s="73"/>
      <c r="J9" s="73"/>
      <c r="K9" s="73"/>
      <c r="L9" s="73"/>
      <c r="M9" s="73"/>
      <c r="N9" s="73"/>
      <c r="O9" s="73"/>
    </row>
    <row r="10" spans="4:15" ht="15.75" x14ac:dyDescent="0.25">
      <c r="D10" s="62">
        <v>1</v>
      </c>
      <c r="E10" s="72" t="str">
        <f>VLOOKUP(Tabla2[[#This Row],[CÓDIGO ]],Tabla3[],2,FALSE)</f>
        <v>Amor Amor</v>
      </c>
      <c r="F10" s="114">
        <f>VLOOKUP(Tabla2[[#This Row],[CÓDIGO ]],Tabla3[],3,FALSE)</f>
        <v>300</v>
      </c>
      <c r="G10" s="73">
        <f>Tabla2[[#This Row],[Unidades vendidas año 1]]*VLOOKUP(Tabla2[[#This Row],[CÓDIGO ]],Tabla3[],3,FALSE)</f>
        <v>90000</v>
      </c>
      <c r="H10" s="114">
        <f>VLOOKUP(Tabla2[[#This Row],[CÓDIGO ]],Tabla3[],6,FALSE)</f>
        <v>350</v>
      </c>
      <c r="I10" s="73">
        <f>Tabla2[[#This Row],[Unidades vendidas año 2]]*VLOOKUP(Tabla2[[#This Row],[CÓDIGO ]],Tabla3[],6,FALSE)</f>
        <v>122500</v>
      </c>
      <c r="J10" s="114">
        <f>VLOOKUP(Tabla2[[#This Row],[CÓDIGO ]],Tabla3[],10,FALSE)</f>
        <v>500</v>
      </c>
      <c r="K10" s="73">
        <f>Tabla2[[#This Row],[Unidades vendidas año 3]]*VLOOKUP(Tabla2[[#This Row],[CÓDIGO ]],Tabla3[],10,FALSE)</f>
        <v>250000</v>
      </c>
      <c r="L10" s="114">
        <f>VLOOKUP(Tabla2[[#This Row],[CÓDIGO ]],Tabla3[],14,FALSE)</f>
        <v>550</v>
      </c>
      <c r="M10" s="73">
        <f>Tabla2[[#This Row],[Unidades vendidas año 4]]*VLOOKUP(Tabla2[[#This Row],[CÓDIGO ]],Tabla3[],14,FALSE)</f>
        <v>302500</v>
      </c>
      <c r="N10" s="114">
        <f>VLOOKUP(Tabla2[[#This Row],[CÓDIGO ]],Tabla3[],18,FALSE)</f>
        <v>700</v>
      </c>
      <c r="O10" s="73">
        <f>Tabla2[[#This Row],[Unidades vendidas año 5]]*VLOOKUP(Tabla2[[#This Row],[CÓDIGO ]],Tabla3[],18,FALSE)</f>
        <v>490000</v>
      </c>
    </row>
    <row r="11" spans="4:15" ht="15.75" x14ac:dyDescent="0.25">
      <c r="D11" s="62">
        <v>2</v>
      </c>
      <c r="E11" s="72" t="str">
        <f>VLOOKUP(Tabla2[[#This Row],[CÓDIGO ]],Tabla3[],2,FALSE)</f>
        <v>Tierno Corazón</v>
      </c>
      <c r="F11" s="114">
        <f>VLOOKUP(Tabla2[[#This Row],[CÓDIGO ]],Tabla3[],3,FALSE)</f>
        <v>400</v>
      </c>
      <c r="G11" s="73">
        <f>Tabla2[[#This Row],[Unidades vendidas año 1]]*VLOOKUP(Tabla2[[#This Row],[CÓDIGO ]],Tabla3[],3,FALSE)</f>
        <v>160000</v>
      </c>
      <c r="H11" s="114">
        <f>VLOOKUP(Tabla2[[#This Row],[CÓDIGO ]],Tabla3[],6,FALSE)</f>
        <v>500</v>
      </c>
      <c r="I11" s="73">
        <f>Tabla2[[#This Row],[Unidades vendidas año 2]]*VLOOKUP(Tabla2[[#This Row],[CÓDIGO ]],Tabla3[],6,FALSE)</f>
        <v>250000</v>
      </c>
      <c r="J11" s="114">
        <f>VLOOKUP(Tabla2[[#This Row],[CÓDIGO ]],Tabla3[],10,FALSE)</f>
        <v>680</v>
      </c>
      <c r="K11" s="73">
        <f>Tabla2[[#This Row],[Unidades vendidas año 3]]*VLOOKUP(Tabla2[[#This Row],[CÓDIGO ]],Tabla3[],10,FALSE)</f>
        <v>462400</v>
      </c>
      <c r="L11" s="114">
        <f>VLOOKUP(Tabla2[[#This Row],[CÓDIGO ]],Tabla3[],14,FALSE)</f>
        <v>720</v>
      </c>
      <c r="M11" s="73">
        <f>Tabla2[[#This Row],[Unidades vendidas año 4]]*VLOOKUP(Tabla2[[#This Row],[CÓDIGO ]],Tabla3[],14,FALSE)</f>
        <v>518400</v>
      </c>
      <c r="N11" s="114">
        <f>VLOOKUP(Tabla2[[#This Row],[CÓDIGO ]],Tabla3[],18,FALSE)</f>
        <v>880</v>
      </c>
      <c r="O11" s="73">
        <f>Tabla2[[#This Row],[Unidades vendidas año 5]]*VLOOKUP(Tabla2[[#This Row],[CÓDIGO ]],Tabla3[],18,FALSE)</f>
        <v>774400</v>
      </c>
    </row>
    <row r="12" spans="4:15" ht="15.75" x14ac:dyDescent="0.25">
      <c r="D12" s="62">
        <v>3</v>
      </c>
      <c r="E12" s="72" t="str">
        <f>VLOOKUP(Tabla2[[#This Row],[CÓDIGO ]],Tabla3[],2,FALSE)</f>
        <v>Caja de Rosas</v>
      </c>
      <c r="F12" s="114">
        <f>VLOOKUP(Tabla2[[#This Row],[CÓDIGO ]],Tabla3[],3,FALSE)</f>
        <v>500</v>
      </c>
      <c r="G12" s="73">
        <f>Tabla2[[#This Row],[Unidades vendidas año 1]]*VLOOKUP(Tabla2[[#This Row],[CÓDIGO ]],Tabla3[],3,FALSE)</f>
        <v>250000</v>
      </c>
      <c r="H12" s="114">
        <f>VLOOKUP(Tabla2[[#This Row],[CÓDIGO ]],Tabla3[],6,FALSE)</f>
        <v>680</v>
      </c>
      <c r="I12" s="73">
        <f>Tabla2[[#This Row],[Unidades vendidas año 2]]*VLOOKUP(Tabla2[[#This Row],[CÓDIGO ]],Tabla3[],6,FALSE)</f>
        <v>462400</v>
      </c>
      <c r="J12" s="114">
        <f>VLOOKUP(Tabla2[[#This Row],[CÓDIGO ]],Tabla3[],10,FALSE)</f>
        <v>700</v>
      </c>
      <c r="K12" s="73">
        <f>Tabla2[[#This Row],[Unidades vendidas año 3]]*VLOOKUP(Tabla2[[#This Row],[CÓDIGO ]],Tabla3[],10,FALSE)</f>
        <v>490000</v>
      </c>
      <c r="L12" s="114">
        <f>VLOOKUP(Tabla2[[#This Row],[CÓDIGO ]],Tabla3[],14,FALSE)</f>
        <v>750</v>
      </c>
      <c r="M12" s="73">
        <f>Tabla2[[#This Row],[Unidades vendidas año 4]]*VLOOKUP(Tabla2[[#This Row],[CÓDIGO ]],Tabla3[],14,FALSE)</f>
        <v>562500</v>
      </c>
      <c r="N12" s="114">
        <f>VLOOKUP(Tabla2[[#This Row],[CÓDIGO ]],Tabla3[],18,FALSE)</f>
        <v>800</v>
      </c>
      <c r="O12" s="73">
        <f>Tabla2[[#This Row],[Unidades vendidas año 5]]*VLOOKUP(Tabla2[[#This Row],[CÓDIGO ]],Tabla3[],18,FALSE)</f>
        <v>640000</v>
      </c>
    </row>
    <row r="13" spans="4:15" ht="15.75" x14ac:dyDescent="0.25">
      <c r="D13" s="62">
        <v>4</v>
      </c>
      <c r="E13" s="72" t="str">
        <f>VLOOKUP(Tabla2[[#This Row],[CÓDIGO ]],Tabla3[],2,FALSE)</f>
        <v>Pureza Amor</v>
      </c>
      <c r="F13" s="114">
        <f>VLOOKUP(Tabla2[[#This Row],[CÓDIGO ]],Tabla3[],3,FALSE)</f>
        <v>450</v>
      </c>
      <c r="G13" s="73">
        <f>Tabla2[[#This Row],[Unidades vendidas año 1]]*VLOOKUP(Tabla2[[#This Row],[CÓDIGO ]],Tabla3[],3,FALSE)</f>
        <v>202500</v>
      </c>
      <c r="H13" s="114">
        <f>VLOOKUP(Tabla2[[#This Row],[CÓDIGO ]],Tabla3[],6,FALSE)</f>
        <v>500</v>
      </c>
      <c r="I13" s="73">
        <f>Tabla2[[#This Row],[Unidades vendidas año 2]]*VLOOKUP(Tabla2[[#This Row],[CÓDIGO ]],Tabla3[],6,FALSE)</f>
        <v>250000</v>
      </c>
      <c r="J13" s="114">
        <f>VLOOKUP(Tabla2[[#This Row],[CÓDIGO ]],Tabla3[],10,FALSE)</f>
        <v>560</v>
      </c>
      <c r="K13" s="73">
        <f>Tabla2[[#This Row],[Unidades vendidas año 3]]*VLOOKUP(Tabla2[[#This Row],[CÓDIGO ]],Tabla3[],10,FALSE)</f>
        <v>313600</v>
      </c>
      <c r="L13" s="114">
        <f>VLOOKUP(Tabla2[[#This Row],[CÓDIGO ]],Tabla3[],14,FALSE)</f>
        <v>610</v>
      </c>
      <c r="M13" s="73">
        <f>Tabla2[[#This Row],[Unidades vendidas año 4]]*VLOOKUP(Tabla2[[#This Row],[CÓDIGO ]],Tabla3[],14,FALSE)</f>
        <v>372100</v>
      </c>
      <c r="N13" s="114">
        <f>VLOOKUP(Tabla2[[#This Row],[CÓDIGO ]],Tabla3[],18,FALSE)</f>
        <v>650</v>
      </c>
      <c r="O13" s="73">
        <f>Tabla2[[#This Row],[Unidades vendidas año 5]]*VLOOKUP(Tabla2[[#This Row],[CÓDIGO ]],Tabla3[],18,FALSE)</f>
        <v>422500</v>
      </c>
    </row>
    <row r="14" spans="4:15" customFormat="1" ht="15.75" thickBot="1" x14ac:dyDescent="0.3"/>
    <row r="15" spans="4:15" ht="16.5" thickBot="1" x14ac:dyDescent="0.3">
      <c r="D15" s="547" t="s">
        <v>347</v>
      </c>
      <c r="E15" s="548"/>
      <c r="F15" s="647"/>
      <c r="G15" s="73">
        <f>SUMPRODUCT(Tabla2[Unidades vendidas año 1],Tabla2[Ingresos totales año 1])</f>
        <v>307125000</v>
      </c>
      <c r="H15" s="130"/>
      <c r="I15" s="73">
        <f>SUMPRODUCT(Tabla2[Unidades vendidas año 2],Tabla2[[Ingresos totales año 2 ]])</f>
        <v>607307000</v>
      </c>
      <c r="J15" s="130"/>
      <c r="K15" s="73">
        <f>SUMPRODUCT(Tabla2[Unidades vendidas año 3],Tabla2[[Ingresos totales año 3 ]])</f>
        <v>958048000</v>
      </c>
      <c r="L15" s="130"/>
      <c r="M15" s="73">
        <f>SUMPRODUCT(Tabla2[Unidades vendidas año 4],Tabla2[Ingresos totales año 4])</f>
        <v>1188479000</v>
      </c>
      <c r="N15" s="130"/>
      <c r="O15" s="73">
        <f>SUMPRODUCT(Tabla2[Unidades vendidas año 5],Tabla2[Ingresos totales año 5])</f>
        <v>1811097000</v>
      </c>
    </row>
    <row r="16" spans="4:15" ht="16.5" thickBot="1" x14ac:dyDescent="0.3">
      <c r="D16" s="547" t="s">
        <v>355</v>
      </c>
      <c r="E16" s="548"/>
      <c r="F16" s="647"/>
      <c r="G16" s="73">
        <f>COSTOS_DE_PRODUCCION!D192</f>
        <v>187084700</v>
      </c>
      <c r="H16" s="130"/>
      <c r="I16" s="73">
        <f>COSTOS_DE_PRODUCCION!F192</f>
        <v>232212514.04800004</v>
      </c>
      <c r="J16" s="130"/>
      <c r="K16" s="73">
        <f>COSTOS_DE_PRODUCCION!G192</f>
        <v>280230377.21313286</v>
      </c>
      <c r="L16" s="130"/>
      <c r="M16" s="73">
        <f>COSTOS_DE_PRODUCCION!H192</f>
        <v>305531049.8780362</v>
      </c>
      <c r="N16" s="130"/>
      <c r="O16" s="73">
        <f>COSTOS_DE_PRODUCCION!I192</f>
        <v>354147672.31618541</v>
      </c>
    </row>
    <row r="17" spans="4:20" ht="16.5" thickBot="1" x14ac:dyDescent="0.3">
      <c r="D17" s="547" t="s">
        <v>356</v>
      </c>
      <c r="E17" s="548"/>
      <c r="F17" s="647"/>
      <c r="G17" s="75">
        <f>G15-G16</f>
        <v>120040300</v>
      </c>
      <c r="H17" s="131"/>
      <c r="I17" s="75">
        <f>I15-I16</f>
        <v>375094485.95199996</v>
      </c>
      <c r="J17" s="131"/>
      <c r="K17" s="75">
        <f>K15-K16</f>
        <v>677817622.78686714</v>
      </c>
      <c r="L17" s="131"/>
      <c r="M17" s="75">
        <f>M15-M16</f>
        <v>882947950.12196374</v>
      </c>
      <c r="N17" s="131"/>
      <c r="O17" s="75">
        <f>O15-O16</f>
        <v>1456949327.6838145</v>
      </c>
    </row>
    <row r="18" spans="4:20" x14ac:dyDescent="0.25">
      <c r="N18" s="74"/>
    </row>
    <row r="19" spans="4:20" x14ac:dyDescent="0.25">
      <c r="N19" s="74"/>
    </row>
    <row r="20" spans="4:20" x14ac:dyDescent="0.25">
      <c r="N20" s="74"/>
    </row>
    <row r="21" spans="4:20" x14ac:dyDescent="0.25">
      <c r="N21" s="74"/>
    </row>
    <row r="22" spans="4:20" ht="15.75" thickBot="1" x14ac:dyDescent="0.3"/>
    <row r="23" spans="4:20" ht="16.5" thickBot="1" x14ac:dyDescent="0.3">
      <c r="D23" s="648" t="s">
        <v>57</v>
      </c>
      <c r="E23" s="649"/>
      <c r="F23" s="649"/>
      <c r="G23" s="649"/>
      <c r="H23" s="649"/>
      <c r="I23" s="649"/>
      <c r="J23" s="649"/>
      <c r="K23" s="649"/>
      <c r="L23" s="649"/>
      <c r="M23" s="649"/>
      <c r="N23" s="649"/>
      <c r="O23" s="649"/>
      <c r="P23" s="649"/>
      <c r="Q23" s="649"/>
      <c r="R23" s="649"/>
      <c r="S23" s="649"/>
      <c r="T23" s="650"/>
    </row>
    <row r="24" spans="4:20" ht="16.5" thickBot="1" x14ac:dyDescent="0.3">
      <c r="E24" s="76" t="s">
        <v>352</v>
      </c>
      <c r="F24" s="661">
        <f>BASES!D7</f>
        <v>2021</v>
      </c>
      <c r="G24" s="662"/>
      <c r="H24" s="662"/>
      <c r="I24" s="661">
        <f>BASES!E7</f>
        <v>2022</v>
      </c>
      <c r="J24" s="662"/>
      <c r="K24" s="662"/>
      <c r="L24" s="661">
        <f>BASES!F7</f>
        <v>2023</v>
      </c>
      <c r="M24" s="662"/>
      <c r="N24" s="662"/>
      <c r="O24" s="661">
        <f>BASES!G7</f>
        <v>2024</v>
      </c>
      <c r="P24" s="662"/>
      <c r="Q24" s="662"/>
      <c r="R24" s="661">
        <f>BASES!H7</f>
        <v>2025</v>
      </c>
      <c r="S24" s="662"/>
      <c r="T24" s="662"/>
    </row>
    <row r="25" spans="4:20" ht="15.75" x14ac:dyDescent="0.25">
      <c r="D25" s="52" t="s">
        <v>354</v>
      </c>
      <c r="E25" s="52" t="s">
        <v>358</v>
      </c>
      <c r="F25" s="52" t="s">
        <v>368</v>
      </c>
      <c r="G25" s="394" t="s">
        <v>369</v>
      </c>
      <c r="H25" s="52" t="s">
        <v>370</v>
      </c>
      <c r="I25" s="52" t="s">
        <v>371</v>
      </c>
      <c r="J25" s="394" t="s">
        <v>372</v>
      </c>
      <c r="K25" s="52" t="s">
        <v>373</v>
      </c>
      <c r="L25" s="52" t="s">
        <v>374</v>
      </c>
      <c r="M25" s="394" t="s">
        <v>375</v>
      </c>
      <c r="N25" s="52" t="s">
        <v>376</v>
      </c>
      <c r="O25" s="52" t="s">
        <v>377</v>
      </c>
      <c r="P25" s="394" t="s">
        <v>378</v>
      </c>
      <c r="Q25" s="52" t="s">
        <v>379</v>
      </c>
      <c r="R25" s="52" t="s">
        <v>380</v>
      </c>
      <c r="S25" s="394" t="s">
        <v>381</v>
      </c>
      <c r="T25" s="52" t="s">
        <v>382</v>
      </c>
    </row>
    <row r="26" spans="4:20" ht="15.75" x14ac:dyDescent="0.25">
      <c r="D26" s="67">
        <v>0</v>
      </c>
      <c r="E26" s="72" t="str">
        <f>VLOOKUP(Tabla5[[#This Row],[CÓDIGO ]],Tabla3[],2)</f>
        <v xml:space="preserve">Seleccionar producto o servicio </v>
      </c>
      <c r="F26" s="73"/>
      <c r="G26" s="73">
        <f>VLOOKUP(Tabla5[[#This Row],[CÓDIGO ]],Tabla15[],18)</f>
        <v>0</v>
      </c>
      <c r="H26" s="73"/>
      <c r="I26" s="73"/>
      <c r="J26" s="73">
        <f>VLOOKUP(Tabla5[[#This Row],[CÓDIGO ]],Tabla15[],19)</f>
        <v>0</v>
      </c>
      <c r="K26" s="73"/>
      <c r="L26" s="73"/>
      <c r="M26" s="73">
        <f>VLOOKUP(Tabla5[[#This Row],[CÓDIGO ]],Tabla15[],20)</f>
        <v>0</v>
      </c>
      <c r="N26" s="73"/>
      <c r="O26" s="73"/>
      <c r="P26" s="73">
        <f>VLOOKUP(Tabla5[[#This Row],[CÓDIGO ]],Tabla15[],21)</f>
        <v>0</v>
      </c>
      <c r="Q26" s="73"/>
      <c r="R26" s="73"/>
      <c r="S26" s="73">
        <f>VLOOKUP(Tabla5[[#This Row],[CÓDIGO ]],Tabla15[],22)</f>
        <v>0</v>
      </c>
      <c r="T26" s="73"/>
    </row>
    <row r="27" spans="4:20" ht="15.75" x14ac:dyDescent="0.25">
      <c r="D27" s="62">
        <v>1</v>
      </c>
      <c r="E27" s="72" t="str">
        <f>VLOOKUP(Tabla5[[#This Row],[CÓDIGO ]],Tabla3[],2)</f>
        <v>Amor Amor</v>
      </c>
      <c r="F27" s="73">
        <f>VLOOKUP(Tabla5[[#This Row],[CÓDIGO ]],Tabla3[],4)</f>
        <v>90000</v>
      </c>
      <c r="G27" s="73">
        <f>VLOOKUP(Tabla5[[#This Row],[CÓDIGO ]],Tabla15[],18)</f>
        <v>83644.662035775531</v>
      </c>
      <c r="H27" s="73">
        <f>Tabla5[[#This Row],[Precio de venta unitario año 1]]-Tabla5[[#This Row],[(-) Costo de producción unitario año 1]]</f>
        <v>6355.337964224469</v>
      </c>
      <c r="I27" s="73">
        <f>VLOOKUP(Tabla5[[#This Row],[CÓDIGO ]],Tabla3[],7)</f>
        <v>91755</v>
      </c>
      <c r="J27" s="73">
        <f>VLOOKUP(Tabla5[[#This Row],[CÓDIGO ]],Tabla15[],19)</f>
        <v>104778</v>
      </c>
      <c r="K27" s="73">
        <f>Tabla5[[#This Row],[Precio de venta unitario año 2]]-Tabla5[[#This Row],[(-) Costo de producción unitario año 2]]</f>
        <v>-13023</v>
      </c>
      <c r="L27" s="73">
        <f>VLOOKUP(Tabla5[[#This Row],[CÓDIGO ]],Tabla3[],11)</f>
        <v>93544</v>
      </c>
      <c r="M27" s="73">
        <f>VLOOKUP(Tabla5[[#This Row],[CÓDIGO ]],Tabla15[],20)</f>
        <v>105951.51360000001</v>
      </c>
      <c r="N27" s="73">
        <f>Tabla5[[#This Row],[Precio de venta unitario año 3]]-Tabla5[[#This Row],[(-) Costo de producción unitario año 3]]</f>
        <v>-12407.513600000006</v>
      </c>
      <c r="O27" s="73">
        <f>VLOOKUP(Tabla5[[#This Row],[CÓDIGO ]],Tabla3[],15)</f>
        <v>95368</v>
      </c>
      <c r="P27" s="73">
        <f>VLOOKUP(Tabla5[[#This Row],[CÓDIGO ]],Tabla15[],21)</f>
        <v>107138.17055232002</v>
      </c>
      <c r="Q27" s="73">
        <f>Tabla5[[#This Row],[Precio de venta unitario año 4]]-Tabla5[[#This Row],[(-) Costo de producción unitario año 4]]</f>
        <v>-11770.170552320022</v>
      </c>
      <c r="R27" s="73">
        <f>VLOOKUP(Tabla5[[#This Row],[CÓDIGO ]],Tabla3[],19)</f>
        <v>97228</v>
      </c>
      <c r="S27" s="73">
        <f>VLOOKUP(Tabla5[[#This Row],[CÓDIGO ]],Tabla15[],22)</f>
        <v>108338.11806250602</v>
      </c>
      <c r="T27" s="73">
        <f>Tabla5[[#This Row],[Precio de venta unitario año 5]]-Tabla5[[#This Row],[(-) Costo de producción unitario año 5]]</f>
        <v>-11110.118062506022</v>
      </c>
    </row>
    <row r="28" spans="4:20" ht="15.75" x14ac:dyDescent="0.25">
      <c r="D28" s="62">
        <v>2</v>
      </c>
      <c r="E28" s="72" t="str">
        <f>VLOOKUP(Tabla5[[#This Row],[CÓDIGO ]],Tabla3[],2)</f>
        <v>Tierno Corazón</v>
      </c>
      <c r="F28" s="73">
        <f>VLOOKUP(Tabla5[[#This Row],[CÓDIGO ]],Tabla3[],4)</f>
        <v>80000</v>
      </c>
      <c r="G28" s="73">
        <f>VLOOKUP(Tabla5[[#This Row],[CÓDIGO ]],Tabla15[],18)</f>
        <v>83644.662035775516</v>
      </c>
      <c r="H28" s="73">
        <f>Tabla5[[#This Row],[Precio de venta unitario año 1]]-Tabla5[[#This Row],[(-) Costo de producción unitario año 1]]</f>
        <v>-3644.6620357755164</v>
      </c>
      <c r="I28" s="73">
        <f>VLOOKUP(Tabla5[[#This Row],[CÓDIGO ]],Tabla3[],7)</f>
        <v>81560</v>
      </c>
      <c r="J28" s="73">
        <f>VLOOKUP(Tabla5[[#This Row],[CÓDIGO ]],Tabla15[],19)</f>
        <v>104778</v>
      </c>
      <c r="K28" s="73">
        <f>Tabla5[[#This Row],[Precio de venta unitario año 2]]-Tabla5[[#This Row],[(-) Costo de producción unitario año 2]]</f>
        <v>-23218</v>
      </c>
      <c r="L28" s="73">
        <f>VLOOKUP(Tabla5[[#This Row],[CÓDIGO ]],Tabla3[],11)</f>
        <v>83150</v>
      </c>
      <c r="M28" s="73">
        <f>VLOOKUP(Tabla5[[#This Row],[CÓDIGO ]],Tabla15[],20)</f>
        <v>105951.51360000002</v>
      </c>
      <c r="N28" s="73">
        <f>Tabla5[[#This Row],[Precio de venta unitario año 3]]-Tabla5[[#This Row],[(-) Costo de producción unitario año 3]]</f>
        <v>-22801.51360000002</v>
      </c>
      <c r="O28" s="73">
        <f>VLOOKUP(Tabla5[[#This Row],[CÓDIGO ]],Tabla3[],15)</f>
        <v>84771</v>
      </c>
      <c r="P28" s="73">
        <f>VLOOKUP(Tabla5[[#This Row],[CÓDIGO ]],Tabla15[],21)</f>
        <v>107138.17055232002</v>
      </c>
      <c r="Q28" s="73">
        <f>Tabla5[[#This Row],[Precio de venta unitario año 4]]-Tabla5[[#This Row],[(-) Costo de producción unitario año 4]]</f>
        <v>-22367.170552320022</v>
      </c>
      <c r="R28" s="73">
        <f>VLOOKUP(Tabla5[[#This Row],[CÓDIGO ]],Tabla3[],19)</f>
        <v>86424</v>
      </c>
      <c r="S28" s="73">
        <f>VLOOKUP(Tabla5[[#This Row],[CÓDIGO ]],Tabla15[],22)</f>
        <v>108338.11806250602</v>
      </c>
      <c r="T28" s="73">
        <f>Tabla5[[#This Row],[Precio de venta unitario año 5]]-Tabla5[[#This Row],[(-) Costo de producción unitario año 5]]</f>
        <v>-21914.118062506022</v>
      </c>
    </row>
    <row r="29" spans="4:20" ht="15.75" x14ac:dyDescent="0.25">
      <c r="D29" s="62">
        <v>3</v>
      </c>
      <c r="E29" s="72" t="str">
        <f>VLOOKUP(Tabla5[[#This Row],[CÓDIGO ]],Tabla3[],2)</f>
        <v>Caja de Rosas</v>
      </c>
      <c r="F29" s="73">
        <f>VLOOKUP(Tabla5[[#This Row],[CÓDIGO ]],Tabla3[],4)</f>
        <v>90000</v>
      </c>
      <c r="G29" s="73">
        <f>VLOOKUP(Tabla5[[#This Row],[CÓDIGO ]],Tabla15[],18)</f>
        <v>83644.662035775531</v>
      </c>
      <c r="H29" s="73">
        <f>Tabla5[[#This Row],[Precio de venta unitario año 1]]-Tabla5[[#This Row],[(-) Costo de producción unitario año 1]]</f>
        <v>6355.337964224469</v>
      </c>
      <c r="I29" s="73">
        <f>VLOOKUP(Tabla5[[#This Row],[CÓDIGO ]],Tabla3[],7)</f>
        <v>91755</v>
      </c>
      <c r="J29" s="73">
        <f>VLOOKUP(Tabla5[[#This Row],[CÓDIGO ]],Tabla15[],19)</f>
        <v>114118</v>
      </c>
      <c r="K29" s="73">
        <f>Tabla5[[#This Row],[Precio de venta unitario año 2]]-Tabla5[[#This Row],[(-) Costo de producción unitario año 2]]</f>
        <v>-22363</v>
      </c>
      <c r="L29" s="73">
        <f>VLOOKUP(Tabla5[[#This Row],[CÓDIGO ]],Tabla3[],11)</f>
        <v>93544</v>
      </c>
      <c r="M29" s="73">
        <f>VLOOKUP(Tabla5[[#This Row],[CÓDIGO ]],Tabla15[],20)</f>
        <v>115396.12160000001</v>
      </c>
      <c r="N29" s="73">
        <f>Tabla5[[#This Row],[Precio de venta unitario año 3]]-Tabla5[[#This Row],[(-) Costo de producción unitario año 3]]</f>
        <v>-21852.121600000013</v>
      </c>
      <c r="O29" s="73">
        <f>VLOOKUP(Tabla5[[#This Row],[CÓDIGO ]],Tabla3[],15)</f>
        <v>95368</v>
      </c>
      <c r="P29" s="73">
        <f>VLOOKUP(Tabla5[[#This Row],[CÓDIGO ]],Tabla15[],21)</f>
        <v>116688.55816192002</v>
      </c>
      <c r="Q29" s="73">
        <f>Tabla5[[#This Row],[Precio de venta unitario año 4]]-Tabla5[[#This Row],[(-) Costo de producción unitario año 4]]</f>
        <v>-21320.558161920024</v>
      </c>
      <c r="R29" s="73">
        <f>VLOOKUP(Tabla5[[#This Row],[CÓDIGO ]],Tabla3[],19)</f>
        <v>97228</v>
      </c>
      <c r="S29" s="73">
        <f>VLOOKUP(Tabla5[[#This Row],[CÓDIGO ]],Tabla15[],22)</f>
        <v>117995.47001333354</v>
      </c>
      <c r="T29" s="73">
        <f>Tabla5[[#This Row],[Precio de venta unitario año 5]]-Tabla5[[#This Row],[(-) Costo de producción unitario año 5]]</f>
        <v>-20767.470013333543</v>
      </c>
    </row>
    <row r="30" spans="4:20" ht="15.75" x14ac:dyDescent="0.25">
      <c r="D30" s="62">
        <v>4</v>
      </c>
      <c r="E30" s="72" t="str">
        <f>VLOOKUP(Tabla5[[#This Row],[CÓDIGO ]],Tabla3[],2)</f>
        <v>Pureza Amor</v>
      </c>
      <c r="F30" s="73">
        <f>VLOOKUP(Tabla5[[#This Row],[CÓDIGO ]],Tabla3[],4)</f>
        <v>100000</v>
      </c>
      <c r="G30" s="73">
        <f>VLOOKUP(Tabla5[[#This Row],[CÓDIGO ]],Tabla15[],18)</f>
        <v>83644.662035775531</v>
      </c>
      <c r="H30" s="73">
        <f>Tabla5[[#This Row],[Precio de venta unitario año 1]]-Tabla5[[#This Row],[(-) Costo de producción unitario año 1]]</f>
        <v>16355.337964224469</v>
      </c>
      <c r="I30" s="73">
        <f>VLOOKUP(Tabla5[[#This Row],[CÓDIGO ]],Tabla3[],7)</f>
        <v>101950</v>
      </c>
      <c r="J30" s="73">
        <f>VLOOKUP(Tabla5[[#This Row],[CÓDIGO ]],Tabla15[],19)</f>
        <v>125958</v>
      </c>
      <c r="K30" s="73">
        <f>Tabla5[[#This Row],[Precio de venta unitario año 2]]-Tabla5[[#This Row],[(-) Costo de producción unitario año 2]]</f>
        <v>-24008</v>
      </c>
      <c r="L30" s="73">
        <f>VLOOKUP(Tabla5[[#This Row],[CÓDIGO ]],Tabla3[],11)</f>
        <v>103938</v>
      </c>
      <c r="M30" s="73">
        <f>VLOOKUP(Tabla5[[#This Row],[CÓDIGO ]],Tabla15[],20)</f>
        <v>127368.72960000002</v>
      </c>
      <c r="N30" s="73">
        <f>Tabla5[[#This Row],[Precio de venta unitario año 3]]-Tabla5[[#This Row],[(-) Costo de producción unitario año 3]]</f>
        <v>-23430.729600000021</v>
      </c>
      <c r="O30" s="73">
        <f>VLOOKUP(Tabla5[[#This Row],[CÓDIGO ]],Tabla3[],15)</f>
        <v>105965</v>
      </c>
      <c r="P30" s="73">
        <f>VLOOKUP(Tabla5[[#This Row],[CÓDIGO ]],Tabla15[],21)</f>
        <v>128795.25937152002</v>
      </c>
      <c r="Q30" s="73">
        <f>Tabla5[[#This Row],[Precio de venta unitario año 4]]-Tabla5[[#This Row],[(-) Costo de producción unitario año 4]]</f>
        <v>-22830.25937152002</v>
      </c>
      <c r="R30" s="73">
        <f>VLOOKUP(Tabla5[[#This Row],[CÓDIGO ]],Tabla3[],19)</f>
        <v>108031</v>
      </c>
      <c r="S30" s="73">
        <f>VLOOKUP(Tabla5[[#This Row],[CÓDIGO ]],Tabla15[],22)</f>
        <v>130237.76627648107</v>
      </c>
      <c r="T30" s="73">
        <f>Tabla5[[#This Row],[Precio de venta unitario año 5]]-Tabla5[[#This Row],[(-) Costo de producción unitario año 5]]</f>
        <v>-22206.766276481067</v>
      </c>
    </row>
    <row r="35" spans="4:24" ht="15.75" thickBot="1" x14ac:dyDescent="0.3"/>
    <row r="36" spans="4:24" ht="15" customHeight="1" x14ac:dyDescent="0.25">
      <c r="D36" s="651" t="s">
        <v>61</v>
      </c>
      <c r="E36" s="652"/>
      <c r="F36" s="652"/>
      <c r="G36" s="653"/>
      <c r="I36" s="660" t="s">
        <v>322</v>
      </c>
      <c r="J36" s="660"/>
      <c r="K36" s="660"/>
    </row>
    <row r="37" spans="4:24" x14ac:dyDescent="0.25">
      <c r="D37" s="654"/>
      <c r="E37" s="655"/>
      <c r="F37" s="655"/>
      <c r="G37" s="656"/>
      <c r="I37" s="660"/>
      <c r="J37" s="660"/>
      <c r="K37" s="660"/>
    </row>
    <row r="38" spans="4:24" x14ac:dyDescent="0.25">
      <c r="D38" s="654"/>
      <c r="E38" s="655"/>
      <c r="F38" s="655"/>
      <c r="G38" s="656"/>
      <c r="I38" s="660"/>
      <c r="J38" s="660"/>
      <c r="K38" s="660"/>
    </row>
    <row r="39" spans="4:24" ht="15.75" customHeight="1" thickBot="1" x14ac:dyDescent="0.3">
      <c r="D39" s="657"/>
      <c r="E39" s="658"/>
      <c r="F39" s="658"/>
      <c r="G39" s="659"/>
      <c r="I39" s="660"/>
      <c r="J39" s="660"/>
      <c r="K39" s="660"/>
    </row>
    <row r="41" spans="4:24" ht="15.75" x14ac:dyDescent="0.25">
      <c r="E41" s="128" t="s">
        <v>396</v>
      </c>
      <c r="F41" s="128" t="s">
        <v>59</v>
      </c>
      <c r="G41" s="89">
        <f>BASES!D7</f>
        <v>2021</v>
      </c>
      <c r="H41" s="89">
        <f>BASES!E7</f>
        <v>2022</v>
      </c>
      <c r="I41" s="89">
        <f>BASES!F7</f>
        <v>2023</v>
      </c>
      <c r="J41" s="89">
        <f>BASES!G7</f>
        <v>2024</v>
      </c>
      <c r="K41" s="89">
        <f>BASES!H7</f>
        <v>2025</v>
      </c>
    </row>
    <row r="42" spans="4:24" ht="15.75" x14ac:dyDescent="0.25">
      <c r="E42" s="129" t="s">
        <v>157</v>
      </c>
      <c r="F42" s="6"/>
      <c r="G42" s="6"/>
      <c r="H42" s="6"/>
      <c r="I42" s="6"/>
      <c r="J42" s="6"/>
      <c r="K42" s="6"/>
    </row>
    <row r="44" spans="4:24" ht="15.75" x14ac:dyDescent="0.25">
      <c r="E44" s="665" t="s">
        <v>61</v>
      </c>
      <c r="F44" s="666"/>
      <c r="G44" s="666"/>
      <c r="H44" s="666"/>
      <c r="I44" s="666"/>
      <c r="J44" s="666"/>
      <c r="K44" s="666"/>
      <c r="L44" s="666"/>
      <c r="M44" s="666"/>
      <c r="N44" s="666"/>
      <c r="O44" s="666"/>
      <c r="P44" s="666"/>
      <c r="Q44" s="666"/>
      <c r="R44" s="666"/>
      <c r="S44" s="666"/>
      <c r="T44" s="666"/>
      <c r="U44" s="666"/>
      <c r="V44" s="666"/>
      <c r="W44" s="667"/>
    </row>
    <row r="45" spans="4:24" ht="15.75" x14ac:dyDescent="0.25">
      <c r="E45" s="129" t="s">
        <v>383</v>
      </c>
      <c r="F45" s="672" t="s">
        <v>385</v>
      </c>
      <c r="G45" s="673"/>
      <c r="H45" s="673"/>
      <c r="I45" s="664">
        <f>BASES!D7</f>
        <v>2021</v>
      </c>
      <c r="J45" s="664"/>
      <c r="K45" s="664"/>
      <c r="L45" s="664">
        <f>BASES!E7</f>
        <v>2022</v>
      </c>
      <c r="M45" s="664"/>
      <c r="N45" s="664"/>
      <c r="O45" s="664">
        <f>BASES!F7</f>
        <v>2023</v>
      </c>
      <c r="P45" s="664"/>
      <c r="Q45" s="664"/>
      <c r="R45" s="664">
        <f>BASES!G7</f>
        <v>2024</v>
      </c>
      <c r="S45" s="664"/>
      <c r="T45" s="664"/>
      <c r="U45" s="664">
        <f>BASES!H7</f>
        <v>2025</v>
      </c>
      <c r="V45" s="664"/>
      <c r="W45" s="664"/>
    </row>
    <row r="46" spans="4:24" ht="15.75" x14ac:dyDescent="0.25">
      <c r="E46" s="91" t="s">
        <v>384</v>
      </c>
      <c r="F46" s="129" t="s">
        <v>386</v>
      </c>
      <c r="G46" s="129" t="s">
        <v>387</v>
      </c>
      <c r="H46" s="129" t="s">
        <v>388</v>
      </c>
      <c r="I46" s="129" t="s">
        <v>386</v>
      </c>
      <c r="J46" s="129" t="s">
        <v>387</v>
      </c>
      <c r="K46" s="129" t="s">
        <v>388</v>
      </c>
      <c r="L46" s="129" t="s">
        <v>386</v>
      </c>
      <c r="M46" s="129" t="s">
        <v>387</v>
      </c>
      <c r="N46" s="129" t="s">
        <v>388</v>
      </c>
      <c r="O46" s="129" t="s">
        <v>386</v>
      </c>
      <c r="P46" s="129" t="s">
        <v>387</v>
      </c>
      <c r="Q46" s="129" t="s">
        <v>388</v>
      </c>
      <c r="R46" s="129" t="s">
        <v>386</v>
      </c>
      <c r="S46" s="129" t="s">
        <v>387</v>
      </c>
      <c r="T46" s="129" t="s">
        <v>388</v>
      </c>
      <c r="U46" s="129" t="s">
        <v>386</v>
      </c>
      <c r="V46" s="129" t="s">
        <v>387</v>
      </c>
      <c r="W46" s="129" t="s">
        <v>388</v>
      </c>
      <c r="X46" s="92" t="s">
        <v>391</v>
      </c>
    </row>
    <row r="47" spans="4:24" ht="15.75" x14ac:dyDescent="0.25">
      <c r="E47" s="71"/>
      <c r="F47" s="78"/>
      <c r="G47" s="79"/>
      <c r="H47" s="94">
        <f t="shared" ref="H47:H53" si="0">F47*G47</f>
        <v>0</v>
      </c>
      <c r="I47" s="78"/>
      <c r="J47" s="79"/>
      <c r="K47" s="96">
        <f t="shared" ref="K47:K53" si="1">I47*J47</f>
        <v>0</v>
      </c>
      <c r="L47" s="78"/>
      <c r="M47" s="79"/>
      <c r="N47" s="94">
        <f t="shared" ref="N47:N53" si="2">L47*M47</f>
        <v>0</v>
      </c>
      <c r="O47" s="80"/>
      <c r="P47" s="81"/>
      <c r="Q47" s="94">
        <f t="shared" ref="Q47:Q53" si="3">O47*P47</f>
        <v>0</v>
      </c>
      <c r="R47" s="78"/>
      <c r="S47" s="79"/>
      <c r="T47" s="94">
        <f t="shared" ref="T47:T53" si="4">R47*S47</f>
        <v>0</v>
      </c>
      <c r="U47" s="78"/>
      <c r="V47" s="79"/>
      <c r="W47" s="94">
        <f t="shared" ref="W47:W53" si="5">U47*V47</f>
        <v>0</v>
      </c>
      <c r="X47" s="92">
        <f>BASES!G28</f>
        <v>20</v>
      </c>
    </row>
    <row r="48" spans="4:24" ht="15.75" x14ac:dyDescent="0.25">
      <c r="E48" s="71"/>
      <c r="F48" s="78"/>
      <c r="G48" s="79"/>
      <c r="H48" s="94">
        <f t="shared" si="0"/>
        <v>0</v>
      </c>
      <c r="I48" s="78"/>
      <c r="J48" s="79"/>
      <c r="K48" s="96">
        <f t="shared" si="1"/>
        <v>0</v>
      </c>
      <c r="L48" s="78"/>
      <c r="M48" s="79"/>
      <c r="N48" s="94">
        <f t="shared" si="2"/>
        <v>0</v>
      </c>
      <c r="O48" s="80"/>
      <c r="P48" s="81"/>
      <c r="Q48" s="94">
        <f t="shared" si="3"/>
        <v>0</v>
      </c>
      <c r="R48" s="78"/>
      <c r="S48" s="79"/>
      <c r="T48" s="94">
        <f t="shared" si="4"/>
        <v>0</v>
      </c>
      <c r="U48" s="78"/>
      <c r="V48" s="79"/>
      <c r="W48" s="94">
        <f t="shared" si="5"/>
        <v>0</v>
      </c>
      <c r="X48" s="92">
        <f t="shared" ref="X48:X53" si="6">X47</f>
        <v>20</v>
      </c>
    </row>
    <row r="49" spans="1:24" ht="15.75" x14ac:dyDescent="0.25">
      <c r="E49" s="71"/>
      <c r="F49" s="78"/>
      <c r="G49" s="79"/>
      <c r="H49" s="94">
        <f t="shared" si="0"/>
        <v>0</v>
      </c>
      <c r="I49" s="78"/>
      <c r="J49" s="79"/>
      <c r="K49" s="96">
        <f t="shared" si="1"/>
        <v>0</v>
      </c>
      <c r="L49" s="78"/>
      <c r="M49" s="79"/>
      <c r="N49" s="94">
        <f t="shared" si="2"/>
        <v>0</v>
      </c>
      <c r="O49" s="80"/>
      <c r="P49" s="81"/>
      <c r="Q49" s="94">
        <f t="shared" si="3"/>
        <v>0</v>
      </c>
      <c r="R49" s="78"/>
      <c r="S49" s="79"/>
      <c r="T49" s="94">
        <f t="shared" si="4"/>
        <v>0</v>
      </c>
      <c r="U49" s="78"/>
      <c r="V49" s="79"/>
      <c r="W49" s="94">
        <f t="shared" si="5"/>
        <v>0</v>
      </c>
      <c r="X49" s="92">
        <f t="shared" si="6"/>
        <v>20</v>
      </c>
    </row>
    <row r="50" spans="1:24" ht="15.75" x14ac:dyDescent="0.25">
      <c r="E50" s="71"/>
      <c r="F50" s="78"/>
      <c r="G50" s="79"/>
      <c r="H50" s="94">
        <f t="shared" si="0"/>
        <v>0</v>
      </c>
      <c r="I50" s="78"/>
      <c r="J50" s="79"/>
      <c r="K50" s="96">
        <f t="shared" si="1"/>
        <v>0</v>
      </c>
      <c r="L50" s="78"/>
      <c r="M50" s="79"/>
      <c r="N50" s="94">
        <f t="shared" si="2"/>
        <v>0</v>
      </c>
      <c r="O50" s="80"/>
      <c r="P50" s="81"/>
      <c r="Q50" s="94">
        <f t="shared" si="3"/>
        <v>0</v>
      </c>
      <c r="R50" s="78"/>
      <c r="S50" s="79"/>
      <c r="T50" s="94">
        <f t="shared" si="4"/>
        <v>0</v>
      </c>
      <c r="U50" s="78"/>
      <c r="V50" s="79"/>
      <c r="W50" s="94">
        <f t="shared" si="5"/>
        <v>0</v>
      </c>
      <c r="X50" s="92">
        <f t="shared" si="6"/>
        <v>20</v>
      </c>
    </row>
    <row r="51" spans="1:24" ht="15.75" x14ac:dyDescent="0.25">
      <c r="E51" s="71"/>
      <c r="F51" s="78"/>
      <c r="G51" s="79"/>
      <c r="H51" s="94">
        <f t="shared" si="0"/>
        <v>0</v>
      </c>
      <c r="I51" s="78"/>
      <c r="J51" s="79"/>
      <c r="K51" s="96">
        <f t="shared" si="1"/>
        <v>0</v>
      </c>
      <c r="L51" s="78"/>
      <c r="M51" s="79"/>
      <c r="N51" s="94">
        <f t="shared" si="2"/>
        <v>0</v>
      </c>
      <c r="O51" s="80"/>
      <c r="P51" s="81"/>
      <c r="Q51" s="94">
        <f t="shared" si="3"/>
        <v>0</v>
      </c>
      <c r="R51" s="78"/>
      <c r="S51" s="79"/>
      <c r="T51" s="94">
        <f t="shared" si="4"/>
        <v>0</v>
      </c>
      <c r="U51" s="78"/>
      <c r="V51" s="79"/>
      <c r="W51" s="94">
        <f t="shared" si="5"/>
        <v>0</v>
      </c>
      <c r="X51" s="92">
        <f t="shared" si="6"/>
        <v>20</v>
      </c>
    </row>
    <row r="52" spans="1:24" ht="15.75" x14ac:dyDescent="0.25">
      <c r="E52" s="71"/>
      <c r="F52" s="78"/>
      <c r="G52" s="79"/>
      <c r="H52" s="94">
        <f t="shared" si="0"/>
        <v>0</v>
      </c>
      <c r="I52" s="78"/>
      <c r="J52" s="79"/>
      <c r="K52" s="96">
        <f t="shared" si="1"/>
        <v>0</v>
      </c>
      <c r="L52" s="78"/>
      <c r="M52" s="79"/>
      <c r="N52" s="94">
        <f t="shared" si="2"/>
        <v>0</v>
      </c>
      <c r="O52" s="80"/>
      <c r="P52" s="81"/>
      <c r="Q52" s="94">
        <f t="shared" si="3"/>
        <v>0</v>
      </c>
      <c r="R52" s="78"/>
      <c r="S52" s="79"/>
      <c r="T52" s="94">
        <f t="shared" si="4"/>
        <v>0</v>
      </c>
      <c r="U52" s="78"/>
      <c r="V52" s="79"/>
      <c r="W52" s="94">
        <f t="shared" si="5"/>
        <v>0</v>
      </c>
      <c r="X52" s="92">
        <f t="shared" si="6"/>
        <v>20</v>
      </c>
    </row>
    <row r="53" spans="1:24" ht="15.75" x14ac:dyDescent="0.25">
      <c r="E53" s="82"/>
      <c r="F53" s="83"/>
      <c r="G53" s="84"/>
      <c r="H53" s="94">
        <f t="shared" si="0"/>
        <v>0</v>
      </c>
      <c r="I53" s="78"/>
      <c r="J53" s="79"/>
      <c r="K53" s="96">
        <f t="shared" si="1"/>
        <v>0</v>
      </c>
      <c r="L53" s="78"/>
      <c r="M53" s="79"/>
      <c r="N53" s="94">
        <f t="shared" si="2"/>
        <v>0</v>
      </c>
      <c r="O53" s="80"/>
      <c r="P53" s="81"/>
      <c r="Q53" s="94">
        <f t="shared" si="3"/>
        <v>0</v>
      </c>
      <c r="R53" s="78"/>
      <c r="S53" s="79"/>
      <c r="T53" s="94">
        <f t="shared" si="4"/>
        <v>0</v>
      </c>
      <c r="U53" s="78"/>
      <c r="V53" s="79"/>
      <c r="W53" s="94">
        <f t="shared" si="5"/>
        <v>0</v>
      </c>
      <c r="X53" s="92">
        <f t="shared" si="6"/>
        <v>20</v>
      </c>
    </row>
    <row r="54" spans="1:24" ht="15.75" x14ac:dyDescent="0.25">
      <c r="E54" s="92" t="s">
        <v>389</v>
      </c>
      <c r="F54" s="93"/>
      <c r="G54" s="94"/>
      <c r="H54" s="95">
        <f>SUM(H47:H53)</f>
        <v>0</v>
      </c>
      <c r="I54" s="93"/>
      <c r="J54" s="94"/>
      <c r="K54" s="95">
        <f>SUM(K47:K53)</f>
        <v>0</v>
      </c>
      <c r="L54" s="93"/>
      <c r="M54" s="94"/>
      <c r="N54" s="95">
        <f>SUM(N47:N53)</f>
        <v>0</v>
      </c>
      <c r="O54" s="93"/>
      <c r="P54" s="94"/>
      <c r="Q54" s="95">
        <f>SUM(Q47:Q53)</f>
        <v>0</v>
      </c>
      <c r="R54" s="93"/>
      <c r="S54" s="94"/>
      <c r="T54" s="95">
        <f>SUM(T47:T53)</f>
        <v>0</v>
      </c>
      <c r="U54" s="93"/>
      <c r="V54" s="94"/>
      <c r="W54" s="95">
        <f>SUM(W47:W53)</f>
        <v>0</v>
      </c>
      <c r="X54" s="92"/>
    </row>
    <row r="55" spans="1:24" s="88" customFormat="1" ht="15.75" x14ac:dyDescent="0.25">
      <c r="A55" s="2"/>
      <c r="B55" s="2"/>
      <c r="C55" s="2"/>
      <c r="D55" s="2"/>
      <c r="E55" s="85"/>
      <c r="F55" s="86"/>
      <c r="G55" s="87"/>
      <c r="H55" s="87"/>
      <c r="I55" s="86"/>
      <c r="J55" s="87"/>
      <c r="K55" s="87"/>
      <c r="L55" s="86"/>
      <c r="M55" s="87"/>
      <c r="N55" s="87"/>
      <c r="O55" s="86"/>
      <c r="P55" s="87"/>
      <c r="Q55" s="87"/>
      <c r="R55" s="86"/>
      <c r="S55" s="87"/>
      <c r="T55" s="87"/>
      <c r="U55" s="86"/>
      <c r="V55" s="87"/>
      <c r="W55" s="87"/>
    </row>
    <row r="56" spans="1:24" ht="15.75" x14ac:dyDescent="0.25">
      <c r="E56" s="97" t="s">
        <v>390</v>
      </c>
      <c r="F56" s="129" t="s">
        <v>386</v>
      </c>
      <c r="G56" s="129" t="s">
        <v>387</v>
      </c>
      <c r="H56" s="129" t="s">
        <v>388</v>
      </c>
      <c r="I56" s="129" t="s">
        <v>386</v>
      </c>
      <c r="J56" s="129" t="s">
        <v>387</v>
      </c>
      <c r="K56" s="129" t="s">
        <v>388</v>
      </c>
      <c r="L56" s="129" t="s">
        <v>386</v>
      </c>
      <c r="M56" s="129" t="s">
        <v>387</v>
      </c>
      <c r="N56" s="129" t="s">
        <v>388</v>
      </c>
      <c r="O56" s="129" t="s">
        <v>386</v>
      </c>
      <c r="P56" s="129" t="s">
        <v>387</v>
      </c>
      <c r="Q56" s="129" t="s">
        <v>388</v>
      </c>
      <c r="R56" s="129" t="s">
        <v>386</v>
      </c>
      <c r="S56" s="129" t="s">
        <v>387</v>
      </c>
      <c r="T56" s="129" t="s">
        <v>388</v>
      </c>
      <c r="U56" s="129" t="s">
        <v>386</v>
      </c>
      <c r="V56" s="129" t="s">
        <v>387</v>
      </c>
      <c r="W56" s="129" t="s">
        <v>388</v>
      </c>
      <c r="X56" s="90" t="s">
        <v>391</v>
      </c>
    </row>
    <row r="57" spans="1:24" ht="15.75" x14ac:dyDescent="0.25">
      <c r="D57"/>
      <c r="E57" s="71" t="s">
        <v>1249</v>
      </c>
      <c r="F57" s="78">
        <v>1</v>
      </c>
      <c r="G57" s="79">
        <v>60000</v>
      </c>
      <c r="H57" s="94">
        <f t="shared" ref="H57:H96" si="7">F57*G57</f>
        <v>60000</v>
      </c>
      <c r="I57" s="78">
        <v>1</v>
      </c>
      <c r="J57" s="79">
        <v>71400</v>
      </c>
      <c r="K57" s="94">
        <f t="shared" ref="K57:K96" si="8">I57*J57</f>
        <v>71400</v>
      </c>
      <c r="L57" s="78">
        <v>1</v>
      </c>
      <c r="M57" s="79">
        <v>85000</v>
      </c>
      <c r="N57" s="94">
        <f t="shared" ref="N57:N96" si="9">L57*M57</f>
        <v>85000</v>
      </c>
      <c r="O57" s="78">
        <v>1</v>
      </c>
      <c r="P57" s="79">
        <v>101150</v>
      </c>
      <c r="Q57" s="94">
        <f t="shared" ref="Q57:Q96" si="10">O57*P57</f>
        <v>101150</v>
      </c>
      <c r="R57" s="78">
        <v>1</v>
      </c>
      <c r="S57" s="79">
        <v>120400</v>
      </c>
      <c r="T57" s="94">
        <f t="shared" ref="T57:T96" si="11">R57*S57</f>
        <v>120400</v>
      </c>
      <c r="U57" s="78">
        <v>1</v>
      </c>
      <c r="V57" s="79">
        <v>143300</v>
      </c>
      <c r="W57" s="94">
        <f t="shared" ref="W57:W96" si="12">U57*V57</f>
        <v>143300</v>
      </c>
      <c r="X57" s="92">
        <f>BASES!G29</f>
        <v>10</v>
      </c>
    </row>
    <row r="58" spans="1:24" ht="15.75" x14ac:dyDescent="0.25">
      <c r="D58"/>
      <c r="E58" s="71" t="s">
        <v>1250</v>
      </c>
      <c r="F58" s="78">
        <v>1</v>
      </c>
      <c r="G58" s="79">
        <v>20000</v>
      </c>
      <c r="H58" s="94">
        <f t="shared" si="7"/>
        <v>20000</v>
      </c>
      <c r="I58" s="78">
        <v>1</v>
      </c>
      <c r="J58" s="79">
        <v>23800</v>
      </c>
      <c r="K58" s="94">
        <f t="shared" si="8"/>
        <v>23800</v>
      </c>
      <c r="L58" s="78">
        <v>1</v>
      </c>
      <c r="M58" s="79">
        <v>28000</v>
      </c>
      <c r="N58" s="94">
        <f t="shared" si="9"/>
        <v>28000</v>
      </c>
      <c r="O58" s="78">
        <v>1</v>
      </c>
      <c r="P58" s="79">
        <v>33000</v>
      </c>
      <c r="Q58" s="94">
        <f t="shared" si="10"/>
        <v>33000</v>
      </c>
      <c r="R58" s="78">
        <v>1</v>
      </c>
      <c r="S58" s="79">
        <v>39300</v>
      </c>
      <c r="T58" s="94">
        <f t="shared" si="11"/>
        <v>39300</v>
      </c>
      <c r="U58" s="78">
        <v>1</v>
      </c>
      <c r="V58" s="79">
        <v>46800</v>
      </c>
      <c r="W58" s="94">
        <f t="shared" si="12"/>
        <v>46800</v>
      </c>
      <c r="X58" s="92">
        <f t="shared" ref="X58:X96" si="13">X57</f>
        <v>10</v>
      </c>
    </row>
    <row r="59" spans="1:24" ht="15.75" x14ac:dyDescent="0.25">
      <c r="D59"/>
      <c r="E59" s="71" t="s">
        <v>1251</v>
      </c>
      <c r="F59" s="78">
        <v>11</v>
      </c>
      <c r="G59" s="79">
        <v>20000</v>
      </c>
      <c r="H59" s="94">
        <f t="shared" si="7"/>
        <v>220000</v>
      </c>
      <c r="I59" s="78">
        <v>11</v>
      </c>
      <c r="J59" s="79">
        <v>23800</v>
      </c>
      <c r="K59" s="94">
        <f t="shared" si="8"/>
        <v>261800</v>
      </c>
      <c r="L59" s="78">
        <v>11</v>
      </c>
      <c r="M59" s="79">
        <v>28000</v>
      </c>
      <c r="N59" s="94">
        <f t="shared" si="9"/>
        <v>308000</v>
      </c>
      <c r="O59" s="78">
        <v>11</v>
      </c>
      <c r="P59" s="79">
        <v>33000</v>
      </c>
      <c r="Q59" s="94">
        <f t="shared" si="10"/>
        <v>363000</v>
      </c>
      <c r="R59" s="78">
        <v>11</v>
      </c>
      <c r="S59" s="79">
        <v>39300</v>
      </c>
      <c r="T59" s="94">
        <f t="shared" si="11"/>
        <v>432300</v>
      </c>
      <c r="U59" s="78">
        <v>11</v>
      </c>
      <c r="V59" s="79">
        <v>46800</v>
      </c>
      <c r="W59" s="94">
        <f t="shared" si="12"/>
        <v>514800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D91"/>
      <c r="E91" s="71"/>
      <c r="F91" s="78"/>
      <c r="G91" s="79"/>
      <c r="H91" s="94">
        <f t="shared" si="7"/>
        <v>0</v>
      </c>
      <c r="I91" s="78"/>
      <c r="J91" s="79"/>
      <c r="K91" s="94">
        <f t="shared" si="8"/>
        <v>0</v>
      </c>
      <c r="L91" s="78"/>
      <c r="M91" s="79"/>
      <c r="N91" s="94">
        <f t="shared" si="9"/>
        <v>0</v>
      </c>
      <c r="O91" s="78"/>
      <c r="P91" s="79"/>
      <c r="Q91" s="94">
        <f t="shared" si="10"/>
        <v>0</v>
      </c>
      <c r="R91" s="78"/>
      <c r="S91" s="79"/>
      <c r="T91" s="94">
        <f t="shared" si="11"/>
        <v>0</v>
      </c>
      <c r="U91" s="78"/>
      <c r="V91" s="79"/>
      <c r="W91" s="94">
        <f t="shared" si="12"/>
        <v>0</v>
      </c>
      <c r="X91" s="92">
        <f t="shared" si="13"/>
        <v>10</v>
      </c>
    </row>
    <row r="92" spans="4:24" ht="15.75" x14ac:dyDescent="0.25">
      <c r="D92"/>
      <c r="E92" s="71"/>
      <c r="F92" s="78"/>
      <c r="G92" s="79"/>
      <c r="H92" s="94">
        <f t="shared" si="7"/>
        <v>0</v>
      </c>
      <c r="I92" s="78"/>
      <c r="J92" s="79"/>
      <c r="K92" s="94">
        <f t="shared" si="8"/>
        <v>0</v>
      </c>
      <c r="L92" s="78"/>
      <c r="M92" s="79"/>
      <c r="N92" s="94">
        <f t="shared" si="9"/>
        <v>0</v>
      </c>
      <c r="O92" s="78"/>
      <c r="P92" s="79"/>
      <c r="Q92" s="94">
        <f t="shared" si="10"/>
        <v>0</v>
      </c>
      <c r="R92" s="78"/>
      <c r="S92" s="79"/>
      <c r="T92" s="94">
        <f t="shared" si="11"/>
        <v>0</v>
      </c>
      <c r="U92" s="78"/>
      <c r="V92" s="79"/>
      <c r="W92" s="94">
        <f t="shared" si="12"/>
        <v>0</v>
      </c>
      <c r="X92" s="92">
        <f t="shared" si="13"/>
        <v>10</v>
      </c>
    </row>
    <row r="93" spans="4:24" ht="15.75" x14ac:dyDescent="0.25">
      <c r="D93"/>
      <c r="E93" s="71"/>
      <c r="F93" s="78"/>
      <c r="G93" s="79"/>
      <c r="H93" s="94">
        <f t="shared" si="7"/>
        <v>0</v>
      </c>
      <c r="I93" s="78"/>
      <c r="J93" s="79"/>
      <c r="K93" s="94">
        <f t="shared" si="8"/>
        <v>0</v>
      </c>
      <c r="L93" s="78"/>
      <c r="M93" s="79"/>
      <c r="N93" s="94">
        <f t="shared" si="9"/>
        <v>0</v>
      </c>
      <c r="O93" s="78"/>
      <c r="P93" s="79"/>
      <c r="Q93" s="94">
        <f t="shared" si="10"/>
        <v>0</v>
      </c>
      <c r="R93" s="78"/>
      <c r="S93" s="79"/>
      <c r="T93" s="94">
        <f t="shared" si="11"/>
        <v>0</v>
      </c>
      <c r="U93" s="78"/>
      <c r="V93" s="79"/>
      <c r="W93" s="94">
        <f t="shared" si="12"/>
        <v>0</v>
      </c>
      <c r="X93" s="92">
        <f t="shared" si="13"/>
        <v>10</v>
      </c>
    </row>
    <row r="94" spans="4:24" ht="15.75" x14ac:dyDescent="0.25">
      <c r="D94"/>
      <c r="E94" s="71"/>
      <c r="F94" s="78"/>
      <c r="G94" s="79"/>
      <c r="H94" s="94">
        <f t="shared" si="7"/>
        <v>0</v>
      </c>
      <c r="I94" s="78"/>
      <c r="J94" s="79"/>
      <c r="K94" s="94">
        <f t="shared" si="8"/>
        <v>0</v>
      </c>
      <c r="L94" s="78"/>
      <c r="M94" s="79"/>
      <c r="N94" s="94">
        <f t="shared" si="9"/>
        <v>0</v>
      </c>
      <c r="O94" s="78"/>
      <c r="P94" s="79"/>
      <c r="Q94" s="94">
        <f t="shared" si="10"/>
        <v>0</v>
      </c>
      <c r="R94" s="78"/>
      <c r="S94" s="79"/>
      <c r="T94" s="94">
        <f t="shared" si="11"/>
        <v>0</v>
      </c>
      <c r="U94" s="78"/>
      <c r="V94" s="79"/>
      <c r="W94" s="94">
        <f t="shared" si="12"/>
        <v>0</v>
      </c>
      <c r="X94" s="92">
        <f t="shared" si="13"/>
        <v>10</v>
      </c>
    </row>
    <row r="95" spans="4:24" ht="15.75" x14ac:dyDescent="0.25">
      <c r="D95"/>
      <c r="E95" s="71"/>
      <c r="F95" s="78"/>
      <c r="G95" s="79"/>
      <c r="H95" s="94">
        <f t="shared" si="7"/>
        <v>0</v>
      </c>
      <c r="I95" s="78"/>
      <c r="J95" s="79"/>
      <c r="K95" s="94">
        <f t="shared" si="8"/>
        <v>0</v>
      </c>
      <c r="L95" s="78"/>
      <c r="M95" s="79"/>
      <c r="N95" s="94">
        <f t="shared" si="9"/>
        <v>0</v>
      </c>
      <c r="O95" s="78"/>
      <c r="P95" s="79"/>
      <c r="Q95" s="94">
        <f t="shared" si="10"/>
        <v>0</v>
      </c>
      <c r="R95" s="78"/>
      <c r="S95" s="79"/>
      <c r="T95" s="94">
        <f t="shared" si="11"/>
        <v>0</v>
      </c>
      <c r="U95" s="78"/>
      <c r="V95" s="79"/>
      <c r="W95" s="94">
        <f t="shared" si="12"/>
        <v>0</v>
      </c>
      <c r="X95" s="92">
        <f t="shared" si="13"/>
        <v>10</v>
      </c>
    </row>
    <row r="96" spans="4:24" ht="15.75" x14ac:dyDescent="0.25">
      <c r="D96"/>
      <c r="E96" s="71"/>
      <c r="F96" s="78"/>
      <c r="G96" s="79"/>
      <c r="H96" s="94">
        <f t="shared" si="7"/>
        <v>0</v>
      </c>
      <c r="I96" s="78"/>
      <c r="J96" s="79"/>
      <c r="K96" s="94">
        <f t="shared" si="8"/>
        <v>0</v>
      </c>
      <c r="L96" s="78"/>
      <c r="M96" s="79"/>
      <c r="N96" s="94">
        <f t="shared" si="9"/>
        <v>0</v>
      </c>
      <c r="O96" s="78"/>
      <c r="P96" s="79"/>
      <c r="Q96" s="94">
        <f t="shared" si="10"/>
        <v>0</v>
      </c>
      <c r="R96" s="78"/>
      <c r="S96" s="79"/>
      <c r="T96" s="94">
        <f t="shared" si="11"/>
        <v>0</v>
      </c>
      <c r="U96" s="78"/>
      <c r="V96" s="79"/>
      <c r="W96" s="94">
        <f t="shared" si="12"/>
        <v>0</v>
      </c>
      <c r="X96" s="92">
        <f t="shared" si="13"/>
        <v>10</v>
      </c>
    </row>
    <row r="97" spans="5:24" ht="15.75" x14ac:dyDescent="0.25">
      <c r="E97" s="92" t="s">
        <v>63</v>
      </c>
      <c r="F97" s="93"/>
      <c r="G97" s="94"/>
      <c r="H97" s="95">
        <f>SUM(H57:H96)</f>
        <v>300000</v>
      </c>
      <c r="I97" s="93"/>
      <c r="J97" s="94"/>
      <c r="K97" s="95">
        <f>SUM(K57:K96)</f>
        <v>357000</v>
      </c>
      <c r="L97" s="93"/>
      <c r="M97" s="94"/>
      <c r="N97" s="95">
        <f>SUM(N57:N96)</f>
        <v>421000</v>
      </c>
      <c r="O97" s="93"/>
      <c r="P97" s="94"/>
      <c r="Q97" s="95">
        <f>SUM(Q57:Q96)</f>
        <v>497150</v>
      </c>
      <c r="R97" s="93"/>
      <c r="S97" s="94"/>
      <c r="T97" s="95">
        <f>SUM(T57:T96)</f>
        <v>592000</v>
      </c>
      <c r="U97" s="93"/>
      <c r="V97" s="94"/>
      <c r="W97" s="95">
        <f>SUM(W57:W96)</f>
        <v>704900</v>
      </c>
      <c r="X97" s="92"/>
    </row>
    <row r="99" spans="5:24" ht="15.75" x14ac:dyDescent="0.25">
      <c r="E99" s="97" t="s">
        <v>294</v>
      </c>
      <c r="F99" s="129" t="s">
        <v>386</v>
      </c>
      <c r="G99" s="129" t="s">
        <v>387</v>
      </c>
      <c r="H99" s="129" t="s">
        <v>388</v>
      </c>
      <c r="I99" s="129" t="s">
        <v>386</v>
      </c>
      <c r="J99" s="129" t="s">
        <v>387</v>
      </c>
      <c r="K99" s="129" t="s">
        <v>388</v>
      </c>
      <c r="L99" s="129" t="s">
        <v>386</v>
      </c>
      <c r="M99" s="129" t="s">
        <v>387</v>
      </c>
      <c r="N99" s="129" t="s">
        <v>388</v>
      </c>
      <c r="O99" s="129" t="s">
        <v>386</v>
      </c>
      <c r="P99" s="129" t="s">
        <v>387</v>
      </c>
      <c r="Q99" s="129" t="s">
        <v>388</v>
      </c>
      <c r="R99" s="129" t="s">
        <v>386</v>
      </c>
      <c r="S99" s="129" t="s">
        <v>387</v>
      </c>
      <c r="T99" s="129" t="s">
        <v>388</v>
      </c>
      <c r="U99" s="129" t="s">
        <v>386</v>
      </c>
      <c r="V99" s="129" t="s">
        <v>387</v>
      </c>
      <c r="W99" s="98" t="s">
        <v>388</v>
      </c>
      <c r="X99" s="90" t="s">
        <v>391</v>
      </c>
    </row>
    <row r="100" spans="5:24" ht="15.75" x14ac:dyDescent="0.25">
      <c r="E100" s="71" t="s">
        <v>1244</v>
      </c>
      <c r="F100" s="78">
        <v>1</v>
      </c>
      <c r="G100" s="79">
        <v>950000</v>
      </c>
      <c r="H100" s="94">
        <f t="shared" ref="H100:H131" si="14">F100*G100</f>
        <v>950000</v>
      </c>
      <c r="I100" s="78"/>
      <c r="J100" s="79"/>
      <c r="K100" s="94">
        <f t="shared" ref="K100:K131" si="15">I100*J100</f>
        <v>0</v>
      </c>
      <c r="L100" s="78"/>
      <c r="M100" s="79"/>
      <c r="N100" s="94">
        <f t="shared" ref="N100:N131" si="16">L100*M100</f>
        <v>0</v>
      </c>
      <c r="O100" s="78"/>
      <c r="P100" s="79"/>
      <c r="Q100" s="94">
        <f t="shared" ref="Q100:Q131" si="17">O100*P100</f>
        <v>0</v>
      </c>
      <c r="R100" s="78"/>
      <c r="S100" s="79"/>
      <c r="T100" s="94">
        <f t="shared" ref="T100:T131" si="18">R100*S100</f>
        <v>0</v>
      </c>
      <c r="U100" s="78"/>
      <c r="V100" s="79"/>
      <c r="W100" s="94">
        <f t="shared" ref="W100:W131" si="19">U100*V100</f>
        <v>0</v>
      </c>
      <c r="X100" s="92">
        <f>BASES!G30</f>
        <v>5</v>
      </c>
    </row>
    <row r="101" spans="5:24" ht="15.75" x14ac:dyDescent="0.25">
      <c r="E101" s="71" t="s">
        <v>1245</v>
      </c>
      <c r="F101" s="78">
        <v>1</v>
      </c>
      <c r="G101" s="79">
        <v>600000</v>
      </c>
      <c r="H101" s="94">
        <f t="shared" si="14"/>
        <v>600000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ref="X101:X132" si="20">X100</f>
        <v>5</v>
      </c>
    </row>
    <row r="102" spans="5:24" ht="15.75" x14ac:dyDescent="0.25">
      <c r="E102" s="71" t="s">
        <v>1246</v>
      </c>
      <c r="F102" s="78">
        <v>4</v>
      </c>
      <c r="G102" s="79">
        <v>300000</v>
      </c>
      <c r="H102" s="94">
        <f t="shared" si="14"/>
        <v>1200000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si="14"/>
        <v>0</v>
      </c>
      <c r="I126" s="78"/>
      <c r="J126" s="79"/>
      <c r="K126" s="94">
        <f t="shared" si="15"/>
        <v>0</v>
      </c>
      <c r="L126" s="78"/>
      <c r="M126" s="79"/>
      <c r="N126" s="94">
        <f t="shared" si="16"/>
        <v>0</v>
      </c>
      <c r="O126" s="78"/>
      <c r="P126" s="79"/>
      <c r="Q126" s="94">
        <f t="shared" si="17"/>
        <v>0</v>
      </c>
      <c r="R126" s="78"/>
      <c r="S126" s="79"/>
      <c r="T126" s="94">
        <f t="shared" si="18"/>
        <v>0</v>
      </c>
      <c r="U126" s="78"/>
      <c r="V126" s="79"/>
      <c r="W126" s="94">
        <f t="shared" si="19"/>
        <v>0</v>
      </c>
      <c r="X126" s="92">
        <f t="shared" si="20"/>
        <v>5</v>
      </c>
    </row>
    <row r="127" spans="5:24" ht="15.75" x14ac:dyDescent="0.25">
      <c r="E127" s="71"/>
      <c r="F127" s="78"/>
      <c r="G127" s="79"/>
      <c r="H127" s="94">
        <f t="shared" si="14"/>
        <v>0</v>
      </c>
      <c r="I127" s="78"/>
      <c r="J127" s="79"/>
      <c r="K127" s="94">
        <f t="shared" si="15"/>
        <v>0</v>
      </c>
      <c r="L127" s="78"/>
      <c r="M127" s="79"/>
      <c r="N127" s="94">
        <f t="shared" si="16"/>
        <v>0</v>
      </c>
      <c r="O127" s="78"/>
      <c r="P127" s="79"/>
      <c r="Q127" s="94">
        <f t="shared" si="17"/>
        <v>0</v>
      </c>
      <c r="R127" s="78"/>
      <c r="S127" s="79"/>
      <c r="T127" s="94">
        <f t="shared" si="18"/>
        <v>0</v>
      </c>
      <c r="U127" s="78"/>
      <c r="V127" s="79"/>
      <c r="W127" s="94">
        <f t="shared" si="19"/>
        <v>0</v>
      </c>
      <c r="X127" s="92">
        <f t="shared" si="20"/>
        <v>5</v>
      </c>
    </row>
    <row r="128" spans="5:24" ht="15.75" x14ac:dyDescent="0.25">
      <c r="E128" s="71"/>
      <c r="F128" s="78"/>
      <c r="G128" s="79"/>
      <c r="H128" s="94">
        <f t="shared" si="14"/>
        <v>0</v>
      </c>
      <c r="I128" s="78"/>
      <c r="J128" s="79"/>
      <c r="K128" s="94">
        <f t="shared" si="15"/>
        <v>0</v>
      </c>
      <c r="L128" s="78"/>
      <c r="M128" s="79"/>
      <c r="N128" s="94">
        <f t="shared" si="16"/>
        <v>0</v>
      </c>
      <c r="O128" s="78"/>
      <c r="P128" s="79"/>
      <c r="Q128" s="94">
        <f t="shared" si="17"/>
        <v>0</v>
      </c>
      <c r="R128" s="78"/>
      <c r="S128" s="79"/>
      <c r="T128" s="94">
        <f t="shared" si="18"/>
        <v>0</v>
      </c>
      <c r="U128" s="78"/>
      <c r="V128" s="79"/>
      <c r="W128" s="94">
        <f t="shared" si="19"/>
        <v>0</v>
      </c>
      <c r="X128" s="92">
        <f t="shared" si="20"/>
        <v>5</v>
      </c>
    </row>
    <row r="129" spans="5:24" ht="15.75" x14ac:dyDescent="0.25">
      <c r="E129" s="71"/>
      <c r="F129" s="78"/>
      <c r="G129" s="79"/>
      <c r="H129" s="94">
        <f t="shared" si="14"/>
        <v>0</v>
      </c>
      <c r="I129" s="78"/>
      <c r="J129" s="79"/>
      <c r="K129" s="94">
        <f t="shared" si="15"/>
        <v>0</v>
      </c>
      <c r="L129" s="78"/>
      <c r="M129" s="79"/>
      <c r="N129" s="94">
        <f t="shared" si="16"/>
        <v>0</v>
      </c>
      <c r="O129" s="78"/>
      <c r="P129" s="79"/>
      <c r="Q129" s="94">
        <f t="shared" si="17"/>
        <v>0</v>
      </c>
      <c r="R129" s="78"/>
      <c r="S129" s="79"/>
      <c r="T129" s="94">
        <f t="shared" si="18"/>
        <v>0</v>
      </c>
      <c r="U129" s="78"/>
      <c r="V129" s="79"/>
      <c r="W129" s="94">
        <f t="shared" si="19"/>
        <v>0</v>
      </c>
      <c r="X129" s="92">
        <f t="shared" si="20"/>
        <v>5</v>
      </c>
    </row>
    <row r="130" spans="5:24" ht="15.75" x14ac:dyDescent="0.25">
      <c r="E130" s="71"/>
      <c r="F130" s="78"/>
      <c r="G130" s="79"/>
      <c r="H130" s="94">
        <f t="shared" si="14"/>
        <v>0</v>
      </c>
      <c r="I130" s="78"/>
      <c r="J130" s="79"/>
      <c r="K130" s="94">
        <f t="shared" si="15"/>
        <v>0</v>
      </c>
      <c r="L130" s="78"/>
      <c r="M130" s="79"/>
      <c r="N130" s="94">
        <f t="shared" si="16"/>
        <v>0</v>
      </c>
      <c r="O130" s="78"/>
      <c r="P130" s="79"/>
      <c r="Q130" s="94">
        <f t="shared" si="17"/>
        <v>0</v>
      </c>
      <c r="R130" s="78"/>
      <c r="S130" s="79"/>
      <c r="T130" s="94">
        <f t="shared" si="18"/>
        <v>0</v>
      </c>
      <c r="U130" s="78"/>
      <c r="V130" s="79"/>
      <c r="W130" s="94">
        <f t="shared" si="19"/>
        <v>0</v>
      </c>
      <c r="X130" s="92">
        <f t="shared" si="20"/>
        <v>5</v>
      </c>
    </row>
    <row r="131" spans="5:24" ht="15.75" x14ac:dyDescent="0.25">
      <c r="E131" s="71"/>
      <c r="F131" s="78"/>
      <c r="G131" s="79"/>
      <c r="H131" s="94">
        <f t="shared" si="14"/>
        <v>0</v>
      </c>
      <c r="I131" s="78"/>
      <c r="J131" s="79"/>
      <c r="K131" s="94">
        <f t="shared" si="15"/>
        <v>0</v>
      </c>
      <c r="L131" s="78"/>
      <c r="M131" s="79"/>
      <c r="N131" s="94">
        <f t="shared" si="16"/>
        <v>0</v>
      </c>
      <c r="O131" s="78"/>
      <c r="P131" s="79"/>
      <c r="Q131" s="94">
        <f t="shared" si="17"/>
        <v>0</v>
      </c>
      <c r="R131" s="78"/>
      <c r="S131" s="79"/>
      <c r="T131" s="94">
        <f t="shared" si="18"/>
        <v>0</v>
      </c>
      <c r="U131" s="78"/>
      <c r="V131" s="79"/>
      <c r="W131" s="94">
        <f t="shared" si="19"/>
        <v>0</v>
      </c>
      <c r="X131" s="92">
        <f t="shared" si="20"/>
        <v>5</v>
      </c>
    </row>
    <row r="132" spans="5:24" ht="15.75" x14ac:dyDescent="0.25">
      <c r="E132" s="71"/>
      <c r="F132" s="78"/>
      <c r="G132" s="79"/>
      <c r="H132" s="94">
        <f t="shared" ref="H132:H149" si="21">F132*G132</f>
        <v>0</v>
      </c>
      <c r="I132" s="78"/>
      <c r="J132" s="79"/>
      <c r="K132" s="94">
        <f t="shared" ref="K132:K149" si="22">I132*J132</f>
        <v>0</v>
      </c>
      <c r="L132" s="78"/>
      <c r="M132" s="79"/>
      <c r="N132" s="94">
        <f t="shared" ref="N132:N149" si="23">L132*M132</f>
        <v>0</v>
      </c>
      <c r="O132" s="78"/>
      <c r="P132" s="79"/>
      <c r="Q132" s="94">
        <f t="shared" ref="Q132:Q149" si="24">O132*P132</f>
        <v>0</v>
      </c>
      <c r="R132" s="78"/>
      <c r="S132" s="79"/>
      <c r="T132" s="94">
        <f t="shared" ref="T132:T149" si="25">R132*S132</f>
        <v>0</v>
      </c>
      <c r="U132" s="78"/>
      <c r="V132" s="79"/>
      <c r="W132" s="94">
        <f t="shared" ref="W132:W149" si="26">U132*V132</f>
        <v>0</v>
      </c>
      <c r="X132" s="92">
        <f t="shared" si="20"/>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ref="X133:X149" si="27">X132</f>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71"/>
      <c r="F144" s="78"/>
      <c r="G144" s="79"/>
      <c r="H144" s="94">
        <f t="shared" si="21"/>
        <v>0</v>
      </c>
      <c r="I144" s="78"/>
      <c r="J144" s="79"/>
      <c r="K144" s="94">
        <f t="shared" si="22"/>
        <v>0</v>
      </c>
      <c r="L144" s="78"/>
      <c r="M144" s="79"/>
      <c r="N144" s="94">
        <f t="shared" si="23"/>
        <v>0</v>
      </c>
      <c r="O144" s="78"/>
      <c r="P144" s="79"/>
      <c r="Q144" s="94">
        <f t="shared" si="24"/>
        <v>0</v>
      </c>
      <c r="R144" s="78"/>
      <c r="S144" s="79"/>
      <c r="T144" s="94">
        <f t="shared" si="25"/>
        <v>0</v>
      </c>
      <c r="U144" s="78"/>
      <c r="V144" s="79"/>
      <c r="W144" s="94">
        <f t="shared" si="26"/>
        <v>0</v>
      </c>
      <c r="X144" s="92">
        <f t="shared" si="27"/>
        <v>5</v>
      </c>
    </row>
    <row r="145" spans="5:24" ht="15.75" x14ac:dyDescent="0.25">
      <c r="E145" s="71"/>
      <c r="F145" s="78"/>
      <c r="G145" s="79"/>
      <c r="H145" s="94">
        <f t="shared" si="21"/>
        <v>0</v>
      </c>
      <c r="I145" s="78"/>
      <c r="J145" s="79"/>
      <c r="K145" s="94">
        <f t="shared" si="22"/>
        <v>0</v>
      </c>
      <c r="L145" s="78"/>
      <c r="M145" s="79"/>
      <c r="N145" s="94">
        <f t="shared" si="23"/>
        <v>0</v>
      </c>
      <c r="O145" s="78"/>
      <c r="P145" s="79"/>
      <c r="Q145" s="94">
        <f t="shared" si="24"/>
        <v>0</v>
      </c>
      <c r="R145" s="78"/>
      <c r="S145" s="79"/>
      <c r="T145" s="94">
        <f t="shared" si="25"/>
        <v>0</v>
      </c>
      <c r="U145" s="78"/>
      <c r="V145" s="79"/>
      <c r="W145" s="94">
        <f t="shared" si="26"/>
        <v>0</v>
      </c>
      <c r="X145" s="92">
        <f t="shared" si="27"/>
        <v>5</v>
      </c>
    </row>
    <row r="146" spans="5:24" ht="15.75" x14ac:dyDescent="0.25">
      <c r="E146" s="71"/>
      <c r="F146" s="78"/>
      <c r="G146" s="79"/>
      <c r="H146" s="94">
        <f t="shared" si="21"/>
        <v>0</v>
      </c>
      <c r="I146" s="78"/>
      <c r="J146" s="79"/>
      <c r="K146" s="94">
        <f t="shared" si="22"/>
        <v>0</v>
      </c>
      <c r="L146" s="78"/>
      <c r="M146" s="79"/>
      <c r="N146" s="94">
        <f t="shared" si="23"/>
        <v>0</v>
      </c>
      <c r="O146" s="78"/>
      <c r="P146" s="79"/>
      <c r="Q146" s="94">
        <f t="shared" si="24"/>
        <v>0</v>
      </c>
      <c r="R146" s="78"/>
      <c r="S146" s="79"/>
      <c r="T146" s="94">
        <f t="shared" si="25"/>
        <v>0</v>
      </c>
      <c r="U146" s="78"/>
      <c r="V146" s="79"/>
      <c r="W146" s="94">
        <f t="shared" si="26"/>
        <v>0</v>
      </c>
      <c r="X146" s="92">
        <f t="shared" si="27"/>
        <v>5</v>
      </c>
    </row>
    <row r="147" spans="5:24" ht="15.75" x14ac:dyDescent="0.25">
      <c r="E147" s="71"/>
      <c r="F147" s="78"/>
      <c r="G147" s="79"/>
      <c r="H147" s="94">
        <f t="shared" si="21"/>
        <v>0</v>
      </c>
      <c r="I147" s="78"/>
      <c r="J147" s="79"/>
      <c r="K147" s="94">
        <f t="shared" si="22"/>
        <v>0</v>
      </c>
      <c r="L147" s="78"/>
      <c r="M147" s="79"/>
      <c r="N147" s="94">
        <f t="shared" si="23"/>
        <v>0</v>
      </c>
      <c r="O147" s="78"/>
      <c r="P147" s="79"/>
      <c r="Q147" s="94">
        <f t="shared" si="24"/>
        <v>0</v>
      </c>
      <c r="R147" s="78"/>
      <c r="S147" s="79"/>
      <c r="T147" s="94">
        <f t="shared" si="25"/>
        <v>0</v>
      </c>
      <c r="U147" s="78"/>
      <c r="V147" s="79"/>
      <c r="W147" s="94">
        <f t="shared" si="26"/>
        <v>0</v>
      </c>
      <c r="X147" s="92">
        <f t="shared" si="27"/>
        <v>5</v>
      </c>
    </row>
    <row r="148" spans="5:24" ht="15.75" x14ac:dyDescent="0.25">
      <c r="E148" s="71"/>
      <c r="F148" s="78"/>
      <c r="G148" s="79"/>
      <c r="H148" s="94">
        <f t="shared" si="21"/>
        <v>0</v>
      </c>
      <c r="I148" s="78"/>
      <c r="J148" s="79"/>
      <c r="K148" s="94">
        <f t="shared" si="22"/>
        <v>0</v>
      </c>
      <c r="L148" s="78"/>
      <c r="M148" s="79"/>
      <c r="N148" s="94">
        <f t="shared" si="23"/>
        <v>0</v>
      </c>
      <c r="O148" s="78"/>
      <c r="P148" s="79"/>
      <c r="Q148" s="94">
        <f t="shared" si="24"/>
        <v>0</v>
      </c>
      <c r="R148" s="78"/>
      <c r="S148" s="79"/>
      <c r="T148" s="94">
        <f t="shared" si="25"/>
        <v>0</v>
      </c>
      <c r="U148" s="78"/>
      <c r="V148" s="79"/>
      <c r="W148" s="94">
        <f t="shared" si="26"/>
        <v>0</v>
      </c>
      <c r="X148" s="92">
        <f t="shared" si="27"/>
        <v>5</v>
      </c>
    </row>
    <row r="149" spans="5:24" ht="15.75" x14ac:dyDescent="0.25">
      <c r="E149" s="71"/>
      <c r="F149" s="78"/>
      <c r="G149" s="79"/>
      <c r="H149" s="94">
        <f t="shared" si="21"/>
        <v>0</v>
      </c>
      <c r="I149" s="78"/>
      <c r="J149" s="79"/>
      <c r="K149" s="94">
        <f t="shared" si="22"/>
        <v>0</v>
      </c>
      <c r="L149" s="78"/>
      <c r="M149" s="79"/>
      <c r="N149" s="94">
        <f t="shared" si="23"/>
        <v>0</v>
      </c>
      <c r="O149" s="78"/>
      <c r="P149" s="79"/>
      <c r="Q149" s="94">
        <f t="shared" si="24"/>
        <v>0</v>
      </c>
      <c r="R149" s="78"/>
      <c r="S149" s="79"/>
      <c r="T149" s="94">
        <f t="shared" si="25"/>
        <v>0</v>
      </c>
      <c r="U149" s="78"/>
      <c r="V149" s="79"/>
      <c r="W149" s="94">
        <f t="shared" si="26"/>
        <v>0</v>
      </c>
      <c r="X149" s="92">
        <f t="shared" si="27"/>
        <v>5</v>
      </c>
    </row>
    <row r="150" spans="5:24" ht="15.75" x14ac:dyDescent="0.25">
      <c r="E150" s="129" t="s">
        <v>392</v>
      </c>
      <c r="F150" s="99"/>
      <c r="G150" s="98"/>
      <c r="H150" s="95">
        <f>SUM(H100:H149)</f>
        <v>2750000</v>
      </c>
      <c r="I150" s="99"/>
      <c r="J150" s="98"/>
      <c r="K150" s="95">
        <f>SUM(K100:K149)</f>
        <v>0</v>
      </c>
      <c r="L150" s="99"/>
      <c r="M150" s="98"/>
      <c r="N150" s="95">
        <f>SUM(N100:N149)</f>
        <v>0</v>
      </c>
      <c r="O150" s="99"/>
      <c r="P150" s="98"/>
      <c r="Q150" s="95">
        <f>SUM(Q100:Q149)</f>
        <v>0</v>
      </c>
      <c r="R150" s="99"/>
      <c r="S150" s="98"/>
      <c r="T150" s="95">
        <f>SUM(T100:T149)</f>
        <v>0</v>
      </c>
      <c r="U150" s="99"/>
      <c r="V150" s="98"/>
      <c r="W150" s="95">
        <f>SUM(W100:W149)</f>
        <v>0</v>
      </c>
      <c r="X150" s="92"/>
    </row>
    <row r="152" spans="5:24" ht="15.75" x14ac:dyDescent="0.25">
      <c r="E152" s="97" t="s">
        <v>393</v>
      </c>
      <c r="F152" s="129" t="s">
        <v>386</v>
      </c>
      <c r="G152" s="129" t="s">
        <v>387</v>
      </c>
      <c r="H152" s="129" t="s">
        <v>388</v>
      </c>
      <c r="I152" s="129" t="s">
        <v>386</v>
      </c>
      <c r="J152" s="129" t="s">
        <v>387</v>
      </c>
      <c r="K152" s="129" t="s">
        <v>388</v>
      </c>
      <c r="L152" s="129" t="s">
        <v>386</v>
      </c>
      <c r="M152" s="129" t="s">
        <v>387</v>
      </c>
      <c r="N152" s="129" t="s">
        <v>388</v>
      </c>
      <c r="O152" s="129" t="s">
        <v>386</v>
      </c>
      <c r="P152" s="129" t="s">
        <v>387</v>
      </c>
      <c r="Q152" s="129" t="s">
        <v>388</v>
      </c>
      <c r="R152" s="129" t="s">
        <v>386</v>
      </c>
      <c r="S152" s="129" t="s">
        <v>387</v>
      </c>
      <c r="T152" s="129" t="s">
        <v>388</v>
      </c>
      <c r="U152" s="129" t="s">
        <v>386</v>
      </c>
      <c r="V152" s="129" t="s">
        <v>387</v>
      </c>
      <c r="W152" s="129" t="s">
        <v>388</v>
      </c>
      <c r="X152" s="90" t="s">
        <v>391</v>
      </c>
    </row>
    <row r="153" spans="5:24" ht="15.75" x14ac:dyDescent="0.25">
      <c r="E153" s="71"/>
      <c r="F153" s="78"/>
      <c r="G153" s="79"/>
      <c r="H153" s="94">
        <f t="shared" ref="H153:H159" si="28">F153*G153</f>
        <v>0</v>
      </c>
      <c r="I153" s="78"/>
      <c r="J153" s="79"/>
      <c r="K153" s="94">
        <f t="shared" ref="K153:K159" si="29">I153*J153</f>
        <v>0</v>
      </c>
      <c r="L153" s="78"/>
      <c r="M153" s="79"/>
      <c r="N153" s="94">
        <f t="shared" ref="N153:N159" si="30">L153*M153</f>
        <v>0</v>
      </c>
      <c r="O153" s="78"/>
      <c r="P153" s="79"/>
      <c r="Q153" s="94">
        <f t="shared" ref="Q153:Q159" si="31">O153*P153</f>
        <v>0</v>
      </c>
      <c r="R153" s="78"/>
      <c r="S153" s="79"/>
      <c r="T153" s="94">
        <f t="shared" ref="T153:T159" si="32">R153*S153</f>
        <v>0</v>
      </c>
      <c r="U153" s="78"/>
      <c r="V153" s="79"/>
      <c r="W153" s="94">
        <f t="shared" ref="W153:W159" si="33">U153*V153</f>
        <v>0</v>
      </c>
      <c r="X153" s="92">
        <f>BASES!G31</f>
        <v>5</v>
      </c>
    </row>
    <row r="154" spans="5:24" ht="15.75" x14ac:dyDescent="0.25">
      <c r="E154" s="71"/>
      <c r="F154" s="78"/>
      <c r="G154" s="79"/>
      <c r="H154" s="94">
        <f t="shared" si="28"/>
        <v>0</v>
      </c>
      <c r="I154" s="78"/>
      <c r="J154" s="79"/>
      <c r="K154" s="94">
        <f t="shared" si="29"/>
        <v>0</v>
      </c>
      <c r="L154" s="78"/>
      <c r="M154" s="79"/>
      <c r="N154" s="94">
        <f t="shared" si="30"/>
        <v>0</v>
      </c>
      <c r="O154" s="78"/>
      <c r="P154" s="79"/>
      <c r="Q154" s="94">
        <f t="shared" si="31"/>
        <v>0</v>
      </c>
      <c r="R154" s="78"/>
      <c r="S154" s="79"/>
      <c r="T154" s="94">
        <f t="shared" si="32"/>
        <v>0</v>
      </c>
      <c r="U154" s="78"/>
      <c r="V154" s="79"/>
      <c r="W154" s="94">
        <f t="shared" si="33"/>
        <v>0</v>
      </c>
      <c r="X154" s="92">
        <f t="shared" ref="X154:X159" si="34">X153</f>
        <v>5</v>
      </c>
    </row>
    <row r="155" spans="5:24" ht="15.75" x14ac:dyDescent="0.25">
      <c r="E155" s="71"/>
      <c r="F155" s="78"/>
      <c r="G155" s="79"/>
      <c r="H155" s="94">
        <f t="shared" si="28"/>
        <v>0</v>
      </c>
      <c r="I155" s="78"/>
      <c r="J155" s="79"/>
      <c r="K155" s="94">
        <f t="shared" si="29"/>
        <v>0</v>
      </c>
      <c r="L155" s="78"/>
      <c r="M155" s="79"/>
      <c r="N155" s="94">
        <f t="shared" si="30"/>
        <v>0</v>
      </c>
      <c r="O155" s="78"/>
      <c r="P155" s="79"/>
      <c r="Q155" s="94">
        <f t="shared" si="31"/>
        <v>0</v>
      </c>
      <c r="R155" s="78"/>
      <c r="S155" s="79"/>
      <c r="T155" s="94">
        <f t="shared" si="32"/>
        <v>0</v>
      </c>
      <c r="U155" s="78"/>
      <c r="V155" s="79"/>
      <c r="W155" s="94">
        <f t="shared" si="33"/>
        <v>0</v>
      </c>
      <c r="X155" s="92">
        <f t="shared" si="34"/>
        <v>5</v>
      </c>
    </row>
    <row r="156" spans="5:24" ht="15.75" x14ac:dyDescent="0.25">
      <c r="E156" s="71"/>
      <c r="F156" s="78"/>
      <c r="G156" s="79"/>
      <c r="H156" s="94">
        <f t="shared" si="28"/>
        <v>0</v>
      </c>
      <c r="I156" s="78"/>
      <c r="J156" s="79"/>
      <c r="K156" s="94">
        <f t="shared" si="29"/>
        <v>0</v>
      </c>
      <c r="L156" s="78"/>
      <c r="M156" s="79"/>
      <c r="N156" s="94">
        <f t="shared" si="30"/>
        <v>0</v>
      </c>
      <c r="O156" s="78"/>
      <c r="P156" s="79"/>
      <c r="Q156" s="94">
        <f t="shared" si="31"/>
        <v>0</v>
      </c>
      <c r="R156" s="78"/>
      <c r="S156" s="79"/>
      <c r="T156" s="94">
        <f t="shared" si="32"/>
        <v>0</v>
      </c>
      <c r="U156" s="78"/>
      <c r="V156" s="79"/>
      <c r="W156" s="94">
        <f t="shared" si="33"/>
        <v>0</v>
      </c>
      <c r="X156" s="92">
        <f t="shared" si="34"/>
        <v>5</v>
      </c>
    </row>
    <row r="157" spans="5:24" ht="15.75" x14ac:dyDescent="0.25">
      <c r="E157" s="71"/>
      <c r="F157" s="78"/>
      <c r="G157" s="79"/>
      <c r="H157" s="94">
        <f t="shared" si="28"/>
        <v>0</v>
      </c>
      <c r="I157" s="78"/>
      <c r="J157" s="79"/>
      <c r="K157" s="94">
        <f t="shared" si="29"/>
        <v>0</v>
      </c>
      <c r="L157" s="78"/>
      <c r="M157" s="79"/>
      <c r="N157" s="94">
        <f t="shared" si="30"/>
        <v>0</v>
      </c>
      <c r="O157" s="78"/>
      <c r="P157" s="79"/>
      <c r="Q157" s="94">
        <f t="shared" si="31"/>
        <v>0</v>
      </c>
      <c r="R157" s="78"/>
      <c r="S157" s="79"/>
      <c r="T157" s="94">
        <f t="shared" si="32"/>
        <v>0</v>
      </c>
      <c r="U157" s="78"/>
      <c r="V157" s="79"/>
      <c r="W157" s="94">
        <f t="shared" si="33"/>
        <v>0</v>
      </c>
      <c r="X157" s="92">
        <f t="shared" si="34"/>
        <v>5</v>
      </c>
    </row>
    <row r="158" spans="5:24" ht="15.75" x14ac:dyDescent="0.25">
      <c r="E158" s="71"/>
      <c r="F158" s="78"/>
      <c r="G158" s="79"/>
      <c r="H158" s="94">
        <f t="shared" si="28"/>
        <v>0</v>
      </c>
      <c r="I158" s="78"/>
      <c r="J158" s="79"/>
      <c r="K158" s="94">
        <f t="shared" si="29"/>
        <v>0</v>
      </c>
      <c r="L158" s="78"/>
      <c r="M158" s="79"/>
      <c r="N158" s="94">
        <f t="shared" si="30"/>
        <v>0</v>
      </c>
      <c r="O158" s="78"/>
      <c r="P158" s="79"/>
      <c r="Q158" s="94">
        <f t="shared" si="31"/>
        <v>0</v>
      </c>
      <c r="R158" s="78"/>
      <c r="S158" s="79"/>
      <c r="T158" s="94">
        <f t="shared" si="32"/>
        <v>0</v>
      </c>
      <c r="U158" s="78"/>
      <c r="V158" s="79"/>
      <c r="W158" s="94">
        <f t="shared" si="33"/>
        <v>0</v>
      </c>
      <c r="X158" s="92">
        <f t="shared" si="34"/>
        <v>5</v>
      </c>
    </row>
    <row r="159" spans="5:24" ht="15.75" x14ac:dyDescent="0.25">
      <c r="E159" s="71"/>
      <c r="F159" s="78"/>
      <c r="G159" s="79"/>
      <c r="H159" s="94">
        <f t="shared" si="28"/>
        <v>0</v>
      </c>
      <c r="I159" s="78"/>
      <c r="J159" s="79"/>
      <c r="K159" s="94">
        <f t="shared" si="29"/>
        <v>0</v>
      </c>
      <c r="L159" s="78"/>
      <c r="M159" s="79"/>
      <c r="N159" s="94">
        <f t="shared" si="30"/>
        <v>0</v>
      </c>
      <c r="O159" s="78"/>
      <c r="P159" s="79"/>
      <c r="Q159" s="94">
        <f t="shared" si="31"/>
        <v>0</v>
      </c>
      <c r="R159" s="78"/>
      <c r="S159" s="79"/>
      <c r="T159" s="94">
        <f t="shared" si="32"/>
        <v>0</v>
      </c>
      <c r="U159" s="78"/>
      <c r="V159" s="79"/>
      <c r="W159" s="94">
        <f t="shared" si="33"/>
        <v>0</v>
      </c>
      <c r="X159" s="92">
        <f t="shared" si="34"/>
        <v>5</v>
      </c>
    </row>
    <row r="160" spans="5:24" ht="15.75" x14ac:dyDescent="0.25">
      <c r="E160" s="129" t="s">
        <v>64</v>
      </c>
      <c r="F160" s="99"/>
      <c r="G160" s="98"/>
      <c r="H160" s="95">
        <f>SUM(H153:H159)</f>
        <v>0</v>
      </c>
      <c r="I160" s="99"/>
      <c r="J160" s="98"/>
      <c r="K160" s="95">
        <f>SUM(K153:K159)</f>
        <v>0</v>
      </c>
      <c r="L160" s="99"/>
      <c r="M160" s="98"/>
      <c r="N160" s="95">
        <f>SUM(N153:N159)</f>
        <v>0</v>
      </c>
      <c r="O160" s="99"/>
      <c r="P160" s="98"/>
      <c r="Q160" s="95">
        <f>SUM(Q153:Q159)</f>
        <v>0</v>
      </c>
      <c r="R160" s="99"/>
      <c r="S160" s="98"/>
      <c r="T160" s="95">
        <f>SUM(T153:T159)</f>
        <v>0</v>
      </c>
      <c r="U160" s="99"/>
      <c r="V160" s="98"/>
      <c r="W160" s="95">
        <f>SUM(W153:W159)</f>
        <v>0</v>
      </c>
      <c r="X160" s="92"/>
    </row>
    <row r="162" spans="5:24" ht="15.75" x14ac:dyDescent="0.25">
      <c r="E162" s="91" t="s">
        <v>33</v>
      </c>
      <c r="F162" s="129" t="s">
        <v>386</v>
      </c>
      <c r="G162" s="129" t="s">
        <v>387</v>
      </c>
      <c r="H162" s="129" t="s">
        <v>388</v>
      </c>
      <c r="I162" s="129" t="s">
        <v>386</v>
      </c>
      <c r="J162" s="129" t="s">
        <v>387</v>
      </c>
      <c r="K162" s="129" t="s">
        <v>388</v>
      </c>
      <c r="L162" s="129" t="s">
        <v>386</v>
      </c>
      <c r="M162" s="129" t="s">
        <v>387</v>
      </c>
      <c r="N162" s="129" t="s">
        <v>388</v>
      </c>
      <c r="O162" s="129" t="s">
        <v>386</v>
      </c>
      <c r="P162" s="129" t="s">
        <v>387</v>
      </c>
      <c r="Q162" s="129" t="s">
        <v>388</v>
      </c>
      <c r="R162" s="129" t="s">
        <v>386</v>
      </c>
      <c r="S162" s="129" t="s">
        <v>387</v>
      </c>
      <c r="T162" s="129" t="s">
        <v>388</v>
      </c>
      <c r="U162" s="129" t="s">
        <v>386</v>
      </c>
      <c r="V162" s="129" t="s">
        <v>387</v>
      </c>
      <c r="W162" s="129" t="s">
        <v>388</v>
      </c>
      <c r="X162" s="90" t="s">
        <v>391</v>
      </c>
    </row>
    <row r="163" spans="5:24" ht="15.75" x14ac:dyDescent="0.25">
      <c r="E163" s="71" t="s">
        <v>1243</v>
      </c>
      <c r="F163" s="78">
        <v>1</v>
      </c>
      <c r="G163" s="79">
        <v>2000000</v>
      </c>
      <c r="H163" s="94">
        <f t="shared" ref="H163:H187" si="35">F163*G163</f>
        <v>2000000</v>
      </c>
      <c r="I163" s="78"/>
      <c r="J163" s="79"/>
      <c r="K163" s="94">
        <f t="shared" ref="K163:K187" si="36">I163*J163</f>
        <v>0</v>
      </c>
      <c r="L163" s="78"/>
      <c r="M163" s="79"/>
      <c r="N163" s="94">
        <f t="shared" ref="N163:N187" si="37">L163*M163</f>
        <v>0</v>
      </c>
      <c r="O163" s="78"/>
      <c r="P163" s="79"/>
      <c r="Q163" s="94">
        <f t="shared" ref="Q163:Q187" si="38">O163*P163</f>
        <v>0</v>
      </c>
      <c r="R163" s="78"/>
      <c r="S163" s="79"/>
      <c r="T163" s="94">
        <f t="shared" ref="T163:T187" si="39">R163*S163</f>
        <v>0</v>
      </c>
      <c r="U163" s="78"/>
      <c r="V163" s="79"/>
      <c r="W163" s="94">
        <f t="shared" ref="W163:W187" si="40">U163*V163</f>
        <v>0</v>
      </c>
      <c r="X163" s="92">
        <f>BASES!G32</f>
        <v>3</v>
      </c>
    </row>
    <row r="164" spans="5:24" ht="15.75" x14ac:dyDescent="0.25">
      <c r="E164" s="71" t="s">
        <v>1252</v>
      </c>
      <c r="F164" s="78">
        <v>1</v>
      </c>
      <c r="G164" s="79">
        <v>1500000</v>
      </c>
      <c r="H164" s="94">
        <f t="shared" si="35"/>
        <v>1500000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ref="X164:X187" si="41">X163</f>
        <v>3</v>
      </c>
    </row>
    <row r="165" spans="5:24" ht="15.75" x14ac:dyDescent="0.25">
      <c r="E165" s="71" t="s">
        <v>1247</v>
      </c>
      <c r="F165" s="78">
        <v>1</v>
      </c>
      <c r="G165" s="79">
        <v>719000</v>
      </c>
      <c r="H165" s="94">
        <f t="shared" si="35"/>
        <v>719000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5: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5: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5: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5: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5: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5:24" ht="15.75" x14ac:dyDescent="0.25">
      <c r="E182" s="71"/>
      <c r="F182" s="78"/>
      <c r="G182" s="79"/>
      <c r="H182" s="94">
        <f t="shared" si="35"/>
        <v>0</v>
      </c>
      <c r="I182" s="78"/>
      <c r="J182" s="79"/>
      <c r="K182" s="94">
        <f t="shared" si="36"/>
        <v>0</v>
      </c>
      <c r="L182" s="78"/>
      <c r="M182" s="79"/>
      <c r="N182" s="94">
        <f t="shared" si="37"/>
        <v>0</v>
      </c>
      <c r="O182" s="78"/>
      <c r="P182" s="79"/>
      <c r="Q182" s="94">
        <f t="shared" si="38"/>
        <v>0</v>
      </c>
      <c r="R182" s="78"/>
      <c r="S182" s="79"/>
      <c r="T182" s="94">
        <f t="shared" si="39"/>
        <v>0</v>
      </c>
      <c r="U182" s="78"/>
      <c r="V182" s="79"/>
      <c r="W182" s="94">
        <f t="shared" si="40"/>
        <v>0</v>
      </c>
      <c r="X182" s="92">
        <f t="shared" si="41"/>
        <v>3</v>
      </c>
    </row>
    <row r="183" spans="5:24" ht="15.75" x14ac:dyDescent="0.25">
      <c r="E183" s="71"/>
      <c r="F183" s="78"/>
      <c r="G183" s="79"/>
      <c r="H183" s="94">
        <f t="shared" si="35"/>
        <v>0</v>
      </c>
      <c r="I183" s="78"/>
      <c r="J183" s="79"/>
      <c r="K183" s="94">
        <f t="shared" si="36"/>
        <v>0</v>
      </c>
      <c r="L183" s="78"/>
      <c r="M183" s="79"/>
      <c r="N183" s="94">
        <f t="shared" si="37"/>
        <v>0</v>
      </c>
      <c r="O183" s="78"/>
      <c r="P183" s="79"/>
      <c r="Q183" s="94">
        <f t="shared" si="38"/>
        <v>0</v>
      </c>
      <c r="R183" s="78"/>
      <c r="S183" s="79"/>
      <c r="T183" s="94">
        <f t="shared" si="39"/>
        <v>0</v>
      </c>
      <c r="U183" s="78"/>
      <c r="V183" s="79"/>
      <c r="W183" s="94">
        <f t="shared" si="40"/>
        <v>0</v>
      </c>
      <c r="X183" s="92">
        <f t="shared" si="41"/>
        <v>3</v>
      </c>
    </row>
    <row r="184" spans="5:24" ht="15.75" x14ac:dyDescent="0.25">
      <c r="E184" s="71"/>
      <c r="F184" s="78"/>
      <c r="G184" s="79"/>
      <c r="H184" s="94">
        <f t="shared" si="35"/>
        <v>0</v>
      </c>
      <c r="I184" s="78"/>
      <c r="J184" s="79"/>
      <c r="K184" s="94">
        <f t="shared" si="36"/>
        <v>0</v>
      </c>
      <c r="L184" s="78"/>
      <c r="M184" s="79"/>
      <c r="N184" s="94">
        <f t="shared" si="37"/>
        <v>0</v>
      </c>
      <c r="O184" s="78"/>
      <c r="P184" s="79"/>
      <c r="Q184" s="94">
        <f t="shared" si="38"/>
        <v>0</v>
      </c>
      <c r="R184" s="78"/>
      <c r="S184" s="79"/>
      <c r="T184" s="94">
        <f t="shared" si="39"/>
        <v>0</v>
      </c>
      <c r="U184" s="78"/>
      <c r="V184" s="79"/>
      <c r="W184" s="94">
        <f t="shared" si="40"/>
        <v>0</v>
      </c>
      <c r="X184" s="92">
        <f t="shared" si="41"/>
        <v>3</v>
      </c>
    </row>
    <row r="185" spans="5:24" ht="15.75" x14ac:dyDescent="0.25">
      <c r="E185" s="71"/>
      <c r="F185" s="78"/>
      <c r="G185" s="79"/>
      <c r="H185" s="94">
        <f t="shared" si="35"/>
        <v>0</v>
      </c>
      <c r="I185" s="78"/>
      <c r="J185" s="79"/>
      <c r="K185" s="94">
        <f t="shared" si="36"/>
        <v>0</v>
      </c>
      <c r="L185" s="78"/>
      <c r="M185" s="79"/>
      <c r="N185" s="94">
        <f t="shared" si="37"/>
        <v>0</v>
      </c>
      <c r="O185" s="78"/>
      <c r="P185" s="79"/>
      <c r="Q185" s="94">
        <f t="shared" si="38"/>
        <v>0</v>
      </c>
      <c r="R185" s="78"/>
      <c r="S185" s="79"/>
      <c r="T185" s="94">
        <f t="shared" si="39"/>
        <v>0</v>
      </c>
      <c r="U185" s="78"/>
      <c r="V185" s="79"/>
      <c r="W185" s="94">
        <f t="shared" si="40"/>
        <v>0</v>
      </c>
      <c r="X185" s="92">
        <f t="shared" si="41"/>
        <v>3</v>
      </c>
    </row>
    <row r="186" spans="5:24" ht="15.75" x14ac:dyDescent="0.25">
      <c r="E186" s="71"/>
      <c r="F186" s="78"/>
      <c r="G186" s="79"/>
      <c r="H186" s="94">
        <f t="shared" si="35"/>
        <v>0</v>
      </c>
      <c r="I186" s="78"/>
      <c r="J186" s="79"/>
      <c r="K186" s="94">
        <f t="shared" si="36"/>
        <v>0</v>
      </c>
      <c r="L186" s="78"/>
      <c r="M186" s="79"/>
      <c r="N186" s="94">
        <f t="shared" si="37"/>
        <v>0</v>
      </c>
      <c r="O186" s="78"/>
      <c r="P186" s="79"/>
      <c r="Q186" s="94">
        <f t="shared" si="38"/>
        <v>0</v>
      </c>
      <c r="R186" s="78"/>
      <c r="S186" s="79"/>
      <c r="T186" s="94">
        <f t="shared" si="39"/>
        <v>0</v>
      </c>
      <c r="U186" s="78"/>
      <c r="V186" s="79"/>
      <c r="W186" s="94">
        <f t="shared" si="40"/>
        <v>0</v>
      </c>
      <c r="X186" s="92">
        <f t="shared" si="41"/>
        <v>3</v>
      </c>
    </row>
    <row r="187" spans="5:24" ht="15.75" x14ac:dyDescent="0.25">
      <c r="E187" s="71"/>
      <c r="F187" s="78"/>
      <c r="G187" s="79"/>
      <c r="H187" s="94">
        <f t="shared" si="35"/>
        <v>0</v>
      </c>
      <c r="I187" s="78"/>
      <c r="J187" s="79"/>
      <c r="K187" s="94">
        <f t="shared" si="36"/>
        <v>0</v>
      </c>
      <c r="L187" s="78"/>
      <c r="M187" s="79"/>
      <c r="N187" s="94">
        <f t="shared" si="37"/>
        <v>0</v>
      </c>
      <c r="O187" s="78"/>
      <c r="P187" s="79"/>
      <c r="Q187" s="94">
        <f t="shared" si="38"/>
        <v>0</v>
      </c>
      <c r="R187" s="78"/>
      <c r="S187" s="79"/>
      <c r="T187" s="94">
        <f t="shared" si="39"/>
        <v>0</v>
      </c>
      <c r="U187" s="78"/>
      <c r="V187" s="79"/>
      <c r="W187" s="94">
        <f t="shared" si="40"/>
        <v>0</v>
      </c>
      <c r="X187" s="92">
        <f t="shared" si="41"/>
        <v>3</v>
      </c>
    </row>
    <row r="188" spans="5:24" ht="15.75" x14ac:dyDescent="0.25">
      <c r="E188" s="129" t="s">
        <v>394</v>
      </c>
      <c r="F188" s="99"/>
      <c r="G188" s="98"/>
      <c r="H188" s="95">
        <f>SUM(H163:H187)</f>
        <v>4219000</v>
      </c>
      <c r="I188" s="99"/>
      <c r="J188" s="98"/>
      <c r="K188" s="95">
        <f>SUM(K163:K187)</f>
        <v>0</v>
      </c>
      <c r="L188" s="99"/>
      <c r="M188" s="98"/>
      <c r="N188" s="95">
        <f>SUM(N163:N187)</f>
        <v>0</v>
      </c>
      <c r="O188" s="99"/>
      <c r="P188" s="98"/>
      <c r="Q188" s="95">
        <f>SUM(Q163:Q187)</f>
        <v>0</v>
      </c>
      <c r="R188" s="99"/>
      <c r="S188" s="98"/>
      <c r="T188" s="95">
        <f>SUM(T163:T187)</f>
        <v>0</v>
      </c>
      <c r="U188" s="99"/>
      <c r="V188" s="98"/>
      <c r="W188" s="95">
        <f>SUM(W163:W187)</f>
        <v>0</v>
      </c>
      <c r="X188" s="92"/>
    </row>
    <row r="189" spans="5:24" x14ac:dyDescent="0.25">
      <c r="U189" s="100"/>
    </row>
    <row r="190" spans="5:24" ht="15.75" x14ac:dyDescent="0.25">
      <c r="E190" s="668" t="s">
        <v>395</v>
      </c>
      <c r="F190" s="669"/>
      <c r="G190" s="670"/>
      <c r="H190" s="109">
        <f>H54+H97+H150+H160+H188</f>
        <v>7269000</v>
      </c>
      <c r="I190" s="109"/>
      <c r="J190" s="109"/>
      <c r="K190" s="109">
        <f>K54+K97+K150+K160+K188</f>
        <v>357000</v>
      </c>
      <c r="L190" s="109"/>
      <c r="M190" s="109"/>
      <c r="N190" s="109">
        <f>N54+N97+N150+N160+N188</f>
        <v>421000</v>
      </c>
      <c r="O190" s="109"/>
      <c r="P190" s="109"/>
      <c r="Q190" s="109">
        <f>Q54+Q97+Q150+Q160+Q188</f>
        <v>497150</v>
      </c>
      <c r="R190" s="109"/>
      <c r="S190" s="109"/>
      <c r="T190" s="109">
        <f>T54+T97+T150+T160+T188</f>
        <v>592000</v>
      </c>
      <c r="U190" s="109"/>
      <c r="V190" s="109"/>
      <c r="W190" s="109">
        <f>W54+W97+W150+W160+W188</f>
        <v>704900</v>
      </c>
    </row>
    <row r="192" spans="5:24" ht="15.75" thickBot="1" x14ac:dyDescent="0.3"/>
    <row r="193" spans="4:24" ht="15" customHeight="1" x14ac:dyDescent="0.25">
      <c r="D193" s="651" t="s">
        <v>325</v>
      </c>
      <c r="E193" s="652"/>
      <c r="F193" s="652"/>
      <c r="G193" s="653"/>
    </row>
    <row r="194" spans="4:24" ht="15" customHeight="1" x14ac:dyDescent="0.25">
      <c r="D194" s="654"/>
      <c r="E194" s="655"/>
      <c r="F194" s="655"/>
      <c r="G194" s="656"/>
    </row>
    <row r="195" spans="4:24" ht="15" customHeight="1" x14ac:dyDescent="0.25">
      <c r="D195" s="654"/>
      <c r="E195" s="655"/>
      <c r="F195" s="655"/>
      <c r="G195" s="656"/>
    </row>
    <row r="196" spans="4:24" ht="15" customHeight="1" x14ac:dyDescent="0.25">
      <c r="D196" s="654"/>
      <c r="E196" s="655"/>
      <c r="F196" s="655"/>
      <c r="G196" s="656"/>
    </row>
    <row r="197" spans="4:24" ht="15" customHeight="1" thickBot="1" x14ac:dyDescent="0.3">
      <c r="D197" s="657"/>
      <c r="E197" s="658"/>
      <c r="F197" s="658"/>
      <c r="G197" s="659"/>
    </row>
    <row r="198" spans="4:24" ht="15" customHeight="1" x14ac:dyDescent="0.25">
      <c r="D198"/>
      <c r="E198"/>
      <c r="F198"/>
      <c r="G198"/>
    </row>
    <row r="200" spans="4:24" ht="15.75" x14ac:dyDescent="0.25">
      <c r="E200" s="663" t="s">
        <v>397</v>
      </c>
      <c r="F200" s="671" t="s">
        <v>59</v>
      </c>
      <c r="G200" s="671"/>
      <c r="H200" s="671"/>
      <c r="I200" s="671" t="s">
        <v>48</v>
      </c>
      <c r="J200" s="671"/>
      <c r="K200" s="671"/>
      <c r="L200" s="671" t="s">
        <v>49</v>
      </c>
      <c r="M200" s="671"/>
      <c r="N200" s="671"/>
      <c r="O200" s="671" t="s">
        <v>50</v>
      </c>
      <c r="P200" s="671"/>
      <c r="Q200" s="671"/>
      <c r="R200" s="671" t="s">
        <v>51</v>
      </c>
      <c r="S200" s="671"/>
      <c r="T200" s="671"/>
      <c r="U200" s="671" t="s">
        <v>52</v>
      </c>
      <c r="V200" s="671"/>
      <c r="W200" s="671"/>
      <c r="X200" s="102"/>
    </row>
    <row r="201" spans="4:24" ht="15.75" x14ac:dyDescent="0.25">
      <c r="E201" s="663"/>
      <c r="F201" s="101" t="s">
        <v>386</v>
      </c>
      <c r="G201" s="90" t="s">
        <v>387</v>
      </c>
      <c r="H201" s="90" t="s">
        <v>388</v>
      </c>
      <c r="I201" s="90" t="s">
        <v>386</v>
      </c>
      <c r="J201" s="90" t="s">
        <v>387</v>
      </c>
      <c r="K201" s="90" t="s">
        <v>388</v>
      </c>
      <c r="L201" s="90" t="s">
        <v>386</v>
      </c>
      <c r="M201" s="90" t="s">
        <v>387</v>
      </c>
      <c r="N201" s="90" t="s">
        <v>388</v>
      </c>
      <c r="O201" s="90" t="s">
        <v>386</v>
      </c>
      <c r="P201" s="90" t="s">
        <v>387</v>
      </c>
      <c r="Q201" s="90" t="s">
        <v>388</v>
      </c>
      <c r="R201" s="90" t="s">
        <v>386</v>
      </c>
      <c r="S201" s="90" t="s">
        <v>387</v>
      </c>
      <c r="T201" s="90" t="s">
        <v>388</v>
      </c>
      <c r="U201" s="90" t="s">
        <v>386</v>
      </c>
      <c r="V201" s="90" t="s">
        <v>387</v>
      </c>
      <c r="W201" s="90" t="s">
        <v>388</v>
      </c>
      <c r="X201" s="90" t="s">
        <v>398</v>
      </c>
    </row>
    <row r="202" spans="4:24" ht="15.75" x14ac:dyDescent="0.25">
      <c r="E202" s="91" t="s">
        <v>280</v>
      </c>
      <c r="F202" s="78"/>
      <c r="G202" s="79"/>
      <c r="H202" s="94">
        <f>F202*G202</f>
        <v>0</v>
      </c>
      <c r="I202" s="78"/>
      <c r="J202" s="79"/>
      <c r="K202" s="94">
        <f>I202*J202</f>
        <v>0</v>
      </c>
      <c r="L202" s="78"/>
      <c r="M202" s="79"/>
      <c r="N202" s="94">
        <f>L202*M202</f>
        <v>0</v>
      </c>
      <c r="O202" s="78"/>
      <c r="P202" s="79"/>
      <c r="Q202" s="94">
        <f>O202*P202</f>
        <v>0</v>
      </c>
      <c r="R202" s="78"/>
      <c r="S202" s="79"/>
      <c r="T202" s="94">
        <f>R202*S202</f>
        <v>0</v>
      </c>
      <c r="U202" s="78"/>
      <c r="V202" s="79"/>
      <c r="W202" s="94">
        <f>U202*V202</f>
        <v>0</v>
      </c>
      <c r="X202" s="92">
        <f>BASES!G33</f>
        <v>1</v>
      </c>
    </row>
    <row r="203" spans="4:24" ht="15.75" x14ac:dyDescent="0.25">
      <c r="E203" s="71"/>
      <c r="F203" s="78"/>
      <c r="G203" s="79"/>
      <c r="H203" s="94">
        <f t="shared" ref="H203:H217" si="42">F203*G203</f>
        <v>0</v>
      </c>
      <c r="I203" s="78"/>
      <c r="J203" s="79"/>
      <c r="K203" s="94">
        <f t="shared" ref="K203:K217" si="43">I203*J203</f>
        <v>0</v>
      </c>
      <c r="L203" s="78"/>
      <c r="M203" s="79"/>
      <c r="N203" s="94">
        <f t="shared" ref="N203:N217" si="44">L203*M203</f>
        <v>0</v>
      </c>
      <c r="O203" s="78"/>
      <c r="P203" s="79"/>
      <c r="Q203" s="94">
        <f t="shared" ref="Q203:Q217" si="45">O203*P203</f>
        <v>0</v>
      </c>
      <c r="R203" s="78"/>
      <c r="S203" s="79"/>
      <c r="T203" s="94">
        <f t="shared" ref="T203:T217" si="46">R203*S203</f>
        <v>0</v>
      </c>
      <c r="U203" s="78"/>
      <c r="V203" s="79"/>
      <c r="W203" s="94">
        <f t="shared" ref="W203:W217" si="47">U203*V203</f>
        <v>0</v>
      </c>
      <c r="X203" s="92">
        <f>X202</f>
        <v>1</v>
      </c>
    </row>
    <row r="204" spans="4: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ref="X204:X217" si="48">X203</f>
        <v>1</v>
      </c>
    </row>
    <row r="205" spans="4: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4: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4: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4: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71"/>
      <c r="F212" s="78"/>
      <c r="G212" s="79"/>
      <c r="H212" s="94">
        <f t="shared" si="42"/>
        <v>0</v>
      </c>
      <c r="I212" s="78"/>
      <c r="J212" s="79"/>
      <c r="K212" s="94">
        <f t="shared" si="43"/>
        <v>0</v>
      </c>
      <c r="L212" s="78"/>
      <c r="M212" s="79"/>
      <c r="N212" s="94">
        <f t="shared" si="44"/>
        <v>0</v>
      </c>
      <c r="O212" s="78"/>
      <c r="P212" s="79"/>
      <c r="Q212" s="94">
        <f t="shared" si="45"/>
        <v>0</v>
      </c>
      <c r="R212" s="78"/>
      <c r="S212" s="79"/>
      <c r="T212" s="94">
        <f t="shared" si="46"/>
        <v>0</v>
      </c>
      <c r="U212" s="78"/>
      <c r="V212" s="79"/>
      <c r="W212" s="94">
        <f t="shared" si="47"/>
        <v>0</v>
      </c>
      <c r="X212" s="92">
        <f t="shared" si="48"/>
        <v>1</v>
      </c>
    </row>
    <row r="213" spans="5:24" ht="15.75" x14ac:dyDescent="0.25">
      <c r="E213" s="71"/>
      <c r="F213" s="78"/>
      <c r="G213" s="79"/>
      <c r="H213" s="94">
        <f t="shared" si="42"/>
        <v>0</v>
      </c>
      <c r="I213" s="78"/>
      <c r="J213" s="79"/>
      <c r="K213" s="94">
        <f t="shared" si="43"/>
        <v>0</v>
      </c>
      <c r="L213" s="78"/>
      <c r="M213" s="79"/>
      <c r="N213" s="94">
        <f t="shared" si="44"/>
        <v>0</v>
      </c>
      <c r="O213" s="78"/>
      <c r="P213" s="79"/>
      <c r="Q213" s="94">
        <f t="shared" si="45"/>
        <v>0</v>
      </c>
      <c r="R213" s="78"/>
      <c r="S213" s="79"/>
      <c r="T213" s="94">
        <f t="shared" si="46"/>
        <v>0</v>
      </c>
      <c r="U213" s="78"/>
      <c r="V213" s="79"/>
      <c r="W213" s="94">
        <f t="shared" si="47"/>
        <v>0</v>
      </c>
      <c r="X213" s="92">
        <f t="shared" si="48"/>
        <v>1</v>
      </c>
    </row>
    <row r="214" spans="5:24" ht="15.75" x14ac:dyDescent="0.25">
      <c r="E214" s="71"/>
      <c r="F214" s="78"/>
      <c r="G214" s="79"/>
      <c r="H214" s="94">
        <f t="shared" si="42"/>
        <v>0</v>
      </c>
      <c r="I214" s="78"/>
      <c r="J214" s="79"/>
      <c r="K214" s="94">
        <f t="shared" si="43"/>
        <v>0</v>
      </c>
      <c r="L214" s="78"/>
      <c r="M214" s="79"/>
      <c r="N214" s="94">
        <f t="shared" si="44"/>
        <v>0</v>
      </c>
      <c r="O214" s="78"/>
      <c r="P214" s="79"/>
      <c r="Q214" s="94">
        <f t="shared" si="45"/>
        <v>0</v>
      </c>
      <c r="R214" s="78"/>
      <c r="S214" s="79"/>
      <c r="T214" s="94">
        <f t="shared" si="46"/>
        <v>0</v>
      </c>
      <c r="U214" s="78"/>
      <c r="V214" s="79"/>
      <c r="W214" s="94">
        <f t="shared" si="47"/>
        <v>0</v>
      </c>
      <c r="X214" s="92">
        <f t="shared" si="48"/>
        <v>1</v>
      </c>
    </row>
    <row r="215" spans="5:24" ht="15.75" x14ac:dyDescent="0.25">
      <c r="E215" s="71"/>
      <c r="F215" s="78"/>
      <c r="G215" s="79"/>
      <c r="H215" s="94">
        <f t="shared" si="42"/>
        <v>0</v>
      </c>
      <c r="I215" s="78"/>
      <c r="J215" s="79"/>
      <c r="K215" s="94">
        <f t="shared" si="43"/>
        <v>0</v>
      </c>
      <c r="L215" s="78"/>
      <c r="M215" s="79"/>
      <c r="N215" s="94">
        <f t="shared" si="44"/>
        <v>0</v>
      </c>
      <c r="O215" s="78"/>
      <c r="P215" s="79"/>
      <c r="Q215" s="94">
        <f t="shared" si="45"/>
        <v>0</v>
      </c>
      <c r="R215" s="78"/>
      <c r="S215" s="79"/>
      <c r="T215" s="94">
        <f t="shared" si="46"/>
        <v>0</v>
      </c>
      <c r="U215" s="78"/>
      <c r="V215" s="79"/>
      <c r="W215" s="94">
        <f t="shared" si="47"/>
        <v>0</v>
      </c>
      <c r="X215" s="92">
        <f t="shared" si="48"/>
        <v>1</v>
      </c>
    </row>
    <row r="216" spans="5:24" ht="15.75" x14ac:dyDescent="0.25">
      <c r="E216" s="71"/>
      <c r="F216" s="78"/>
      <c r="G216" s="79"/>
      <c r="H216" s="94">
        <f t="shared" si="42"/>
        <v>0</v>
      </c>
      <c r="I216" s="78"/>
      <c r="J216" s="79"/>
      <c r="K216" s="94">
        <f t="shared" si="43"/>
        <v>0</v>
      </c>
      <c r="L216" s="78"/>
      <c r="M216" s="79"/>
      <c r="N216" s="94">
        <f t="shared" si="44"/>
        <v>0</v>
      </c>
      <c r="O216" s="78"/>
      <c r="P216" s="79"/>
      <c r="Q216" s="94">
        <f t="shared" si="45"/>
        <v>0</v>
      </c>
      <c r="R216" s="78"/>
      <c r="S216" s="79"/>
      <c r="T216" s="94">
        <f t="shared" si="46"/>
        <v>0</v>
      </c>
      <c r="U216" s="78"/>
      <c r="V216" s="79"/>
      <c r="W216" s="94">
        <f t="shared" si="47"/>
        <v>0</v>
      </c>
      <c r="X216" s="92">
        <f t="shared" si="48"/>
        <v>1</v>
      </c>
    </row>
    <row r="217" spans="5:24" ht="15.75" x14ac:dyDescent="0.25">
      <c r="E217" s="71"/>
      <c r="F217" s="78"/>
      <c r="G217" s="79"/>
      <c r="H217" s="94">
        <f t="shared" si="42"/>
        <v>0</v>
      </c>
      <c r="I217" s="78"/>
      <c r="J217" s="79"/>
      <c r="K217" s="94">
        <f t="shared" si="43"/>
        <v>0</v>
      </c>
      <c r="L217" s="78"/>
      <c r="M217" s="79"/>
      <c r="N217" s="94">
        <f t="shared" si="44"/>
        <v>0</v>
      </c>
      <c r="O217" s="78"/>
      <c r="P217" s="79"/>
      <c r="Q217" s="94">
        <f t="shared" si="45"/>
        <v>0</v>
      </c>
      <c r="R217" s="78"/>
      <c r="S217" s="79"/>
      <c r="T217" s="94">
        <f t="shared" si="46"/>
        <v>0</v>
      </c>
      <c r="U217" s="78"/>
      <c r="V217" s="79"/>
      <c r="W217" s="94">
        <f t="shared" si="47"/>
        <v>0</v>
      </c>
      <c r="X217" s="92">
        <f t="shared" si="48"/>
        <v>1</v>
      </c>
    </row>
    <row r="218" spans="5:24" ht="15.75" x14ac:dyDescent="0.25">
      <c r="E218" s="90" t="s">
        <v>67</v>
      </c>
      <c r="F218" s="99"/>
      <c r="G218" s="98"/>
      <c r="H218" s="95">
        <f>SUM(H202:H217)</f>
        <v>0</v>
      </c>
      <c r="I218" s="99"/>
      <c r="J218" s="98"/>
      <c r="K218" s="95">
        <f>SUM(K202:K216)</f>
        <v>0</v>
      </c>
      <c r="L218" s="99"/>
      <c r="M218" s="98"/>
      <c r="N218" s="95">
        <f>SUM(N202:N217)</f>
        <v>0</v>
      </c>
      <c r="O218" s="99"/>
      <c r="P218" s="98"/>
      <c r="Q218" s="95">
        <f>SUM(Q202:Q217)</f>
        <v>0</v>
      </c>
      <c r="R218" s="99"/>
      <c r="S218" s="98"/>
      <c r="T218" s="95">
        <f>SUM(T202:T217)</f>
        <v>0</v>
      </c>
      <c r="U218" s="99"/>
      <c r="V218" s="98"/>
      <c r="W218" s="95">
        <f>SUM(W202:W217)</f>
        <v>0</v>
      </c>
      <c r="X218" s="103"/>
    </row>
    <row r="220" spans="5:24" ht="15.75" x14ac:dyDescent="0.25">
      <c r="E220" s="97" t="s">
        <v>399</v>
      </c>
      <c r="F220" s="101" t="s">
        <v>386</v>
      </c>
      <c r="G220" s="90" t="s">
        <v>387</v>
      </c>
      <c r="H220" s="90" t="s">
        <v>388</v>
      </c>
      <c r="I220" s="101" t="s">
        <v>386</v>
      </c>
      <c r="J220" s="90" t="s">
        <v>387</v>
      </c>
      <c r="K220" s="90" t="s">
        <v>388</v>
      </c>
      <c r="L220" s="101" t="s">
        <v>386</v>
      </c>
      <c r="M220" s="90" t="s">
        <v>387</v>
      </c>
      <c r="N220" s="90" t="s">
        <v>388</v>
      </c>
      <c r="O220" s="101" t="s">
        <v>386</v>
      </c>
      <c r="P220" s="90" t="s">
        <v>387</v>
      </c>
      <c r="Q220" s="90" t="s">
        <v>388</v>
      </c>
      <c r="R220" s="101" t="s">
        <v>386</v>
      </c>
      <c r="S220" s="90" t="s">
        <v>387</v>
      </c>
      <c r="T220" s="90" t="s">
        <v>388</v>
      </c>
      <c r="U220" s="101" t="s">
        <v>386</v>
      </c>
      <c r="V220" s="90" t="s">
        <v>387</v>
      </c>
      <c r="W220" s="90" t="s">
        <v>388</v>
      </c>
      <c r="X220" s="90" t="s">
        <v>391</v>
      </c>
    </row>
    <row r="221" spans="5:24" ht="15.75" x14ac:dyDescent="0.25">
      <c r="E221" s="71"/>
      <c r="F221" s="78"/>
      <c r="G221" s="79"/>
      <c r="H221" s="94">
        <f>F221*G221</f>
        <v>0</v>
      </c>
      <c r="I221" s="78"/>
      <c r="J221" s="79"/>
      <c r="K221" s="94">
        <f>I221*J221</f>
        <v>0</v>
      </c>
      <c r="L221" s="78"/>
      <c r="M221" s="79"/>
      <c r="N221" s="94">
        <f>L221*M221</f>
        <v>0</v>
      </c>
      <c r="O221" s="78"/>
      <c r="P221" s="79"/>
      <c r="Q221" s="94">
        <f>O221*P221</f>
        <v>0</v>
      </c>
      <c r="R221" s="78"/>
      <c r="S221" s="79"/>
      <c r="T221" s="94">
        <f>R221*S221</f>
        <v>0</v>
      </c>
      <c r="U221" s="78"/>
      <c r="V221" s="79"/>
      <c r="W221" s="94">
        <f>U221*V221</f>
        <v>0</v>
      </c>
      <c r="X221" s="92">
        <f>BASES!G34</f>
        <v>10</v>
      </c>
    </row>
    <row r="222" spans="5:24" ht="15.75" x14ac:dyDescent="0.25">
      <c r="E222" s="71"/>
      <c r="F222" s="78"/>
      <c r="G222" s="79"/>
      <c r="H222" s="94">
        <f t="shared" ref="H222:H236" si="49">F222*G222</f>
        <v>0</v>
      </c>
      <c r="I222" s="78"/>
      <c r="J222" s="79"/>
      <c r="K222" s="94">
        <f t="shared" ref="K222:K236" si="50">I222*J222</f>
        <v>0</v>
      </c>
      <c r="L222" s="78"/>
      <c r="M222" s="79"/>
      <c r="N222" s="94">
        <f t="shared" ref="N222:N236" si="51">L222*M222</f>
        <v>0</v>
      </c>
      <c r="O222" s="78"/>
      <c r="P222" s="79"/>
      <c r="Q222" s="94">
        <f t="shared" ref="Q222:Q236" si="52">O222*P222</f>
        <v>0</v>
      </c>
      <c r="R222" s="78"/>
      <c r="S222" s="79"/>
      <c r="T222" s="94">
        <f t="shared" ref="T222:T236" si="53">R222*S222</f>
        <v>0</v>
      </c>
      <c r="U222" s="78"/>
      <c r="V222" s="79"/>
      <c r="W222" s="94">
        <f t="shared" ref="W222:W236" si="54">U222*V222</f>
        <v>0</v>
      </c>
      <c r="X222" s="92">
        <f>X221</f>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ref="X223:X236" si="55">X222</f>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71"/>
      <c r="F231" s="78"/>
      <c r="G231" s="79"/>
      <c r="H231" s="94">
        <f t="shared" si="49"/>
        <v>0</v>
      </c>
      <c r="I231" s="78"/>
      <c r="J231" s="79"/>
      <c r="K231" s="94">
        <f t="shared" si="50"/>
        <v>0</v>
      </c>
      <c r="L231" s="78"/>
      <c r="M231" s="79"/>
      <c r="N231" s="94">
        <f t="shared" si="51"/>
        <v>0</v>
      </c>
      <c r="O231" s="78"/>
      <c r="P231" s="79"/>
      <c r="Q231" s="94">
        <f t="shared" si="52"/>
        <v>0</v>
      </c>
      <c r="R231" s="78"/>
      <c r="S231" s="79"/>
      <c r="T231" s="94">
        <f t="shared" si="53"/>
        <v>0</v>
      </c>
      <c r="U231" s="78"/>
      <c r="V231" s="79"/>
      <c r="W231" s="94">
        <f t="shared" si="54"/>
        <v>0</v>
      </c>
      <c r="X231" s="92">
        <f t="shared" si="55"/>
        <v>10</v>
      </c>
    </row>
    <row r="232" spans="5:24" ht="15.75" x14ac:dyDescent="0.25">
      <c r="E232" s="71"/>
      <c r="F232" s="78"/>
      <c r="G232" s="79"/>
      <c r="H232" s="94">
        <f t="shared" si="49"/>
        <v>0</v>
      </c>
      <c r="I232" s="78"/>
      <c r="J232" s="79"/>
      <c r="K232" s="94">
        <f t="shared" si="50"/>
        <v>0</v>
      </c>
      <c r="L232" s="78"/>
      <c r="M232" s="79"/>
      <c r="N232" s="94">
        <f t="shared" si="51"/>
        <v>0</v>
      </c>
      <c r="O232" s="78"/>
      <c r="P232" s="79"/>
      <c r="Q232" s="94">
        <f t="shared" si="52"/>
        <v>0</v>
      </c>
      <c r="R232" s="78"/>
      <c r="S232" s="79"/>
      <c r="T232" s="94">
        <f t="shared" si="53"/>
        <v>0</v>
      </c>
      <c r="U232" s="78"/>
      <c r="V232" s="79"/>
      <c r="W232" s="94">
        <f t="shared" si="54"/>
        <v>0</v>
      </c>
      <c r="X232" s="92">
        <f t="shared" si="55"/>
        <v>10</v>
      </c>
    </row>
    <row r="233" spans="5:24" ht="15.75" x14ac:dyDescent="0.25">
      <c r="E233" s="71"/>
      <c r="F233" s="78"/>
      <c r="G233" s="79"/>
      <c r="H233" s="94">
        <f t="shared" si="49"/>
        <v>0</v>
      </c>
      <c r="I233" s="78"/>
      <c r="J233" s="79"/>
      <c r="K233" s="94">
        <f t="shared" si="50"/>
        <v>0</v>
      </c>
      <c r="L233" s="78"/>
      <c r="M233" s="79"/>
      <c r="N233" s="94">
        <f t="shared" si="51"/>
        <v>0</v>
      </c>
      <c r="O233" s="78"/>
      <c r="P233" s="79"/>
      <c r="Q233" s="94">
        <f t="shared" si="52"/>
        <v>0</v>
      </c>
      <c r="R233" s="78"/>
      <c r="S233" s="79"/>
      <c r="T233" s="94">
        <f t="shared" si="53"/>
        <v>0</v>
      </c>
      <c r="U233" s="78"/>
      <c r="V233" s="79"/>
      <c r="W233" s="94">
        <f t="shared" si="54"/>
        <v>0</v>
      </c>
      <c r="X233" s="92">
        <f t="shared" si="55"/>
        <v>10</v>
      </c>
    </row>
    <row r="234" spans="5:24" ht="15.75" x14ac:dyDescent="0.25">
      <c r="E234" s="71"/>
      <c r="F234" s="78"/>
      <c r="G234" s="79"/>
      <c r="H234" s="94">
        <f t="shared" si="49"/>
        <v>0</v>
      </c>
      <c r="I234" s="78"/>
      <c r="J234" s="79"/>
      <c r="K234" s="94">
        <f t="shared" si="50"/>
        <v>0</v>
      </c>
      <c r="L234" s="78"/>
      <c r="M234" s="79"/>
      <c r="N234" s="94">
        <f t="shared" si="51"/>
        <v>0</v>
      </c>
      <c r="O234" s="78"/>
      <c r="P234" s="79"/>
      <c r="Q234" s="94">
        <f t="shared" si="52"/>
        <v>0</v>
      </c>
      <c r="R234" s="78"/>
      <c r="S234" s="79"/>
      <c r="T234" s="94">
        <f t="shared" si="53"/>
        <v>0</v>
      </c>
      <c r="U234" s="78"/>
      <c r="V234" s="79"/>
      <c r="W234" s="94">
        <f t="shared" si="54"/>
        <v>0</v>
      </c>
      <c r="X234" s="92">
        <f t="shared" si="55"/>
        <v>10</v>
      </c>
    </row>
    <row r="235" spans="5:24" ht="15.75" x14ac:dyDescent="0.25">
      <c r="E235" s="71"/>
      <c r="F235" s="78"/>
      <c r="G235" s="79"/>
      <c r="H235" s="94">
        <f t="shared" si="49"/>
        <v>0</v>
      </c>
      <c r="I235" s="78"/>
      <c r="J235" s="79"/>
      <c r="K235" s="94">
        <f t="shared" si="50"/>
        <v>0</v>
      </c>
      <c r="L235" s="78"/>
      <c r="M235" s="79"/>
      <c r="N235" s="94">
        <f t="shared" si="51"/>
        <v>0</v>
      </c>
      <c r="O235" s="78"/>
      <c r="P235" s="79"/>
      <c r="Q235" s="94">
        <f t="shared" si="52"/>
        <v>0</v>
      </c>
      <c r="R235" s="78"/>
      <c r="S235" s="79"/>
      <c r="T235" s="94">
        <f t="shared" si="53"/>
        <v>0</v>
      </c>
      <c r="U235" s="78"/>
      <c r="V235" s="79"/>
      <c r="W235" s="94">
        <f t="shared" si="54"/>
        <v>0</v>
      </c>
      <c r="X235" s="92">
        <f t="shared" si="55"/>
        <v>10</v>
      </c>
    </row>
    <row r="236" spans="5:24" ht="15.75" x14ac:dyDescent="0.25">
      <c r="E236" s="71"/>
      <c r="F236" s="78"/>
      <c r="G236" s="79"/>
      <c r="H236" s="94">
        <f t="shared" si="49"/>
        <v>0</v>
      </c>
      <c r="I236" s="78"/>
      <c r="J236" s="79"/>
      <c r="K236" s="94">
        <f t="shared" si="50"/>
        <v>0</v>
      </c>
      <c r="L236" s="78"/>
      <c r="M236" s="79"/>
      <c r="N236" s="94">
        <f t="shared" si="51"/>
        <v>0</v>
      </c>
      <c r="O236" s="78"/>
      <c r="P236" s="79"/>
      <c r="Q236" s="94">
        <f t="shared" si="52"/>
        <v>0</v>
      </c>
      <c r="R236" s="78"/>
      <c r="S236" s="79"/>
      <c r="T236" s="94">
        <f t="shared" si="53"/>
        <v>0</v>
      </c>
      <c r="U236" s="78"/>
      <c r="V236" s="79"/>
      <c r="W236" s="94">
        <f t="shared" si="54"/>
        <v>0</v>
      </c>
      <c r="X236" s="92">
        <f t="shared" si="55"/>
        <v>10</v>
      </c>
    </row>
    <row r="237" spans="5:24" ht="15.75" x14ac:dyDescent="0.25">
      <c r="E237" s="90" t="s">
        <v>400</v>
      </c>
      <c r="F237" s="99"/>
      <c r="G237" s="98"/>
      <c r="H237" s="95">
        <f>SUM(H221:H236)</f>
        <v>0</v>
      </c>
      <c r="I237" s="99"/>
      <c r="J237" s="98"/>
      <c r="K237" s="95">
        <f>SUM(K221:K235)</f>
        <v>0</v>
      </c>
      <c r="L237" s="99"/>
      <c r="M237" s="98"/>
      <c r="N237" s="95">
        <f>SUM(N221:N236)</f>
        <v>0</v>
      </c>
      <c r="O237" s="99"/>
      <c r="P237" s="98"/>
      <c r="Q237" s="95">
        <f>SUM(Q221:Q236)</f>
        <v>0</v>
      </c>
      <c r="R237" s="99"/>
      <c r="S237" s="98"/>
      <c r="T237" s="95">
        <f>SUM(T221:T236)</f>
        <v>0</v>
      </c>
      <c r="U237" s="99"/>
      <c r="V237" s="98"/>
      <c r="W237" s="95">
        <f>SUM(W221:W236)</f>
        <v>0</v>
      </c>
      <c r="X237" s="104"/>
    </row>
    <row r="239" spans="5:24" ht="45.75" customHeight="1" x14ac:dyDescent="0.25">
      <c r="E239" s="107" t="s">
        <v>285</v>
      </c>
      <c r="F239" s="105" t="s">
        <v>386</v>
      </c>
      <c r="G239" s="106" t="s">
        <v>387</v>
      </c>
      <c r="H239" s="106" t="s">
        <v>388</v>
      </c>
      <c r="I239" s="105" t="s">
        <v>386</v>
      </c>
      <c r="J239" s="106" t="s">
        <v>387</v>
      </c>
      <c r="K239" s="106" t="s">
        <v>388</v>
      </c>
      <c r="L239" s="105" t="s">
        <v>386</v>
      </c>
      <c r="M239" s="106" t="s">
        <v>387</v>
      </c>
      <c r="N239" s="106" t="s">
        <v>388</v>
      </c>
      <c r="O239" s="105" t="s">
        <v>386</v>
      </c>
      <c r="P239" s="106" t="s">
        <v>387</v>
      </c>
      <c r="Q239" s="106" t="s">
        <v>388</v>
      </c>
      <c r="R239" s="105" t="s">
        <v>386</v>
      </c>
      <c r="S239" s="106" t="s">
        <v>387</v>
      </c>
      <c r="T239" s="106" t="s">
        <v>388</v>
      </c>
      <c r="U239" s="105" t="s">
        <v>386</v>
      </c>
      <c r="V239" s="106" t="s">
        <v>387</v>
      </c>
      <c r="W239" s="106" t="s">
        <v>388</v>
      </c>
      <c r="X239" s="106" t="s">
        <v>391</v>
      </c>
    </row>
    <row r="240" spans="5:24" ht="15.75" x14ac:dyDescent="0.25">
      <c r="E240" s="71"/>
      <c r="F240" s="78"/>
      <c r="G240" s="79"/>
      <c r="H240" s="94">
        <f>F240*G240</f>
        <v>0</v>
      </c>
      <c r="I240" s="78"/>
      <c r="J240" s="79"/>
      <c r="K240" s="94">
        <f>I240*J240</f>
        <v>0</v>
      </c>
      <c r="L240" s="78"/>
      <c r="M240" s="79"/>
      <c r="N240" s="94">
        <f>L240*M240</f>
        <v>0</v>
      </c>
      <c r="O240" s="78"/>
      <c r="P240" s="79"/>
      <c r="Q240" s="94">
        <f>O240*P240</f>
        <v>0</v>
      </c>
      <c r="R240" s="78"/>
      <c r="S240" s="79"/>
      <c r="T240" s="94">
        <f>R240*S240</f>
        <v>0</v>
      </c>
      <c r="U240" s="78"/>
      <c r="V240" s="79"/>
      <c r="W240" s="94">
        <f>U240*V240</f>
        <v>0</v>
      </c>
      <c r="X240" s="92">
        <f>BASES!G36</f>
        <v>5</v>
      </c>
    </row>
    <row r="241" spans="5:24" ht="15.75" x14ac:dyDescent="0.25">
      <c r="E241" s="71"/>
      <c r="F241" s="78"/>
      <c r="G241" s="79"/>
      <c r="H241" s="94">
        <f t="shared" ref="H241:H246" si="56">F241*G241</f>
        <v>0</v>
      </c>
      <c r="I241" s="78"/>
      <c r="J241" s="79"/>
      <c r="K241" s="94">
        <f t="shared" ref="K241:K246" si="57">I241*J241</f>
        <v>0</v>
      </c>
      <c r="L241" s="78"/>
      <c r="M241" s="79"/>
      <c r="N241" s="94">
        <f t="shared" ref="N241:N246" si="58">L241*M241</f>
        <v>0</v>
      </c>
      <c r="O241" s="78"/>
      <c r="P241" s="79"/>
      <c r="Q241" s="94">
        <f t="shared" ref="Q241:Q246" si="59">O241*P241</f>
        <v>0</v>
      </c>
      <c r="R241" s="78"/>
      <c r="S241" s="79"/>
      <c r="T241" s="94">
        <f t="shared" ref="T241:T246" si="60">R241*S241</f>
        <v>0</v>
      </c>
      <c r="U241" s="78"/>
      <c r="V241" s="79"/>
      <c r="W241" s="94">
        <f t="shared" ref="W241:W246" si="61">U241*V241</f>
        <v>0</v>
      </c>
      <c r="X241" s="92">
        <f>X240</f>
        <v>5</v>
      </c>
    </row>
    <row r="242" spans="5:24" ht="15.75" x14ac:dyDescent="0.25">
      <c r="E242" s="71"/>
      <c r="F242" s="78"/>
      <c r="G242" s="79"/>
      <c r="H242" s="94">
        <f t="shared" si="56"/>
        <v>0</v>
      </c>
      <c r="I242" s="78"/>
      <c r="J242" s="79"/>
      <c r="K242" s="94">
        <f t="shared" si="57"/>
        <v>0</v>
      </c>
      <c r="L242" s="78"/>
      <c r="M242" s="79"/>
      <c r="N242" s="94">
        <f t="shared" si="58"/>
        <v>0</v>
      </c>
      <c r="O242" s="78"/>
      <c r="P242" s="79"/>
      <c r="Q242" s="94">
        <f t="shared" si="59"/>
        <v>0</v>
      </c>
      <c r="R242" s="78"/>
      <c r="S242" s="79"/>
      <c r="T242" s="94">
        <f t="shared" si="60"/>
        <v>0</v>
      </c>
      <c r="U242" s="78"/>
      <c r="V242" s="79"/>
      <c r="W242" s="94">
        <f t="shared" si="61"/>
        <v>0</v>
      </c>
      <c r="X242" s="92">
        <f t="shared" ref="X242:X246" si="62">X241</f>
        <v>5</v>
      </c>
    </row>
    <row r="243" spans="5:24" ht="15.75" x14ac:dyDescent="0.25">
      <c r="E243" s="71"/>
      <c r="F243" s="78"/>
      <c r="G243" s="79"/>
      <c r="H243" s="94">
        <f t="shared" si="56"/>
        <v>0</v>
      </c>
      <c r="I243" s="78"/>
      <c r="J243" s="79"/>
      <c r="K243" s="94">
        <f t="shared" si="57"/>
        <v>0</v>
      </c>
      <c r="L243" s="78"/>
      <c r="M243" s="79"/>
      <c r="N243" s="94">
        <f t="shared" si="58"/>
        <v>0</v>
      </c>
      <c r="O243" s="78"/>
      <c r="P243" s="79"/>
      <c r="Q243" s="94">
        <f t="shared" si="59"/>
        <v>0</v>
      </c>
      <c r="R243" s="78"/>
      <c r="S243" s="79"/>
      <c r="T243" s="94">
        <f t="shared" si="60"/>
        <v>0</v>
      </c>
      <c r="U243" s="78"/>
      <c r="V243" s="79"/>
      <c r="W243" s="94">
        <f t="shared" si="61"/>
        <v>0</v>
      </c>
      <c r="X243" s="92">
        <f t="shared" si="62"/>
        <v>5</v>
      </c>
    </row>
    <row r="244" spans="5:24" ht="15.75" x14ac:dyDescent="0.25">
      <c r="E244" s="71"/>
      <c r="F244" s="78"/>
      <c r="G244" s="79"/>
      <c r="H244" s="94">
        <f t="shared" si="56"/>
        <v>0</v>
      </c>
      <c r="I244" s="78"/>
      <c r="J244" s="79"/>
      <c r="K244" s="94">
        <f t="shared" si="57"/>
        <v>0</v>
      </c>
      <c r="L244" s="78"/>
      <c r="M244" s="79"/>
      <c r="N244" s="94">
        <f t="shared" si="58"/>
        <v>0</v>
      </c>
      <c r="O244" s="78"/>
      <c r="P244" s="79"/>
      <c r="Q244" s="94">
        <f t="shared" si="59"/>
        <v>0</v>
      </c>
      <c r="R244" s="78"/>
      <c r="S244" s="79"/>
      <c r="T244" s="94">
        <f t="shared" si="60"/>
        <v>0</v>
      </c>
      <c r="U244" s="78"/>
      <c r="V244" s="79"/>
      <c r="W244" s="94">
        <f t="shared" si="61"/>
        <v>0</v>
      </c>
      <c r="X244" s="92">
        <f t="shared" si="62"/>
        <v>5</v>
      </c>
    </row>
    <row r="245" spans="5:24" ht="15.75" x14ac:dyDescent="0.25">
      <c r="E245" s="71"/>
      <c r="F245" s="78"/>
      <c r="G245" s="79"/>
      <c r="H245" s="94">
        <f t="shared" si="56"/>
        <v>0</v>
      </c>
      <c r="I245" s="78"/>
      <c r="J245" s="79"/>
      <c r="K245" s="94">
        <f t="shared" si="57"/>
        <v>0</v>
      </c>
      <c r="L245" s="78"/>
      <c r="M245" s="79"/>
      <c r="N245" s="94">
        <f t="shared" si="58"/>
        <v>0</v>
      </c>
      <c r="O245" s="78"/>
      <c r="P245" s="79"/>
      <c r="Q245" s="94">
        <f t="shared" si="59"/>
        <v>0</v>
      </c>
      <c r="R245" s="78"/>
      <c r="S245" s="79"/>
      <c r="T245" s="94">
        <f t="shared" si="60"/>
        <v>0</v>
      </c>
      <c r="U245" s="78"/>
      <c r="V245" s="79"/>
      <c r="W245" s="94">
        <f t="shared" si="61"/>
        <v>0</v>
      </c>
      <c r="X245" s="92">
        <f t="shared" si="62"/>
        <v>5</v>
      </c>
    </row>
    <row r="246" spans="5:24" ht="15.75" x14ac:dyDescent="0.25">
      <c r="E246" s="71"/>
      <c r="F246" s="78"/>
      <c r="G246" s="79"/>
      <c r="H246" s="94">
        <f t="shared" si="56"/>
        <v>0</v>
      </c>
      <c r="I246" s="78"/>
      <c r="J246" s="79"/>
      <c r="K246" s="94">
        <f t="shared" si="57"/>
        <v>0</v>
      </c>
      <c r="L246" s="78"/>
      <c r="M246" s="79"/>
      <c r="N246" s="94">
        <f t="shared" si="58"/>
        <v>0</v>
      </c>
      <c r="O246" s="78"/>
      <c r="P246" s="79"/>
      <c r="Q246" s="94">
        <f t="shared" si="59"/>
        <v>0</v>
      </c>
      <c r="R246" s="78"/>
      <c r="S246" s="79"/>
      <c r="T246" s="94">
        <f t="shared" si="60"/>
        <v>0</v>
      </c>
      <c r="U246" s="78"/>
      <c r="V246" s="79"/>
      <c r="W246" s="94">
        <f t="shared" si="61"/>
        <v>0</v>
      </c>
      <c r="X246" s="92">
        <f t="shared" si="62"/>
        <v>5</v>
      </c>
    </row>
    <row r="247" spans="5:24" ht="15.75" x14ac:dyDescent="0.25">
      <c r="E247" s="90" t="s">
        <v>401</v>
      </c>
      <c r="F247" s="99"/>
      <c r="G247" s="98"/>
      <c r="H247" s="95">
        <f>SUM(H240:H246)</f>
        <v>0</v>
      </c>
      <c r="I247" s="99"/>
      <c r="J247" s="98"/>
      <c r="K247" s="95">
        <f>SUM(K240:K246)</f>
        <v>0</v>
      </c>
      <c r="L247" s="99"/>
      <c r="M247" s="98"/>
      <c r="N247" s="95">
        <f>SUM(N240:N246)</f>
        <v>0</v>
      </c>
      <c r="O247" s="99"/>
      <c r="P247" s="98"/>
      <c r="Q247" s="95">
        <f>SUM(Q240:Q246)</f>
        <v>0</v>
      </c>
      <c r="R247" s="99"/>
      <c r="S247" s="98"/>
      <c r="T247" s="95">
        <f>SUM(T240:T246)</f>
        <v>0</v>
      </c>
      <c r="U247" s="99"/>
      <c r="V247" s="98"/>
      <c r="W247" s="95">
        <f>SUM(W240:W246)</f>
        <v>0</v>
      </c>
      <c r="X247" s="108"/>
    </row>
    <row r="249" spans="5:24" ht="15.75" x14ac:dyDescent="0.25">
      <c r="E249" s="643" t="s">
        <v>68</v>
      </c>
      <c r="F249" s="643"/>
      <c r="G249" s="643"/>
      <c r="H249" s="109">
        <f>H218+H237+H247</f>
        <v>0</v>
      </c>
      <c r="I249" s="109"/>
      <c r="J249" s="109"/>
      <c r="K249" s="109">
        <f t="shared" ref="K249:W249" si="63">K218+K237+K247</f>
        <v>0</v>
      </c>
      <c r="L249" s="109"/>
      <c r="M249" s="109"/>
      <c r="N249" s="109">
        <f t="shared" si="63"/>
        <v>0</v>
      </c>
      <c r="O249" s="109"/>
      <c r="P249" s="109"/>
      <c r="Q249" s="109">
        <f t="shared" si="63"/>
        <v>0</v>
      </c>
      <c r="R249" s="109"/>
      <c r="S249" s="109"/>
      <c r="T249" s="109">
        <f t="shared" si="63"/>
        <v>0</v>
      </c>
      <c r="U249" s="109"/>
      <c r="V249" s="109"/>
      <c r="W249" s="109">
        <f t="shared" si="63"/>
        <v>0</v>
      </c>
      <c r="X249"/>
    </row>
    <row r="251" spans="5:24" ht="15.75" x14ac:dyDescent="0.25">
      <c r="E251" s="91" t="s">
        <v>35</v>
      </c>
      <c r="F251" s="105" t="s">
        <v>386</v>
      </c>
      <c r="G251" s="106" t="s">
        <v>387</v>
      </c>
      <c r="H251" s="106" t="s">
        <v>388</v>
      </c>
      <c r="I251" s="105" t="s">
        <v>386</v>
      </c>
      <c r="J251" s="106" t="s">
        <v>387</v>
      </c>
      <c r="K251" s="106" t="s">
        <v>388</v>
      </c>
      <c r="L251" s="105" t="s">
        <v>386</v>
      </c>
      <c r="M251" s="106" t="s">
        <v>387</v>
      </c>
      <c r="N251" s="106" t="s">
        <v>388</v>
      </c>
      <c r="O251" s="105" t="s">
        <v>386</v>
      </c>
      <c r="P251" s="106" t="s">
        <v>387</v>
      </c>
      <c r="Q251" s="106" t="s">
        <v>388</v>
      </c>
      <c r="R251" s="105" t="s">
        <v>386</v>
      </c>
      <c r="S251" s="106" t="s">
        <v>387</v>
      </c>
      <c r="T251" s="106" t="s">
        <v>388</v>
      </c>
      <c r="U251" s="105" t="s">
        <v>386</v>
      </c>
      <c r="V251" s="106" t="s">
        <v>387</v>
      </c>
      <c r="W251" s="106" t="s">
        <v>388</v>
      </c>
      <c r="X251" s="90" t="s">
        <v>391</v>
      </c>
    </row>
    <row r="252" spans="5:24" ht="15.75" x14ac:dyDescent="0.25">
      <c r="E252" s="91" t="s">
        <v>402</v>
      </c>
      <c r="F252" s="78"/>
      <c r="G252" s="79"/>
      <c r="H252" s="94">
        <f>F252*G252</f>
        <v>0</v>
      </c>
      <c r="I252" s="78"/>
      <c r="J252" s="79"/>
      <c r="K252" s="94">
        <f>I252*J252</f>
        <v>0</v>
      </c>
      <c r="L252" s="78"/>
      <c r="M252" s="79"/>
      <c r="N252" s="94">
        <f>L252*M252</f>
        <v>0</v>
      </c>
      <c r="O252" s="78"/>
      <c r="P252" s="79"/>
      <c r="Q252" s="94">
        <f>O252*P252</f>
        <v>0</v>
      </c>
      <c r="R252" s="78"/>
      <c r="S252" s="79"/>
      <c r="T252" s="94">
        <f>R252*S252</f>
        <v>0</v>
      </c>
      <c r="U252" s="78"/>
      <c r="V252" s="79"/>
      <c r="W252" s="94">
        <f>U252*V252</f>
        <v>0</v>
      </c>
      <c r="X252" s="92">
        <f>X246</f>
        <v>5</v>
      </c>
    </row>
    <row r="253" spans="5:24" ht="15.75" x14ac:dyDescent="0.25">
      <c r="E253" s="91" t="s">
        <v>403</v>
      </c>
      <c r="F253" s="78"/>
      <c r="G253" s="79"/>
      <c r="H253" s="94">
        <f t="shared" ref="H253:H254" si="64">F253*G253</f>
        <v>0</v>
      </c>
      <c r="I253" s="78"/>
      <c r="J253" s="79"/>
      <c r="K253" s="94">
        <f t="shared" ref="K253:K254" si="65">I253*J253</f>
        <v>0</v>
      </c>
      <c r="L253" s="78"/>
      <c r="M253" s="79"/>
      <c r="N253" s="94">
        <f t="shared" ref="N253:N254" si="66">L253*M253</f>
        <v>0</v>
      </c>
      <c r="O253" s="78"/>
      <c r="P253" s="79"/>
      <c r="Q253" s="94">
        <f t="shared" ref="Q253:Q254" si="67">O253*P253</f>
        <v>0</v>
      </c>
      <c r="R253" s="78"/>
      <c r="S253" s="79"/>
      <c r="T253" s="94">
        <f t="shared" ref="T253:T254" si="68">R253*S253</f>
        <v>0</v>
      </c>
      <c r="U253" s="78"/>
      <c r="V253" s="79"/>
      <c r="W253" s="94">
        <f t="shared" ref="W253:W254" si="69">U253*V253</f>
        <v>0</v>
      </c>
      <c r="X253" s="92">
        <f>X252</f>
        <v>5</v>
      </c>
    </row>
    <row r="254" spans="5:24" ht="15.75" x14ac:dyDescent="0.25">
      <c r="E254" s="91" t="s">
        <v>404</v>
      </c>
      <c r="F254" s="78"/>
      <c r="G254" s="79"/>
      <c r="H254" s="94">
        <f t="shared" si="64"/>
        <v>0</v>
      </c>
      <c r="I254" s="78"/>
      <c r="J254" s="79"/>
      <c r="K254" s="94">
        <f t="shared" si="65"/>
        <v>0</v>
      </c>
      <c r="L254" s="78"/>
      <c r="M254" s="79"/>
      <c r="N254" s="94">
        <f t="shared" si="66"/>
        <v>0</v>
      </c>
      <c r="O254" s="78"/>
      <c r="P254" s="79"/>
      <c r="Q254" s="94">
        <f t="shared" si="67"/>
        <v>0</v>
      </c>
      <c r="R254" s="78"/>
      <c r="S254" s="79"/>
      <c r="T254" s="94">
        <f t="shared" si="68"/>
        <v>0</v>
      </c>
      <c r="U254" s="78"/>
      <c r="V254" s="79"/>
      <c r="W254" s="94">
        <f t="shared" si="69"/>
        <v>0</v>
      </c>
      <c r="X254" s="92">
        <f>X253</f>
        <v>5</v>
      </c>
    </row>
    <row r="255" spans="5:24" ht="15.75" x14ac:dyDescent="0.25">
      <c r="E255" s="90" t="s">
        <v>286</v>
      </c>
      <c r="F255" s="99"/>
      <c r="G255" s="98"/>
      <c r="H255" s="95">
        <f>SUM(H252:H254)</f>
        <v>0</v>
      </c>
      <c r="I255" s="99"/>
      <c r="J255" s="98"/>
      <c r="K255" s="95">
        <f>SUM(K252:K254)</f>
        <v>0</v>
      </c>
      <c r="L255" s="99"/>
      <c r="M255" s="98"/>
      <c r="N255" s="95">
        <f>SUM(N252:N254)</f>
        <v>0</v>
      </c>
      <c r="O255" s="99"/>
      <c r="P255" s="98"/>
      <c r="Q255" s="95">
        <f>SUM(Q252:Q254)</f>
        <v>0</v>
      </c>
      <c r="R255" s="99"/>
      <c r="S255" s="98"/>
      <c r="T255" s="95">
        <f>SUM(T252:T254)</f>
        <v>0</v>
      </c>
      <c r="U255" s="99"/>
      <c r="V255" s="98"/>
      <c r="W255" s="95">
        <f>SUM(W252:W254)</f>
        <v>0</v>
      </c>
      <c r="X255" s="108"/>
    </row>
    <row r="257" spans="5:23" ht="15.75" x14ac:dyDescent="0.25">
      <c r="E257" s="643" t="s">
        <v>405</v>
      </c>
      <c r="F257" s="643"/>
      <c r="G257" s="643"/>
      <c r="H257" s="109">
        <f>H255</f>
        <v>0</v>
      </c>
      <c r="I257" s="109"/>
      <c r="J257" s="109"/>
      <c r="K257" s="109">
        <f t="shared" ref="K257:W257" si="70">K255</f>
        <v>0</v>
      </c>
      <c r="L257" s="109"/>
      <c r="M257" s="109"/>
      <c r="N257" s="109">
        <f t="shared" si="70"/>
        <v>0</v>
      </c>
      <c r="O257" s="109"/>
      <c r="P257" s="109"/>
      <c r="Q257" s="109">
        <f t="shared" si="70"/>
        <v>0</v>
      </c>
      <c r="R257" s="109"/>
      <c r="S257" s="109"/>
      <c r="T257" s="109">
        <f t="shared" si="70"/>
        <v>0</v>
      </c>
      <c r="U257" s="109"/>
      <c r="V257" s="109"/>
      <c r="W257" s="109">
        <f t="shared" si="70"/>
        <v>0</v>
      </c>
    </row>
    <row r="259" spans="5:23" ht="15.75" x14ac:dyDescent="0.25">
      <c r="E259" s="644" t="s">
        <v>287</v>
      </c>
      <c r="F259" s="644"/>
      <c r="G259" s="644"/>
      <c r="H259" s="111">
        <f>F42+H190+H249+H257</f>
        <v>7269000</v>
      </c>
      <c r="I259" s="110"/>
      <c r="J259" s="110"/>
      <c r="K259" s="111">
        <f>H42+K190+K249+K257</f>
        <v>357000</v>
      </c>
      <c r="L259" s="110"/>
      <c r="M259" s="110"/>
      <c r="N259" s="111">
        <f>H42+N190+N249+N257</f>
        <v>421000</v>
      </c>
      <c r="O259" s="110"/>
      <c r="P259" s="110"/>
      <c r="Q259" s="111">
        <f>I42+Q190+Q249+Q257</f>
        <v>497150</v>
      </c>
      <c r="R259" s="110"/>
      <c r="S259" s="110"/>
      <c r="T259" s="111">
        <f>J42+T190+T249+T257</f>
        <v>592000</v>
      </c>
      <c r="U259" s="110"/>
      <c r="V259" s="110"/>
      <c r="W259" s="111">
        <f>K42+W190+W249+W257</f>
        <v>704900</v>
      </c>
    </row>
    <row r="262" spans="5:23" hidden="1" x14ac:dyDescent="0.25">
      <c r="E262" s="639" t="s">
        <v>290</v>
      </c>
      <c r="F262" s="639"/>
      <c r="G262" s="639"/>
      <c r="H262" s="639"/>
      <c r="I262" s="639"/>
      <c r="J262" s="639"/>
      <c r="K262" s="639"/>
      <c r="L262" s="639"/>
      <c r="M262" s="639"/>
    </row>
    <row r="263" spans="5:23" hidden="1" x14ac:dyDescent="0.25">
      <c r="E263" s="117" t="s">
        <v>425</v>
      </c>
      <c r="F263" s="117" t="s">
        <v>426</v>
      </c>
      <c r="G263" s="117" t="s">
        <v>62</v>
      </c>
      <c r="H263" s="118">
        <f>BASES!D7</f>
        <v>2021</v>
      </c>
      <c r="I263" s="118">
        <f>BASES!E7</f>
        <v>2022</v>
      </c>
      <c r="J263" s="118">
        <f>BASES!F7</f>
        <v>2023</v>
      </c>
      <c r="K263" s="118">
        <f>BASES!G7</f>
        <v>2024</v>
      </c>
      <c r="L263" s="118">
        <f>BASES!H7</f>
        <v>2025</v>
      </c>
      <c r="M263" s="117" t="s">
        <v>427</v>
      </c>
    </row>
    <row r="264" spans="5:23" hidden="1" x14ac:dyDescent="0.25">
      <c r="E264" s="119" t="s">
        <v>291</v>
      </c>
      <c r="F264" s="120">
        <f>H54</f>
        <v>0</v>
      </c>
      <c r="G264" s="117">
        <f>X47</f>
        <v>20</v>
      </c>
      <c r="H264" s="117">
        <f>ROUND(($F$264/$G$264),0)</f>
        <v>0</v>
      </c>
      <c r="I264" s="117">
        <f t="shared" ref="I264:L264" si="71">ROUND(($F$264/$G$264),0)</f>
        <v>0</v>
      </c>
      <c r="J264" s="117">
        <f t="shared" si="71"/>
        <v>0</v>
      </c>
      <c r="K264" s="117">
        <f t="shared" si="71"/>
        <v>0</v>
      </c>
      <c r="L264" s="117">
        <f t="shared" si="71"/>
        <v>0</v>
      </c>
      <c r="M264" s="120">
        <f>F264-(H264+I264+J264+K264+L264)</f>
        <v>0</v>
      </c>
    </row>
    <row r="265" spans="5:23" hidden="1" x14ac:dyDescent="0.25">
      <c r="E265" s="119" t="s">
        <v>292</v>
      </c>
      <c r="F265" s="117"/>
      <c r="G265" s="117"/>
      <c r="H265" s="117">
        <f>H264</f>
        <v>0</v>
      </c>
      <c r="I265" s="117">
        <f>I264+H265</f>
        <v>0</v>
      </c>
      <c r="J265" s="117">
        <f>J264+I265</f>
        <v>0</v>
      </c>
      <c r="K265" s="117">
        <f>K264+J265</f>
        <v>0</v>
      </c>
      <c r="L265" s="117">
        <f>L264+K265</f>
        <v>0</v>
      </c>
      <c r="M265" s="117"/>
    </row>
    <row r="266" spans="5:23" hidden="1" x14ac:dyDescent="0.25">
      <c r="E266" s="119" t="s">
        <v>293</v>
      </c>
      <c r="F266" s="120">
        <f>H97</f>
        <v>300000</v>
      </c>
      <c r="G266" s="117">
        <f>X57</f>
        <v>10</v>
      </c>
      <c r="H266" s="117">
        <f>ROUND(($F$266/$G$266),0)</f>
        <v>30000</v>
      </c>
      <c r="I266" s="117">
        <f t="shared" ref="I266:L266" si="72">ROUND(($F$266/$G$266),0)</f>
        <v>30000</v>
      </c>
      <c r="J266" s="117">
        <f t="shared" si="72"/>
        <v>30000</v>
      </c>
      <c r="K266" s="117">
        <f t="shared" si="72"/>
        <v>30000</v>
      </c>
      <c r="L266" s="117">
        <f t="shared" si="72"/>
        <v>30000</v>
      </c>
      <c r="M266" s="120">
        <f>F266-(H266+I266+J266+K266+L266)</f>
        <v>150000</v>
      </c>
    </row>
    <row r="267" spans="5:23" hidden="1" x14ac:dyDescent="0.25">
      <c r="E267" s="119" t="s">
        <v>292</v>
      </c>
      <c r="F267" s="117"/>
      <c r="G267" s="117"/>
      <c r="H267" s="117">
        <f>H266</f>
        <v>30000</v>
      </c>
      <c r="I267" s="117">
        <f>I266+H267</f>
        <v>60000</v>
      </c>
      <c r="J267" s="117">
        <f>J266+I267</f>
        <v>90000</v>
      </c>
      <c r="K267" s="117">
        <f>K266+J267</f>
        <v>120000</v>
      </c>
      <c r="L267" s="117">
        <f>L266+K267</f>
        <v>150000</v>
      </c>
      <c r="M267" s="117"/>
    </row>
    <row r="268" spans="5:23" hidden="1" x14ac:dyDescent="0.25">
      <c r="E268" s="119" t="s">
        <v>294</v>
      </c>
      <c r="F268" s="120">
        <f>H150</f>
        <v>2750000</v>
      </c>
      <c r="G268" s="117">
        <f>X100</f>
        <v>5</v>
      </c>
      <c r="H268" s="117">
        <f>ROUND(($F$268/$G$268),0)</f>
        <v>550000</v>
      </c>
      <c r="I268" s="117">
        <f t="shared" ref="I268:L268" si="73">ROUND(($F$268/$G$268),0)</f>
        <v>550000</v>
      </c>
      <c r="J268" s="117">
        <f t="shared" si="73"/>
        <v>550000</v>
      </c>
      <c r="K268" s="117">
        <f t="shared" si="73"/>
        <v>550000</v>
      </c>
      <c r="L268" s="117">
        <f t="shared" si="73"/>
        <v>550000</v>
      </c>
      <c r="M268" s="120">
        <f>F268-(H268+I268+J268+K268+L268)</f>
        <v>0</v>
      </c>
    </row>
    <row r="269" spans="5:23" hidden="1" x14ac:dyDescent="0.25">
      <c r="E269" s="119" t="s">
        <v>292</v>
      </c>
      <c r="F269" s="117"/>
      <c r="G269" s="117"/>
      <c r="H269" s="117">
        <f>H268</f>
        <v>550000</v>
      </c>
      <c r="I269" s="117">
        <f>I268+H269</f>
        <v>1100000</v>
      </c>
      <c r="J269" s="117">
        <f t="shared" ref="J269:L269" si="74">J268+I269</f>
        <v>1650000</v>
      </c>
      <c r="K269" s="117">
        <f t="shared" si="74"/>
        <v>2200000</v>
      </c>
      <c r="L269" s="117">
        <f t="shared" si="74"/>
        <v>2750000</v>
      </c>
      <c r="M269" s="117"/>
    </row>
    <row r="270" spans="5:23" hidden="1" x14ac:dyDescent="0.25">
      <c r="E270" s="119" t="s">
        <v>295</v>
      </c>
      <c r="F270" s="120">
        <f>H160</f>
        <v>0</v>
      </c>
      <c r="G270" s="117">
        <f>X153</f>
        <v>5</v>
      </c>
      <c r="H270" s="117">
        <f>ROUND(($F$270/$G$270),0)</f>
        <v>0</v>
      </c>
      <c r="I270" s="117">
        <f t="shared" ref="I270:L270" si="75">ROUND(($F$270/$G$270),0)</f>
        <v>0</v>
      </c>
      <c r="J270" s="117">
        <f t="shared" si="75"/>
        <v>0</v>
      </c>
      <c r="K270" s="117">
        <f t="shared" si="75"/>
        <v>0</v>
      </c>
      <c r="L270" s="117">
        <f t="shared" si="75"/>
        <v>0</v>
      </c>
      <c r="M270" s="120">
        <f>F270-(H270+I270+J270+K270+L270)</f>
        <v>0</v>
      </c>
    </row>
    <row r="271" spans="5:23" hidden="1" x14ac:dyDescent="0.25">
      <c r="E271" s="119" t="s">
        <v>292</v>
      </c>
      <c r="F271" s="117"/>
      <c r="G271" s="117"/>
      <c r="H271" s="117">
        <f>H270</f>
        <v>0</v>
      </c>
      <c r="I271" s="117">
        <f>I270+H271</f>
        <v>0</v>
      </c>
      <c r="J271" s="117">
        <f t="shared" ref="J271:K271" si="76">J270+I271</f>
        <v>0</v>
      </c>
      <c r="K271" s="117">
        <f t="shared" si="76"/>
        <v>0</v>
      </c>
      <c r="L271" s="117">
        <f>L270+K271</f>
        <v>0</v>
      </c>
      <c r="M271" s="117"/>
    </row>
    <row r="272" spans="5:23" hidden="1" x14ac:dyDescent="0.25">
      <c r="E272" s="119" t="s">
        <v>296</v>
      </c>
      <c r="F272" s="120">
        <f>H188</f>
        <v>4219000</v>
      </c>
      <c r="G272" s="117">
        <f>X163</f>
        <v>3</v>
      </c>
      <c r="H272" s="117">
        <f>ROUND(($F$272/$G$272),0)</f>
        <v>1406333</v>
      </c>
      <c r="I272" s="117">
        <f t="shared" ref="I272:L272" si="77">ROUND(($F$272/$G$272),0)</f>
        <v>1406333</v>
      </c>
      <c r="J272" s="117">
        <f t="shared" si="77"/>
        <v>1406333</v>
      </c>
      <c r="K272" s="117">
        <f t="shared" si="77"/>
        <v>1406333</v>
      </c>
      <c r="L272" s="117">
        <f t="shared" si="77"/>
        <v>1406333</v>
      </c>
      <c r="M272" s="120">
        <f>F272-(H272+I272+J272+K272+L272)</f>
        <v>-2812665</v>
      </c>
    </row>
    <row r="273" spans="5:13" hidden="1" x14ac:dyDescent="0.25">
      <c r="E273" s="119" t="s">
        <v>292</v>
      </c>
      <c r="F273" s="117"/>
      <c r="G273" s="117"/>
      <c r="H273" s="117">
        <f>H272</f>
        <v>1406333</v>
      </c>
      <c r="I273" s="117">
        <f>I272+H273</f>
        <v>2812666</v>
      </c>
      <c r="J273" s="117">
        <f t="shared" ref="J273:L273" si="78">J272+I273</f>
        <v>4218999</v>
      </c>
      <c r="K273" s="117">
        <f t="shared" si="78"/>
        <v>5625332</v>
      </c>
      <c r="L273" s="117">
        <f t="shared" si="78"/>
        <v>7031665</v>
      </c>
      <c r="M273" s="117"/>
    </row>
    <row r="274" spans="5:13" hidden="1" x14ac:dyDescent="0.25">
      <c r="E274" s="117" t="s">
        <v>297</v>
      </c>
      <c r="F274" s="120">
        <f>SUM(F264:F273)</f>
        <v>7269000</v>
      </c>
      <c r="G274" s="117"/>
      <c r="H274" s="117">
        <f>H264+H266+H268+H270+H272</f>
        <v>1986333</v>
      </c>
      <c r="I274" s="117">
        <f t="shared" ref="I274:L274" si="79">I264+I266+I268+I270+I272</f>
        <v>1986333</v>
      </c>
      <c r="J274" s="117">
        <f t="shared" si="79"/>
        <v>1986333</v>
      </c>
      <c r="K274" s="117">
        <f t="shared" si="79"/>
        <v>1986333</v>
      </c>
      <c r="L274" s="117">
        <f t="shared" si="79"/>
        <v>1986333</v>
      </c>
      <c r="M274" s="120">
        <f>M264+M266+M268+M270+M272</f>
        <v>-2662665</v>
      </c>
    </row>
    <row r="275" spans="5:13" hidden="1" x14ac:dyDescent="0.25">
      <c r="E275" s="121" t="s">
        <v>298</v>
      </c>
      <c r="F275" s="120">
        <f>H218</f>
        <v>0</v>
      </c>
      <c r="G275" s="117">
        <f>X202</f>
        <v>1</v>
      </c>
      <c r="H275" s="117">
        <f>ROUND(($F$275/$G$275),0)</f>
        <v>0</v>
      </c>
      <c r="I275" s="117"/>
      <c r="J275" s="117"/>
      <c r="K275" s="117"/>
      <c r="L275" s="117"/>
      <c r="M275" s="120">
        <f>F275-H275</f>
        <v>0</v>
      </c>
    </row>
    <row r="276" spans="5:13" hidden="1" x14ac:dyDescent="0.25">
      <c r="E276" s="121" t="s">
        <v>299</v>
      </c>
      <c r="F276" s="120">
        <f>H237</f>
        <v>0</v>
      </c>
      <c r="G276" s="117">
        <f>X221</f>
        <v>10</v>
      </c>
      <c r="H276" s="117">
        <f>ROUND(($F$276/$G$276),0)</f>
        <v>0</v>
      </c>
      <c r="I276" s="117">
        <f>ROUND(($F$276/$G$276),0)</f>
        <v>0</v>
      </c>
      <c r="J276" s="117">
        <f>ROUND(($F$276/$G$276),0)</f>
        <v>0</v>
      </c>
      <c r="K276" s="117">
        <f>ROUND(($F$276/$G$276),0)</f>
        <v>0</v>
      </c>
      <c r="L276" s="117">
        <f>ROUND(($F$276/$G$276),0)</f>
        <v>0</v>
      </c>
      <c r="M276" s="120">
        <f>F276-SUM(H276:L276)</f>
        <v>0</v>
      </c>
    </row>
    <row r="277" spans="5:13" hidden="1" x14ac:dyDescent="0.25">
      <c r="E277" s="121" t="s">
        <v>300</v>
      </c>
      <c r="F277" s="117"/>
      <c r="G277" s="117"/>
      <c r="H277" s="117">
        <f>H276</f>
        <v>0</v>
      </c>
      <c r="I277" s="117">
        <f>I276+H277</f>
        <v>0</v>
      </c>
      <c r="J277" s="117">
        <f t="shared" ref="J277:L277" si="80">J276+I277</f>
        <v>0</v>
      </c>
      <c r="K277" s="117">
        <f t="shared" si="80"/>
        <v>0</v>
      </c>
      <c r="L277" s="117">
        <f t="shared" si="80"/>
        <v>0</v>
      </c>
      <c r="M277" s="117"/>
    </row>
    <row r="278" spans="5:13" hidden="1" x14ac:dyDescent="0.25">
      <c r="E278" s="121" t="s">
        <v>301</v>
      </c>
      <c r="F278" s="120">
        <f>H247</f>
        <v>0</v>
      </c>
      <c r="G278" s="117">
        <f>X240</f>
        <v>5</v>
      </c>
      <c r="H278" s="117">
        <f>ROUND(($F$278/$G$278),0)</f>
        <v>0</v>
      </c>
      <c r="I278" s="117">
        <f>ROUND(($F$278/$G$278),0)</f>
        <v>0</v>
      </c>
      <c r="J278" s="117">
        <f>ROUND(($F$278/$G$278),0)</f>
        <v>0</v>
      </c>
      <c r="K278" s="117">
        <f>ROUND(($F$278/$G$278),0)</f>
        <v>0</v>
      </c>
      <c r="L278" s="117">
        <f>ROUND(($F$278/$G$278),0)</f>
        <v>0</v>
      </c>
      <c r="M278" s="120">
        <f>F278-SUM(H278:L278)</f>
        <v>0</v>
      </c>
    </row>
    <row r="279" spans="5:13" hidden="1" x14ac:dyDescent="0.25">
      <c r="E279" s="121" t="s">
        <v>154</v>
      </c>
      <c r="F279" s="117"/>
      <c r="G279" s="117"/>
      <c r="H279" s="117">
        <f>H278</f>
        <v>0</v>
      </c>
      <c r="I279" s="117">
        <f>I278+H279</f>
        <v>0</v>
      </c>
      <c r="J279" s="117">
        <f t="shared" ref="J279:L279" si="81">J278+I279</f>
        <v>0</v>
      </c>
      <c r="K279" s="117">
        <f t="shared" si="81"/>
        <v>0</v>
      </c>
      <c r="L279" s="117">
        <f t="shared" si="81"/>
        <v>0</v>
      </c>
      <c r="M279" s="117"/>
    </row>
    <row r="280" spans="5:13" hidden="1" x14ac:dyDescent="0.25">
      <c r="E280" s="121" t="s">
        <v>302</v>
      </c>
      <c r="F280" s="120">
        <f>H257</f>
        <v>0</v>
      </c>
      <c r="G280" s="117">
        <f>X252</f>
        <v>5</v>
      </c>
      <c r="H280" s="117">
        <f>ROUND(($F$280/$G$280),0)</f>
        <v>0</v>
      </c>
      <c r="I280" s="117">
        <f>ROUND(($F$280/$G$280),0)</f>
        <v>0</v>
      </c>
      <c r="J280" s="117">
        <f>ROUND(($F$280/$G$280),0)</f>
        <v>0</v>
      </c>
      <c r="K280" s="117">
        <f>ROUND(($F$280/$G$280),0)</f>
        <v>0</v>
      </c>
      <c r="L280" s="117">
        <f>ROUND(($F$280/$G$280),0)</f>
        <v>0</v>
      </c>
      <c r="M280" s="120">
        <f>F280-SUM(H280:L280)</f>
        <v>0</v>
      </c>
    </row>
    <row r="281" spans="5:13" hidden="1" x14ac:dyDescent="0.25">
      <c r="E281" s="121" t="s">
        <v>303</v>
      </c>
      <c r="F281" s="117"/>
      <c r="G281" s="117"/>
      <c r="H281" s="117">
        <f>H280</f>
        <v>0</v>
      </c>
      <c r="I281" s="117">
        <f>I280+H281</f>
        <v>0</v>
      </c>
      <c r="J281" s="117">
        <f t="shared" ref="J281:L281" si="82">J280+I281</f>
        <v>0</v>
      </c>
      <c r="K281" s="117">
        <f t="shared" si="82"/>
        <v>0</v>
      </c>
      <c r="L281" s="117">
        <f t="shared" si="82"/>
        <v>0</v>
      </c>
      <c r="M281" s="117"/>
    </row>
    <row r="282" spans="5:13" hidden="1" x14ac:dyDescent="0.25">
      <c r="E282" s="7"/>
      <c r="F282" s="7"/>
      <c r="G282" s="7"/>
      <c r="H282" s="7"/>
      <c r="I282" s="7"/>
      <c r="J282" s="7"/>
      <c r="K282" s="7"/>
      <c r="L282" s="7"/>
      <c r="M282" s="7"/>
    </row>
    <row r="283" spans="5:13" hidden="1" x14ac:dyDescent="0.25">
      <c r="E283" s="7"/>
      <c r="F283" s="7"/>
      <c r="G283" s="7"/>
      <c r="H283" s="7"/>
      <c r="I283" s="7"/>
      <c r="J283" s="7"/>
      <c r="K283" s="7"/>
      <c r="L283" s="7"/>
      <c r="M283" s="7"/>
    </row>
    <row r="284" spans="5:13" hidden="1" x14ac:dyDescent="0.25">
      <c r="E284" s="639" t="s">
        <v>428</v>
      </c>
      <c r="F284" s="639"/>
      <c r="G284" s="639"/>
      <c r="H284" s="639"/>
      <c r="I284" s="639"/>
      <c r="J284" s="639"/>
      <c r="K284" s="639"/>
      <c r="L284" s="639"/>
      <c r="M284" s="7"/>
    </row>
    <row r="285" spans="5:13" hidden="1" x14ac:dyDescent="0.25">
      <c r="E285" s="117" t="s">
        <v>429</v>
      </c>
      <c r="F285" s="118">
        <f>BASES!D7</f>
        <v>2021</v>
      </c>
      <c r="G285" s="117" t="s">
        <v>391</v>
      </c>
      <c r="H285" s="118">
        <f>BASES!E7</f>
        <v>2022</v>
      </c>
      <c r="I285" s="118">
        <f>BASES!F7</f>
        <v>2023</v>
      </c>
      <c r="J285" s="118">
        <f>BASES!G7</f>
        <v>2024</v>
      </c>
      <c r="K285" s="118">
        <f>BASES!H7</f>
        <v>2025</v>
      </c>
      <c r="L285" s="117" t="s">
        <v>430</v>
      </c>
      <c r="M285" s="7"/>
    </row>
    <row r="286" spans="5:13" hidden="1" x14ac:dyDescent="0.25">
      <c r="E286" s="119" t="s">
        <v>291</v>
      </c>
      <c r="F286" s="120">
        <f>K54</f>
        <v>0</v>
      </c>
      <c r="G286" s="117">
        <f>X47</f>
        <v>20</v>
      </c>
      <c r="H286" s="117">
        <f>ROUND(($F$286/$G$286),0)</f>
        <v>0</v>
      </c>
      <c r="I286" s="117">
        <f t="shared" ref="I286:K286" si="83">ROUND(($F$286/$G$286),0)</f>
        <v>0</v>
      </c>
      <c r="J286" s="117">
        <f t="shared" si="83"/>
        <v>0</v>
      </c>
      <c r="K286" s="117">
        <f t="shared" si="83"/>
        <v>0</v>
      </c>
      <c r="L286" s="120">
        <f>F286-SUM(H286:K286)</f>
        <v>0</v>
      </c>
      <c r="M286" s="7"/>
    </row>
    <row r="287" spans="5:13" hidden="1" x14ac:dyDescent="0.25">
      <c r="E287" s="119" t="s">
        <v>292</v>
      </c>
      <c r="F287" s="117"/>
      <c r="G287" s="117"/>
      <c r="H287" s="117">
        <f>H286</f>
        <v>0</v>
      </c>
      <c r="I287" s="117">
        <f>I286+H287</f>
        <v>0</v>
      </c>
      <c r="J287" s="117">
        <f t="shared" ref="J287:K287" si="84">J286+I287</f>
        <v>0</v>
      </c>
      <c r="K287" s="117">
        <f t="shared" si="84"/>
        <v>0</v>
      </c>
      <c r="L287" s="117"/>
      <c r="M287" s="7"/>
    </row>
    <row r="288" spans="5:13" hidden="1" x14ac:dyDescent="0.25">
      <c r="E288" s="119" t="s">
        <v>293</v>
      </c>
      <c r="F288" s="120">
        <f>K97</f>
        <v>357000</v>
      </c>
      <c r="G288" s="117">
        <f>X57</f>
        <v>10</v>
      </c>
      <c r="H288" s="117">
        <f>ROUND(($F$288/$G$288),0)</f>
        <v>35700</v>
      </c>
      <c r="I288" s="117">
        <f t="shared" ref="I288:K288" si="85">ROUND(($F$288/$G$288),0)</f>
        <v>35700</v>
      </c>
      <c r="J288" s="117">
        <f t="shared" si="85"/>
        <v>35700</v>
      </c>
      <c r="K288" s="117">
        <f t="shared" si="85"/>
        <v>35700</v>
      </c>
      <c r="L288" s="120">
        <f>F288-SUM(H288:K288)</f>
        <v>214200</v>
      </c>
      <c r="M288" s="7"/>
    </row>
    <row r="289" spans="5:13" hidden="1" x14ac:dyDescent="0.25">
      <c r="E289" s="119" t="s">
        <v>292</v>
      </c>
      <c r="F289" s="117"/>
      <c r="G289" s="117"/>
      <c r="H289" s="117">
        <f>H288</f>
        <v>35700</v>
      </c>
      <c r="I289" s="117">
        <f>I288+H289</f>
        <v>71400</v>
      </c>
      <c r="J289" s="117">
        <f t="shared" ref="J289:K289" si="86">J288+I289</f>
        <v>107100</v>
      </c>
      <c r="K289" s="117">
        <f t="shared" si="86"/>
        <v>142800</v>
      </c>
      <c r="L289" s="117"/>
      <c r="M289" s="7"/>
    </row>
    <row r="290" spans="5:13" hidden="1" x14ac:dyDescent="0.25">
      <c r="E290" s="119" t="s">
        <v>294</v>
      </c>
      <c r="F290" s="120">
        <f>K150</f>
        <v>0</v>
      </c>
      <c r="G290" s="117">
        <f>X100</f>
        <v>5</v>
      </c>
      <c r="H290" s="117">
        <f>ROUND(($F$290/$G$290),0)</f>
        <v>0</v>
      </c>
      <c r="I290" s="117">
        <f t="shared" ref="I290:K290" si="87">ROUND(($F$290/$G$290),0)</f>
        <v>0</v>
      </c>
      <c r="J290" s="117">
        <f t="shared" si="87"/>
        <v>0</v>
      </c>
      <c r="K290" s="117">
        <f t="shared" si="87"/>
        <v>0</v>
      </c>
      <c r="L290" s="120">
        <f>F290-SUM(H290:K290)</f>
        <v>0</v>
      </c>
      <c r="M290" s="7"/>
    </row>
    <row r="291" spans="5:13" hidden="1" x14ac:dyDescent="0.25">
      <c r="E291" s="119" t="s">
        <v>292</v>
      </c>
      <c r="F291" s="117"/>
      <c r="G291" s="117"/>
      <c r="H291" s="117">
        <f>H290</f>
        <v>0</v>
      </c>
      <c r="I291" s="117">
        <f>I290+H291</f>
        <v>0</v>
      </c>
      <c r="J291" s="117">
        <f t="shared" ref="J291:K291" si="88">J290+I291</f>
        <v>0</v>
      </c>
      <c r="K291" s="117">
        <f t="shared" si="88"/>
        <v>0</v>
      </c>
      <c r="L291" s="117"/>
      <c r="M291" s="7"/>
    </row>
    <row r="292" spans="5:13" hidden="1" x14ac:dyDescent="0.25">
      <c r="E292" s="119" t="s">
        <v>295</v>
      </c>
      <c r="F292" s="120">
        <f>K160</f>
        <v>0</v>
      </c>
      <c r="G292" s="117">
        <f>X153</f>
        <v>5</v>
      </c>
      <c r="H292" s="117">
        <f>ROUND(($F$292/$G$292),0)</f>
        <v>0</v>
      </c>
      <c r="I292" s="117">
        <f t="shared" ref="I292:K292" si="89">ROUND(($F$292/$G$292),0)</f>
        <v>0</v>
      </c>
      <c r="J292" s="117">
        <f t="shared" si="89"/>
        <v>0</v>
      </c>
      <c r="K292" s="117">
        <f t="shared" si="89"/>
        <v>0</v>
      </c>
      <c r="L292" s="120">
        <f>F292-SUM(H292:K292)</f>
        <v>0</v>
      </c>
      <c r="M292" s="7"/>
    </row>
    <row r="293" spans="5:13" hidden="1" x14ac:dyDescent="0.25">
      <c r="E293" s="119" t="s">
        <v>292</v>
      </c>
      <c r="F293" s="117"/>
      <c r="G293" s="117"/>
      <c r="H293" s="117">
        <f>H292</f>
        <v>0</v>
      </c>
      <c r="I293" s="117">
        <f>I292+H293</f>
        <v>0</v>
      </c>
      <c r="J293" s="117">
        <f t="shared" ref="J293:K293" si="90">J292+I293</f>
        <v>0</v>
      </c>
      <c r="K293" s="117">
        <f t="shared" si="90"/>
        <v>0</v>
      </c>
      <c r="L293" s="117"/>
      <c r="M293" s="7"/>
    </row>
    <row r="294" spans="5:13" hidden="1" x14ac:dyDescent="0.25">
      <c r="E294" s="119" t="s">
        <v>296</v>
      </c>
      <c r="F294" s="120">
        <f>K188</f>
        <v>0</v>
      </c>
      <c r="G294" s="117">
        <f>X163</f>
        <v>3</v>
      </c>
      <c r="H294" s="117">
        <f>ROUND(($F$294/$G$294),0)</f>
        <v>0</v>
      </c>
      <c r="I294" s="117">
        <f t="shared" ref="I294:K294" si="91">ROUND(($F$294/$G$294),0)</f>
        <v>0</v>
      </c>
      <c r="J294" s="117">
        <f t="shared" si="91"/>
        <v>0</v>
      </c>
      <c r="K294" s="117">
        <f t="shared" si="91"/>
        <v>0</v>
      </c>
      <c r="L294" s="120">
        <f>F294-SUM(H294:K294)</f>
        <v>0</v>
      </c>
      <c r="M294" s="7"/>
    </row>
    <row r="295" spans="5:13" hidden="1" x14ac:dyDescent="0.25">
      <c r="E295" s="119" t="s">
        <v>292</v>
      </c>
      <c r="F295" s="117"/>
      <c r="G295" s="117"/>
      <c r="H295" s="117">
        <f>H294</f>
        <v>0</v>
      </c>
      <c r="I295" s="117">
        <f>I294+H295</f>
        <v>0</v>
      </c>
      <c r="J295" s="117">
        <f t="shared" ref="J295:K295" si="92">J294+I295</f>
        <v>0</v>
      </c>
      <c r="K295" s="117">
        <f t="shared" si="92"/>
        <v>0</v>
      </c>
      <c r="L295" s="117"/>
      <c r="M295" s="7"/>
    </row>
    <row r="296" spans="5:13" hidden="1" x14ac:dyDescent="0.25">
      <c r="E296" s="117" t="s">
        <v>297</v>
      </c>
      <c r="F296" s="120">
        <f>F286+F288+F290+F292+F294</f>
        <v>357000</v>
      </c>
      <c r="G296" s="120"/>
      <c r="H296" s="120">
        <f t="shared" ref="H296:L296" si="93">H286+H288+H290+H292+H294</f>
        <v>35700</v>
      </c>
      <c r="I296" s="120">
        <f t="shared" si="93"/>
        <v>35700</v>
      </c>
      <c r="J296" s="120">
        <f t="shared" si="93"/>
        <v>35700</v>
      </c>
      <c r="K296" s="120">
        <f t="shared" si="93"/>
        <v>35700</v>
      </c>
      <c r="L296" s="120">
        <f t="shared" si="93"/>
        <v>214200</v>
      </c>
      <c r="M296" s="7"/>
    </row>
    <row r="297" spans="5:13" hidden="1" x14ac:dyDescent="0.25">
      <c r="E297" s="119" t="s">
        <v>298</v>
      </c>
      <c r="F297" s="120">
        <f>K218</f>
        <v>0</v>
      </c>
      <c r="G297" s="117">
        <f>X202</f>
        <v>1</v>
      </c>
      <c r="H297" s="117">
        <f>ROUND(($F$297/$G$297),0)</f>
        <v>0</v>
      </c>
      <c r="I297" s="117">
        <f t="shared" ref="I297:K297" si="94">ROUND(($F$297/$G$297),0)</f>
        <v>0</v>
      </c>
      <c r="J297" s="117">
        <f t="shared" si="94"/>
        <v>0</v>
      </c>
      <c r="K297" s="117">
        <f t="shared" si="94"/>
        <v>0</v>
      </c>
      <c r="L297" s="120">
        <f>F297-SUM(H297:K297)</f>
        <v>0</v>
      </c>
      <c r="M297" s="7"/>
    </row>
    <row r="298" spans="5:13" hidden="1" x14ac:dyDescent="0.25">
      <c r="E298" s="119" t="s">
        <v>299</v>
      </c>
      <c r="F298" s="120">
        <f>K237</f>
        <v>0</v>
      </c>
      <c r="G298" s="117">
        <f>X221</f>
        <v>10</v>
      </c>
      <c r="H298" s="117">
        <f>ROUND(($F$298/$G$298),0)</f>
        <v>0</v>
      </c>
      <c r="I298" s="117">
        <f t="shared" ref="I298:K298" si="95">ROUND(($F$298/$G$298),0)</f>
        <v>0</v>
      </c>
      <c r="J298" s="117">
        <f t="shared" si="95"/>
        <v>0</v>
      </c>
      <c r="K298" s="117">
        <f t="shared" si="95"/>
        <v>0</v>
      </c>
      <c r="L298" s="120">
        <f>F298-SUM(H298:K298)</f>
        <v>0</v>
      </c>
      <c r="M298" s="7"/>
    </row>
    <row r="299" spans="5:13" hidden="1" x14ac:dyDescent="0.25">
      <c r="E299" s="119" t="s">
        <v>300</v>
      </c>
      <c r="F299" s="117"/>
      <c r="G299" s="117"/>
      <c r="H299" s="117">
        <f>H298</f>
        <v>0</v>
      </c>
      <c r="I299" s="117">
        <f>I298+H299</f>
        <v>0</v>
      </c>
      <c r="J299" s="117">
        <f t="shared" ref="J299:K299" si="96">J298+I299</f>
        <v>0</v>
      </c>
      <c r="K299" s="117">
        <f t="shared" si="96"/>
        <v>0</v>
      </c>
      <c r="L299" s="117"/>
      <c r="M299" s="7"/>
    </row>
    <row r="300" spans="5:13" hidden="1" x14ac:dyDescent="0.25">
      <c r="E300" s="119" t="s">
        <v>301</v>
      </c>
      <c r="F300" s="120">
        <f>K249</f>
        <v>0</v>
      </c>
      <c r="G300" s="117">
        <f>X240</f>
        <v>5</v>
      </c>
      <c r="H300" s="117">
        <f>ROUND(($F$300/$G$300),0)</f>
        <v>0</v>
      </c>
      <c r="I300" s="117">
        <f t="shared" ref="I300:K300" si="97">ROUND(($F$300/$G$300),0)</f>
        <v>0</v>
      </c>
      <c r="J300" s="117">
        <f t="shared" si="97"/>
        <v>0</v>
      </c>
      <c r="K300" s="117">
        <f t="shared" si="97"/>
        <v>0</v>
      </c>
      <c r="L300" s="120">
        <f>F300-SUM(H300:K300)</f>
        <v>0</v>
      </c>
      <c r="M300" s="7"/>
    </row>
    <row r="301" spans="5:13" hidden="1" x14ac:dyDescent="0.25">
      <c r="E301" s="119" t="s">
        <v>154</v>
      </c>
      <c r="F301" s="117"/>
      <c r="G301" s="117"/>
      <c r="H301" s="117">
        <f>H300</f>
        <v>0</v>
      </c>
      <c r="I301" s="117">
        <f>I300+H301</f>
        <v>0</v>
      </c>
      <c r="J301" s="117">
        <f t="shared" ref="J301:K301" si="98">J300+I301</f>
        <v>0</v>
      </c>
      <c r="K301" s="117">
        <f t="shared" si="98"/>
        <v>0</v>
      </c>
      <c r="L301" s="117"/>
      <c r="M301" s="7"/>
    </row>
    <row r="302" spans="5:13" hidden="1" x14ac:dyDescent="0.25">
      <c r="E302" s="119" t="s">
        <v>302</v>
      </c>
      <c r="F302" s="120">
        <f>K255</f>
        <v>0</v>
      </c>
      <c r="G302" s="117">
        <f>X252</f>
        <v>5</v>
      </c>
      <c r="H302" s="117">
        <f>ROUND(($F$302/$G$302),0)</f>
        <v>0</v>
      </c>
      <c r="I302" s="117">
        <f t="shared" ref="I302:K302" si="99">ROUND(($F$302/$G$302),0)</f>
        <v>0</v>
      </c>
      <c r="J302" s="117">
        <f t="shared" si="99"/>
        <v>0</v>
      </c>
      <c r="K302" s="117">
        <f t="shared" si="99"/>
        <v>0</v>
      </c>
      <c r="L302" s="120">
        <f>F302-SUM(H302:K302)</f>
        <v>0</v>
      </c>
      <c r="M302" s="7"/>
    </row>
    <row r="303" spans="5:13" hidden="1" x14ac:dyDescent="0.25">
      <c r="E303" s="119" t="s">
        <v>303</v>
      </c>
      <c r="F303" s="117"/>
      <c r="G303" s="117"/>
      <c r="H303" s="117">
        <f>H302</f>
        <v>0</v>
      </c>
      <c r="I303" s="117">
        <f>I302+H303</f>
        <v>0</v>
      </c>
      <c r="J303" s="117">
        <f t="shared" ref="J303:K303" si="100">J302+I303</f>
        <v>0</v>
      </c>
      <c r="K303" s="117">
        <f t="shared" si="100"/>
        <v>0</v>
      </c>
      <c r="L303" s="117"/>
      <c r="M303" s="7"/>
    </row>
    <row r="304" spans="5:13" hidden="1" x14ac:dyDescent="0.25">
      <c r="E304" s="7"/>
      <c r="F304" s="7"/>
      <c r="G304" s="7"/>
      <c r="H304" s="7"/>
      <c r="I304" s="7"/>
      <c r="J304" s="7"/>
      <c r="K304" s="7"/>
      <c r="L304" s="7"/>
      <c r="M304" s="7"/>
    </row>
    <row r="305" spans="5:13" hidden="1" x14ac:dyDescent="0.25">
      <c r="E305" s="7"/>
      <c r="F305" s="7"/>
      <c r="G305" s="7"/>
      <c r="H305" s="7"/>
      <c r="I305" s="7"/>
      <c r="J305" s="7"/>
      <c r="K305" s="7"/>
      <c r="L305" s="7"/>
      <c r="M305" s="7"/>
    </row>
    <row r="306" spans="5:13" hidden="1" x14ac:dyDescent="0.25">
      <c r="E306" s="639" t="s">
        <v>431</v>
      </c>
      <c r="F306" s="639"/>
      <c r="G306" s="639"/>
      <c r="H306" s="639"/>
      <c r="I306" s="639"/>
      <c r="J306" s="639"/>
      <c r="K306" s="639"/>
      <c r="L306" s="7"/>
      <c r="M306" s="7"/>
    </row>
    <row r="307" spans="5:13" hidden="1" x14ac:dyDescent="0.25">
      <c r="E307" s="117" t="s">
        <v>425</v>
      </c>
      <c r="F307" s="118">
        <f>BASES!E7</f>
        <v>2022</v>
      </c>
      <c r="G307" s="117" t="s">
        <v>391</v>
      </c>
      <c r="H307" s="118">
        <f>BASES!F7</f>
        <v>2023</v>
      </c>
      <c r="I307" s="118">
        <f>BASES!G7</f>
        <v>2024</v>
      </c>
      <c r="J307" s="118">
        <f>BASES!H7</f>
        <v>2025</v>
      </c>
      <c r="K307" s="117" t="s">
        <v>430</v>
      </c>
      <c r="L307" s="7"/>
      <c r="M307" s="7"/>
    </row>
    <row r="308" spans="5:13" hidden="1" x14ac:dyDescent="0.25">
      <c r="E308" s="119" t="s">
        <v>291</v>
      </c>
      <c r="F308" s="120">
        <f>N54</f>
        <v>0</v>
      </c>
      <c r="G308" s="117">
        <f>X47</f>
        <v>20</v>
      </c>
      <c r="H308" s="117">
        <f>ROUND(($F$308/$G$308),0)</f>
        <v>0</v>
      </c>
      <c r="I308" s="117">
        <f t="shared" ref="I308:J308" si="101">ROUND(($F$308/$G$308),0)</f>
        <v>0</v>
      </c>
      <c r="J308" s="117">
        <f t="shared" si="101"/>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293</v>
      </c>
      <c r="F310" s="120">
        <f>N97</f>
        <v>421000</v>
      </c>
      <c r="G310" s="117">
        <f>X57</f>
        <v>10</v>
      </c>
      <c r="H310" s="117">
        <f>ROUND(($F$310/$G$310),0)</f>
        <v>42100</v>
      </c>
      <c r="I310" s="117">
        <f t="shared" ref="I310:J310" si="102">ROUND(($F$310/$G$310),0)</f>
        <v>42100</v>
      </c>
      <c r="J310" s="117">
        <f t="shared" si="102"/>
        <v>42100</v>
      </c>
      <c r="K310" s="120">
        <f>F310-SUM(H310:J310)</f>
        <v>294700</v>
      </c>
      <c r="L310" s="7"/>
      <c r="M310" s="7"/>
    </row>
    <row r="311" spans="5:13" hidden="1" x14ac:dyDescent="0.25">
      <c r="E311" s="119" t="s">
        <v>292</v>
      </c>
      <c r="F311" s="117"/>
      <c r="G311" s="117"/>
      <c r="H311" s="117">
        <f>H310</f>
        <v>42100</v>
      </c>
      <c r="I311" s="117">
        <f>I310+H311</f>
        <v>84200</v>
      </c>
      <c r="J311" s="117">
        <f>J310+I311</f>
        <v>126300</v>
      </c>
      <c r="K311" s="117"/>
      <c r="L311" s="7"/>
      <c r="M311" s="7"/>
    </row>
    <row r="312" spans="5:13" hidden="1" x14ac:dyDescent="0.25">
      <c r="E312" s="119" t="s">
        <v>294</v>
      </c>
      <c r="F312" s="120">
        <f>N150</f>
        <v>0</v>
      </c>
      <c r="G312" s="117">
        <f>X100</f>
        <v>5</v>
      </c>
      <c r="H312" s="117">
        <f>ROUND(($F$312/$G$312),0)</f>
        <v>0</v>
      </c>
      <c r="I312" s="117">
        <f t="shared" ref="I312:J312" si="103">ROUND(($F$312/$G$312),0)</f>
        <v>0</v>
      </c>
      <c r="J312" s="117">
        <f t="shared" si="103"/>
        <v>0</v>
      </c>
      <c r="K312" s="120">
        <f>F312-SUM(H312:J312)</f>
        <v>0</v>
      </c>
      <c r="L312" s="7"/>
      <c r="M312" s="7"/>
    </row>
    <row r="313" spans="5:13" hidden="1" x14ac:dyDescent="0.25">
      <c r="E313" s="119" t="s">
        <v>292</v>
      </c>
      <c r="F313" s="117"/>
      <c r="G313" s="117"/>
      <c r="H313" s="117">
        <f>H312</f>
        <v>0</v>
      </c>
      <c r="I313" s="117">
        <f>I312+H313</f>
        <v>0</v>
      </c>
      <c r="J313" s="117">
        <f>J312+I313</f>
        <v>0</v>
      </c>
      <c r="K313" s="117"/>
      <c r="L313" s="7"/>
      <c r="M313" s="7"/>
    </row>
    <row r="314" spans="5:13" hidden="1" x14ac:dyDescent="0.25">
      <c r="E314" s="119" t="s">
        <v>295</v>
      </c>
      <c r="F314" s="120">
        <f>N160</f>
        <v>0</v>
      </c>
      <c r="G314" s="117">
        <f>X153</f>
        <v>5</v>
      </c>
      <c r="H314" s="117">
        <f>ROUND(($F$314/$G$314),0)</f>
        <v>0</v>
      </c>
      <c r="I314" s="117">
        <f t="shared" ref="I314:J314" si="104">ROUND(($F$314/$G$314),0)</f>
        <v>0</v>
      </c>
      <c r="J314" s="117">
        <f t="shared" si="104"/>
        <v>0</v>
      </c>
      <c r="K314" s="120">
        <f>F314-SUM(H314:J314)</f>
        <v>0</v>
      </c>
      <c r="L314" s="7"/>
      <c r="M314" s="7"/>
    </row>
    <row r="315" spans="5:13" hidden="1" x14ac:dyDescent="0.25">
      <c r="E315" s="119" t="s">
        <v>292</v>
      </c>
      <c r="F315" s="117"/>
      <c r="G315" s="117"/>
      <c r="H315" s="117">
        <f>H314</f>
        <v>0</v>
      </c>
      <c r="I315" s="117">
        <f>I314+H315</f>
        <v>0</v>
      </c>
      <c r="J315" s="117">
        <f>J314+I315</f>
        <v>0</v>
      </c>
      <c r="K315" s="117"/>
      <c r="L315" s="7"/>
      <c r="M315" s="7"/>
    </row>
    <row r="316" spans="5:13" hidden="1" x14ac:dyDescent="0.25">
      <c r="E316" s="119" t="s">
        <v>296</v>
      </c>
      <c r="F316" s="120">
        <f>N188</f>
        <v>0</v>
      </c>
      <c r="G316" s="117">
        <f>X163</f>
        <v>3</v>
      </c>
      <c r="H316" s="117">
        <f>ROUND(($F$316/$G$316),0)</f>
        <v>0</v>
      </c>
      <c r="I316" s="117">
        <f t="shared" ref="I316:J316" si="105">ROUND(($F$316/$G$316),0)</f>
        <v>0</v>
      </c>
      <c r="J316" s="117">
        <f t="shared" si="105"/>
        <v>0</v>
      </c>
      <c r="K316" s="120">
        <f>F316-SUM(H316:J316)</f>
        <v>0</v>
      </c>
      <c r="L316" s="7"/>
      <c r="M316" s="7"/>
    </row>
    <row r="317" spans="5:13" hidden="1" x14ac:dyDescent="0.25">
      <c r="E317" s="119" t="s">
        <v>292</v>
      </c>
      <c r="F317" s="117"/>
      <c r="G317" s="117"/>
      <c r="H317" s="117">
        <f>H316</f>
        <v>0</v>
      </c>
      <c r="I317" s="117">
        <f>I316+H317</f>
        <v>0</v>
      </c>
      <c r="J317" s="117">
        <f>J316+I317</f>
        <v>0</v>
      </c>
      <c r="K317" s="117"/>
      <c r="L317" s="7"/>
      <c r="M317" s="7"/>
    </row>
    <row r="318" spans="5:13" hidden="1" x14ac:dyDescent="0.25">
      <c r="E318" s="117" t="s">
        <v>297</v>
      </c>
      <c r="F318" s="120">
        <f>F308+F310+F312+F314+F316</f>
        <v>421000</v>
      </c>
      <c r="G318" s="120"/>
      <c r="H318" s="120">
        <f t="shared" ref="H318:K318" si="106">H308+H310+H312+H314+H316</f>
        <v>42100</v>
      </c>
      <c r="I318" s="120">
        <f t="shared" si="106"/>
        <v>42100</v>
      </c>
      <c r="J318" s="120">
        <f t="shared" si="106"/>
        <v>42100</v>
      </c>
      <c r="K318" s="120">
        <f t="shared" si="106"/>
        <v>294700</v>
      </c>
      <c r="L318" s="7"/>
      <c r="M318" s="7"/>
    </row>
    <row r="319" spans="5:13" hidden="1" x14ac:dyDescent="0.25">
      <c r="E319" s="119" t="s">
        <v>298</v>
      </c>
      <c r="F319" s="120">
        <f>N218</f>
        <v>0</v>
      </c>
      <c r="G319" s="117">
        <f>X202</f>
        <v>1</v>
      </c>
      <c r="H319" s="117">
        <f>ROUND(($F$319/$G$319),0)</f>
        <v>0</v>
      </c>
      <c r="I319" s="117">
        <f t="shared" ref="I319:J319" si="107">ROUND(($F$319/$G$319),0)</f>
        <v>0</v>
      </c>
      <c r="J319" s="117">
        <f t="shared" si="107"/>
        <v>0</v>
      </c>
      <c r="K319" s="120">
        <f>F319-SUM(H319:J319)</f>
        <v>0</v>
      </c>
      <c r="L319" s="7"/>
      <c r="M319" s="7"/>
    </row>
    <row r="320" spans="5:13" hidden="1" x14ac:dyDescent="0.25">
      <c r="E320" s="119" t="s">
        <v>299</v>
      </c>
      <c r="F320" s="120">
        <f>N237</f>
        <v>0</v>
      </c>
      <c r="G320" s="117">
        <f>X221</f>
        <v>10</v>
      </c>
      <c r="H320" s="117">
        <f>ROUND(($F$320/$G$320),0)</f>
        <v>0</v>
      </c>
      <c r="I320" s="117">
        <f t="shared" ref="I320:J320" si="108">ROUND(($F$320/$G$320),0)</f>
        <v>0</v>
      </c>
      <c r="J320" s="117">
        <f t="shared" si="108"/>
        <v>0</v>
      </c>
      <c r="K320" s="120">
        <f>F320-SUM(H320:J320)</f>
        <v>0</v>
      </c>
      <c r="L320" s="7"/>
      <c r="M320" s="7"/>
    </row>
    <row r="321" spans="5:13" hidden="1" x14ac:dyDescent="0.25">
      <c r="E321" s="119" t="s">
        <v>300</v>
      </c>
      <c r="F321" s="117"/>
      <c r="G321" s="117"/>
      <c r="H321" s="117">
        <f>H320</f>
        <v>0</v>
      </c>
      <c r="I321" s="117">
        <f>I320+H321</f>
        <v>0</v>
      </c>
      <c r="J321" s="117">
        <f>J320+I321</f>
        <v>0</v>
      </c>
      <c r="K321" s="117"/>
      <c r="L321" s="7"/>
      <c r="M321" s="7"/>
    </row>
    <row r="322" spans="5:13" hidden="1" x14ac:dyDescent="0.25">
      <c r="E322" s="119" t="s">
        <v>301</v>
      </c>
      <c r="F322" s="120">
        <f>N247</f>
        <v>0</v>
      </c>
      <c r="G322" s="117">
        <f>X240</f>
        <v>5</v>
      </c>
      <c r="H322" s="117">
        <f>ROUND(($F$322/$G$322),0)</f>
        <v>0</v>
      </c>
      <c r="I322" s="117">
        <f t="shared" ref="I322:J322" si="109">ROUND(($F$322/$G$322),0)</f>
        <v>0</v>
      </c>
      <c r="J322" s="117">
        <f t="shared" si="109"/>
        <v>0</v>
      </c>
      <c r="K322" s="120">
        <f>F322-SUM(H322:J322)</f>
        <v>0</v>
      </c>
      <c r="L322" s="7"/>
      <c r="M322" s="7"/>
    </row>
    <row r="323" spans="5:13" hidden="1" x14ac:dyDescent="0.25">
      <c r="E323" s="119" t="s">
        <v>154</v>
      </c>
      <c r="F323" s="117"/>
      <c r="G323" s="117"/>
      <c r="H323" s="117">
        <f>H322</f>
        <v>0</v>
      </c>
      <c r="I323" s="117">
        <f>I322+H323</f>
        <v>0</v>
      </c>
      <c r="J323" s="117">
        <f>J322+I323</f>
        <v>0</v>
      </c>
      <c r="K323" s="117"/>
      <c r="L323" s="7"/>
      <c r="M323" s="7"/>
    </row>
    <row r="324" spans="5:13" hidden="1" x14ac:dyDescent="0.25">
      <c r="E324" s="119" t="s">
        <v>302</v>
      </c>
      <c r="F324" s="120">
        <f>N255</f>
        <v>0</v>
      </c>
      <c r="G324" s="117">
        <f>X252</f>
        <v>5</v>
      </c>
      <c r="H324" s="117">
        <f>ROUND(($F$324/$G$324),0)</f>
        <v>0</v>
      </c>
      <c r="I324" s="117">
        <f t="shared" ref="I324:J324" si="110">ROUND(($F$324/$G$324),0)</f>
        <v>0</v>
      </c>
      <c r="J324" s="117">
        <f t="shared" si="110"/>
        <v>0</v>
      </c>
      <c r="K324" s="120">
        <f>F324-SUM(H324:J324)</f>
        <v>0</v>
      </c>
      <c r="L324" s="7"/>
      <c r="M324" s="7"/>
    </row>
    <row r="325" spans="5:13" hidden="1" x14ac:dyDescent="0.25">
      <c r="E325" s="119" t="s">
        <v>303</v>
      </c>
      <c r="F325" s="117"/>
      <c r="G325" s="117"/>
      <c r="H325" s="117">
        <f>H324</f>
        <v>0</v>
      </c>
      <c r="I325" s="117">
        <f>I324+H325</f>
        <v>0</v>
      </c>
      <c r="J325" s="117">
        <f>J324+I325</f>
        <v>0</v>
      </c>
      <c r="K325" s="117"/>
      <c r="L325" s="7"/>
      <c r="M325" s="7"/>
    </row>
    <row r="326" spans="5:13" hidden="1" x14ac:dyDescent="0.25">
      <c r="E326" s="7"/>
      <c r="F326" s="7"/>
      <c r="G326" s="7"/>
      <c r="H326" s="7"/>
      <c r="I326" s="7"/>
      <c r="J326" s="7"/>
      <c r="K326" s="7"/>
      <c r="L326" s="7"/>
      <c r="M326" s="7"/>
    </row>
    <row r="327" spans="5:13" hidden="1" x14ac:dyDescent="0.25">
      <c r="E327" s="7"/>
      <c r="F327" s="7"/>
      <c r="G327" s="7"/>
      <c r="H327" s="7"/>
      <c r="I327" s="7"/>
      <c r="J327" s="7"/>
      <c r="K327" s="7"/>
      <c r="L327" s="7"/>
      <c r="M327" s="7"/>
    </row>
    <row r="328" spans="5:13" hidden="1" x14ac:dyDescent="0.25">
      <c r="E328" s="639" t="s">
        <v>432</v>
      </c>
      <c r="F328" s="639"/>
      <c r="G328" s="639"/>
      <c r="H328" s="639"/>
      <c r="I328" s="639"/>
      <c r="J328" s="639"/>
      <c r="K328" s="7"/>
      <c r="L328" s="7"/>
      <c r="M328" s="7"/>
    </row>
    <row r="329" spans="5:13" hidden="1" x14ac:dyDescent="0.25">
      <c r="E329" s="117" t="s">
        <v>429</v>
      </c>
      <c r="F329" s="118">
        <f>BASES!F7</f>
        <v>2023</v>
      </c>
      <c r="G329" s="117" t="s">
        <v>391</v>
      </c>
      <c r="H329" s="118">
        <f>BASES!G7</f>
        <v>2024</v>
      </c>
      <c r="I329" s="118">
        <f>BASES!H7</f>
        <v>2025</v>
      </c>
      <c r="J329" s="117" t="s">
        <v>430</v>
      </c>
      <c r="K329" s="7"/>
      <c r="L329" s="7"/>
      <c r="M329" s="7"/>
    </row>
    <row r="330" spans="5:13" hidden="1" x14ac:dyDescent="0.25">
      <c r="E330" s="119" t="s">
        <v>291</v>
      </c>
      <c r="F330" s="120">
        <f>Q54</f>
        <v>0</v>
      </c>
      <c r="G330" s="117">
        <f>X47</f>
        <v>20</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293</v>
      </c>
      <c r="F332" s="120">
        <f>Q97</f>
        <v>497150</v>
      </c>
      <c r="G332" s="117">
        <f>X57</f>
        <v>10</v>
      </c>
      <c r="H332" s="117">
        <f>ROUND(($F$332/$G$332),0)</f>
        <v>49715</v>
      </c>
      <c r="I332" s="117">
        <f>ROUND(($F$332/$G$332),0)</f>
        <v>49715</v>
      </c>
      <c r="J332" s="120">
        <f>F332-SUM(H332:I332)</f>
        <v>397720</v>
      </c>
      <c r="K332" s="7"/>
      <c r="L332" s="7"/>
      <c r="M332" s="7"/>
    </row>
    <row r="333" spans="5:13" hidden="1" x14ac:dyDescent="0.25">
      <c r="E333" s="119" t="s">
        <v>292</v>
      </c>
      <c r="F333" s="117"/>
      <c r="G333" s="117"/>
      <c r="H333" s="117">
        <f>H332</f>
        <v>49715</v>
      </c>
      <c r="I333" s="117">
        <f>I332+H333</f>
        <v>99430</v>
      </c>
      <c r="J333" s="117"/>
      <c r="K333" s="7"/>
      <c r="L333" s="7"/>
      <c r="M333" s="7"/>
    </row>
    <row r="334" spans="5:13" hidden="1" x14ac:dyDescent="0.25">
      <c r="E334" s="119" t="s">
        <v>294</v>
      </c>
      <c r="F334" s="120">
        <f>Q150</f>
        <v>0</v>
      </c>
      <c r="G334" s="117">
        <f>X100</f>
        <v>5</v>
      </c>
      <c r="H334" s="117">
        <f>ROUND(($F$334/$G$334),0)</f>
        <v>0</v>
      </c>
      <c r="I334" s="117">
        <f>ROUND(($F$334/$G$334),0)</f>
        <v>0</v>
      </c>
      <c r="J334" s="120">
        <f>F334-SUM(H334:I334)</f>
        <v>0</v>
      </c>
      <c r="K334" s="7"/>
      <c r="L334" s="7"/>
      <c r="M334" s="7"/>
    </row>
    <row r="335" spans="5:13" hidden="1" x14ac:dyDescent="0.25">
      <c r="E335" s="119" t="s">
        <v>292</v>
      </c>
      <c r="F335" s="117"/>
      <c r="G335" s="117"/>
      <c r="H335" s="117">
        <f>H334</f>
        <v>0</v>
      </c>
      <c r="I335" s="117">
        <f>I334+H335</f>
        <v>0</v>
      </c>
      <c r="J335" s="117"/>
      <c r="K335" s="7"/>
      <c r="L335" s="7"/>
      <c r="M335" s="7"/>
    </row>
    <row r="336" spans="5:13" hidden="1" x14ac:dyDescent="0.25">
      <c r="E336" s="119" t="s">
        <v>295</v>
      </c>
      <c r="F336" s="120">
        <f>Q160</f>
        <v>0</v>
      </c>
      <c r="G336" s="117">
        <f>X153</f>
        <v>5</v>
      </c>
      <c r="H336" s="117">
        <f>ROUND(($F$336/$G$336),0)</f>
        <v>0</v>
      </c>
      <c r="I336" s="117">
        <f>ROUND(($F$336/$G$336),0)</f>
        <v>0</v>
      </c>
      <c r="J336" s="120">
        <f>F336-SUM(H336:I336)</f>
        <v>0</v>
      </c>
      <c r="K336" s="7"/>
      <c r="L336" s="7"/>
      <c r="M336" s="7"/>
    </row>
    <row r="337" spans="5:13" hidden="1" x14ac:dyDescent="0.25">
      <c r="E337" s="119" t="s">
        <v>292</v>
      </c>
      <c r="F337" s="117"/>
      <c r="G337" s="117"/>
      <c r="H337" s="117">
        <f>H336</f>
        <v>0</v>
      </c>
      <c r="I337" s="117">
        <f>I336+H337</f>
        <v>0</v>
      </c>
      <c r="J337" s="117"/>
      <c r="K337" s="7"/>
      <c r="L337" s="7"/>
      <c r="M337" s="7"/>
    </row>
    <row r="338" spans="5:13" hidden="1" x14ac:dyDescent="0.25">
      <c r="E338" s="119" t="s">
        <v>296</v>
      </c>
      <c r="F338" s="120">
        <f>Q188</f>
        <v>0</v>
      </c>
      <c r="G338" s="117">
        <f>X163</f>
        <v>3</v>
      </c>
      <c r="H338" s="117">
        <f>ROUND(($F$338/$G$338),0)</f>
        <v>0</v>
      </c>
      <c r="I338" s="117">
        <f>ROUND(($F$338/$G$338),0)</f>
        <v>0</v>
      </c>
      <c r="J338" s="120">
        <f>F338-SUM(H338:I338)</f>
        <v>0</v>
      </c>
      <c r="K338" s="7"/>
      <c r="L338" s="7"/>
      <c r="M338" s="7"/>
    </row>
    <row r="339" spans="5:13" hidden="1" x14ac:dyDescent="0.25">
      <c r="E339" s="119" t="s">
        <v>292</v>
      </c>
      <c r="F339" s="117"/>
      <c r="G339" s="117"/>
      <c r="H339" s="117">
        <f>H338</f>
        <v>0</v>
      </c>
      <c r="I339" s="117">
        <f>I338+H339</f>
        <v>0</v>
      </c>
      <c r="J339" s="117"/>
      <c r="K339" s="7"/>
      <c r="L339" s="7"/>
      <c r="M339" s="7"/>
    </row>
    <row r="340" spans="5:13" hidden="1" x14ac:dyDescent="0.25">
      <c r="E340" s="117" t="s">
        <v>297</v>
      </c>
      <c r="F340" s="120">
        <f>F330+F332+F334+F336+F338</f>
        <v>497150</v>
      </c>
      <c r="G340" s="120"/>
      <c r="H340" s="120">
        <f t="shared" ref="H340:J340" si="111">H330+H332+H334+H336+H338</f>
        <v>49715</v>
      </c>
      <c r="I340" s="120">
        <f t="shared" si="111"/>
        <v>49715</v>
      </c>
      <c r="J340" s="120">
        <f t="shared" si="111"/>
        <v>397720</v>
      </c>
      <c r="K340" s="7"/>
      <c r="L340" s="7"/>
      <c r="M340" s="7"/>
    </row>
    <row r="341" spans="5:13" hidden="1" x14ac:dyDescent="0.25">
      <c r="E341" s="119" t="s">
        <v>298</v>
      </c>
      <c r="F341" s="120">
        <f>Q218</f>
        <v>0</v>
      </c>
      <c r="G341" s="117">
        <f>X202</f>
        <v>1</v>
      </c>
      <c r="H341" s="117">
        <f>ROUND(($F$341/$G$341),0)</f>
        <v>0</v>
      </c>
      <c r="I341" s="117">
        <f>ROUND(($F$341/$G$341),0)</f>
        <v>0</v>
      </c>
      <c r="J341" s="120">
        <f>F341-SUM(H341:I341)</f>
        <v>0</v>
      </c>
      <c r="K341" s="7"/>
      <c r="L341" s="7"/>
      <c r="M341" s="7"/>
    </row>
    <row r="342" spans="5:13" hidden="1" x14ac:dyDescent="0.25">
      <c r="E342" s="119" t="s">
        <v>299</v>
      </c>
      <c r="F342" s="120">
        <f>Q237</f>
        <v>0</v>
      </c>
      <c r="G342" s="117">
        <f>X221</f>
        <v>10</v>
      </c>
      <c r="H342" s="117">
        <f>ROUND(($F$342/$G$342),0)</f>
        <v>0</v>
      </c>
      <c r="I342" s="117">
        <f>ROUND(($F$342/$G$342),0)</f>
        <v>0</v>
      </c>
      <c r="J342" s="120">
        <f>F342-SUM(H342:I342)</f>
        <v>0</v>
      </c>
      <c r="K342" s="7"/>
      <c r="L342" s="7"/>
      <c r="M342" s="7"/>
    </row>
    <row r="343" spans="5:13" hidden="1" x14ac:dyDescent="0.25">
      <c r="E343" s="119" t="s">
        <v>300</v>
      </c>
      <c r="F343" s="117"/>
      <c r="G343" s="117"/>
      <c r="H343" s="117">
        <f>H342</f>
        <v>0</v>
      </c>
      <c r="I343" s="117">
        <f>I342+H343</f>
        <v>0</v>
      </c>
      <c r="J343" s="117"/>
      <c r="K343" s="7"/>
      <c r="L343" s="7"/>
      <c r="M343" s="7"/>
    </row>
    <row r="344" spans="5:13" hidden="1" x14ac:dyDescent="0.25">
      <c r="E344" s="119" t="s">
        <v>301</v>
      </c>
      <c r="F344" s="120">
        <f>Q247</f>
        <v>0</v>
      </c>
      <c r="G344" s="117">
        <f>X240</f>
        <v>5</v>
      </c>
      <c r="H344" s="117">
        <f>ROUND(($F$344/$G$344),0)</f>
        <v>0</v>
      </c>
      <c r="I344" s="117">
        <f>ROUND(($F$344/$G$344),0)</f>
        <v>0</v>
      </c>
      <c r="J344" s="120">
        <f>F344-SUM(H344:I344)</f>
        <v>0</v>
      </c>
      <c r="K344" s="7"/>
      <c r="L344" s="7"/>
      <c r="M344" s="7"/>
    </row>
    <row r="345" spans="5:13" hidden="1" x14ac:dyDescent="0.25">
      <c r="E345" s="119" t="s">
        <v>154</v>
      </c>
      <c r="F345" s="117"/>
      <c r="G345" s="117"/>
      <c r="H345" s="117">
        <f>H344</f>
        <v>0</v>
      </c>
      <c r="I345" s="117">
        <f>I344+H345</f>
        <v>0</v>
      </c>
      <c r="J345" s="117"/>
      <c r="K345" s="7"/>
      <c r="L345" s="7"/>
      <c r="M345" s="7"/>
    </row>
    <row r="346" spans="5:13" hidden="1" x14ac:dyDescent="0.25">
      <c r="E346" s="119" t="s">
        <v>302</v>
      </c>
      <c r="F346" s="120">
        <f>Q255</f>
        <v>0</v>
      </c>
      <c r="G346" s="117">
        <f>X252</f>
        <v>5</v>
      </c>
      <c r="H346" s="117">
        <f>ROUND(($F$346/$G$346),0)</f>
        <v>0</v>
      </c>
      <c r="I346" s="117">
        <f>ROUND(($F$346/$G$346),0)</f>
        <v>0</v>
      </c>
      <c r="J346" s="120">
        <f>F346-SUM(H346:I346)</f>
        <v>0</v>
      </c>
      <c r="K346" s="7"/>
      <c r="L346" s="7"/>
      <c r="M346" s="7"/>
    </row>
    <row r="347" spans="5:13" hidden="1" x14ac:dyDescent="0.25">
      <c r="E347" s="119" t="s">
        <v>303</v>
      </c>
      <c r="F347" s="117"/>
      <c r="G347" s="117"/>
      <c r="H347" s="117">
        <f>H346</f>
        <v>0</v>
      </c>
      <c r="I347" s="117">
        <f>I346+H347</f>
        <v>0</v>
      </c>
      <c r="J347" s="117"/>
      <c r="K347" s="7"/>
      <c r="L347" s="7"/>
      <c r="M347" s="7"/>
    </row>
    <row r="348" spans="5:13" hidden="1" x14ac:dyDescent="0.25">
      <c r="E348" s="7"/>
      <c r="F348" s="7"/>
      <c r="G348" s="7"/>
      <c r="H348" s="7"/>
      <c r="I348" s="7"/>
      <c r="J348" s="7"/>
      <c r="K348" s="7"/>
      <c r="L348" s="7"/>
      <c r="M348" s="7"/>
    </row>
    <row r="349" spans="5:13" hidden="1" x14ac:dyDescent="0.25">
      <c r="E349" s="7"/>
      <c r="F349" s="7"/>
      <c r="G349" s="7"/>
      <c r="H349" s="7"/>
      <c r="I349" s="7"/>
      <c r="J349" s="7"/>
      <c r="K349" s="7"/>
      <c r="L349" s="7"/>
      <c r="M349" s="7"/>
    </row>
    <row r="350" spans="5:13" hidden="1" x14ac:dyDescent="0.25">
      <c r="E350" s="639" t="s">
        <v>433</v>
      </c>
      <c r="F350" s="639"/>
      <c r="G350" s="639"/>
      <c r="H350" s="639"/>
      <c r="I350" s="639"/>
      <c r="J350" s="7"/>
      <c r="K350" s="7"/>
      <c r="L350" s="7"/>
      <c r="M350" s="7"/>
    </row>
    <row r="351" spans="5:13" hidden="1" x14ac:dyDescent="0.25">
      <c r="E351" s="117" t="s">
        <v>429</v>
      </c>
      <c r="F351" s="117">
        <v>2023</v>
      </c>
      <c r="G351" s="117" t="s">
        <v>391</v>
      </c>
      <c r="H351" s="117">
        <v>2024</v>
      </c>
      <c r="I351" s="117" t="s">
        <v>430</v>
      </c>
      <c r="J351" s="7"/>
      <c r="K351" s="7"/>
      <c r="L351" s="7"/>
      <c r="M351" s="7"/>
    </row>
    <row r="352" spans="5:13" hidden="1" x14ac:dyDescent="0.25">
      <c r="E352" s="119" t="s">
        <v>291</v>
      </c>
      <c r="F352" s="120">
        <f>T54</f>
        <v>0</v>
      </c>
      <c r="G352" s="117">
        <f>X47</f>
        <v>20</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293</v>
      </c>
      <c r="F354" s="120">
        <f>T97</f>
        <v>592000</v>
      </c>
      <c r="G354" s="117">
        <f>X57</f>
        <v>10</v>
      </c>
      <c r="H354" s="117">
        <f>ROUND(($F$354/$G$354),0)</f>
        <v>59200</v>
      </c>
      <c r="I354" s="120">
        <f>F354-H354</f>
        <v>532800</v>
      </c>
      <c r="J354" s="7"/>
      <c r="K354" s="7"/>
      <c r="L354" s="7"/>
      <c r="M354" s="7"/>
    </row>
    <row r="355" spans="5:13" hidden="1" x14ac:dyDescent="0.25">
      <c r="E355" s="119" t="s">
        <v>292</v>
      </c>
      <c r="F355" s="117"/>
      <c r="G355" s="117"/>
      <c r="H355" s="117">
        <f>H354</f>
        <v>59200</v>
      </c>
      <c r="I355" s="117"/>
      <c r="J355" s="7"/>
      <c r="K355" s="7"/>
      <c r="L355" s="7"/>
      <c r="M355" s="7"/>
    </row>
    <row r="356" spans="5:13" hidden="1" x14ac:dyDescent="0.25">
      <c r="E356" s="119" t="s">
        <v>294</v>
      </c>
      <c r="F356" s="120">
        <f>T150</f>
        <v>0</v>
      </c>
      <c r="G356" s="117">
        <f>X100</f>
        <v>5</v>
      </c>
      <c r="H356" s="117">
        <f>ROUND(($F$356/$G$356),0)</f>
        <v>0</v>
      </c>
      <c r="I356" s="120">
        <f>F356-H356</f>
        <v>0</v>
      </c>
      <c r="J356" s="7"/>
      <c r="K356" s="7"/>
      <c r="L356" s="7"/>
      <c r="M356" s="7"/>
    </row>
    <row r="357" spans="5:13" hidden="1" x14ac:dyDescent="0.25">
      <c r="E357" s="119" t="s">
        <v>292</v>
      </c>
      <c r="F357" s="117"/>
      <c r="G357" s="117"/>
      <c r="H357" s="117">
        <f>H356</f>
        <v>0</v>
      </c>
      <c r="I357" s="117"/>
      <c r="J357" s="7"/>
      <c r="K357" s="7"/>
      <c r="L357" s="7"/>
      <c r="M357" s="7"/>
    </row>
    <row r="358" spans="5:13" hidden="1" x14ac:dyDescent="0.25">
      <c r="E358" s="119" t="s">
        <v>295</v>
      </c>
      <c r="F358" s="120">
        <f>T160</f>
        <v>0</v>
      </c>
      <c r="G358" s="117">
        <f>X153</f>
        <v>5</v>
      </c>
      <c r="H358" s="117">
        <f>ROUND(($F$358/$G$358),0)</f>
        <v>0</v>
      </c>
      <c r="I358" s="120">
        <f>F358-H358</f>
        <v>0</v>
      </c>
      <c r="J358" s="7"/>
      <c r="K358" s="7"/>
      <c r="L358" s="7"/>
      <c r="M358" s="7"/>
    </row>
    <row r="359" spans="5:13" hidden="1" x14ac:dyDescent="0.25">
      <c r="E359" s="119" t="s">
        <v>292</v>
      </c>
      <c r="F359" s="117"/>
      <c r="G359" s="117"/>
      <c r="H359" s="117">
        <f>H358</f>
        <v>0</v>
      </c>
      <c r="I359" s="117"/>
      <c r="J359" s="7"/>
      <c r="K359" s="7"/>
      <c r="L359" s="7"/>
      <c r="M359" s="7"/>
    </row>
    <row r="360" spans="5:13" hidden="1" x14ac:dyDescent="0.25">
      <c r="E360" s="119" t="s">
        <v>296</v>
      </c>
      <c r="F360" s="120">
        <f>T188</f>
        <v>0</v>
      </c>
      <c r="G360" s="117">
        <f>X163</f>
        <v>3</v>
      </c>
      <c r="H360" s="117">
        <f>ROUND(($F$360/$G$360),0)</f>
        <v>0</v>
      </c>
      <c r="I360" s="120">
        <f>F360-H360</f>
        <v>0</v>
      </c>
      <c r="J360" s="7"/>
      <c r="K360" s="7"/>
      <c r="L360" s="7"/>
      <c r="M360" s="7"/>
    </row>
    <row r="361" spans="5:13" hidden="1" x14ac:dyDescent="0.25">
      <c r="E361" s="119" t="s">
        <v>292</v>
      </c>
      <c r="F361" s="117"/>
      <c r="G361" s="117"/>
      <c r="H361" s="117">
        <f>H360</f>
        <v>0</v>
      </c>
      <c r="I361" s="117"/>
      <c r="J361" s="7"/>
      <c r="K361" s="7"/>
      <c r="L361" s="7"/>
      <c r="M361" s="7"/>
    </row>
    <row r="362" spans="5:13" hidden="1" x14ac:dyDescent="0.25">
      <c r="E362" s="117" t="s">
        <v>297</v>
      </c>
      <c r="F362" s="120">
        <f>F352+F354+F356+F358+F360</f>
        <v>592000</v>
      </c>
      <c r="G362" s="120"/>
      <c r="H362" s="120">
        <f t="shared" ref="H362:I362" si="112">H352+H354+H356+H358+H360</f>
        <v>59200</v>
      </c>
      <c r="I362" s="120">
        <f t="shared" si="112"/>
        <v>532800</v>
      </c>
      <c r="J362" s="7"/>
      <c r="K362" s="7"/>
      <c r="L362" s="7"/>
      <c r="M362" s="7"/>
    </row>
    <row r="363" spans="5:13" hidden="1" x14ac:dyDescent="0.25">
      <c r="E363" s="119" t="s">
        <v>298</v>
      </c>
      <c r="F363" s="120">
        <f>T218</f>
        <v>0</v>
      </c>
      <c r="G363" s="117">
        <f>X202</f>
        <v>1</v>
      </c>
      <c r="H363" s="117">
        <f>ROUND(($F$363/$G$363),0)</f>
        <v>0</v>
      </c>
      <c r="I363" s="120">
        <f>F363-H363</f>
        <v>0</v>
      </c>
      <c r="J363" s="7"/>
      <c r="K363" s="7"/>
      <c r="L363" s="7"/>
      <c r="M363" s="7"/>
    </row>
    <row r="364" spans="5:13" hidden="1" x14ac:dyDescent="0.25">
      <c r="E364" s="119" t="s">
        <v>299</v>
      </c>
      <c r="F364" s="120">
        <f>T237</f>
        <v>0</v>
      </c>
      <c r="G364" s="117">
        <f>X221</f>
        <v>10</v>
      </c>
      <c r="H364" s="117">
        <f>ROUND(($F$364/$G$364),0)</f>
        <v>0</v>
      </c>
      <c r="I364" s="120">
        <f>F364-H364</f>
        <v>0</v>
      </c>
      <c r="J364" s="7"/>
      <c r="K364" s="7"/>
      <c r="L364" s="7"/>
      <c r="M364" s="7"/>
    </row>
    <row r="365" spans="5:13" hidden="1" x14ac:dyDescent="0.25">
      <c r="E365" s="119" t="s">
        <v>300</v>
      </c>
      <c r="F365" s="117"/>
      <c r="G365" s="117"/>
      <c r="H365" s="117">
        <f>H364</f>
        <v>0</v>
      </c>
      <c r="I365" s="117"/>
      <c r="J365" s="7"/>
      <c r="K365" s="7"/>
      <c r="L365" s="7"/>
      <c r="M365" s="7"/>
    </row>
    <row r="366" spans="5:13" hidden="1" x14ac:dyDescent="0.25">
      <c r="E366" s="119" t="s">
        <v>301</v>
      </c>
      <c r="F366" s="120">
        <f>T247</f>
        <v>0</v>
      </c>
      <c r="G366" s="117">
        <f>X240</f>
        <v>5</v>
      </c>
      <c r="H366" s="117">
        <f>ROUND(($F$366/$G$366),0)</f>
        <v>0</v>
      </c>
      <c r="I366" s="120">
        <f>F366-H366</f>
        <v>0</v>
      </c>
      <c r="J366" s="7"/>
      <c r="K366" s="7"/>
      <c r="L366" s="7"/>
      <c r="M366" s="7"/>
    </row>
    <row r="367" spans="5:13" hidden="1" x14ac:dyDescent="0.25">
      <c r="E367" s="119" t="s">
        <v>154</v>
      </c>
      <c r="F367" s="117"/>
      <c r="G367" s="117"/>
      <c r="H367" s="117">
        <f>H366</f>
        <v>0</v>
      </c>
      <c r="I367" s="117"/>
      <c r="J367" s="7"/>
      <c r="K367" s="7"/>
      <c r="L367" s="7"/>
      <c r="M367" s="7"/>
    </row>
    <row r="368" spans="5:13" hidden="1" x14ac:dyDescent="0.25">
      <c r="E368" s="119" t="s">
        <v>302</v>
      </c>
      <c r="F368" s="120">
        <f>T255</f>
        <v>0</v>
      </c>
      <c r="G368" s="117">
        <f>X252</f>
        <v>5</v>
      </c>
      <c r="H368" s="117">
        <f>ROUND(($F$368/$G$368),0)</f>
        <v>0</v>
      </c>
      <c r="I368" s="120">
        <f>F368-H368</f>
        <v>0</v>
      </c>
      <c r="J368" s="7"/>
      <c r="K368" s="7"/>
      <c r="L368" s="7"/>
      <c r="M368" s="7"/>
    </row>
    <row r="369" spans="5:13" hidden="1" x14ac:dyDescent="0.25">
      <c r="E369" s="119" t="s">
        <v>303</v>
      </c>
      <c r="F369" s="117"/>
      <c r="G369" s="117"/>
      <c r="H369" s="117">
        <f>H368</f>
        <v>0</v>
      </c>
      <c r="I369" s="117"/>
      <c r="J369" s="7"/>
      <c r="K369" s="7"/>
      <c r="L369" s="7"/>
      <c r="M369" s="7"/>
    </row>
    <row r="370" spans="5:13" hidden="1" x14ac:dyDescent="0.25">
      <c r="E370" s="7"/>
      <c r="F370" s="7"/>
      <c r="G370" s="7"/>
      <c r="H370" s="7"/>
      <c r="I370" s="7"/>
      <c r="J370" s="7"/>
      <c r="K370" s="7"/>
      <c r="L370" s="7"/>
      <c r="M370" s="7"/>
    </row>
    <row r="371" spans="5:13" hidden="1" x14ac:dyDescent="0.25">
      <c r="E371" s="7"/>
      <c r="F371" s="7"/>
      <c r="G371" s="7"/>
      <c r="H371" s="7"/>
      <c r="I371" s="7"/>
      <c r="J371" s="7"/>
      <c r="K371" s="7"/>
      <c r="L371" s="7"/>
      <c r="M371" s="7"/>
    </row>
    <row r="372" spans="5:13" hidden="1" x14ac:dyDescent="0.25">
      <c r="E372" s="122" t="s">
        <v>434</v>
      </c>
      <c r="F372" s="117" t="s">
        <v>59</v>
      </c>
      <c r="G372" s="118">
        <f>BASES!D7</f>
        <v>2021</v>
      </c>
      <c r="H372" s="118">
        <f>BASES!E7</f>
        <v>2022</v>
      </c>
      <c r="I372" s="118">
        <f>BASES!F7</f>
        <v>2023</v>
      </c>
      <c r="J372" s="118">
        <f>BASES!G7</f>
        <v>2024</v>
      </c>
      <c r="K372" s="118">
        <f>BASES!H7</f>
        <v>2025</v>
      </c>
      <c r="L372" s="7"/>
      <c r="M372" s="7"/>
    </row>
    <row r="373" spans="5:13" hidden="1" x14ac:dyDescent="0.25">
      <c r="E373" s="117" t="s">
        <v>304</v>
      </c>
      <c r="F373" s="120">
        <f>F264</f>
        <v>0</v>
      </c>
      <c r="G373" s="120">
        <f>F373+F286</f>
        <v>0</v>
      </c>
      <c r="H373" s="120">
        <f>G373+F308</f>
        <v>0</v>
      </c>
      <c r="I373" s="120">
        <f>H373+F330</f>
        <v>0</v>
      </c>
      <c r="J373" s="120">
        <f>I373+F352</f>
        <v>0</v>
      </c>
      <c r="K373" s="120">
        <f>J373+W54</f>
        <v>0</v>
      </c>
      <c r="L373" s="7"/>
      <c r="M373" s="7"/>
    </row>
    <row r="374" spans="5:13" hidden="1" x14ac:dyDescent="0.25">
      <c r="E374" s="117" t="s">
        <v>305</v>
      </c>
      <c r="F374" s="117">
        <v>0</v>
      </c>
      <c r="G374" s="117">
        <f>-1*H265</f>
        <v>0</v>
      </c>
      <c r="H374" s="117">
        <f>-1*(I265+H287)</f>
        <v>0</v>
      </c>
      <c r="I374" s="117">
        <f>-1*(J265+I287+H309)</f>
        <v>0</v>
      </c>
      <c r="J374" s="117">
        <f>-1*(K265+J287+I309+H331)</f>
        <v>0</v>
      </c>
      <c r="K374" s="117">
        <f>-1*(L265+K287+J309+I331+H353)</f>
        <v>0</v>
      </c>
      <c r="L374" s="7"/>
      <c r="M374" s="7"/>
    </row>
    <row r="375" spans="5:13" hidden="1" x14ac:dyDescent="0.25">
      <c r="E375" s="117" t="s">
        <v>306</v>
      </c>
      <c r="F375" s="117">
        <v>0</v>
      </c>
      <c r="G375" s="117">
        <f>H264</f>
        <v>0</v>
      </c>
      <c r="H375" s="117">
        <f>I264+H286</f>
        <v>0</v>
      </c>
      <c r="I375" s="117">
        <f>J264+I286+H308</f>
        <v>0</v>
      </c>
      <c r="J375" s="117">
        <f>K264+J286+I308+H330</f>
        <v>0</v>
      </c>
      <c r="K375" s="117">
        <f>L264+K286+J308+I330+H352</f>
        <v>0</v>
      </c>
      <c r="L375" s="7"/>
      <c r="M375" s="7"/>
    </row>
    <row r="376" spans="5:13" hidden="1" x14ac:dyDescent="0.25">
      <c r="E376" s="7"/>
      <c r="F376" s="7"/>
      <c r="G376" s="7"/>
      <c r="H376" s="7"/>
      <c r="I376" s="7"/>
      <c r="J376" s="7"/>
      <c r="K376" s="7"/>
      <c r="L376" s="7"/>
      <c r="M376" s="7"/>
    </row>
    <row r="377" spans="5:13" hidden="1" x14ac:dyDescent="0.25">
      <c r="E377" s="122" t="s">
        <v>435</v>
      </c>
      <c r="F377" s="117" t="str">
        <f>F372</f>
        <v>AÑO 0</v>
      </c>
      <c r="G377" s="117">
        <f t="shared" ref="G377:K377" si="113">G372</f>
        <v>2021</v>
      </c>
      <c r="H377" s="117">
        <f t="shared" si="113"/>
        <v>2022</v>
      </c>
      <c r="I377" s="117">
        <f t="shared" si="113"/>
        <v>2023</v>
      </c>
      <c r="J377" s="117">
        <f t="shared" si="113"/>
        <v>2024</v>
      </c>
      <c r="K377" s="117">
        <f t="shared" si="113"/>
        <v>2025</v>
      </c>
      <c r="L377" s="7"/>
      <c r="M377" s="7"/>
    </row>
    <row r="378" spans="5:13" hidden="1" x14ac:dyDescent="0.25">
      <c r="E378" s="117" t="s">
        <v>304</v>
      </c>
      <c r="F378" s="120">
        <f>F266</f>
        <v>300000</v>
      </c>
      <c r="G378" s="120">
        <f>F378+F288</f>
        <v>657000</v>
      </c>
      <c r="H378" s="120">
        <f>G378+F310</f>
        <v>1078000</v>
      </c>
      <c r="I378" s="120">
        <f>H378+F332</f>
        <v>1575150</v>
      </c>
      <c r="J378" s="120">
        <f>I378+F354</f>
        <v>2167150</v>
      </c>
      <c r="K378" s="120">
        <f>J378+W97</f>
        <v>2872050</v>
      </c>
      <c r="L378" s="7"/>
      <c r="M378" s="7"/>
    </row>
    <row r="379" spans="5:13" hidden="1" x14ac:dyDescent="0.25">
      <c r="E379" s="117" t="s">
        <v>305</v>
      </c>
      <c r="F379" s="117">
        <v>0</v>
      </c>
      <c r="G379" s="117">
        <f>-1*(H267)</f>
        <v>-30000</v>
      </c>
      <c r="H379" s="117">
        <f>-1*(I267+H289)</f>
        <v>-95700</v>
      </c>
      <c r="I379" s="117">
        <f>-1*(J267+I289+H311)</f>
        <v>-203500</v>
      </c>
      <c r="J379" s="117">
        <f>-1*(K267+J289+I311+H333)</f>
        <v>-361015</v>
      </c>
      <c r="K379" s="117">
        <f>-1*(L267+K289+J311+I333+H355)</f>
        <v>-577730</v>
      </c>
      <c r="L379" s="7"/>
      <c r="M379" s="7"/>
    </row>
    <row r="380" spans="5:13" hidden="1" x14ac:dyDescent="0.25">
      <c r="E380" s="117" t="s">
        <v>306</v>
      </c>
      <c r="F380" s="117">
        <v>0</v>
      </c>
      <c r="G380" s="117">
        <f>H266</f>
        <v>30000</v>
      </c>
      <c r="H380" s="117">
        <f>I266+H288</f>
        <v>65700</v>
      </c>
      <c r="I380" s="117">
        <f>J266+I288+H310</f>
        <v>107800</v>
      </c>
      <c r="J380" s="117">
        <f>K266+J288+I310+H332</f>
        <v>157515</v>
      </c>
      <c r="K380" s="117">
        <f>L266+K288+J310+I332+H354</f>
        <v>216715</v>
      </c>
      <c r="L380" s="7"/>
      <c r="M380" s="7"/>
    </row>
    <row r="381" spans="5:13" hidden="1" x14ac:dyDescent="0.25">
      <c r="E381" s="7"/>
      <c r="F381" s="7"/>
      <c r="G381" s="7"/>
      <c r="H381" s="7"/>
      <c r="I381" s="7"/>
      <c r="J381" s="7"/>
      <c r="K381" s="7"/>
      <c r="L381" s="7"/>
      <c r="M381" s="7"/>
    </row>
    <row r="382" spans="5:13" hidden="1" x14ac:dyDescent="0.25">
      <c r="E382" s="122" t="s">
        <v>436</v>
      </c>
      <c r="F382" s="117" t="str">
        <f>F377</f>
        <v>AÑO 0</v>
      </c>
      <c r="G382" s="117">
        <f t="shared" ref="G382:K382" si="114">G377</f>
        <v>2021</v>
      </c>
      <c r="H382" s="117">
        <f t="shared" si="114"/>
        <v>2022</v>
      </c>
      <c r="I382" s="117">
        <f t="shared" si="114"/>
        <v>2023</v>
      </c>
      <c r="J382" s="117">
        <f t="shared" si="114"/>
        <v>2024</v>
      </c>
      <c r="K382" s="117">
        <f t="shared" si="114"/>
        <v>2025</v>
      </c>
      <c r="L382" s="7"/>
      <c r="M382" s="7"/>
    </row>
    <row r="383" spans="5:13" hidden="1" x14ac:dyDescent="0.25">
      <c r="E383" s="117" t="s">
        <v>304</v>
      </c>
      <c r="F383" s="120">
        <f>F268</f>
        <v>2750000</v>
      </c>
      <c r="G383" s="120">
        <f>F383+F290</f>
        <v>2750000</v>
      </c>
      <c r="H383" s="120">
        <f>G383+F312</f>
        <v>2750000</v>
      </c>
      <c r="I383" s="120">
        <f>H383+F334</f>
        <v>2750000</v>
      </c>
      <c r="J383" s="120">
        <f>I383+F356</f>
        <v>2750000</v>
      </c>
      <c r="K383" s="120">
        <f>J383+W150</f>
        <v>2750000</v>
      </c>
      <c r="L383" s="7"/>
      <c r="M383" s="7"/>
    </row>
    <row r="384" spans="5:13" hidden="1" x14ac:dyDescent="0.25">
      <c r="E384" s="117" t="s">
        <v>305</v>
      </c>
      <c r="F384" s="117">
        <v>0</v>
      </c>
      <c r="G384" s="117">
        <f>-1*(H269)</f>
        <v>-550000</v>
      </c>
      <c r="H384" s="117">
        <f>-1*(I269+H291)</f>
        <v>-1100000</v>
      </c>
      <c r="I384" s="117">
        <f>-1*(J269+I291+H313)</f>
        <v>-1650000</v>
      </c>
      <c r="J384" s="117">
        <f>-1*(K269+J291+I313+H335)</f>
        <v>-2200000</v>
      </c>
      <c r="K384" s="117">
        <f>-1*(L269+K291+J313+I335+H357)</f>
        <v>-2750000</v>
      </c>
      <c r="L384" s="7"/>
      <c r="M384" s="7"/>
    </row>
    <row r="385" spans="5:13" hidden="1" x14ac:dyDescent="0.25">
      <c r="E385" s="117" t="s">
        <v>306</v>
      </c>
      <c r="F385" s="117">
        <v>0</v>
      </c>
      <c r="G385" s="117">
        <f>H268</f>
        <v>550000</v>
      </c>
      <c r="H385" s="117">
        <f>I268+H290</f>
        <v>550000</v>
      </c>
      <c r="I385" s="117">
        <f>J268+I290+H312</f>
        <v>550000</v>
      </c>
      <c r="J385" s="117">
        <f>K268+J290+I312+H334</f>
        <v>550000</v>
      </c>
      <c r="K385" s="117">
        <f>L268+K290+J312+I334+H356</f>
        <v>550000</v>
      </c>
      <c r="L385" s="7"/>
      <c r="M385" s="7"/>
    </row>
    <row r="386" spans="5:13" hidden="1" x14ac:dyDescent="0.25">
      <c r="E386" s="7"/>
      <c r="F386" s="7"/>
      <c r="G386" s="7"/>
      <c r="H386" s="7"/>
      <c r="I386" s="7"/>
      <c r="J386" s="7"/>
      <c r="K386" s="7"/>
      <c r="L386" s="7"/>
      <c r="M386" s="7"/>
    </row>
    <row r="387" spans="5:13" hidden="1" x14ac:dyDescent="0.25">
      <c r="E387" s="122" t="s">
        <v>309</v>
      </c>
      <c r="F387" s="117" t="str">
        <f>F382</f>
        <v>AÑO 0</v>
      </c>
      <c r="G387" s="117">
        <f t="shared" ref="G387:K387" si="115">G382</f>
        <v>2021</v>
      </c>
      <c r="H387" s="117">
        <f t="shared" si="115"/>
        <v>2022</v>
      </c>
      <c r="I387" s="117">
        <f t="shared" si="115"/>
        <v>2023</v>
      </c>
      <c r="J387" s="117">
        <f t="shared" si="115"/>
        <v>2024</v>
      </c>
      <c r="K387" s="117">
        <f t="shared" si="115"/>
        <v>2025</v>
      </c>
      <c r="L387" s="7"/>
      <c r="M387" s="7"/>
    </row>
    <row r="388" spans="5:13" hidden="1" x14ac:dyDescent="0.25">
      <c r="E388" s="117" t="s">
        <v>304</v>
      </c>
      <c r="F388" s="120">
        <f>F270</f>
        <v>0</v>
      </c>
      <c r="G388" s="120">
        <f>F388+F292</f>
        <v>0</v>
      </c>
      <c r="H388" s="120">
        <f>G388+F314</f>
        <v>0</v>
      </c>
      <c r="I388" s="120">
        <f>H388+F336</f>
        <v>0</v>
      </c>
      <c r="J388" s="120">
        <f>I388+F358</f>
        <v>0</v>
      </c>
      <c r="K388" s="120">
        <f>J388+W160</f>
        <v>0</v>
      </c>
      <c r="L388" s="7"/>
      <c r="M388" s="7"/>
    </row>
    <row r="389" spans="5:13" hidden="1" x14ac:dyDescent="0.25">
      <c r="E389" s="117" t="s">
        <v>305</v>
      </c>
      <c r="F389" s="117">
        <v>0</v>
      </c>
      <c r="G389" s="117">
        <f>-1*(H271)</f>
        <v>0</v>
      </c>
      <c r="H389" s="117">
        <f>-1*(I271+H293)</f>
        <v>0</v>
      </c>
      <c r="I389" s="117">
        <f>-1*(J271+I293+H315)</f>
        <v>0</v>
      </c>
      <c r="J389" s="117">
        <f>-1*(K271+J293+I315+H337)</f>
        <v>0</v>
      </c>
      <c r="K389" s="117">
        <f>-1*(L271+K293+J315+I337+H359)</f>
        <v>0</v>
      </c>
      <c r="L389" s="7"/>
      <c r="M389" s="7"/>
    </row>
    <row r="390" spans="5:13" hidden="1" x14ac:dyDescent="0.25">
      <c r="E390" s="117" t="s">
        <v>306</v>
      </c>
      <c r="F390" s="117">
        <v>0</v>
      </c>
      <c r="G390" s="117">
        <f>H270</f>
        <v>0</v>
      </c>
      <c r="H390" s="117">
        <f>I270+H292</f>
        <v>0</v>
      </c>
      <c r="I390" s="117">
        <f>J270+I292+H314</f>
        <v>0</v>
      </c>
      <c r="J390" s="117">
        <f>K270+J292+I314+H336</f>
        <v>0</v>
      </c>
      <c r="K390" s="117">
        <f>L270+K292+J314+I336+H358</f>
        <v>0</v>
      </c>
      <c r="L390" s="7"/>
      <c r="M390" s="7"/>
    </row>
    <row r="391" spans="5:13" hidden="1" x14ac:dyDescent="0.25">
      <c r="E391" s="7"/>
      <c r="F391" s="7"/>
      <c r="G391" s="7"/>
      <c r="H391" s="7"/>
      <c r="I391" s="7"/>
      <c r="J391" s="7"/>
      <c r="K391" s="7"/>
      <c r="L391" s="7"/>
      <c r="M391" s="7"/>
    </row>
    <row r="392" spans="5:13" hidden="1" x14ac:dyDescent="0.25">
      <c r="E392" s="122" t="s">
        <v>65</v>
      </c>
      <c r="F392" s="117" t="str">
        <f>F387</f>
        <v>AÑO 0</v>
      </c>
      <c r="G392" s="117">
        <f t="shared" ref="G392:K392" si="116">G387</f>
        <v>2021</v>
      </c>
      <c r="H392" s="117">
        <f t="shared" si="116"/>
        <v>2022</v>
      </c>
      <c r="I392" s="117">
        <f t="shared" si="116"/>
        <v>2023</v>
      </c>
      <c r="J392" s="117">
        <f t="shared" si="116"/>
        <v>2024</v>
      </c>
      <c r="K392" s="117">
        <f t="shared" si="116"/>
        <v>2025</v>
      </c>
      <c r="L392" s="7"/>
      <c r="M392" s="7"/>
    </row>
    <row r="393" spans="5:13" hidden="1" x14ac:dyDescent="0.25">
      <c r="E393" s="117" t="s">
        <v>304</v>
      </c>
      <c r="F393" s="120">
        <f>F272</f>
        <v>4219000</v>
      </c>
      <c r="G393" s="120">
        <f>F393+F294</f>
        <v>4219000</v>
      </c>
      <c r="H393" s="120">
        <f>G393+F316</f>
        <v>4219000</v>
      </c>
      <c r="I393" s="120">
        <f>H393+F338</f>
        <v>4219000</v>
      </c>
      <c r="J393" s="120">
        <f>I393+F360</f>
        <v>4219000</v>
      </c>
      <c r="K393" s="120">
        <f>J393+W188</f>
        <v>4219000</v>
      </c>
      <c r="L393" s="7"/>
      <c r="M393" s="7"/>
    </row>
    <row r="394" spans="5:13" hidden="1" x14ac:dyDescent="0.25">
      <c r="E394" s="117" t="s">
        <v>305</v>
      </c>
      <c r="F394" s="117">
        <v>0</v>
      </c>
      <c r="G394" s="117">
        <f>-1*(H273)</f>
        <v>-1406333</v>
      </c>
      <c r="H394" s="117">
        <f>-1*(I273+H295)</f>
        <v>-2812666</v>
      </c>
      <c r="I394" s="117">
        <f>-1*(J273+I295+H317)</f>
        <v>-4218999</v>
      </c>
      <c r="J394" s="117">
        <f>-1*(K273+J295+I317+H339)</f>
        <v>-5625332</v>
      </c>
      <c r="K394" s="117">
        <f>-1*(L273+K295+J317+I339+H361)</f>
        <v>-7031665</v>
      </c>
      <c r="L394" s="7"/>
      <c r="M394" s="7"/>
    </row>
    <row r="395" spans="5:13" hidden="1" x14ac:dyDescent="0.25">
      <c r="E395" s="117" t="s">
        <v>306</v>
      </c>
      <c r="F395" s="117">
        <v>0</v>
      </c>
      <c r="G395" s="117">
        <f>H272</f>
        <v>1406333</v>
      </c>
      <c r="H395" s="117">
        <f>I272+H294</f>
        <v>1406333</v>
      </c>
      <c r="I395" s="117">
        <f>J272+I294+H316</f>
        <v>1406333</v>
      </c>
      <c r="J395" s="117">
        <f>K272+J294+I316+H338</f>
        <v>1406333</v>
      </c>
      <c r="K395" s="117">
        <f>L272+K294+J316+I338+H360</f>
        <v>1406333</v>
      </c>
      <c r="L395" s="7"/>
      <c r="M395" s="7"/>
    </row>
    <row r="396" spans="5:13" hidden="1" x14ac:dyDescent="0.25">
      <c r="E396" s="7"/>
      <c r="F396" s="7"/>
      <c r="G396" s="7"/>
      <c r="H396" s="7"/>
      <c r="I396" s="7"/>
      <c r="J396" s="7"/>
      <c r="K396" s="7"/>
      <c r="L396" s="7"/>
      <c r="M396" s="7"/>
    </row>
    <row r="397" spans="5:13" hidden="1" x14ac:dyDescent="0.25">
      <c r="E397" s="122" t="s">
        <v>66</v>
      </c>
      <c r="F397" s="117" t="str">
        <f>F392</f>
        <v>AÑO 0</v>
      </c>
      <c r="G397" s="117">
        <f t="shared" ref="G397:K397" si="117">G392</f>
        <v>2021</v>
      </c>
      <c r="H397" s="117">
        <f t="shared" si="117"/>
        <v>2022</v>
      </c>
      <c r="I397" s="117">
        <f t="shared" si="117"/>
        <v>2023</v>
      </c>
      <c r="J397" s="117">
        <f t="shared" si="117"/>
        <v>2024</v>
      </c>
      <c r="K397" s="117">
        <f t="shared" si="117"/>
        <v>2025</v>
      </c>
      <c r="L397" s="7"/>
      <c r="M397" s="7"/>
    </row>
    <row r="398" spans="5:13" hidden="1" x14ac:dyDescent="0.25">
      <c r="E398" s="117" t="s">
        <v>304</v>
      </c>
      <c r="F398" s="120">
        <f>F275</f>
        <v>0</v>
      </c>
      <c r="G398" s="120">
        <f>F398+F297</f>
        <v>0</v>
      </c>
      <c r="H398" s="120">
        <f>G398+F319</f>
        <v>0</v>
      </c>
      <c r="I398" s="120">
        <f>H398+F341</f>
        <v>0</v>
      </c>
      <c r="J398" s="120">
        <f>I398+F363</f>
        <v>0</v>
      </c>
      <c r="K398" s="120">
        <f>J398+W218</f>
        <v>0</v>
      </c>
      <c r="L398" s="7"/>
      <c r="M398" s="7"/>
    </row>
    <row r="399" spans="5:13" hidden="1" x14ac:dyDescent="0.25">
      <c r="E399" s="117" t="s">
        <v>307</v>
      </c>
      <c r="F399" s="117">
        <v>0</v>
      </c>
      <c r="G399" s="117">
        <f>-1*(H276)</f>
        <v>0</v>
      </c>
      <c r="H399" s="117">
        <f>-1*(I276+H298)</f>
        <v>0</v>
      </c>
      <c r="I399" s="117">
        <f>-1*(J276+I298+H320)</f>
        <v>0</v>
      </c>
      <c r="J399" s="117">
        <f>-1*(K276+J298+I320+H342)</f>
        <v>0</v>
      </c>
      <c r="K399" s="117">
        <f>-1*(L276+K298+J320+I342+H364)</f>
        <v>0</v>
      </c>
      <c r="L399" s="7"/>
      <c r="M399" s="7"/>
    </row>
    <row r="400" spans="5:13" hidden="1" x14ac:dyDescent="0.25">
      <c r="E400" s="117" t="s">
        <v>308</v>
      </c>
      <c r="F400" s="117">
        <v>0</v>
      </c>
      <c r="G400" s="117">
        <f>H275</f>
        <v>0</v>
      </c>
      <c r="H400" s="117">
        <f>I275+H297</f>
        <v>0</v>
      </c>
      <c r="I400" s="117">
        <f>J275+I297+H319</f>
        <v>0</v>
      </c>
      <c r="J400" s="117">
        <f>K275+J297+I319+H341</f>
        <v>0</v>
      </c>
      <c r="K400" s="117">
        <f>L275+K297+J319+I341+H363</f>
        <v>0</v>
      </c>
      <c r="L400" s="7"/>
      <c r="M400" s="7"/>
    </row>
    <row r="401" spans="5:13" hidden="1" x14ac:dyDescent="0.25">
      <c r="E401" s="7"/>
      <c r="F401" s="7"/>
      <c r="G401" s="7"/>
      <c r="H401" s="7"/>
      <c r="I401" s="7"/>
      <c r="J401" s="7"/>
      <c r="K401" s="7"/>
      <c r="L401" s="7"/>
      <c r="M401" s="7"/>
    </row>
    <row r="402" spans="5:13" hidden="1" x14ac:dyDescent="0.25">
      <c r="E402" s="122" t="s">
        <v>310</v>
      </c>
      <c r="F402" s="117" t="str">
        <f>F397</f>
        <v>AÑO 0</v>
      </c>
      <c r="G402" s="117">
        <f t="shared" ref="G402:K402" si="118">G397</f>
        <v>2021</v>
      </c>
      <c r="H402" s="117">
        <f t="shared" si="118"/>
        <v>2022</v>
      </c>
      <c r="I402" s="117">
        <f t="shared" si="118"/>
        <v>2023</v>
      </c>
      <c r="J402" s="117">
        <f t="shared" si="118"/>
        <v>2024</v>
      </c>
      <c r="K402" s="117">
        <f t="shared" si="118"/>
        <v>2025</v>
      </c>
      <c r="L402" s="7"/>
      <c r="M402" s="7"/>
    </row>
    <row r="403" spans="5:13" hidden="1" x14ac:dyDescent="0.25">
      <c r="E403" s="117" t="s">
        <v>304</v>
      </c>
      <c r="F403" s="120">
        <f>F276</f>
        <v>0</v>
      </c>
      <c r="G403" s="120">
        <f>F403+F298</f>
        <v>0</v>
      </c>
      <c r="H403" s="120">
        <f>G403+F320</f>
        <v>0</v>
      </c>
      <c r="I403" s="120">
        <f>H403+F342</f>
        <v>0</v>
      </c>
      <c r="J403" s="120">
        <f>I403+F364</f>
        <v>0</v>
      </c>
      <c r="K403" s="120">
        <f>J403+W237</f>
        <v>0</v>
      </c>
      <c r="L403" s="7"/>
      <c r="M403" s="7"/>
    </row>
    <row r="404" spans="5:13" hidden="1" x14ac:dyDescent="0.25">
      <c r="E404" s="117" t="s">
        <v>307</v>
      </c>
      <c r="F404" s="117">
        <v>0</v>
      </c>
      <c r="G404" s="117">
        <f>-1*(H277)</f>
        <v>0</v>
      </c>
      <c r="H404" s="117">
        <f>-1*(I277+H299)</f>
        <v>0</v>
      </c>
      <c r="I404" s="117">
        <f>-1*(J277+I299+H321)</f>
        <v>0</v>
      </c>
      <c r="J404" s="117">
        <f>-1*(K277+J299+I321+H343)</f>
        <v>0</v>
      </c>
      <c r="K404" s="117">
        <f>-1*(L277+K299+J321+I343+H365)</f>
        <v>0</v>
      </c>
      <c r="L404" s="7"/>
      <c r="M404" s="7"/>
    </row>
    <row r="405" spans="5:13" hidden="1" x14ac:dyDescent="0.25">
      <c r="E405" s="117" t="s">
        <v>308</v>
      </c>
      <c r="F405" s="117">
        <v>0</v>
      </c>
      <c r="G405" s="117">
        <f>H276</f>
        <v>0</v>
      </c>
      <c r="H405" s="117">
        <f>I276+H298</f>
        <v>0</v>
      </c>
      <c r="I405" s="117">
        <f>J276+I298+H320</f>
        <v>0</v>
      </c>
      <c r="J405" s="117">
        <f>K276+J298+I320+H342</f>
        <v>0</v>
      </c>
      <c r="K405" s="117">
        <f>L276+K298+J320+I342+H364</f>
        <v>0</v>
      </c>
      <c r="L405" s="7"/>
      <c r="M405" s="7"/>
    </row>
    <row r="406" spans="5:13" hidden="1" x14ac:dyDescent="0.25">
      <c r="E406" s="7"/>
      <c r="F406" s="7"/>
      <c r="G406" s="7"/>
      <c r="H406" s="7"/>
      <c r="I406" s="7"/>
      <c r="J406" s="7"/>
      <c r="K406" s="7"/>
      <c r="L406" s="7"/>
      <c r="M406" s="7"/>
    </row>
    <row r="407" spans="5:13" hidden="1" x14ac:dyDescent="0.25">
      <c r="E407" s="122" t="s">
        <v>437</v>
      </c>
      <c r="F407" s="117" t="str">
        <f>F402</f>
        <v>AÑO 0</v>
      </c>
      <c r="G407" s="117">
        <f t="shared" ref="G407:K407" si="119">G402</f>
        <v>2021</v>
      </c>
      <c r="H407" s="117">
        <f t="shared" si="119"/>
        <v>2022</v>
      </c>
      <c r="I407" s="117">
        <f t="shared" si="119"/>
        <v>2023</v>
      </c>
      <c r="J407" s="117">
        <f t="shared" si="119"/>
        <v>2024</v>
      </c>
      <c r="K407" s="117">
        <f t="shared" si="119"/>
        <v>2025</v>
      </c>
      <c r="L407" s="7"/>
      <c r="M407" s="7"/>
    </row>
    <row r="408" spans="5:13" hidden="1" x14ac:dyDescent="0.25">
      <c r="E408" s="117" t="s">
        <v>304</v>
      </c>
      <c r="F408" s="120">
        <f>F278</f>
        <v>0</v>
      </c>
      <c r="G408" s="120">
        <f>F408+F300</f>
        <v>0</v>
      </c>
      <c r="H408" s="120">
        <f>G408+F322</f>
        <v>0</v>
      </c>
      <c r="I408" s="120">
        <f>H408+F344</f>
        <v>0</v>
      </c>
      <c r="J408" s="120">
        <f>I408+F366</f>
        <v>0</v>
      </c>
      <c r="K408" s="120">
        <f>J408+W247</f>
        <v>0</v>
      </c>
      <c r="L408" s="7"/>
      <c r="M408" s="7"/>
    </row>
    <row r="409" spans="5:13" hidden="1" x14ac:dyDescent="0.25">
      <c r="E409" s="117" t="s">
        <v>307</v>
      </c>
      <c r="F409" s="117">
        <v>0</v>
      </c>
      <c r="G409" s="117">
        <f>-1*(H279)</f>
        <v>0</v>
      </c>
      <c r="H409" s="117">
        <f>-1*(I279+H301)</f>
        <v>0</v>
      </c>
      <c r="I409" s="117">
        <f>-1*(J279+I301+H323)</f>
        <v>0</v>
      </c>
      <c r="J409" s="117">
        <f>-1*(K279+J301+I323+H345)</f>
        <v>0</v>
      </c>
      <c r="K409" s="117">
        <f>-1*(L279+K301+J323+I345+H367)</f>
        <v>0</v>
      </c>
      <c r="L409" s="7"/>
      <c r="M409" s="7"/>
    </row>
    <row r="410" spans="5:13" hidden="1" x14ac:dyDescent="0.25">
      <c r="E410" s="117" t="s">
        <v>308</v>
      </c>
      <c r="F410" s="117">
        <v>0</v>
      </c>
      <c r="G410" s="117">
        <f>H278</f>
        <v>0</v>
      </c>
      <c r="H410" s="117">
        <f>I278+H300</f>
        <v>0</v>
      </c>
      <c r="I410" s="117">
        <f>J278+I300+H322</f>
        <v>0</v>
      </c>
      <c r="J410" s="117">
        <f>K278+J300+I322+H344</f>
        <v>0</v>
      </c>
      <c r="K410" s="117">
        <f>L278+K300+J322+I344+H366</f>
        <v>0</v>
      </c>
      <c r="L410" s="7"/>
      <c r="M410" s="7"/>
    </row>
    <row r="411" spans="5:13" hidden="1" x14ac:dyDescent="0.25">
      <c r="E411" s="7"/>
      <c r="F411" s="7"/>
      <c r="G411" s="7"/>
      <c r="H411" s="7"/>
      <c r="I411" s="7"/>
      <c r="J411" s="7"/>
      <c r="K411" s="7"/>
      <c r="L411" s="7"/>
      <c r="M411" s="7"/>
    </row>
    <row r="412" spans="5:13" hidden="1" x14ac:dyDescent="0.25">
      <c r="E412" s="122" t="s">
        <v>69</v>
      </c>
      <c r="F412" s="117" t="str">
        <f>F407</f>
        <v>AÑO 0</v>
      </c>
      <c r="G412" s="117">
        <f>G407</f>
        <v>2021</v>
      </c>
      <c r="H412" s="117">
        <f t="shared" ref="H412:K412" si="120">H407</f>
        <v>2022</v>
      </c>
      <c r="I412" s="117">
        <f t="shared" si="120"/>
        <v>2023</v>
      </c>
      <c r="J412" s="117">
        <f t="shared" si="120"/>
        <v>2024</v>
      </c>
      <c r="K412" s="117">
        <f t="shared" si="120"/>
        <v>2025</v>
      </c>
      <c r="L412" s="7"/>
      <c r="M412" s="7"/>
    </row>
    <row r="413" spans="5:13" hidden="1" x14ac:dyDescent="0.25">
      <c r="E413" s="117" t="s">
        <v>304</v>
      </c>
      <c r="F413" s="120">
        <f>F280</f>
        <v>0</v>
      </c>
      <c r="G413" s="120">
        <f>F413+F302</f>
        <v>0</v>
      </c>
      <c r="H413" s="120">
        <f>G413+F324</f>
        <v>0</v>
      </c>
      <c r="I413" s="120">
        <f>H413+F346</f>
        <v>0</v>
      </c>
      <c r="J413" s="120">
        <f>I413+F368</f>
        <v>0</v>
      </c>
      <c r="K413" s="120">
        <f>J413+W255</f>
        <v>0</v>
      </c>
      <c r="L413" s="7"/>
      <c r="M413" s="7"/>
    </row>
    <row r="414" spans="5:13" hidden="1" x14ac:dyDescent="0.25">
      <c r="E414" s="117" t="s">
        <v>307</v>
      </c>
      <c r="F414" s="117">
        <v>0</v>
      </c>
      <c r="G414" s="117">
        <f>-1*(H281)</f>
        <v>0</v>
      </c>
      <c r="H414" s="117">
        <f>-1*(I281+H303)</f>
        <v>0</v>
      </c>
      <c r="I414" s="117">
        <f>-1*(J281+I303+H325)</f>
        <v>0</v>
      </c>
      <c r="J414" s="117">
        <f>-1*(K281+J303+I325+H347)</f>
        <v>0</v>
      </c>
      <c r="K414" s="117">
        <f>-1*(L281+K303+J325+I347+H369)</f>
        <v>0</v>
      </c>
      <c r="L414" s="7"/>
      <c r="M414" s="7"/>
    </row>
    <row r="415" spans="5:13" hidden="1" x14ac:dyDescent="0.25">
      <c r="E415" s="117" t="s">
        <v>308</v>
      </c>
      <c r="F415" s="117">
        <v>0</v>
      </c>
      <c r="G415" s="117">
        <f>H280</f>
        <v>0</v>
      </c>
      <c r="H415" s="117">
        <f>I280+H302</f>
        <v>0</v>
      </c>
      <c r="I415" s="117">
        <f>J280+I302+H324</f>
        <v>0</v>
      </c>
      <c r="J415" s="117">
        <f>K280+J302+I324+H346</f>
        <v>0</v>
      </c>
      <c r="K415" s="117">
        <f>L280+K302+J324+I346+H368</f>
        <v>0</v>
      </c>
      <c r="L415" s="7"/>
      <c r="M415" s="7"/>
    </row>
    <row r="416" spans="5:13" hidden="1" x14ac:dyDescent="0.25">
      <c r="E416" s="7"/>
      <c r="F416" s="7"/>
      <c r="G416" s="7"/>
      <c r="H416" s="7"/>
      <c r="I416" s="7"/>
      <c r="J416" s="7"/>
      <c r="K416" s="7"/>
      <c r="L416" s="7"/>
      <c r="M416" s="7"/>
    </row>
    <row r="417" spans="5:13" hidden="1" x14ac:dyDescent="0.25">
      <c r="E417" s="117"/>
      <c r="F417" s="117"/>
      <c r="G417" s="117">
        <f>G412</f>
        <v>2021</v>
      </c>
      <c r="H417" s="117">
        <f t="shared" ref="H417:K417" si="121">H412</f>
        <v>2022</v>
      </c>
      <c r="I417" s="117">
        <f t="shared" si="121"/>
        <v>2023</v>
      </c>
      <c r="J417" s="117">
        <f t="shared" si="121"/>
        <v>2024</v>
      </c>
      <c r="K417" s="117">
        <f t="shared" si="121"/>
        <v>2025</v>
      </c>
      <c r="L417" s="7"/>
      <c r="M417" s="7"/>
    </row>
    <row r="418" spans="5:13" hidden="1" x14ac:dyDescent="0.25">
      <c r="E418" s="122" t="s">
        <v>438</v>
      </c>
      <c r="F418" s="117"/>
      <c r="G418" s="117">
        <f>G375+G380+G385+G390+G395</f>
        <v>1986333</v>
      </c>
      <c r="H418" s="117">
        <f>H375+H380+H385+H390+H395</f>
        <v>2022033</v>
      </c>
      <c r="I418" s="117">
        <f t="shared" ref="I418:K418" si="122">I375+I380+I385+I390+I395</f>
        <v>2064133</v>
      </c>
      <c r="J418" s="117">
        <f t="shared" si="122"/>
        <v>2113848</v>
      </c>
      <c r="K418" s="117">
        <f t="shared" si="122"/>
        <v>2173048</v>
      </c>
      <c r="L418" s="7"/>
      <c r="M418" s="7"/>
    </row>
    <row r="419" spans="5:13" hidden="1" x14ac:dyDescent="0.25">
      <c r="E419" s="122" t="s">
        <v>439</v>
      </c>
      <c r="F419" s="117"/>
      <c r="G419" s="117">
        <f>G400+G405+G410+G415</f>
        <v>0</v>
      </c>
      <c r="H419" s="117">
        <f t="shared" ref="H419:K419" si="123">H400+H405+H410+H415</f>
        <v>0</v>
      </c>
      <c r="I419" s="117">
        <f t="shared" si="123"/>
        <v>0</v>
      </c>
      <c r="J419" s="117">
        <f t="shared" si="123"/>
        <v>0</v>
      </c>
      <c r="K419" s="117">
        <f t="shared" si="123"/>
        <v>0</v>
      </c>
      <c r="L419" s="7"/>
      <c r="M419" s="7"/>
    </row>
    <row r="420" spans="5:13" hidden="1" x14ac:dyDescent="0.25">
      <c r="E420" s="7"/>
      <c r="F420" s="7"/>
      <c r="G420" s="7"/>
      <c r="H420" s="7"/>
      <c r="I420" s="7"/>
      <c r="J420" s="7"/>
      <c r="K420" s="7"/>
      <c r="L420" s="7"/>
      <c r="M420" s="7"/>
    </row>
    <row r="421" spans="5:13" hidden="1" x14ac:dyDescent="0.25">
      <c r="E421" s="122" t="s">
        <v>60</v>
      </c>
      <c r="F421" s="117" t="str">
        <f>F412</f>
        <v>AÑO 0</v>
      </c>
      <c r="G421" s="117">
        <f t="shared" ref="G421:K421" si="124">G412</f>
        <v>2021</v>
      </c>
      <c r="H421" s="117">
        <f t="shared" si="124"/>
        <v>2022</v>
      </c>
      <c r="I421" s="117">
        <f t="shared" si="124"/>
        <v>2023</v>
      </c>
      <c r="J421" s="117">
        <f t="shared" si="124"/>
        <v>2024</v>
      </c>
      <c r="K421" s="117">
        <f t="shared" si="124"/>
        <v>2025</v>
      </c>
      <c r="L421" s="7"/>
      <c r="M421" s="7"/>
    </row>
    <row r="422" spans="5:13" hidden="1" x14ac:dyDescent="0.25">
      <c r="E422" s="117" t="s">
        <v>304</v>
      </c>
      <c r="F422" s="117">
        <f>F42</f>
        <v>0</v>
      </c>
      <c r="G422" s="117">
        <f>F422+G42</f>
        <v>0</v>
      </c>
      <c r="H422" s="117">
        <f>G422+H42</f>
        <v>0</v>
      </c>
      <c r="I422" s="117">
        <f>H422+I42</f>
        <v>0</v>
      </c>
      <c r="J422" s="117">
        <f>I422+J42</f>
        <v>0</v>
      </c>
      <c r="K422" s="117">
        <f>J422+K42</f>
        <v>0</v>
      </c>
      <c r="L422" s="7"/>
      <c r="M422" s="7"/>
    </row>
    <row r="423" spans="5:13" hidden="1" x14ac:dyDescent="0.25">
      <c r="E423" s="7"/>
      <c r="F423" s="7"/>
      <c r="G423" s="7"/>
      <c r="H423" s="7"/>
      <c r="I423" s="7"/>
      <c r="J423" s="7"/>
      <c r="K423" s="7"/>
      <c r="L423" s="7"/>
      <c r="M423" s="7"/>
    </row>
  </sheetData>
  <mergeCells count="41">
    <mergeCell ref="U45:W45"/>
    <mergeCell ref="E44:W44"/>
    <mergeCell ref="E190:G190"/>
    <mergeCell ref="F200:H200"/>
    <mergeCell ref="I200:K200"/>
    <mergeCell ref="L200:N200"/>
    <mergeCell ref="O200:Q200"/>
    <mergeCell ref="R200:T200"/>
    <mergeCell ref="U200:W200"/>
    <mergeCell ref="F45:H45"/>
    <mergeCell ref="I45:K45"/>
    <mergeCell ref="L45:N45"/>
    <mergeCell ref="O45:Q45"/>
    <mergeCell ref="R45:T45"/>
    <mergeCell ref="D193:G197"/>
    <mergeCell ref="D23:T23"/>
    <mergeCell ref="D36:G39"/>
    <mergeCell ref="I36:K39"/>
    <mergeCell ref="L24:N24"/>
    <mergeCell ref="E262:M262"/>
    <mergeCell ref="F24:H24"/>
    <mergeCell ref="I24:K24"/>
    <mergeCell ref="O24:Q24"/>
    <mergeCell ref="E200:E201"/>
    <mergeCell ref="R24:T24"/>
    <mergeCell ref="E284:L284"/>
    <mergeCell ref="E306:K306"/>
    <mergeCell ref="E328:J328"/>
    <mergeCell ref="E350:I350"/>
    <mergeCell ref="D6:O6"/>
    <mergeCell ref="E249:G249"/>
    <mergeCell ref="E257:G257"/>
    <mergeCell ref="E259:G259"/>
    <mergeCell ref="F7:G7"/>
    <mergeCell ref="H7:I7"/>
    <mergeCell ref="J7:K7"/>
    <mergeCell ref="L7:M7"/>
    <mergeCell ref="N7:O7"/>
    <mergeCell ref="D15:F15"/>
    <mergeCell ref="D16:F16"/>
    <mergeCell ref="D17:F17"/>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23</xdr:row>
                    <xdr:rowOff>123825</xdr:rowOff>
                  </from>
                  <to>
                    <xdr:col>2</xdr:col>
                    <xdr:colOff>400050</xdr:colOff>
                    <xdr:row>25</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zoomScale="60" zoomScaleNormal="60" workbookViewId="0">
      <selection activeCell="M149" sqref="M149"/>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74" t="s">
        <v>406</v>
      </c>
      <c r="B6" s="675"/>
    </row>
    <row r="7" spans="1:16" x14ac:dyDescent="0.25">
      <c r="A7" s="676"/>
      <c r="B7" s="677"/>
    </row>
    <row r="8" spans="1:16" x14ac:dyDescent="0.25">
      <c r="A8" s="676"/>
      <c r="B8" s="677"/>
    </row>
    <row r="9" spans="1:16" ht="15.75" thickBot="1" x14ac:dyDescent="0.3">
      <c r="A9" s="678"/>
      <c r="B9" s="679"/>
    </row>
    <row r="14" spans="1:16" x14ac:dyDescent="0.25">
      <c r="A14" s="684" t="s">
        <v>70</v>
      </c>
      <c r="B14" s="684"/>
      <c r="C14" s="684"/>
      <c r="D14" s="684"/>
      <c r="E14" s="684"/>
      <c r="F14" s="684"/>
      <c r="G14" s="684"/>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511"/>
      <c r="D17" s="511"/>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511"/>
      <c r="D18" s="511"/>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511"/>
      <c r="D19" s="511"/>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511"/>
      <c r="D20" s="511"/>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511"/>
      <c r="D21" s="511"/>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511"/>
      <c r="D22" s="511"/>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511"/>
      <c r="D23" s="511"/>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511"/>
      <c r="D24" s="511"/>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511"/>
      <c r="D25" s="511"/>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511"/>
      <c r="D26" s="511"/>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511"/>
      <c r="D27" s="511"/>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4" t="s">
        <v>78</v>
      </c>
      <c r="C28" s="195">
        <f>SUM(C17:C27)</f>
        <v>0</v>
      </c>
      <c r="D28" s="195">
        <f t="shared" ref="D28:P28" si="11">SUM(D17:D27)</f>
        <v>0</v>
      </c>
      <c r="E28" s="195">
        <f t="shared" si="11"/>
        <v>0</v>
      </c>
      <c r="F28" s="195">
        <f t="shared" si="11"/>
        <v>0</v>
      </c>
      <c r="G28" s="195">
        <f t="shared" si="11"/>
        <v>0</v>
      </c>
      <c r="H28" s="195">
        <f t="shared" si="11"/>
        <v>0</v>
      </c>
      <c r="I28" s="195">
        <f t="shared" si="11"/>
        <v>0</v>
      </c>
      <c r="J28" s="195">
        <f t="shared" si="11"/>
        <v>0</v>
      </c>
      <c r="K28" s="195"/>
      <c r="L28" s="195">
        <f t="shared" si="11"/>
        <v>0</v>
      </c>
      <c r="M28" s="195">
        <f t="shared" si="11"/>
        <v>0</v>
      </c>
      <c r="N28" s="195">
        <f t="shared" si="11"/>
        <v>0</v>
      </c>
      <c r="O28" s="195">
        <f t="shared" si="11"/>
        <v>0</v>
      </c>
      <c r="P28" s="195">
        <f t="shared" si="11"/>
        <v>0</v>
      </c>
    </row>
    <row r="29" spans="1:16" x14ac:dyDescent="0.25">
      <c r="A29" s="150"/>
      <c r="B29" s="194" t="s">
        <v>80</v>
      </c>
      <c r="C29" s="195">
        <f>C28*12</f>
        <v>0</v>
      </c>
      <c r="D29" s="195">
        <f t="shared" ref="D29:O29" si="12">D28*12</f>
        <v>0</v>
      </c>
      <c r="E29" s="195">
        <f t="shared" si="12"/>
        <v>0</v>
      </c>
      <c r="F29" s="195">
        <f t="shared" si="12"/>
        <v>0</v>
      </c>
      <c r="G29" s="195">
        <f t="shared" si="12"/>
        <v>0</v>
      </c>
      <c r="H29" s="195">
        <f t="shared" si="12"/>
        <v>0</v>
      </c>
      <c r="I29" s="195">
        <f t="shared" si="12"/>
        <v>0</v>
      </c>
      <c r="J29" s="195">
        <f t="shared" si="12"/>
        <v>0</v>
      </c>
      <c r="K29" s="195"/>
      <c r="L29" s="195">
        <f t="shared" si="12"/>
        <v>0</v>
      </c>
      <c r="M29" s="195">
        <f t="shared" si="12"/>
        <v>0</v>
      </c>
      <c r="N29" s="195">
        <f t="shared" si="12"/>
        <v>0</v>
      </c>
      <c r="O29" s="195">
        <f t="shared" si="12"/>
        <v>0</v>
      </c>
      <c r="P29" s="195"/>
    </row>
    <row r="32" spans="1:16" x14ac:dyDescent="0.25">
      <c r="A32" s="683" t="s">
        <v>81</v>
      </c>
      <c r="B32" s="683"/>
      <c r="C32" s="683"/>
      <c r="D32" s="683"/>
      <c r="E32" s="683"/>
      <c r="F32" s="683"/>
      <c r="G32" s="683"/>
      <c r="H32" s="683"/>
      <c r="I32" s="683"/>
      <c r="J32" s="683"/>
      <c r="K32" s="683"/>
      <c r="L32" s="683"/>
      <c r="M32" s="683"/>
      <c r="N32" s="683"/>
      <c r="O32" s="683"/>
      <c r="P32" s="683"/>
    </row>
    <row r="34" spans="1:4" x14ac:dyDescent="0.25">
      <c r="A34" s="196" t="s">
        <v>71</v>
      </c>
      <c r="B34" s="196" t="s">
        <v>72</v>
      </c>
      <c r="C34" s="196" t="s">
        <v>73</v>
      </c>
      <c r="D34" s="196" t="s">
        <v>82</v>
      </c>
    </row>
    <row r="35" spans="1:4" x14ac:dyDescent="0.25">
      <c r="A35" s="145">
        <v>1</v>
      </c>
      <c r="B35" s="146" t="s">
        <v>1253</v>
      </c>
      <c r="C35" s="511">
        <v>2500000</v>
      </c>
      <c r="D35" s="151">
        <f>C35*12</f>
        <v>30000000</v>
      </c>
    </row>
    <row r="36" spans="1:4" x14ac:dyDescent="0.25">
      <c r="A36" s="145">
        <v>2</v>
      </c>
      <c r="B36" s="146"/>
      <c r="C36" s="511"/>
      <c r="D36" s="151">
        <f t="shared" ref="D36:D45" si="13">C36*12</f>
        <v>0</v>
      </c>
    </row>
    <row r="37" spans="1:4" x14ac:dyDescent="0.25">
      <c r="A37" s="145">
        <v>3</v>
      </c>
      <c r="B37" s="146"/>
      <c r="C37" s="511"/>
      <c r="D37" s="151">
        <f t="shared" si="13"/>
        <v>0</v>
      </c>
    </row>
    <row r="38" spans="1:4" x14ac:dyDescent="0.25">
      <c r="A38" s="145">
        <v>4</v>
      </c>
      <c r="B38" s="146"/>
      <c r="C38" s="511"/>
      <c r="D38" s="151">
        <f t="shared" si="13"/>
        <v>0</v>
      </c>
    </row>
    <row r="39" spans="1:4" x14ac:dyDescent="0.25">
      <c r="A39" s="145">
        <v>5</v>
      </c>
      <c r="B39" s="146"/>
      <c r="C39" s="511"/>
      <c r="D39" s="151">
        <f t="shared" si="13"/>
        <v>0</v>
      </c>
    </row>
    <row r="40" spans="1:4" x14ac:dyDescent="0.25">
      <c r="A40" s="145">
        <v>6</v>
      </c>
      <c r="B40" s="146"/>
      <c r="C40" s="511"/>
      <c r="D40" s="151">
        <f t="shared" si="13"/>
        <v>0</v>
      </c>
    </row>
    <row r="41" spans="1:4" x14ac:dyDescent="0.25">
      <c r="A41" s="145">
        <v>7</v>
      </c>
      <c r="B41" s="146"/>
      <c r="C41" s="511"/>
      <c r="D41" s="151">
        <f t="shared" si="13"/>
        <v>0</v>
      </c>
    </row>
    <row r="42" spans="1:4" x14ac:dyDescent="0.25">
      <c r="A42" s="145">
        <v>8</v>
      </c>
      <c r="B42" s="146"/>
      <c r="C42" s="511"/>
      <c r="D42" s="151">
        <f t="shared" si="13"/>
        <v>0</v>
      </c>
    </row>
    <row r="43" spans="1:4" x14ac:dyDescent="0.25">
      <c r="A43" s="145">
        <v>9</v>
      </c>
      <c r="B43" s="146"/>
      <c r="C43" s="511"/>
      <c r="D43" s="151">
        <f t="shared" si="13"/>
        <v>0</v>
      </c>
    </row>
    <row r="44" spans="1:4" x14ac:dyDescent="0.25">
      <c r="A44" s="145">
        <v>10</v>
      </c>
      <c r="B44" s="146"/>
      <c r="C44" s="511"/>
      <c r="D44" s="151">
        <f t="shared" si="13"/>
        <v>0</v>
      </c>
    </row>
    <row r="45" spans="1:4" x14ac:dyDescent="0.25">
      <c r="A45" s="145">
        <v>11</v>
      </c>
      <c r="B45" s="146"/>
      <c r="C45" s="511"/>
      <c r="D45" s="151">
        <f t="shared" si="13"/>
        <v>0</v>
      </c>
    </row>
    <row r="46" spans="1:4" x14ac:dyDescent="0.25">
      <c r="A46" s="141"/>
      <c r="B46" s="194" t="s">
        <v>83</v>
      </c>
      <c r="C46" s="197">
        <f>SUM(C35:C45)</f>
        <v>2500000</v>
      </c>
      <c r="D46" s="197">
        <f>SUM(D35:D45)</f>
        <v>30000000</v>
      </c>
    </row>
    <row r="47" spans="1:4" x14ac:dyDescent="0.25">
      <c r="A47" s="141"/>
      <c r="B47" s="194" t="s">
        <v>79</v>
      </c>
      <c r="C47" s="197">
        <f>C46*12</f>
        <v>30000000</v>
      </c>
      <c r="D47" s="198"/>
    </row>
    <row r="50" spans="1:16" ht="15.75" thickBot="1" x14ac:dyDescent="0.3"/>
    <row r="51" spans="1:16" x14ac:dyDescent="0.25">
      <c r="A51" s="674" t="s">
        <v>407</v>
      </c>
      <c r="B51" s="680"/>
      <c r="C51" s="675"/>
    </row>
    <row r="52" spans="1:16" x14ac:dyDescent="0.25">
      <c r="A52" s="676"/>
      <c r="B52" s="681"/>
      <c r="C52" s="677"/>
    </row>
    <row r="53" spans="1:16" x14ac:dyDescent="0.25">
      <c r="A53" s="676"/>
      <c r="B53" s="681"/>
      <c r="C53" s="677"/>
    </row>
    <row r="54" spans="1:16" ht="15.75" thickBot="1" x14ac:dyDescent="0.3">
      <c r="A54" s="678"/>
      <c r="B54" s="682"/>
      <c r="C54" s="679"/>
    </row>
    <row r="56" spans="1:16" x14ac:dyDescent="0.25">
      <c r="A56" s="684" t="s">
        <v>70</v>
      </c>
      <c r="B56" s="684"/>
      <c r="C56" s="684"/>
      <c r="D56" s="684"/>
      <c r="E56" s="684"/>
      <c r="F56" s="684"/>
      <c r="G56" s="684"/>
      <c r="H56" s="684"/>
      <c r="I56" s="684"/>
      <c r="J56" s="684"/>
      <c r="K56" s="684"/>
      <c r="L56" s="684"/>
      <c r="M56" s="684"/>
      <c r="N56" s="684"/>
      <c r="O56" s="684"/>
      <c r="P56" s="684"/>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512"/>
      <c r="D60" s="512"/>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512"/>
      <c r="D61" s="512"/>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512"/>
      <c r="D62" s="512"/>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512"/>
      <c r="D63" s="512"/>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512"/>
      <c r="D64" s="512"/>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512"/>
      <c r="D65" s="512"/>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512"/>
      <c r="D66" s="512"/>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512"/>
      <c r="D67" s="512"/>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512"/>
      <c r="D68" s="512"/>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512"/>
      <c r="D69" s="512"/>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199" t="s">
        <v>78</v>
      </c>
      <c r="C70" s="197">
        <f>SUM(C60:C69)</f>
        <v>0</v>
      </c>
      <c r="D70" s="197">
        <f t="shared" ref="D70:P70" si="25">SUM(D60:D69)</f>
        <v>0</v>
      </c>
      <c r="E70" s="197">
        <f t="shared" si="25"/>
        <v>0</v>
      </c>
      <c r="F70" s="197">
        <f t="shared" si="25"/>
        <v>0</v>
      </c>
      <c r="G70" s="197">
        <f t="shared" si="25"/>
        <v>0</v>
      </c>
      <c r="H70" s="197">
        <f t="shared" si="25"/>
        <v>0</v>
      </c>
      <c r="I70" s="197">
        <f t="shared" si="25"/>
        <v>0</v>
      </c>
      <c r="J70" s="197">
        <f t="shared" si="25"/>
        <v>0</v>
      </c>
      <c r="K70" s="197"/>
      <c r="L70" s="197">
        <f t="shared" si="25"/>
        <v>0</v>
      </c>
      <c r="M70" s="197">
        <f t="shared" si="25"/>
        <v>0</v>
      </c>
      <c r="N70" s="197">
        <f t="shared" si="25"/>
        <v>0</v>
      </c>
      <c r="O70" s="197">
        <f t="shared" si="25"/>
        <v>0</v>
      </c>
      <c r="P70" s="197">
        <f t="shared" si="25"/>
        <v>0</v>
      </c>
    </row>
    <row r="71" spans="1:16" x14ac:dyDescent="0.25">
      <c r="A71" s="141"/>
      <c r="B71" s="199" t="s">
        <v>79</v>
      </c>
      <c r="C71" s="197">
        <f>C70*12</f>
        <v>0</v>
      </c>
      <c r="D71" s="197">
        <f t="shared" ref="D71:O71" si="26">D70*12</f>
        <v>0</v>
      </c>
      <c r="E71" s="197">
        <f t="shared" si="26"/>
        <v>0</v>
      </c>
      <c r="F71" s="197">
        <f t="shared" si="26"/>
        <v>0</v>
      </c>
      <c r="G71" s="197">
        <f t="shared" si="26"/>
        <v>0</v>
      </c>
      <c r="H71" s="197">
        <f t="shared" si="26"/>
        <v>0</v>
      </c>
      <c r="I71" s="197">
        <f t="shared" si="26"/>
        <v>0</v>
      </c>
      <c r="J71" s="197">
        <f t="shared" si="26"/>
        <v>0</v>
      </c>
      <c r="K71" s="197"/>
      <c r="L71" s="197">
        <f t="shared" si="26"/>
        <v>0</v>
      </c>
      <c r="M71" s="197">
        <f t="shared" si="26"/>
        <v>0</v>
      </c>
      <c r="N71" s="197">
        <f t="shared" si="26"/>
        <v>0</v>
      </c>
      <c r="O71" s="197">
        <f t="shared" si="26"/>
        <v>0</v>
      </c>
      <c r="P71" s="197"/>
    </row>
    <row r="74" spans="1:16" x14ac:dyDescent="0.25">
      <c r="A74" s="683" t="s">
        <v>84</v>
      </c>
      <c r="B74" s="683"/>
      <c r="C74" s="683"/>
      <c r="D74" s="683"/>
      <c r="E74" s="683"/>
    </row>
    <row r="75" spans="1:16" ht="15.75" thickBot="1" x14ac:dyDescent="0.3"/>
    <row r="76" spans="1:16" ht="15.75" thickBot="1" x14ac:dyDescent="0.3">
      <c r="A76" s="152" t="s">
        <v>71</v>
      </c>
      <c r="B76" s="153" t="s">
        <v>72</v>
      </c>
      <c r="C76" s="153" t="s">
        <v>73</v>
      </c>
      <c r="D76" s="154" t="s">
        <v>82</v>
      </c>
    </row>
    <row r="77" spans="1:16" x14ac:dyDescent="0.25">
      <c r="A77" s="155">
        <v>1</v>
      </c>
      <c r="B77" s="156"/>
      <c r="C77" s="513"/>
      <c r="D77" s="157">
        <f>C77*12</f>
        <v>0</v>
      </c>
    </row>
    <row r="78" spans="1:16" x14ac:dyDescent="0.25">
      <c r="A78" s="158">
        <v>2</v>
      </c>
      <c r="B78" s="146"/>
      <c r="C78" s="512"/>
      <c r="D78" s="157">
        <f t="shared" ref="D78:D87" si="27">C78*12</f>
        <v>0</v>
      </c>
    </row>
    <row r="79" spans="1:16" x14ac:dyDescent="0.25">
      <c r="A79" s="158">
        <v>3</v>
      </c>
      <c r="B79" s="146"/>
      <c r="C79" s="512"/>
      <c r="D79" s="157">
        <f t="shared" si="27"/>
        <v>0</v>
      </c>
    </row>
    <row r="80" spans="1:16" x14ac:dyDescent="0.25">
      <c r="A80" s="158">
        <v>4</v>
      </c>
      <c r="B80" s="146"/>
      <c r="C80" s="512"/>
      <c r="D80" s="157">
        <f t="shared" si="27"/>
        <v>0</v>
      </c>
    </row>
    <row r="81" spans="1:4" x14ac:dyDescent="0.25">
      <c r="A81" s="158">
        <v>5</v>
      </c>
      <c r="B81" s="146"/>
      <c r="C81" s="512"/>
      <c r="D81" s="157">
        <f t="shared" si="27"/>
        <v>0</v>
      </c>
    </row>
    <row r="82" spans="1:4" x14ac:dyDescent="0.25">
      <c r="A82" s="158">
        <v>6</v>
      </c>
      <c r="B82" s="146"/>
      <c r="C82" s="512"/>
      <c r="D82" s="157">
        <f t="shared" si="27"/>
        <v>0</v>
      </c>
    </row>
    <row r="83" spans="1:4" x14ac:dyDescent="0.25">
      <c r="A83" s="158">
        <v>7</v>
      </c>
      <c r="B83" s="146"/>
      <c r="C83" s="512"/>
      <c r="D83" s="157">
        <f t="shared" si="27"/>
        <v>0</v>
      </c>
    </row>
    <row r="84" spans="1:4" x14ac:dyDescent="0.25">
      <c r="A84" s="158">
        <v>8</v>
      </c>
      <c r="B84" s="146"/>
      <c r="C84" s="512"/>
      <c r="D84" s="157">
        <f t="shared" si="27"/>
        <v>0</v>
      </c>
    </row>
    <row r="85" spans="1:4" x14ac:dyDescent="0.25">
      <c r="A85" s="158">
        <v>9</v>
      </c>
      <c r="B85" s="146"/>
      <c r="C85" s="512"/>
      <c r="D85" s="157">
        <f t="shared" si="27"/>
        <v>0</v>
      </c>
    </row>
    <row r="86" spans="1:4" x14ac:dyDescent="0.25">
      <c r="A86" s="158">
        <v>10</v>
      </c>
      <c r="B86" s="146"/>
      <c r="C86" s="512"/>
      <c r="D86" s="157">
        <f t="shared" si="27"/>
        <v>0</v>
      </c>
    </row>
    <row r="87" spans="1:4" x14ac:dyDescent="0.25">
      <c r="A87" s="158">
        <v>11</v>
      </c>
      <c r="B87" s="146"/>
      <c r="C87" s="512"/>
      <c r="D87" s="157">
        <f t="shared" si="27"/>
        <v>0</v>
      </c>
    </row>
    <row r="88" spans="1:4" x14ac:dyDescent="0.25">
      <c r="A88" s="159"/>
      <c r="B88" s="194" t="s">
        <v>78</v>
      </c>
      <c r="C88" s="200">
        <f>SUM(C77:C87)</f>
        <v>0</v>
      </c>
      <c r="D88" s="201">
        <f>SUM(D77:D87)</f>
        <v>0</v>
      </c>
    </row>
    <row r="89" spans="1:4" ht="15.75" thickBot="1" x14ac:dyDescent="0.3">
      <c r="A89" s="160"/>
      <c r="B89" s="202" t="s">
        <v>80</v>
      </c>
      <c r="C89" s="203">
        <f>C88*12</f>
        <v>0</v>
      </c>
      <c r="D89" s="204"/>
    </row>
    <row r="91" spans="1:4" ht="15.75" thickBot="1" x14ac:dyDescent="0.3"/>
    <row r="92" spans="1:4" x14ac:dyDescent="0.25">
      <c r="A92" s="674" t="s">
        <v>408</v>
      </c>
      <c r="B92" s="680"/>
      <c r="C92" s="675"/>
    </row>
    <row r="93" spans="1:4" x14ac:dyDescent="0.25">
      <c r="A93" s="676"/>
      <c r="B93" s="681"/>
      <c r="C93" s="677"/>
    </row>
    <row r="94" spans="1:4" x14ac:dyDescent="0.25">
      <c r="A94" s="676"/>
      <c r="B94" s="681"/>
      <c r="C94" s="677"/>
    </row>
    <row r="95" spans="1:4" x14ac:dyDescent="0.25">
      <c r="A95" s="676"/>
      <c r="B95" s="681"/>
      <c r="C95" s="677"/>
    </row>
    <row r="96" spans="1:4" x14ac:dyDescent="0.25">
      <c r="A96" s="676"/>
      <c r="B96" s="681"/>
      <c r="C96" s="677"/>
    </row>
    <row r="97" spans="1:16" x14ac:dyDescent="0.25">
      <c r="A97" s="676"/>
      <c r="B97" s="681"/>
      <c r="C97" s="677"/>
    </row>
    <row r="98" spans="1:16" ht="15.75" thickBot="1" x14ac:dyDescent="0.3">
      <c r="A98" s="678"/>
      <c r="B98" s="682"/>
      <c r="C98" s="679"/>
    </row>
    <row r="101" spans="1:16" x14ac:dyDescent="0.25">
      <c r="D101" s="161" t="s">
        <v>85</v>
      </c>
    </row>
    <row r="103" spans="1:16" x14ac:dyDescent="0.25">
      <c r="A103" s="684" t="s">
        <v>70</v>
      </c>
      <c r="B103" s="684"/>
      <c r="C103" s="684"/>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2"/>
      <c r="F107" s="163">
        <f>F59</f>
        <v>8.3299999999999999E-2</v>
      </c>
      <c r="G107" s="163">
        <f>G59</f>
        <v>0.12</v>
      </c>
      <c r="H107" s="163">
        <f>H59</f>
        <v>8.3299999999999999E-2</v>
      </c>
      <c r="I107" s="163">
        <f>I59</f>
        <v>4.1700000000000001E-2</v>
      </c>
      <c r="J107" s="163">
        <f>J59</f>
        <v>0.09</v>
      </c>
      <c r="K107" s="163"/>
      <c r="L107" s="164">
        <f>L59</f>
        <v>0.12</v>
      </c>
      <c r="M107" s="163">
        <f>M59</f>
        <v>8.5000000000000006E-2</v>
      </c>
      <c r="N107" s="163">
        <f>N59</f>
        <v>5.2199999999999998E-3</v>
      </c>
      <c r="O107" s="162"/>
      <c r="P107" s="162"/>
    </row>
    <row r="108" spans="1:16" x14ac:dyDescent="0.25">
      <c r="A108" s="149">
        <v>1</v>
      </c>
      <c r="B108" s="146" t="s">
        <v>1241</v>
      </c>
      <c r="C108" s="511">
        <v>908526</v>
      </c>
      <c r="D108" s="511">
        <v>106454</v>
      </c>
      <c r="E108" s="165">
        <f>C108+D108</f>
        <v>1014980</v>
      </c>
      <c r="F108" s="165">
        <f>C108*$F$107</f>
        <v>75680.215800000005</v>
      </c>
      <c r="G108" s="165">
        <f>C108*$G$107</f>
        <v>109023.12</v>
      </c>
      <c r="H108" s="165">
        <f>C108*$H$107</f>
        <v>75680.215800000005</v>
      </c>
      <c r="I108" s="165">
        <f>C108*$I$107</f>
        <v>37885.534200000002</v>
      </c>
      <c r="J108" s="165">
        <f>C108*$J$107</f>
        <v>81767.34</v>
      </c>
      <c r="K108" s="165"/>
      <c r="L108" s="165">
        <f>C108*$L$107</f>
        <v>109023.12</v>
      </c>
      <c r="M108" s="165">
        <f>C108*$M$107</f>
        <v>77224.710000000006</v>
      </c>
      <c r="N108" s="165">
        <f>C108*$N$107</f>
        <v>4742.5057200000001</v>
      </c>
      <c r="O108" s="165">
        <f>SUM(E108:N108)</f>
        <v>1586006.7615199999</v>
      </c>
      <c r="P108" s="165">
        <f>O108*12</f>
        <v>19032081.138239998</v>
      </c>
    </row>
    <row r="109" spans="1:16" x14ac:dyDescent="0.25">
      <c r="A109" s="149">
        <v>2</v>
      </c>
      <c r="B109" s="146"/>
      <c r="C109" s="511"/>
      <c r="D109" s="511"/>
      <c r="E109" s="165">
        <f t="shared" ref="E109:E117" si="28">C109+D109</f>
        <v>0</v>
      </c>
      <c r="F109" s="165">
        <f t="shared" ref="F109:F117" si="29">C109*$F$107</f>
        <v>0</v>
      </c>
      <c r="G109" s="165">
        <f t="shared" ref="G109:G117" si="30">C109*$G$107</f>
        <v>0</v>
      </c>
      <c r="H109" s="165">
        <f t="shared" ref="H109:H117" si="31">C109*$H$107</f>
        <v>0</v>
      </c>
      <c r="I109" s="165">
        <f t="shared" ref="I109:I117" si="32">C109*$I$107</f>
        <v>0</v>
      </c>
      <c r="J109" s="165">
        <f t="shared" ref="J109:J117" si="33">C109*$J$107</f>
        <v>0</v>
      </c>
      <c r="K109" s="165"/>
      <c r="L109" s="165">
        <f t="shared" ref="L109:L117" si="34">C109*$L$107</f>
        <v>0</v>
      </c>
      <c r="M109" s="165">
        <f t="shared" ref="M109:M117" si="35">C109*$M$107</f>
        <v>0</v>
      </c>
      <c r="N109" s="165">
        <f t="shared" ref="N109:N117" si="36">C109*$N$107</f>
        <v>0</v>
      </c>
      <c r="O109" s="165">
        <f t="shared" ref="O109:O117" si="37">SUM(E109:N109)</f>
        <v>0</v>
      </c>
      <c r="P109" s="165">
        <f t="shared" ref="P109:P117" si="38">O109*12</f>
        <v>0</v>
      </c>
    </row>
    <row r="110" spans="1:16" x14ac:dyDescent="0.25">
      <c r="A110" s="149">
        <v>3</v>
      </c>
      <c r="B110" s="146"/>
      <c r="C110" s="511"/>
      <c r="D110" s="511"/>
      <c r="E110" s="165">
        <f t="shared" si="28"/>
        <v>0</v>
      </c>
      <c r="F110" s="165">
        <f t="shared" si="29"/>
        <v>0</v>
      </c>
      <c r="G110" s="165">
        <f t="shared" si="30"/>
        <v>0</v>
      </c>
      <c r="H110" s="165">
        <f t="shared" si="31"/>
        <v>0</v>
      </c>
      <c r="I110" s="165">
        <f t="shared" si="32"/>
        <v>0</v>
      </c>
      <c r="J110" s="165">
        <f t="shared" si="33"/>
        <v>0</v>
      </c>
      <c r="K110" s="165"/>
      <c r="L110" s="165">
        <f t="shared" si="34"/>
        <v>0</v>
      </c>
      <c r="M110" s="165">
        <f t="shared" si="35"/>
        <v>0</v>
      </c>
      <c r="N110" s="165">
        <f t="shared" si="36"/>
        <v>0</v>
      </c>
      <c r="O110" s="165">
        <f t="shared" si="37"/>
        <v>0</v>
      </c>
      <c r="P110" s="165">
        <f t="shared" si="38"/>
        <v>0</v>
      </c>
    </row>
    <row r="111" spans="1:16" x14ac:dyDescent="0.25">
      <c r="A111" s="149">
        <v>4</v>
      </c>
      <c r="B111" s="146"/>
      <c r="C111" s="511"/>
      <c r="D111" s="511"/>
      <c r="E111" s="165">
        <f t="shared" si="28"/>
        <v>0</v>
      </c>
      <c r="F111" s="165">
        <f t="shared" si="29"/>
        <v>0</v>
      </c>
      <c r="G111" s="165">
        <f t="shared" si="30"/>
        <v>0</v>
      </c>
      <c r="H111" s="165">
        <f t="shared" si="31"/>
        <v>0</v>
      </c>
      <c r="I111" s="165">
        <f t="shared" si="32"/>
        <v>0</v>
      </c>
      <c r="J111" s="165">
        <f t="shared" si="33"/>
        <v>0</v>
      </c>
      <c r="K111" s="165"/>
      <c r="L111" s="165">
        <f t="shared" si="34"/>
        <v>0</v>
      </c>
      <c r="M111" s="165">
        <f t="shared" si="35"/>
        <v>0</v>
      </c>
      <c r="N111" s="165">
        <f t="shared" si="36"/>
        <v>0</v>
      </c>
      <c r="O111" s="165">
        <f t="shared" si="37"/>
        <v>0</v>
      </c>
      <c r="P111" s="165">
        <f t="shared" si="38"/>
        <v>0</v>
      </c>
    </row>
    <row r="112" spans="1:16" x14ac:dyDescent="0.25">
      <c r="A112" s="149">
        <v>5</v>
      </c>
      <c r="B112" s="146"/>
      <c r="C112" s="511"/>
      <c r="D112" s="511"/>
      <c r="E112" s="165">
        <f t="shared" si="28"/>
        <v>0</v>
      </c>
      <c r="F112" s="165">
        <f t="shared" si="29"/>
        <v>0</v>
      </c>
      <c r="G112" s="165">
        <f t="shared" si="30"/>
        <v>0</v>
      </c>
      <c r="H112" s="165">
        <f t="shared" si="31"/>
        <v>0</v>
      </c>
      <c r="I112" s="165">
        <f t="shared" si="32"/>
        <v>0</v>
      </c>
      <c r="J112" s="165">
        <f t="shared" si="33"/>
        <v>0</v>
      </c>
      <c r="K112" s="165"/>
      <c r="L112" s="165">
        <f t="shared" si="34"/>
        <v>0</v>
      </c>
      <c r="M112" s="165">
        <f t="shared" si="35"/>
        <v>0</v>
      </c>
      <c r="N112" s="165">
        <f t="shared" si="36"/>
        <v>0</v>
      </c>
      <c r="O112" s="165">
        <f t="shared" si="37"/>
        <v>0</v>
      </c>
      <c r="P112" s="165">
        <f t="shared" si="38"/>
        <v>0</v>
      </c>
    </row>
    <row r="113" spans="1:16" x14ac:dyDescent="0.25">
      <c r="A113" s="149">
        <v>6</v>
      </c>
      <c r="B113" s="146"/>
      <c r="C113" s="511"/>
      <c r="D113" s="511"/>
      <c r="E113" s="165">
        <f t="shared" si="28"/>
        <v>0</v>
      </c>
      <c r="F113" s="165">
        <f t="shared" si="29"/>
        <v>0</v>
      </c>
      <c r="G113" s="165">
        <f t="shared" si="30"/>
        <v>0</v>
      </c>
      <c r="H113" s="165">
        <f t="shared" si="31"/>
        <v>0</v>
      </c>
      <c r="I113" s="165">
        <f t="shared" si="32"/>
        <v>0</v>
      </c>
      <c r="J113" s="165">
        <f t="shared" si="33"/>
        <v>0</v>
      </c>
      <c r="K113" s="165"/>
      <c r="L113" s="165">
        <f t="shared" si="34"/>
        <v>0</v>
      </c>
      <c r="M113" s="165">
        <f t="shared" si="35"/>
        <v>0</v>
      </c>
      <c r="N113" s="165">
        <f t="shared" si="36"/>
        <v>0</v>
      </c>
      <c r="O113" s="165">
        <f t="shared" si="37"/>
        <v>0</v>
      </c>
      <c r="P113" s="165">
        <f t="shared" si="38"/>
        <v>0</v>
      </c>
    </row>
    <row r="114" spans="1:16" x14ac:dyDescent="0.25">
      <c r="A114" s="149">
        <v>7</v>
      </c>
      <c r="B114" s="146"/>
      <c r="C114" s="511"/>
      <c r="D114" s="511"/>
      <c r="E114" s="165">
        <f t="shared" si="28"/>
        <v>0</v>
      </c>
      <c r="F114" s="165">
        <f t="shared" si="29"/>
        <v>0</v>
      </c>
      <c r="G114" s="165">
        <f t="shared" si="30"/>
        <v>0</v>
      </c>
      <c r="H114" s="165">
        <f t="shared" si="31"/>
        <v>0</v>
      </c>
      <c r="I114" s="165">
        <f t="shared" si="32"/>
        <v>0</v>
      </c>
      <c r="J114" s="165">
        <f t="shared" si="33"/>
        <v>0</v>
      </c>
      <c r="K114" s="165"/>
      <c r="L114" s="165">
        <f t="shared" si="34"/>
        <v>0</v>
      </c>
      <c r="M114" s="165">
        <f t="shared" si="35"/>
        <v>0</v>
      </c>
      <c r="N114" s="165">
        <f t="shared" si="36"/>
        <v>0</v>
      </c>
      <c r="O114" s="165">
        <f t="shared" si="37"/>
        <v>0</v>
      </c>
      <c r="P114" s="165">
        <f t="shared" si="38"/>
        <v>0</v>
      </c>
    </row>
    <row r="115" spans="1:16" x14ac:dyDescent="0.25">
      <c r="A115" s="149">
        <v>8</v>
      </c>
      <c r="B115" s="146"/>
      <c r="C115" s="511"/>
      <c r="D115" s="511"/>
      <c r="E115" s="165">
        <f t="shared" si="28"/>
        <v>0</v>
      </c>
      <c r="F115" s="165">
        <f t="shared" si="29"/>
        <v>0</v>
      </c>
      <c r="G115" s="165">
        <f t="shared" si="30"/>
        <v>0</v>
      </c>
      <c r="H115" s="165">
        <f t="shared" si="31"/>
        <v>0</v>
      </c>
      <c r="I115" s="165">
        <f t="shared" si="32"/>
        <v>0</v>
      </c>
      <c r="J115" s="165">
        <f t="shared" si="33"/>
        <v>0</v>
      </c>
      <c r="K115" s="165"/>
      <c r="L115" s="165">
        <f t="shared" si="34"/>
        <v>0</v>
      </c>
      <c r="M115" s="165">
        <f t="shared" si="35"/>
        <v>0</v>
      </c>
      <c r="N115" s="165">
        <f t="shared" si="36"/>
        <v>0</v>
      </c>
      <c r="O115" s="165">
        <f t="shared" si="37"/>
        <v>0</v>
      </c>
      <c r="P115" s="165">
        <f t="shared" si="38"/>
        <v>0</v>
      </c>
    </row>
    <row r="116" spans="1:16" x14ac:dyDescent="0.25">
      <c r="A116" s="149">
        <v>9</v>
      </c>
      <c r="B116" s="146"/>
      <c r="C116" s="511"/>
      <c r="D116" s="511"/>
      <c r="E116" s="165">
        <f t="shared" si="28"/>
        <v>0</v>
      </c>
      <c r="F116" s="165">
        <f t="shared" si="29"/>
        <v>0</v>
      </c>
      <c r="G116" s="165">
        <f t="shared" si="30"/>
        <v>0</v>
      </c>
      <c r="H116" s="165">
        <f t="shared" si="31"/>
        <v>0</v>
      </c>
      <c r="I116" s="165">
        <f t="shared" si="32"/>
        <v>0</v>
      </c>
      <c r="J116" s="165">
        <f t="shared" si="33"/>
        <v>0</v>
      </c>
      <c r="K116" s="165"/>
      <c r="L116" s="165">
        <f t="shared" si="34"/>
        <v>0</v>
      </c>
      <c r="M116" s="165">
        <f t="shared" si="35"/>
        <v>0</v>
      </c>
      <c r="N116" s="165">
        <f t="shared" si="36"/>
        <v>0</v>
      </c>
      <c r="O116" s="165">
        <f t="shared" si="37"/>
        <v>0</v>
      </c>
      <c r="P116" s="165">
        <f t="shared" si="38"/>
        <v>0</v>
      </c>
    </row>
    <row r="117" spans="1:16" x14ac:dyDescent="0.25">
      <c r="A117" s="149">
        <v>10</v>
      </c>
      <c r="B117" s="146"/>
      <c r="C117" s="511"/>
      <c r="D117" s="511"/>
      <c r="E117" s="165">
        <f t="shared" si="28"/>
        <v>0</v>
      </c>
      <c r="F117" s="165">
        <f t="shared" si="29"/>
        <v>0</v>
      </c>
      <c r="G117" s="165">
        <f t="shared" si="30"/>
        <v>0</v>
      </c>
      <c r="H117" s="165">
        <f t="shared" si="31"/>
        <v>0</v>
      </c>
      <c r="I117" s="165">
        <f t="shared" si="32"/>
        <v>0</v>
      </c>
      <c r="J117" s="165">
        <f t="shared" si="33"/>
        <v>0</v>
      </c>
      <c r="K117" s="165"/>
      <c r="L117" s="165">
        <f t="shared" si="34"/>
        <v>0</v>
      </c>
      <c r="M117" s="165">
        <f t="shared" si="35"/>
        <v>0</v>
      </c>
      <c r="N117" s="165">
        <f t="shared" si="36"/>
        <v>0</v>
      </c>
      <c r="O117" s="165">
        <f t="shared" si="37"/>
        <v>0</v>
      </c>
      <c r="P117" s="165">
        <f t="shared" si="38"/>
        <v>0</v>
      </c>
    </row>
    <row r="118" spans="1:16" x14ac:dyDescent="0.25">
      <c r="A118" s="150"/>
      <c r="B118" s="194" t="s">
        <v>78</v>
      </c>
      <c r="C118" s="197">
        <f>SUM(C108:C117)</f>
        <v>908526</v>
      </c>
      <c r="D118" s="197">
        <f t="shared" ref="D118:P118" si="39">SUM(D108:D117)</f>
        <v>106454</v>
      </c>
      <c r="E118" s="197">
        <f t="shared" si="39"/>
        <v>1014980</v>
      </c>
      <c r="F118" s="197">
        <f t="shared" si="39"/>
        <v>75680.215800000005</v>
      </c>
      <c r="G118" s="197">
        <f t="shared" si="39"/>
        <v>109023.12</v>
      </c>
      <c r="H118" s="197">
        <f t="shared" si="39"/>
        <v>75680.215800000005</v>
      </c>
      <c r="I118" s="197">
        <f t="shared" si="39"/>
        <v>37885.534200000002</v>
      </c>
      <c r="J118" s="197">
        <f t="shared" si="39"/>
        <v>81767.34</v>
      </c>
      <c r="K118" s="197"/>
      <c r="L118" s="197">
        <f t="shared" si="39"/>
        <v>109023.12</v>
      </c>
      <c r="M118" s="197">
        <f t="shared" si="39"/>
        <v>77224.710000000006</v>
      </c>
      <c r="N118" s="197">
        <f t="shared" si="39"/>
        <v>4742.5057200000001</v>
      </c>
      <c r="O118" s="197">
        <f t="shared" si="39"/>
        <v>1586006.7615199999</v>
      </c>
      <c r="P118" s="197">
        <f t="shared" si="39"/>
        <v>19032081.138239998</v>
      </c>
    </row>
    <row r="119" spans="1:16" x14ac:dyDescent="0.25">
      <c r="A119" s="150"/>
      <c r="B119" s="194" t="s">
        <v>79</v>
      </c>
      <c r="C119" s="197">
        <f>C118*12</f>
        <v>10902312</v>
      </c>
      <c r="D119" s="197">
        <f t="shared" ref="D119:O119" si="40">D118*12</f>
        <v>1277448</v>
      </c>
      <c r="E119" s="197">
        <f t="shared" si="40"/>
        <v>12179760</v>
      </c>
      <c r="F119" s="197">
        <f t="shared" si="40"/>
        <v>908162.58960000006</v>
      </c>
      <c r="G119" s="197">
        <f t="shared" si="40"/>
        <v>1308277.44</v>
      </c>
      <c r="H119" s="197">
        <f t="shared" si="40"/>
        <v>908162.58960000006</v>
      </c>
      <c r="I119" s="197">
        <f t="shared" si="40"/>
        <v>454626.41040000005</v>
      </c>
      <c r="J119" s="197">
        <f t="shared" si="40"/>
        <v>981208.08</v>
      </c>
      <c r="K119" s="197"/>
      <c r="L119" s="197">
        <f t="shared" si="40"/>
        <v>1308277.44</v>
      </c>
      <c r="M119" s="197">
        <f t="shared" si="40"/>
        <v>926696.52</v>
      </c>
      <c r="N119" s="197">
        <f t="shared" si="40"/>
        <v>56910.068639999998</v>
      </c>
      <c r="O119" s="197">
        <f t="shared" si="40"/>
        <v>19032081.138239998</v>
      </c>
      <c r="P119" s="197"/>
    </row>
    <row r="122" spans="1:16" x14ac:dyDescent="0.25">
      <c r="A122" s="684" t="s">
        <v>81</v>
      </c>
      <c r="B122" s="684"/>
      <c r="C122" s="684"/>
    </row>
    <row r="123" spans="1:16" ht="15.75" thickBot="1" x14ac:dyDescent="0.3"/>
    <row r="124" spans="1:16" x14ac:dyDescent="0.25">
      <c r="A124" s="205" t="s">
        <v>71</v>
      </c>
      <c r="B124" s="206" t="s">
        <v>72</v>
      </c>
      <c r="C124" s="206" t="s">
        <v>73</v>
      </c>
      <c r="D124" s="207" t="s">
        <v>82</v>
      </c>
    </row>
    <row r="125" spans="1:16" x14ac:dyDescent="0.25">
      <c r="A125" s="166">
        <v>1</v>
      </c>
      <c r="B125" s="146"/>
      <c r="C125" s="147"/>
      <c r="D125" s="167">
        <f>C125*12</f>
        <v>0</v>
      </c>
    </row>
    <row r="126" spans="1:16" x14ac:dyDescent="0.25">
      <c r="A126" s="166">
        <v>2</v>
      </c>
      <c r="B126" s="146"/>
      <c r="C126" s="147"/>
      <c r="D126" s="167"/>
    </row>
    <row r="127" spans="1:16" x14ac:dyDescent="0.25">
      <c r="A127" s="166">
        <v>3</v>
      </c>
      <c r="B127" s="146"/>
      <c r="C127" s="147"/>
      <c r="D127" s="167"/>
    </row>
    <row r="128" spans="1:16" x14ac:dyDescent="0.25">
      <c r="A128" s="166">
        <v>4</v>
      </c>
      <c r="B128" s="146"/>
      <c r="C128" s="147"/>
      <c r="D128" s="167"/>
    </row>
    <row r="129" spans="1:12" x14ac:dyDescent="0.25">
      <c r="A129" s="166">
        <v>5</v>
      </c>
      <c r="B129" s="146"/>
      <c r="C129" s="147"/>
      <c r="D129" s="167"/>
    </row>
    <row r="130" spans="1:12" x14ac:dyDescent="0.25">
      <c r="A130" s="166">
        <v>6</v>
      </c>
      <c r="B130" s="146"/>
      <c r="C130" s="147"/>
      <c r="D130" s="167"/>
    </row>
    <row r="131" spans="1:12" x14ac:dyDescent="0.25">
      <c r="A131" s="166">
        <v>7</v>
      </c>
      <c r="B131" s="146"/>
      <c r="C131" s="147"/>
      <c r="D131" s="167"/>
    </row>
    <row r="132" spans="1:12" x14ac:dyDescent="0.25">
      <c r="A132" s="166">
        <v>8</v>
      </c>
      <c r="B132" s="146"/>
      <c r="C132" s="147"/>
      <c r="D132" s="167"/>
    </row>
    <row r="133" spans="1:12" x14ac:dyDescent="0.25">
      <c r="A133" s="166">
        <v>9</v>
      </c>
      <c r="B133" s="146"/>
      <c r="C133" s="147"/>
      <c r="D133" s="167"/>
    </row>
    <row r="134" spans="1:12" x14ac:dyDescent="0.25">
      <c r="A134" s="166">
        <v>10</v>
      </c>
      <c r="B134" s="146"/>
      <c r="C134" s="147"/>
      <c r="D134" s="167"/>
    </row>
    <row r="135" spans="1:12" ht="15.75" thickBot="1" x14ac:dyDescent="0.3">
      <c r="A135" s="166">
        <v>11</v>
      </c>
      <c r="B135" s="146"/>
      <c r="C135" s="147"/>
      <c r="D135" s="167"/>
    </row>
    <row r="136" spans="1:12" x14ac:dyDescent="0.25">
      <c r="A136" s="159"/>
      <c r="B136" s="194" t="s">
        <v>78</v>
      </c>
      <c r="C136" s="197">
        <f>SUM(C125:C135)</f>
        <v>0</v>
      </c>
      <c r="D136" s="208">
        <f>SUM(D125:D135)</f>
        <v>0</v>
      </c>
      <c r="G136" s="674" t="s">
        <v>410</v>
      </c>
      <c r="H136" s="680"/>
      <c r="I136" s="680"/>
      <c r="J136" s="680"/>
      <c r="K136" s="680"/>
      <c r="L136" s="675"/>
    </row>
    <row r="137" spans="1:12" ht="15.75" thickBot="1" x14ac:dyDescent="0.3">
      <c r="A137" s="160"/>
      <c r="B137" s="202" t="s">
        <v>80</v>
      </c>
      <c r="C137" s="209">
        <f>C136*12</f>
        <v>0</v>
      </c>
      <c r="D137" s="210"/>
      <c r="G137" s="676"/>
      <c r="H137" s="681"/>
      <c r="I137" s="681"/>
      <c r="J137" s="681"/>
      <c r="K137" s="681"/>
      <c r="L137" s="677"/>
    </row>
    <row r="138" spans="1:12" x14ac:dyDescent="0.25">
      <c r="G138" s="676"/>
      <c r="H138" s="681"/>
      <c r="I138" s="681"/>
      <c r="J138" s="681"/>
      <c r="K138" s="681"/>
      <c r="L138" s="677"/>
    </row>
    <row r="139" spans="1:12" ht="15.75" thickBot="1" x14ac:dyDescent="0.3">
      <c r="G139" s="676"/>
      <c r="H139" s="681"/>
      <c r="I139" s="681"/>
      <c r="J139" s="681"/>
      <c r="K139" s="681"/>
      <c r="L139" s="677"/>
    </row>
    <row r="140" spans="1:12" ht="15.75" thickBot="1" x14ac:dyDescent="0.3">
      <c r="A140" s="674" t="s">
        <v>409</v>
      </c>
      <c r="B140" s="680"/>
      <c r="C140" s="675"/>
      <c r="G140" s="678"/>
      <c r="H140" s="682"/>
      <c r="I140" s="682"/>
      <c r="J140" s="682"/>
      <c r="K140" s="682"/>
      <c r="L140" s="679"/>
    </row>
    <row r="141" spans="1:12" x14ac:dyDescent="0.25">
      <c r="A141" s="676"/>
      <c r="B141" s="681"/>
      <c r="C141" s="677"/>
    </row>
    <row r="142" spans="1:12" ht="15.75" thickBot="1" x14ac:dyDescent="0.3">
      <c r="A142" s="678"/>
      <c r="B142" s="682"/>
      <c r="C142" s="679"/>
    </row>
    <row r="143" spans="1:12" ht="15.75" thickBot="1" x14ac:dyDescent="0.3"/>
    <row r="144" spans="1:12" x14ac:dyDescent="0.25">
      <c r="A144" s="205" t="s">
        <v>86</v>
      </c>
      <c r="B144" s="206" t="s">
        <v>87</v>
      </c>
      <c r="C144" s="207" t="s">
        <v>88</v>
      </c>
    </row>
    <row r="145" spans="1:12" ht="15.75" thickBot="1" x14ac:dyDescent="0.3">
      <c r="A145" s="168" t="s">
        <v>1254</v>
      </c>
      <c r="B145" s="511">
        <v>950000</v>
      </c>
      <c r="C145" s="169">
        <f>B145*12</f>
        <v>11400000</v>
      </c>
    </row>
    <row r="146" spans="1:12" x14ac:dyDescent="0.25">
      <c r="A146" s="168" t="s">
        <v>1255</v>
      </c>
      <c r="B146" s="511">
        <v>288000</v>
      </c>
      <c r="C146" s="169">
        <f t="shared" ref="C146:C171" si="41">B146*12</f>
        <v>3456000</v>
      </c>
      <c r="G146" s="205" t="s">
        <v>90</v>
      </c>
      <c r="H146" s="211">
        <f>BASES!D7</f>
        <v>2021</v>
      </c>
      <c r="I146" s="211">
        <f>BASES!E7</f>
        <v>2022</v>
      </c>
      <c r="J146" s="211">
        <f>BASES!F7</f>
        <v>2023</v>
      </c>
      <c r="K146" s="211">
        <f>BASES!G7</f>
        <v>2024</v>
      </c>
      <c r="L146" s="211">
        <f>BASES!H7</f>
        <v>2025</v>
      </c>
    </row>
    <row r="147" spans="1:12" x14ac:dyDescent="0.25">
      <c r="A147" s="168" t="s">
        <v>1256</v>
      </c>
      <c r="B147" s="511">
        <v>90000</v>
      </c>
      <c r="C147" s="169">
        <f t="shared" si="41"/>
        <v>1080000</v>
      </c>
      <c r="G147" s="170" t="s">
        <v>91</v>
      </c>
      <c r="H147" s="171">
        <v>1000000</v>
      </c>
      <c r="I147" s="171"/>
      <c r="J147" s="171">
        <v>1000000</v>
      </c>
      <c r="K147" s="171"/>
      <c r="L147" s="171"/>
    </row>
    <row r="148" spans="1:12" ht="27" customHeight="1" x14ac:dyDescent="0.25">
      <c r="A148" s="168" t="s">
        <v>1257</v>
      </c>
      <c r="B148" s="511">
        <v>30000</v>
      </c>
      <c r="C148" s="169">
        <f t="shared" si="41"/>
        <v>360000</v>
      </c>
      <c r="G148" s="172" t="s">
        <v>92</v>
      </c>
      <c r="H148" s="171">
        <v>400000</v>
      </c>
      <c r="I148" s="171"/>
      <c r="J148" s="171">
        <v>400000</v>
      </c>
      <c r="K148" s="171">
        <v>400000</v>
      </c>
      <c r="L148" s="171"/>
    </row>
    <row r="149" spans="1:12" x14ac:dyDescent="0.25">
      <c r="A149" s="168" t="s">
        <v>1258</v>
      </c>
      <c r="B149" s="511">
        <v>30000</v>
      </c>
      <c r="C149" s="169">
        <f t="shared" si="41"/>
        <v>360000</v>
      </c>
      <c r="G149" s="173" t="s">
        <v>93</v>
      </c>
      <c r="H149" s="171">
        <v>400000</v>
      </c>
      <c r="I149" s="171">
        <v>400000</v>
      </c>
      <c r="J149" s="171">
        <v>400000</v>
      </c>
      <c r="K149" s="171">
        <v>400000</v>
      </c>
      <c r="L149" s="171">
        <v>400000</v>
      </c>
    </row>
    <row r="150" spans="1:12" ht="25.9" customHeight="1" x14ac:dyDescent="0.25">
      <c r="A150" s="168" t="s">
        <v>1259</v>
      </c>
      <c r="B150" s="511">
        <v>38550</v>
      </c>
      <c r="C150" s="169">
        <f t="shared" si="41"/>
        <v>462600</v>
      </c>
      <c r="G150" s="174" t="s">
        <v>94</v>
      </c>
      <c r="H150" s="212">
        <v>300000</v>
      </c>
      <c r="I150" s="212">
        <v>300000</v>
      </c>
      <c r="J150" s="212">
        <v>300000</v>
      </c>
      <c r="K150" s="212">
        <v>300000</v>
      </c>
      <c r="L150" s="212">
        <v>300000</v>
      </c>
    </row>
    <row r="151" spans="1:12" ht="15.75" thickBot="1" x14ac:dyDescent="0.3">
      <c r="A151" s="168"/>
      <c r="B151" s="511"/>
      <c r="C151" s="169">
        <f t="shared" si="41"/>
        <v>0</v>
      </c>
      <c r="G151" s="175" t="s">
        <v>95</v>
      </c>
      <c r="H151" s="209">
        <f>SUM(H147:H150)</f>
        <v>2100000</v>
      </c>
      <c r="I151" s="209">
        <f>SUM(I147:I150)</f>
        <v>700000</v>
      </c>
      <c r="J151" s="209">
        <f>SUM(J147:J150)</f>
        <v>2100000</v>
      </c>
      <c r="K151" s="213">
        <f>SUM(K147:K150)</f>
        <v>1100000</v>
      </c>
      <c r="L151" s="214">
        <f>SUM(L147:L150)</f>
        <v>700000</v>
      </c>
    </row>
    <row r="152" spans="1:12" x14ac:dyDescent="0.25">
      <c r="A152" s="168"/>
      <c r="B152" s="511"/>
      <c r="C152" s="169">
        <f t="shared" si="41"/>
        <v>0</v>
      </c>
    </row>
    <row r="153" spans="1:12" x14ac:dyDescent="0.25">
      <c r="A153" s="168"/>
      <c r="B153" s="511"/>
      <c r="C153" s="169">
        <f t="shared" si="41"/>
        <v>0</v>
      </c>
    </row>
    <row r="154" spans="1:12" x14ac:dyDescent="0.25">
      <c r="A154" s="168"/>
      <c r="B154" s="511"/>
      <c r="C154" s="169">
        <f t="shared" si="41"/>
        <v>0</v>
      </c>
    </row>
    <row r="155" spans="1:12" x14ac:dyDescent="0.25">
      <c r="A155" s="168"/>
      <c r="B155" s="511"/>
      <c r="C155" s="169">
        <f t="shared" si="41"/>
        <v>0</v>
      </c>
    </row>
    <row r="156" spans="1:12" x14ac:dyDescent="0.25">
      <c r="A156" s="168"/>
      <c r="B156" s="511"/>
      <c r="C156" s="169">
        <f t="shared" si="41"/>
        <v>0</v>
      </c>
    </row>
    <row r="157" spans="1:12" x14ac:dyDescent="0.25">
      <c r="A157" s="168"/>
      <c r="B157" s="511"/>
      <c r="C157" s="169">
        <f t="shared" si="41"/>
        <v>0</v>
      </c>
    </row>
    <row r="158" spans="1:12" x14ac:dyDescent="0.25">
      <c r="A158" s="168"/>
      <c r="B158" s="511"/>
      <c r="C158" s="169">
        <f t="shared" si="41"/>
        <v>0</v>
      </c>
    </row>
    <row r="159" spans="1:12" x14ac:dyDescent="0.25">
      <c r="A159" s="168"/>
      <c r="B159" s="511"/>
      <c r="C159" s="169">
        <f t="shared" si="41"/>
        <v>0</v>
      </c>
    </row>
    <row r="160" spans="1:12" x14ac:dyDescent="0.25">
      <c r="A160" s="168"/>
      <c r="B160" s="511"/>
      <c r="C160" s="169">
        <f t="shared" si="41"/>
        <v>0</v>
      </c>
    </row>
    <row r="161" spans="1:3" x14ac:dyDescent="0.25">
      <c r="A161" s="168"/>
      <c r="B161" s="511"/>
      <c r="C161" s="169">
        <f t="shared" si="41"/>
        <v>0</v>
      </c>
    </row>
    <row r="162" spans="1:3" x14ac:dyDescent="0.25">
      <c r="A162" s="168"/>
      <c r="B162" s="511"/>
      <c r="C162" s="169">
        <f t="shared" si="41"/>
        <v>0</v>
      </c>
    </row>
    <row r="163" spans="1:3" x14ac:dyDescent="0.25">
      <c r="A163" s="168"/>
      <c r="B163" s="511"/>
      <c r="C163" s="169">
        <f t="shared" si="41"/>
        <v>0</v>
      </c>
    </row>
    <row r="164" spans="1:3" x14ac:dyDescent="0.25">
      <c r="A164" s="168"/>
      <c r="B164" s="511"/>
      <c r="C164" s="169">
        <f t="shared" si="41"/>
        <v>0</v>
      </c>
    </row>
    <row r="165" spans="1:3" x14ac:dyDescent="0.25">
      <c r="A165" s="168"/>
      <c r="B165" s="511"/>
      <c r="C165" s="169">
        <f t="shared" si="41"/>
        <v>0</v>
      </c>
    </row>
    <row r="166" spans="1:3" x14ac:dyDescent="0.25">
      <c r="A166" s="168"/>
      <c r="B166" s="511"/>
      <c r="C166" s="169">
        <f t="shared" si="41"/>
        <v>0</v>
      </c>
    </row>
    <row r="167" spans="1:3" x14ac:dyDescent="0.25">
      <c r="A167" s="168"/>
      <c r="B167" s="511"/>
      <c r="C167" s="169">
        <f t="shared" si="41"/>
        <v>0</v>
      </c>
    </row>
    <row r="168" spans="1:3" x14ac:dyDescent="0.25">
      <c r="A168" s="168"/>
      <c r="B168" s="511"/>
      <c r="C168" s="169">
        <f t="shared" si="41"/>
        <v>0</v>
      </c>
    </row>
    <row r="169" spans="1:3" x14ac:dyDescent="0.25">
      <c r="A169" s="168"/>
      <c r="B169" s="511"/>
      <c r="C169" s="169">
        <f t="shared" si="41"/>
        <v>0</v>
      </c>
    </row>
    <row r="170" spans="1:3" x14ac:dyDescent="0.25">
      <c r="A170" s="168"/>
      <c r="B170" s="511"/>
      <c r="C170" s="169">
        <f t="shared" si="41"/>
        <v>0</v>
      </c>
    </row>
    <row r="171" spans="1:3" x14ac:dyDescent="0.25">
      <c r="A171" s="168"/>
      <c r="B171" s="511"/>
      <c r="C171" s="169">
        <f t="shared" si="41"/>
        <v>0</v>
      </c>
    </row>
    <row r="172" spans="1:3" ht="15.75" thickBot="1" x14ac:dyDescent="0.3">
      <c r="A172" s="215" t="s">
        <v>89</v>
      </c>
      <c r="B172" s="216"/>
      <c r="C172" s="214">
        <f>SUM(C145:C171)</f>
        <v>17118600</v>
      </c>
    </row>
  </sheetData>
  <sheetProtection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60" zoomScaleNormal="60" workbookViewId="0">
      <selection activeCell="E20" sqref="E20"/>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4.140625" style="139" bestFit="1" customWidth="1"/>
    <col min="7" max="7" width="24.7109375" style="139" bestFit="1" customWidth="1"/>
    <col min="8" max="16384" width="11.42578125" style="139"/>
  </cols>
  <sheetData>
    <row r="6" spans="2:5" ht="15.75" thickBot="1" x14ac:dyDescent="0.3"/>
    <row r="7" spans="2:5" x14ac:dyDescent="0.25">
      <c r="C7" s="514" t="s">
        <v>96</v>
      </c>
      <c r="D7" s="217">
        <f>'CTOS_VS_ING_OPER-INV_INFRAEST'!H259</f>
        <v>7269000</v>
      </c>
    </row>
    <row r="8" spans="2:5" ht="15.75" thickBot="1" x14ac:dyDescent="0.3">
      <c r="C8" s="515" t="s">
        <v>97</v>
      </c>
      <c r="D8" s="218">
        <f>'CTOS_VS_ING_OPER-INV_INFRAEST'!H247</f>
        <v>0</v>
      </c>
    </row>
    <row r="9" spans="2:5" ht="15.75" thickBot="1" x14ac:dyDescent="0.3">
      <c r="D9" s="221"/>
      <c r="E9" s="221"/>
    </row>
    <row r="10" spans="2:5" x14ac:dyDescent="0.25">
      <c r="B10" s="176"/>
      <c r="C10" s="177" t="s">
        <v>42</v>
      </c>
      <c r="D10" s="219" t="s">
        <v>98</v>
      </c>
      <c r="E10" s="220" t="s">
        <v>99</v>
      </c>
    </row>
    <row r="11" spans="2:5" ht="15.75" thickBot="1" x14ac:dyDescent="0.3">
      <c r="B11" s="178" t="s">
        <v>100</v>
      </c>
      <c r="C11" s="431">
        <f>COSTOS_DE_PRODUCCION!D190</f>
        <v>13955700</v>
      </c>
      <c r="D11" s="180">
        <v>12</v>
      </c>
      <c r="E11" s="181">
        <f>(C11/12)*D11</f>
        <v>13955700</v>
      </c>
    </row>
    <row r="12" spans="2:5" ht="15.75" thickBot="1" x14ac:dyDescent="0.3"/>
    <row r="13" spans="2:5" x14ac:dyDescent="0.25">
      <c r="B13" s="176"/>
      <c r="C13" s="177" t="s">
        <v>101</v>
      </c>
      <c r="D13" s="219" t="s">
        <v>98</v>
      </c>
      <c r="E13" s="220" t="s">
        <v>99</v>
      </c>
    </row>
    <row r="14" spans="2:5" ht="15.75" thickBot="1" x14ac:dyDescent="0.3">
      <c r="B14" s="178" t="s">
        <v>100</v>
      </c>
      <c r="C14" s="179">
        <f>COSTOS_DE_PRODUCCION!D189</f>
        <v>41129000</v>
      </c>
      <c r="D14" s="180">
        <v>12</v>
      </c>
      <c r="E14" s="181">
        <f>(C14/12)*D14</f>
        <v>41129000</v>
      </c>
    </row>
    <row r="15" spans="2:5" ht="15.75" thickBot="1" x14ac:dyDescent="0.3"/>
    <row r="16" spans="2:5" x14ac:dyDescent="0.25">
      <c r="B16" s="176"/>
      <c r="C16" s="177" t="s">
        <v>102</v>
      </c>
      <c r="D16" s="219" t="s">
        <v>98</v>
      </c>
      <c r="E16" s="220" t="s">
        <v>99</v>
      </c>
    </row>
    <row r="17" spans="2:7" ht="15.75" thickBot="1" x14ac:dyDescent="0.3">
      <c r="B17" s="178" t="s">
        <v>100</v>
      </c>
      <c r="C17" s="179">
        <f>COSTOS_DE_PRODUCCION!D191</f>
        <v>132000000</v>
      </c>
      <c r="D17" s="180">
        <v>12</v>
      </c>
      <c r="E17" s="181">
        <f>(C17/12)*D17</f>
        <v>132000000</v>
      </c>
    </row>
    <row r="19" spans="2:7" x14ac:dyDescent="0.25">
      <c r="C19" s="685" t="s">
        <v>103</v>
      </c>
      <c r="D19" s="685"/>
      <c r="E19" s="182">
        <f>D7+D8+E11+E14+E17</f>
        <v>194353700</v>
      </c>
    </row>
    <row r="20" spans="2:7" ht="15.75" thickBot="1" x14ac:dyDescent="0.3">
      <c r="C20" s="685" t="s">
        <v>104</v>
      </c>
      <c r="D20" s="685"/>
      <c r="E20" s="183">
        <v>50000000</v>
      </c>
    </row>
    <row r="21" spans="2:7" x14ac:dyDescent="0.25">
      <c r="C21" s="685" t="s">
        <v>105</v>
      </c>
      <c r="D21" s="685"/>
      <c r="E21" s="184">
        <f>E19-E20</f>
        <v>144353700</v>
      </c>
    </row>
    <row r="23" spans="2:7" x14ac:dyDescent="0.25">
      <c r="C23" s="149"/>
      <c r="D23" s="149" t="s">
        <v>78</v>
      </c>
      <c r="E23" s="149" t="s">
        <v>79</v>
      </c>
    </row>
    <row r="24" spans="2:7" x14ac:dyDescent="0.25">
      <c r="C24" s="149" t="s">
        <v>106</v>
      </c>
      <c r="D24" s="190">
        <v>3.8399999999999997E-2</v>
      </c>
      <c r="E24" s="191">
        <f>((1+D24)^12)-1</f>
        <v>0.57172352461484244</v>
      </c>
    </row>
    <row r="25" spans="2:7" ht="15.75" thickBot="1" x14ac:dyDescent="0.3"/>
    <row r="26" spans="2:7" x14ac:dyDescent="0.25">
      <c r="C26" s="185" t="s">
        <v>58</v>
      </c>
      <c r="D26" s="186" t="s">
        <v>107</v>
      </c>
      <c r="E26" s="186" t="s">
        <v>108</v>
      </c>
      <c r="F26" s="186" t="s">
        <v>109</v>
      </c>
      <c r="G26" s="187" t="s">
        <v>110</v>
      </c>
    </row>
    <row r="27" spans="2:7" x14ac:dyDescent="0.25">
      <c r="C27" s="222" t="str">
        <f>BASES!C7</f>
        <v>AÑO 0</v>
      </c>
      <c r="D27" s="188"/>
      <c r="E27" s="188"/>
      <c r="F27" s="188"/>
      <c r="G27" s="189">
        <f>E21*-1</f>
        <v>-144353700</v>
      </c>
    </row>
    <row r="28" spans="2:7" x14ac:dyDescent="0.25">
      <c r="C28" s="223">
        <f>BASES!D7</f>
        <v>2021</v>
      </c>
      <c r="D28" s="188">
        <f>E28+F28</f>
        <v>-111401146.15519358</v>
      </c>
      <c r="E28" s="188">
        <f>$G$27/BASES!$G$22</f>
        <v>-28870740</v>
      </c>
      <c r="F28" s="188">
        <f>G27*$E$24</f>
        <v>-82530406.155193582</v>
      </c>
      <c r="G28" s="189">
        <f>G27-E28</f>
        <v>-115482960</v>
      </c>
    </row>
    <row r="29" spans="2:7" x14ac:dyDescent="0.25">
      <c r="C29" s="223">
        <f>BASES!E7</f>
        <v>2022</v>
      </c>
      <c r="D29" s="188">
        <f>E29+F29</f>
        <v>-94895064.924154863</v>
      </c>
      <c r="E29" s="188">
        <f>$G$27/BASES!$G$22</f>
        <v>-28870740</v>
      </c>
      <c r="F29" s="188">
        <f>G28*$E$24</f>
        <v>-66024324.924154863</v>
      </c>
      <c r="G29" s="189">
        <f>G28-E29</f>
        <v>-86612220</v>
      </c>
    </row>
    <row r="30" spans="2:7" x14ac:dyDescent="0.25">
      <c r="C30" s="223">
        <f>BASES!F7</f>
        <v>2023</v>
      </c>
      <c r="D30" s="188">
        <f>E30+F30</f>
        <v>-78388983.693116158</v>
      </c>
      <c r="E30" s="188">
        <f>$G$27/BASES!$G$22</f>
        <v>-28870740</v>
      </c>
      <c r="F30" s="188">
        <f>G29*$E$24</f>
        <v>-49518243.693116151</v>
      </c>
      <c r="G30" s="189">
        <f>G29-E30</f>
        <v>-57741480</v>
      </c>
    </row>
    <row r="31" spans="2:7" x14ac:dyDescent="0.25">
      <c r="C31" s="223">
        <f>BASES!G7</f>
        <v>2024</v>
      </c>
      <c r="D31" s="188">
        <f>E31+F31</f>
        <v>-61882902.462077431</v>
      </c>
      <c r="E31" s="188">
        <f>$G$27/BASES!$G$22</f>
        <v>-28870740</v>
      </c>
      <c r="F31" s="188">
        <f>G30*$E$24</f>
        <v>-33012162.462077431</v>
      </c>
      <c r="G31" s="189">
        <f>G30-E31</f>
        <v>-28870740</v>
      </c>
    </row>
    <row r="32" spans="2:7" ht="15.75" thickBot="1" x14ac:dyDescent="0.3">
      <c r="C32" s="224">
        <f>BASES!H7</f>
        <v>2025</v>
      </c>
      <c r="D32" s="188">
        <f>E32+F32</f>
        <v>-45376821.231038719</v>
      </c>
      <c r="E32" s="188">
        <f>$G$27/BASES!$G$22</f>
        <v>-28870740</v>
      </c>
      <c r="F32" s="188">
        <f>G31*$E$24</f>
        <v>-16506081.231038716</v>
      </c>
      <c r="G32" s="189">
        <f>G31-E32</f>
        <v>0</v>
      </c>
    </row>
  </sheetData>
  <sheetProtection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70" zoomScaleNormal="70" workbookViewId="0">
      <selection activeCell="C14" sqref="C14"/>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27" t="s">
        <v>111</v>
      </c>
      <c r="C3" s="225">
        <f>BASES!D7</f>
        <v>2021</v>
      </c>
      <c r="D3" s="225">
        <f>BASES!E7</f>
        <v>2022</v>
      </c>
      <c r="E3" s="225">
        <f>BASES!F7</f>
        <v>2023</v>
      </c>
      <c r="F3" s="225">
        <f>BASES!G7</f>
        <v>2024</v>
      </c>
      <c r="G3" s="226">
        <f>BASES!H7</f>
        <v>2025</v>
      </c>
    </row>
    <row r="4" spans="2:7" x14ac:dyDescent="0.25">
      <c r="B4" s="229" t="s">
        <v>56</v>
      </c>
      <c r="C4" s="395">
        <f>'CTOS_VS_ING_OPER-INV_INFRAEST'!G17</f>
        <v>120040300</v>
      </c>
      <c r="D4" s="395">
        <f>'CTOS_VS_ING_OPER-INV_INFRAEST'!I17</f>
        <v>375094485.95199996</v>
      </c>
      <c r="E4" s="395">
        <f>'CTOS_VS_ING_OPER-INV_INFRAEST'!K17</f>
        <v>677817622.78686714</v>
      </c>
      <c r="F4" s="395">
        <f>'CTOS_VS_ING_OPER-INV_INFRAEST'!M17</f>
        <v>882947950.12196374</v>
      </c>
      <c r="G4" s="396">
        <f>'CTOS_VS_ING_OPER-INV_INFRAEST'!O17</f>
        <v>1456949327.6838145</v>
      </c>
    </row>
    <row r="5" spans="2:7" x14ac:dyDescent="0.25">
      <c r="B5" s="192" t="s">
        <v>112</v>
      </c>
      <c r="C5" s="397">
        <f>'GTOS_ADTIVO_Y_VTAS-CTOS_FIJOS'!P28+'GTOS_ADTIVO_Y_VTAS-CTOS_FIJOS'!D46</f>
        <v>30000000</v>
      </c>
      <c r="D5" s="397">
        <f>C5*(1+BASES!$E$8)</f>
        <v>30585000.000000004</v>
      </c>
      <c r="E5" s="397">
        <f>D5*(1+BASES!$F$8)</f>
        <v>31181407.500000007</v>
      </c>
      <c r="F5" s="397">
        <f>E5*(1+BASES!$G$8)</f>
        <v>31789444.94625001</v>
      </c>
      <c r="G5" s="398">
        <f>F5*(1+BASES!$H$8)</f>
        <v>32409339.122701887</v>
      </c>
    </row>
    <row r="6" spans="2:7" x14ac:dyDescent="0.25">
      <c r="B6" s="192" t="s">
        <v>113</v>
      </c>
      <c r="C6" s="397">
        <f>'GTOS_ADTIVO_Y_VTAS-CTOS_FIJOS'!D88+'GTOS_ADTIVO_Y_VTAS-CTOS_FIJOS'!O71</f>
        <v>0</v>
      </c>
      <c r="D6" s="397">
        <f>C6*(1+BASES!$E$8)</f>
        <v>0</v>
      </c>
      <c r="E6" s="397">
        <f>D6*(1+BASES!$F$8)</f>
        <v>0</v>
      </c>
      <c r="F6" s="397">
        <f>E6*(1+BASES!$G$8)</f>
        <v>0</v>
      </c>
      <c r="G6" s="398">
        <f>F6*(1+BASES!$H$8)</f>
        <v>0</v>
      </c>
    </row>
    <row r="7" spans="2:7" x14ac:dyDescent="0.25">
      <c r="B7" s="192" t="s">
        <v>114</v>
      </c>
      <c r="C7" s="397">
        <f>'GTOS_ADTIVO_Y_VTAS-CTOS_FIJOS'!C137+'GTOS_ADTIVO_Y_VTAS-CTOS_FIJOS'!O119</f>
        <v>19032081.138239998</v>
      </c>
      <c r="D7" s="397">
        <f>C7*(1+BASES!$E$8)</f>
        <v>19403206.720435679</v>
      </c>
      <c r="E7" s="397">
        <f>D7*(1+BASES!$F$8)</f>
        <v>19781569.251484174</v>
      </c>
      <c r="F7" s="397">
        <f>E7*(1+BASES!$G$8)</f>
        <v>20167309.851888116</v>
      </c>
      <c r="G7" s="398">
        <f>F7*(1+BASES!$H$8)</f>
        <v>20560572.393999938</v>
      </c>
    </row>
    <row r="8" spans="2:7" x14ac:dyDescent="0.25">
      <c r="B8" s="192" t="s">
        <v>115</v>
      </c>
      <c r="C8" s="397">
        <f>'GTOS_ADTIVO_Y_VTAS-CTOS_FIJOS'!H151</f>
        <v>2100000</v>
      </c>
      <c r="D8" s="397">
        <f>'GTOS_ADTIVO_Y_VTAS-CTOS_FIJOS'!I151</f>
        <v>700000</v>
      </c>
      <c r="E8" s="397">
        <f>'GTOS_ADTIVO_Y_VTAS-CTOS_FIJOS'!J151</f>
        <v>2100000</v>
      </c>
      <c r="F8" s="397">
        <f>'GTOS_ADTIVO_Y_VTAS-CTOS_FIJOS'!K151</f>
        <v>1100000</v>
      </c>
      <c r="G8" s="398">
        <f>'GTOS_ADTIVO_Y_VTAS-CTOS_FIJOS'!L151</f>
        <v>700000</v>
      </c>
    </row>
    <row r="9" spans="2:7" x14ac:dyDescent="0.25">
      <c r="B9" s="192" t="s">
        <v>116</v>
      </c>
      <c r="C9" s="397">
        <f>'GTOS_ADTIVO_Y_VTAS-CTOS_FIJOS'!C172</f>
        <v>17118600</v>
      </c>
      <c r="D9" s="397">
        <f>C9*(1+BASES!$E$8)</f>
        <v>17452412.700000003</v>
      </c>
      <c r="E9" s="397">
        <f>D9*(1+BASES!$F$8)</f>
        <v>17792734.747650005</v>
      </c>
      <c r="F9" s="397">
        <f>E9*(1+BASES!$G$8)</f>
        <v>18139693.075229183</v>
      </c>
      <c r="G9" s="398">
        <f>F9*(1+BASES!$H$8)</f>
        <v>18493417.090196155</v>
      </c>
    </row>
    <row r="10" spans="2:7" x14ac:dyDescent="0.25">
      <c r="B10" s="192" t="s">
        <v>117</v>
      </c>
      <c r="C10" s="397">
        <f>NECESIDADES_DE_FINANCIACION!D28*-1</f>
        <v>111401146.15519358</v>
      </c>
      <c r="D10" s="397">
        <f>NECESIDADES_DE_FINANCIACION!D29*-1</f>
        <v>94895064.924154863</v>
      </c>
      <c r="E10" s="397">
        <f>NECESIDADES_DE_FINANCIACION!D30*-1</f>
        <v>78388983.693116158</v>
      </c>
      <c r="F10" s="397">
        <f>NECESIDADES_DE_FINANCIACION!D31*-1</f>
        <v>61882902.462077431</v>
      </c>
      <c r="G10" s="398">
        <f>NECESIDADES_DE_FINANCIACION!D32*-1</f>
        <v>45376821.231038719</v>
      </c>
    </row>
    <row r="11" spans="2:7" x14ac:dyDescent="0.25">
      <c r="B11" s="192" t="s">
        <v>118</v>
      </c>
      <c r="C11" s="397">
        <f>ESTADO_DE_RESULTADOS!B7</f>
        <v>1986333</v>
      </c>
      <c r="D11" s="397">
        <f>ESTADO_DE_RESULTADOS!C7</f>
        <v>2022033</v>
      </c>
      <c r="E11" s="397">
        <f>ESTADO_DE_RESULTADOS!D7</f>
        <v>2064133</v>
      </c>
      <c r="F11" s="397">
        <f>ESTADO_DE_RESULTADOS!E7</f>
        <v>2113848</v>
      </c>
      <c r="G11" s="398">
        <f>ESTADO_DE_RESULTADOS!F7</f>
        <v>2173048</v>
      </c>
    </row>
    <row r="12" spans="2:7" x14ac:dyDescent="0.25">
      <c r="B12" s="192" t="s">
        <v>119</v>
      </c>
      <c r="C12" s="397">
        <f>ESTADO_DE_RESULTADOS!B8</f>
        <v>0</v>
      </c>
      <c r="D12" s="397">
        <f>ESTADO_DE_RESULTADOS!C8</f>
        <v>0</v>
      </c>
      <c r="E12" s="397">
        <f>ESTADO_DE_RESULTADOS!D8</f>
        <v>0</v>
      </c>
      <c r="F12" s="397">
        <f>ESTADO_DE_RESULTADOS!E8</f>
        <v>0</v>
      </c>
      <c r="G12" s="398">
        <f>ESTADO_DE_RESULTADOS!F8</f>
        <v>0</v>
      </c>
    </row>
    <row r="13" spans="2:7" x14ac:dyDescent="0.25">
      <c r="B13" s="228" t="s">
        <v>120</v>
      </c>
      <c r="C13" s="399">
        <f>SUM(C5:C12)</f>
        <v>181638160.29343358</v>
      </c>
      <c r="D13" s="399">
        <f>SUM(D5:D12)</f>
        <v>165057717.34459054</v>
      </c>
      <c r="E13" s="399">
        <f>SUM(E5:E12)</f>
        <v>151308828.19225034</v>
      </c>
      <c r="F13" s="399">
        <f>SUM(F5:F12)</f>
        <v>135193198.33544475</v>
      </c>
      <c r="G13" s="400">
        <f>SUM(G5:G12)</f>
        <v>119713197.8379367</v>
      </c>
    </row>
    <row r="14" spans="2:7" ht="15.75" thickBot="1" x14ac:dyDescent="0.3">
      <c r="B14" s="193" t="s">
        <v>121</v>
      </c>
      <c r="C14" s="401">
        <f>C4-C13</f>
        <v>-61597860.293433577</v>
      </c>
      <c r="D14" s="401">
        <f>D4-D13</f>
        <v>210036768.60740942</v>
      </c>
      <c r="E14" s="401">
        <f>E4-E13</f>
        <v>526508794.59461677</v>
      </c>
      <c r="F14" s="401">
        <f>F4-F13</f>
        <v>747754751.78651905</v>
      </c>
      <c r="G14" s="402">
        <f>G4-G13</f>
        <v>1337236129.8458779</v>
      </c>
    </row>
  </sheetData>
  <sheetProtection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M55"/>
  <sheetViews>
    <sheetView showGridLines="0" zoomScale="60" zoomScaleNormal="60" workbookViewId="0">
      <selection activeCell="D54" sqref="D5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3" width="15.85546875" style="2" bestFit="1" customWidth="1"/>
    <col min="14" max="16384" width="11.42578125" style="2"/>
  </cols>
  <sheetData>
    <row r="1" spans="5:11" ht="15.75" thickBot="1" x14ac:dyDescent="0.3"/>
    <row r="2" spans="5:11" ht="15" customHeight="1" x14ac:dyDescent="0.25">
      <c r="G2" s="687" t="s">
        <v>424</v>
      </c>
      <c r="H2" s="688"/>
    </row>
    <row r="3" spans="5:11" ht="15.75" customHeight="1" thickBot="1" x14ac:dyDescent="0.3">
      <c r="G3" s="689"/>
      <c r="H3" s="690"/>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354</v>
      </c>
      <c r="F8" s="69" t="s">
        <v>411</v>
      </c>
      <c r="G8" s="69" t="s">
        <v>412</v>
      </c>
      <c r="H8" s="69" t="s">
        <v>122</v>
      </c>
      <c r="I8" s="403" t="s">
        <v>123</v>
      </c>
      <c r="J8" s="69" t="s">
        <v>124</v>
      </c>
      <c r="K8" s="69" t="s">
        <v>413</v>
      </c>
    </row>
    <row r="9" spans="5:11" ht="15.75" x14ac:dyDescent="0.25">
      <c r="E9" s="62">
        <v>0</v>
      </c>
      <c r="F9" s="72" t="str">
        <f>VLOOKUP(Tabla6[[#This Row],[CÓDIGO ]],Tabla3[],2)</f>
        <v xml:space="preserve">Seleccionar producto o servicio </v>
      </c>
      <c r="G9" s="73"/>
      <c r="H9" s="73"/>
      <c r="I9" s="73"/>
      <c r="J9" s="73"/>
      <c r="K9" s="112"/>
    </row>
    <row r="10" spans="5:11" ht="15.75" x14ac:dyDescent="0.25">
      <c r="E10" s="62">
        <v>1</v>
      </c>
      <c r="F10" s="72" t="str">
        <f>VLOOKUP(Tabla6[[#This Row],[CÓDIGO ]],Tabla3[],2)</f>
        <v>Amor Amor</v>
      </c>
      <c r="G10" s="73">
        <f>VLOOKUP(Tabla6[[#This Row],[CÓDIGO ]],Tabla2[],4)</f>
        <v>90000</v>
      </c>
      <c r="H10" s="73">
        <f>VLOOKUP(Tabla6[[#This Row],[CÓDIGO ]],Tabla3[],4)</f>
        <v>90000</v>
      </c>
      <c r="I10" s="73">
        <f>VLOOKUP(Tabla6[[#This Row],[CÓDIGO ]],Tabla15[],18)</f>
        <v>83644.662035775531</v>
      </c>
      <c r="J10" s="73">
        <f>Tabla6[[#This Row],[PRECIO DE VENTA ]]-Tabla6[[#This Row],[COSTOS DE PRODUCCIÓN ]]</f>
        <v>6355.337964224469</v>
      </c>
      <c r="K10" s="112">
        <f>IF($G$15=0,0,G10/$G$15)</f>
        <v>0.12811387900355872</v>
      </c>
    </row>
    <row r="11" spans="5:11" ht="15.75" x14ac:dyDescent="0.25">
      <c r="E11" s="62">
        <v>2</v>
      </c>
      <c r="F11" s="72" t="str">
        <f>VLOOKUP(Tabla6[[#This Row],[CÓDIGO ]],Tabla3[],2)</f>
        <v>Tierno Corazón</v>
      </c>
      <c r="G11" s="73">
        <f>VLOOKUP(Tabla6[[#This Row],[CÓDIGO ]],Tabla2[],4)</f>
        <v>160000</v>
      </c>
      <c r="H11" s="73">
        <f>VLOOKUP(Tabla6[[#This Row],[CÓDIGO ]],Tabla3[],4)</f>
        <v>80000</v>
      </c>
      <c r="I11" s="73">
        <f>VLOOKUP(Tabla6[[#This Row],[CÓDIGO ]],Tabla15[],18)</f>
        <v>83644.662035775516</v>
      </c>
      <c r="J11" s="73">
        <f>Tabla6[[#This Row],[PRECIO DE VENTA ]]-Tabla6[[#This Row],[COSTOS DE PRODUCCIÓN ]]</f>
        <v>-3644.6620357755164</v>
      </c>
      <c r="K11" s="112">
        <f>IF($G$15=0,0,G11/$G$15)</f>
        <v>0.22775800711743771</v>
      </c>
    </row>
    <row r="12" spans="5:11" ht="15.75" x14ac:dyDescent="0.25">
      <c r="E12" s="62">
        <v>3</v>
      </c>
      <c r="F12" s="72" t="str">
        <f>VLOOKUP(Tabla6[[#This Row],[CÓDIGO ]],Tabla3[],2)</f>
        <v>Caja de Rosas</v>
      </c>
      <c r="G12" s="73">
        <f>VLOOKUP(Tabla6[[#This Row],[CÓDIGO ]],Tabla2[],4)</f>
        <v>250000</v>
      </c>
      <c r="H12" s="73">
        <f>VLOOKUP(Tabla6[[#This Row],[CÓDIGO ]],Tabla3[],4)</f>
        <v>90000</v>
      </c>
      <c r="I12" s="73">
        <f>VLOOKUP(Tabla6[[#This Row],[CÓDIGO ]],Tabla15[],18)</f>
        <v>83644.662035775531</v>
      </c>
      <c r="J12" s="73">
        <f>Tabla6[[#This Row],[PRECIO DE VENTA ]]-Tabla6[[#This Row],[COSTOS DE PRODUCCIÓN ]]</f>
        <v>6355.337964224469</v>
      </c>
      <c r="K12" s="112">
        <f>IF($G$15=0,0,G12/$G$15)</f>
        <v>0.35587188612099646</v>
      </c>
    </row>
    <row r="13" spans="5:11" ht="15.75" x14ac:dyDescent="0.25">
      <c r="E13" s="62">
        <v>4</v>
      </c>
      <c r="F13" s="72" t="str">
        <f>VLOOKUP(Tabla6[[#This Row],[CÓDIGO ]],Tabla3[],2)</f>
        <v>Pureza Amor</v>
      </c>
      <c r="G13" s="73">
        <f>VLOOKUP(Tabla6[[#This Row],[CÓDIGO ]],Tabla2[],4)</f>
        <v>202500</v>
      </c>
      <c r="H13" s="73">
        <f>VLOOKUP(Tabla6[[#This Row],[CÓDIGO ]],Tabla3[],4)</f>
        <v>100000</v>
      </c>
      <c r="I13" s="73">
        <f>VLOOKUP(Tabla6[[#This Row],[CÓDIGO ]],Tabla15[],18)</f>
        <v>83644.662035775531</v>
      </c>
      <c r="J13" s="73">
        <f>Tabla6[[#This Row],[PRECIO DE VENTA ]]-Tabla6[[#This Row],[COSTOS DE PRODUCCIÓN ]]</f>
        <v>16355.337964224469</v>
      </c>
      <c r="K13" s="112">
        <f>IF($G$15=0,0,G13/$G$15)</f>
        <v>0.28825622775800713</v>
      </c>
    </row>
    <row r="15" spans="5:11" ht="15.75" x14ac:dyDescent="0.25">
      <c r="E15" s="643" t="s">
        <v>125</v>
      </c>
      <c r="F15" s="643"/>
      <c r="G15" s="109">
        <f>SUM(Tabla6[VENTAS TOTALES])</f>
        <v>702500</v>
      </c>
    </row>
    <row r="16" spans="5:11" s="74" customFormat="1" ht="15.75" x14ac:dyDescent="0.25">
      <c r="E16" s="133"/>
      <c r="F16" s="133"/>
      <c r="G16" s="134"/>
    </row>
    <row r="17" spans="5:9" s="74" customFormat="1" ht="15.75" x14ac:dyDescent="0.25">
      <c r="E17" s="133"/>
      <c r="F17" s="133"/>
      <c r="G17" s="134"/>
    </row>
    <row r="18" spans="5:9" s="74" customFormat="1" ht="15.75" x14ac:dyDescent="0.25">
      <c r="E18" s="133"/>
      <c r="F18" s="133"/>
      <c r="G18" s="134"/>
    </row>
    <row r="19" spans="5:9" s="74" customFormat="1" ht="15.75" x14ac:dyDescent="0.25">
      <c r="E19" s="133"/>
      <c r="F19" s="133"/>
      <c r="G19" s="134"/>
    </row>
    <row r="21" spans="5:9" ht="15.75" x14ac:dyDescent="0.25">
      <c r="E21" s="691" t="s">
        <v>126</v>
      </c>
      <c r="F21" s="692"/>
      <c r="G21" s="692"/>
      <c r="H21" s="692"/>
      <c r="I21" s="693"/>
    </row>
    <row r="22" spans="5:9" ht="15.75" x14ac:dyDescent="0.25">
      <c r="E22" s="69" t="s">
        <v>354</v>
      </c>
      <c r="F22" s="69" t="s">
        <v>411</v>
      </c>
      <c r="G22" s="69" t="s">
        <v>124</v>
      </c>
      <c r="H22" s="69" t="s">
        <v>127</v>
      </c>
      <c r="I22" s="69" t="s">
        <v>414</v>
      </c>
    </row>
    <row r="23" spans="5:9" ht="15.75" x14ac:dyDescent="0.25">
      <c r="E23" s="67">
        <v>0</v>
      </c>
      <c r="F23" s="72" t="str">
        <f>VLOOKUP(Tabla7[[#This Row],[CÓDIGO ]],Tabla3[],2)</f>
        <v xml:space="preserve">Seleccionar producto o servicio </v>
      </c>
      <c r="G23" s="73"/>
      <c r="H23" s="112"/>
      <c r="I23" s="73"/>
    </row>
    <row r="24" spans="5:9" ht="15.75" x14ac:dyDescent="0.25">
      <c r="E24" s="62">
        <v>1</v>
      </c>
      <c r="F24" s="72" t="str">
        <f>VLOOKUP(Tabla7[[#This Row],[CÓDIGO ]],Tabla3[],2)</f>
        <v>Amor Amor</v>
      </c>
      <c r="G24" s="73">
        <f>J10</f>
        <v>6355.337964224469</v>
      </c>
      <c r="H24" s="112">
        <f>K10</f>
        <v>0.12811387900355872</v>
      </c>
      <c r="I24" s="73">
        <f>Tabla7[[#This Row],[MARGEN DE CONTRIBUCIÓN UNITARIO ]]*Tabla7[[#This Row],[PARTICIPACIÓN % EN VENTAS ]]</f>
        <v>814.20699897537679</v>
      </c>
    </row>
    <row r="25" spans="5:9" ht="15.75" x14ac:dyDescent="0.25">
      <c r="E25" s="62">
        <v>2</v>
      </c>
      <c r="F25" s="72" t="str">
        <f>VLOOKUP(Tabla7[[#This Row],[CÓDIGO ]],Tabla3[],2)</f>
        <v>Tierno Corazón</v>
      </c>
      <c r="G25" s="73">
        <f>J10</f>
        <v>6355.337964224469</v>
      </c>
      <c r="H25" s="112">
        <f>K10</f>
        <v>0.12811387900355872</v>
      </c>
      <c r="I25" s="73">
        <f>Tabla7[[#This Row],[MARGEN DE CONTRIBUCIÓN UNITARIO ]]*Tabla7[[#This Row],[PARTICIPACIÓN % EN VENTAS ]]</f>
        <v>814.20699897537679</v>
      </c>
    </row>
    <row r="26" spans="5:9" ht="15.75" x14ac:dyDescent="0.25">
      <c r="E26" s="62">
        <v>3</v>
      </c>
      <c r="F26" s="72" t="str">
        <f>VLOOKUP(Tabla7[[#This Row],[CÓDIGO ]],Tabla3[],2)</f>
        <v>Caja de Rosas</v>
      </c>
      <c r="G26" s="73">
        <f>J10</f>
        <v>6355.337964224469</v>
      </c>
      <c r="H26" s="112">
        <f>K10</f>
        <v>0.12811387900355872</v>
      </c>
      <c r="I26" s="73">
        <f>Tabla7[[#This Row],[MARGEN DE CONTRIBUCIÓN UNITARIO ]]*Tabla7[[#This Row],[PARTICIPACIÓN % EN VENTAS ]]</f>
        <v>814.20699897537679</v>
      </c>
    </row>
    <row r="27" spans="5:9" ht="15.75" x14ac:dyDescent="0.25">
      <c r="E27" s="62">
        <v>4</v>
      </c>
      <c r="F27" s="72" t="str">
        <f>VLOOKUP(Tabla7[[#This Row],[CÓDIGO ]],Tabla3[],2)</f>
        <v>Pureza Amor</v>
      </c>
      <c r="G27" s="73">
        <f>J13</f>
        <v>16355.337964224469</v>
      </c>
      <c r="H27" s="112">
        <f>K13</f>
        <v>0.28825622775800713</v>
      </c>
      <c r="I27" s="73">
        <f>Tabla7[[#This Row],[MARGEN DE CONTRIBUCIÓN UNITARIO ]]*Tabla7[[#This Row],[PARTICIPACIÓN % EN VENTAS ]]</f>
        <v>4714.5280252746688</v>
      </c>
    </row>
    <row r="35" spans="5:13" ht="15.75" x14ac:dyDescent="0.25">
      <c r="E35" s="686" t="s">
        <v>416</v>
      </c>
      <c r="F35" s="686"/>
      <c r="G35" s="686"/>
      <c r="H35" s="686"/>
      <c r="I35" s="95">
        <f>SUM(Tabla7[[MARGEN PONDERADO ]])</f>
        <v>7157.1490222007997</v>
      </c>
    </row>
    <row r="37" spans="5:13" ht="15.75" x14ac:dyDescent="0.25">
      <c r="E37" s="643" t="s">
        <v>89</v>
      </c>
      <c r="F37" s="643"/>
      <c r="G37" s="109">
        <f>CUADRO_DE_COSTOS_Y_GASTOS_FIJOS!$C$13</f>
        <v>181638160.29343358</v>
      </c>
    </row>
    <row r="39" spans="5:13" ht="15.75" x14ac:dyDescent="0.25">
      <c r="E39" s="668" t="s">
        <v>415</v>
      </c>
      <c r="F39" s="670"/>
      <c r="G39" s="113">
        <f>IF(I35=0,0,G37/I35)</f>
        <v>25378.563409817118</v>
      </c>
    </row>
    <row r="45" spans="5:13" ht="15.75" x14ac:dyDescent="0.25">
      <c r="E45" s="602" t="s">
        <v>128</v>
      </c>
      <c r="F45" s="602"/>
      <c r="G45" s="602"/>
    </row>
    <row r="46" spans="5:13" ht="15.75" x14ac:dyDescent="0.25">
      <c r="E46" s="69" t="s">
        <v>354</v>
      </c>
      <c r="F46" s="69" t="s">
        <v>411</v>
      </c>
      <c r="G46" s="69" t="s">
        <v>283</v>
      </c>
      <c r="H46" s="102" t="s">
        <v>129</v>
      </c>
      <c r="J46" s="115" t="s">
        <v>130</v>
      </c>
      <c r="K46" s="691" t="s">
        <v>131</v>
      </c>
      <c r="L46" s="692"/>
      <c r="M46" s="693"/>
    </row>
    <row r="47" spans="5:13" ht="15.75" x14ac:dyDescent="0.25">
      <c r="E47" s="67">
        <v>0</v>
      </c>
      <c r="F47" s="72" t="str">
        <f>VLOOKUP(Tabla8[[#This Row],[CÓDIGO ]],Tabla3[],2)</f>
        <v xml:space="preserve">Seleccionar producto o servicio </v>
      </c>
      <c r="G47" s="114"/>
      <c r="H47" s="114"/>
      <c r="J47" s="91" t="s">
        <v>417</v>
      </c>
      <c r="K47" s="93">
        <v>0</v>
      </c>
      <c r="L47" s="93">
        <f>G54</f>
        <v>17069.56756033963</v>
      </c>
      <c r="M47" s="93">
        <f>L47*2</f>
        <v>34139.135120679261</v>
      </c>
    </row>
    <row r="48" spans="5:13" ht="15.75" x14ac:dyDescent="0.25">
      <c r="E48" s="62">
        <v>1</v>
      </c>
      <c r="F48" s="72" t="str">
        <f>VLOOKUP(Tabla8[[#This Row],[CÓDIGO ]],Tabla3[],2)</f>
        <v>Amor Amor</v>
      </c>
      <c r="G48" s="114">
        <f>$G$39*K10</f>
        <v>3251.346201969453</v>
      </c>
      <c r="H48" s="114">
        <f>$M$47*K10</f>
        <v>4373.6970261368451</v>
      </c>
      <c r="J48" s="91"/>
      <c r="K48" s="93"/>
      <c r="L48" s="93"/>
      <c r="M48" s="93"/>
    </row>
    <row r="49" spans="5:13" ht="15.75" x14ac:dyDescent="0.25">
      <c r="E49" s="62">
        <v>2</v>
      </c>
      <c r="F49" s="72" t="str">
        <f>VLOOKUP(Tabla8[[#This Row],[CÓDIGO ]],Tabla3[],2)</f>
        <v>Tierno Corazón</v>
      </c>
      <c r="G49" s="114">
        <f>$G$39*K10</f>
        <v>3251.346201969453</v>
      </c>
      <c r="H49" s="114">
        <f>$M$47*K10</f>
        <v>4373.6970261368451</v>
      </c>
      <c r="J49" s="91"/>
      <c r="K49" s="93"/>
      <c r="L49" s="93"/>
      <c r="M49" s="93"/>
    </row>
    <row r="50" spans="5:13" ht="15.75" x14ac:dyDescent="0.25">
      <c r="E50" s="62">
        <v>3</v>
      </c>
      <c r="F50" s="72" t="str">
        <f>VLOOKUP(Tabla8[[#This Row],[CÓDIGO ]],Tabla3[],2)</f>
        <v>Caja de Rosas</v>
      </c>
      <c r="G50" s="114">
        <f>$G$39*K10</f>
        <v>3251.346201969453</v>
      </c>
      <c r="H50" s="114">
        <f>$M$47*K10</f>
        <v>4373.6970261368451</v>
      </c>
      <c r="J50" s="91"/>
      <c r="K50" s="93"/>
      <c r="L50" s="93"/>
      <c r="M50" s="93"/>
    </row>
    <row r="51" spans="5:13" ht="15.75" x14ac:dyDescent="0.25">
      <c r="E51" s="62">
        <v>4</v>
      </c>
      <c r="F51" s="72" t="str">
        <f>VLOOKUP(Tabla8[[#This Row],[CÓDIGO ]],Tabla3[],2)</f>
        <v>Pureza Amor</v>
      </c>
      <c r="G51" s="114">
        <f>$G$39*K13</f>
        <v>7315.5289544312691</v>
      </c>
      <c r="H51" s="114">
        <f>$M$47*K13</f>
        <v>9840.8183088079004</v>
      </c>
      <c r="J51" s="116" t="s">
        <v>418</v>
      </c>
      <c r="K51" s="94">
        <v>0</v>
      </c>
      <c r="L51" s="94">
        <f>SUMPRODUCT(Tabla8[-],Tabla6[[PRECIO DE VENTA ]])</f>
        <v>1576902907.9551845</v>
      </c>
      <c r="M51" s="94">
        <f>SUMPRODUCT(Tabla8[[UNIDADES CALCULADAS PARA EL GRÁFICO ]],Tabla6[[PRECIO DE VENTA ]])</f>
        <v>2121243057.6763699</v>
      </c>
    </row>
    <row r="52" spans="5:13" ht="15.75" x14ac:dyDescent="0.25">
      <c r="J52" s="91" t="s">
        <v>419</v>
      </c>
      <c r="K52" s="94">
        <f>G37</f>
        <v>181638160.29343358</v>
      </c>
      <c r="L52" s="94">
        <f>K52</f>
        <v>181638160.29343358</v>
      </c>
      <c r="M52" s="94">
        <f>L52</f>
        <v>181638160.29343358</v>
      </c>
    </row>
    <row r="53" spans="5:13" ht="15.75" x14ac:dyDescent="0.25">
      <c r="J53" s="91" t="s">
        <v>420</v>
      </c>
      <c r="K53" s="94">
        <v>0</v>
      </c>
      <c r="L53" s="94">
        <f>SUMPRODUCT(Tabla6[[COSTOS DE PRODUCCIÓN ]],Tabla8[-])</f>
        <v>1427778209.6814456</v>
      </c>
      <c r="M53" s="94">
        <f>SUMPRODUCT(Tabla6[[COSTOS DE PRODUCCIÓN ]],Tabla8[[UNIDADES CALCULADAS PARA EL GRÁFICO ]])</f>
        <v>1920641150.3899875</v>
      </c>
    </row>
    <row r="54" spans="5:13" ht="15.75" x14ac:dyDescent="0.25">
      <c r="E54" s="686" t="s">
        <v>423</v>
      </c>
      <c r="F54" s="686"/>
      <c r="G54" s="93">
        <f>SUM(Tabla8[-])</f>
        <v>17069.56756033963</v>
      </c>
      <c r="H54" s="93">
        <f>SUM(Tabla8[[UNIDADES CALCULADAS PARA EL GRÁFICO ]])</f>
        <v>22961.909387218438</v>
      </c>
      <c r="J54" s="116" t="s">
        <v>421</v>
      </c>
      <c r="K54" s="94">
        <f>K52+K53</f>
        <v>181638160.29343358</v>
      </c>
      <c r="L54" s="94">
        <f>L52+L53</f>
        <v>1609416369.9748793</v>
      </c>
      <c r="M54" s="94">
        <f>M52+M53</f>
        <v>2102279310.6834211</v>
      </c>
    </row>
    <row r="55" spans="5:13" ht="15.75" x14ac:dyDescent="0.25">
      <c r="J55" s="90" t="s">
        <v>422</v>
      </c>
      <c r="K55" s="94">
        <f>K51-K54</f>
        <v>-181638160.29343358</v>
      </c>
      <c r="L55" s="94">
        <f t="shared" ref="L55:M55" si="0">L51-L54</f>
        <v>-32513462.019694805</v>
      </c>
      <c r="M55" s="94">
        <f t="shared" si="0"/>
        <v>18963746.992948771</v>
      </c>
    </row>
  </sheetData>
  <sheetProtection sheet="1" objects="1" scenarios="1"/>
  <mergeCells count="9">
    <mergeCell ref="K46:M46"/>
    <mergeCell ref="E15:F15"/>
    <mergeCell ref="E21:I21"/>
    <mergeCell ref="E37:F37"/>
    <mergeCell ref="E54:F54"/>
    <mergeCell ref="G2:H3"/>
    <mergeCell ref="E39:F39"/>
    <mergeCell ref="E35:H35"/>
    <mergeCell ref="E45:G4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20</xdr:row>
                    <xdr:rowOff>85725</xdr:rowOff>
                  </from>
                  <to>
                    <xdr:col>2</xdr:col>
                    <xdr:colOff>676275</xdr:colOff>
                    <xdr:row>22</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44</xdr:row>
                    <xdr:rowOff>28575</xdr:rowOff>
                  </from>
                  <to>
                    <xdr:col>2</xdr:col>
                    <xdr:colOff>685800</xdr:colOff>
                    <xdr:row>45</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60" zoomScaleNormal="60" workbookViewId="0">
      <selection activeCell="C70" sqref="C70"/>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700" t="s">
        <v>132</v>
      </c>
      <c r="B7" s="701"/>
      <c r="C7" s="272" t="str">
        <f>BASES!C7</f>
        <v>AÑO 0</v>
      </c>
      <c r="D7" s="272">
        <f>BASES!D7</f>
        <v>2021</v>
      </c>
      <c r="E7" s="272">
        <f>BASES!E7</f>
        <v>2022</v>
      </c>
      <c r="F7" s="272">
        <f>BASES!F7</f>
        <v>2023</v>
      </c>
      <c r="G7" s="272">
        <f>BASES!G7</f>
        <v>2024</v>
      </c>
      <c r="H7" s="272">
        <f>BASES!H7</f>
        <v>2025</v>
      </c>
    </row>
    <row r="8" spans="1:9" x14ac:dyDescent="0.25">
      <c r="A8" s="230" t="s">
        <v>133</v>
      </c>
      <c r="B8" s="231" t="s">
        <v>142</v>
      </c>
      <c r="C8" s="232"/>
      <c r="D8" s="233">
        <v>10</v>
      </c>
      <c r="E8" s="233">
        <v>7</v>
      </c>
      <c r="F8" s="233">
        <v>5</v>
      </c>
      <c r="G8" s="233">
        <v>3</v>
      </c>
      <c r="H8" s="234">
        <v>1</v>
      </c>
    </row>
    <row r="9" spans="1:9" x14ac:dyDescent="0.25">
      <c r="A9" s="235" t="s">
        <v>134</v>
      </c>
      <c r="B9" s="149" t="s">
        <v>143</v>
      </c>
      <c r="C9" s="405">
        <f>NECESIDADES_DE_FINANCIACION!E14+NECESIDADES_DE_FINANCIACION!E17</f>
        <v>173129000</v>
      </c>
      <c r="D9" s="406">
        <f>(COSTOS_DE_PRODUCCION!D189*BALANCE_GENERAL!D8)/360</f>
        <v>1142472.2222222222</v>
      </c>
      <c r="E9" s="406">
        <f>(COSTOS_DE_PRODUCCION!F189*BALANCE_GENERAL!E8)/360</f>
        <v>984503.19644444447</v>
      </c>
      <c r="F9" s="406">
        <f>(COSTOS_DE_PRODUCCION!G189*BALANCE_GENERAL!F8)/360</f>
        <v>826819.75148088904</v>
      </c>
      <c r="G9" s="406">
        <f>(COSTOS_DE_PRODUCCION!H189*BALANCE_GENERAL!G8)/360</f>
        <v>541514.81409929227</v>
      </c>
      <c r="H9" s="406">
        <f>(COSTOS_DE_PRODUCCION!I189*BALANCE_GENERAL!H8)/360</f>
        <v>205302.91863826811</v>
      </c>
      <c r="I9" s="404"/>
    </row>
    <row r="10" spans="1:9" x14ac:dyDescent="0.25">
      <c r="A10" s="235" t="s">
        <v>135</v>
      </c>
      <c r="B10" s="149" t="s">
        <v>143</v>
      </c>
      <c r="C10" s="407"/>
      <c r="D10" s="408">
        <f>C9-D9</f>
        <v>171986527.77777779</v>
      </c>
      <c r="E10" s="408">
        <f>D9-E9</f>
        <v>157969.02577777777</v>
      </c>
      <c r="F10" s="408">
        <f>E9-F9</f>
        <v>157683.44496355543</v>
      </c>
      <c r="G10" s="408">
        <f>F9-G9</f>
        <v>285304.93738159677</v>
      </c>
      <c r="H10" s="408">
        <f>G9-H9</f>
        <v>336211.89546102413</v>
      </c>
    </row>
    <row r="11" spans="1:9" x14ac:dyDescent="0.25">
      <c r="A11" s="237" t="s">
        <v>136</v>
      </c>
      <c r="B11" s="149" t="s">
        <v>144</v>
      </c>
      <c r="C11" s="236"/>
      <c r="D11" s="238"/>
      <c r="E11" s="238"/>
      <c r="F11" s="238"/>
      <c r="G11" s="238"/>
      <c r="H11" s="239"/>
    </row>
    <row r="12" spans="1:9" x14ac:dyDescent="0.25">
      <c r="A12" s="237" t="s">
        <v>137</v>
      </c>
      <c r="B12" s="149" t="s">
        <v>143</v>
      </c>
      <c r="C12" s="409"/>
      <c r="D12" s="410">
        <f>ESTADO_DE_RESULTADOS!B4*BALANCE_GENERAL!D11/360</f>
        <v>0</v>
      </c>
      <c r="E12" s="410">
        <f>ESTADO_DE_RESULTADOS!C4*BALANCE_GENERAL!E11/360</f>
        <v>0</v>
      </c>
      <c r="F12" s="410">
        <f>ESTADO_DE_RESULTADOS!D4*BALANCE_GENERAL!F11/360</f>
        <v>0</v>
      </c>
      <c r="G12" s="410">
        <f>ESTADO_DE_RESULTADOS!E4*BALANCE_GENERAL!G11/360</f>
        <v>0</v>
      </c>
      <c r="H12" s="410">
        <f>ESTADO_DE_RESULTADOS!F4*BALANCE_GENERAL!H11/360</f>
        <v>0</v>
      </c>
    </row>
    <row r="13" spans="1:9" x14ac:dyDescent="0.25">
      <c r="A13" s="237" t="s">
        <v>138</v>
      </c>
      <c r="B13" s="149" t="s">
        <v>143</v>
      </c>
      <c r="C13" s="407"/>
      <c r="D13" s="408">
        <f>C12-D12</f>
        <v>0</v>
      </c>
      <c r="E13" s="408">
        <f>D12-E12</f>
        <v>0</v>
      </c>
      <c r="F13" s="408">
        <f>E12-F12</f>
        <v>0</v>
      </c>
      <c r="G13" s="408">
        <f>F12-G12</f>
        <v>0</v>
      </c>
      <c r="H13" s="408">
        <f>G12-H12</f>
        <v>0</v>
      </c>
    </row>
    <row r="14" spans="1:9" x14ac:dyDescent="0.25">
      <c r="A14" s="235" t="s">
        <v>139</v>
      </c>
      <c r="B14" s="149" t="s">
        <v>145</v>
      </c>
      <c r="C14" s="240"/>
      <c r="D14" s="241">
        <v>6</v>
      </c>
      <c r="E14" s="241">
        <v>4</v>
      </c>
      <c r="F14" s="241">
        <v>3</v>
      </c>
      <c r="G14" s="241">
        <v>2</v>
      </c>
      <c r="H14" s="242">
        <v>1</v>
      </c>
    </row>
    <row r="15" spans="1:9" x14ac:dyDescent="0.25">
      <c r="A15" s="235" t="s">
        <v>140</v>
      </c>
      <c r="B15" s="149" t="s">
        <v>143</v>
      </c>
      <c r="C15" s="411">
        <v>2000000</v>
      </c>
      <c r="D15" s="412">
        <f>(COSTOS_DE_PRODUCCION!D189+COSTOS_DE_PRODUCCION!D190)*BALANCE_GENERAL!D14/360</f>
        <v>918078.33333333337</v>
      </c>
      <c r="E15" s="412">
        <f>(COSTOS_DE_PRODUCCION!F189+COSTOS_DE_PRODUCCION!F190)*BALANCE_GENERAL!E14/360</f>
        <v>755484.82275555562</v>
      </c>
      <c r="F15" s="412">
        <f>(COSTOS_DE_PRODUCCION!G189+COSTOS_DE_PRODUCCION!G190)*BALANCE_GENERAL!F14/360</f>
        <v>671945.09437610686</v>
      </c>
      <c r="G15" s="412">
        <f>(COSTOS_DE_PRODUCCION!H189+COSTOS_DE_PRODUCCION!H190)*BALANCE_GENERAL!G14/360</f>
        <v>488789.64751769428</v>
      </c>
      <c r="H15" s="412">
        <f>(COSTOS_DE_PRODUCCION!I189+COSTOS_DE_PRODUCCION!I190)*BALANCE_GENERAL!H14/360</f>
        <v>279734.29541051551</v>
      </c>
      <c r="I15" s="404"/>
    </row>
    <row r="16" spans="1:9" ht="15.75" thickBot="1" x14ac:dyDescent="0.3">
      <c r="A16" s="243" t="s">
        <v>141</v>
      </c>
      <c r="B16" s="244" t="s">
        <v>146</v>
      </c>
      <c r="C16" s="413"/>
      <c r="D16" s="414">
        <f>C15-D15</f>
        <v>1081921.6666666665</v>
      </c>
      <c r="E16" s="414">
        <f>D15-E15</f>
        <v>162593.51057777775</v>
      </c>
      <c r="F16" s="414">
        <f>E15-F15</f>
        <v>83539.728379448759</v>
      </c>
      <c r="G16" s="414">
        <f>F15-G15</f>
        <v>183155.44685841259</v>
      </c>
      <c r="H16" s="414">
        <f>G15-H15</f>
        <v>209055.35210717877</v>
      </c>
    </row>
    <row r="18" spans="1:8" ht="15.75" thickBot="1" x14ac:dyDescent="0.3"/>
    <row r="19" spans="1:8" x14ac:dyDescent="0.25">
      <c r="A19" s="245" t="s">
        <v>147</v>
      </c>
      <c r="B19" s="702" t="s">
        <v>111</v>
      </c>
      <c r="C19" s="702"/>
      <c r="D19" s="702"/>
      <c r="E19" s="702"/>
      <c r="F19" s="702"/>
      <c r="G19" s="703"/>
    </row>
    <row r="20" spans="1:8" x14ac:dyDescent="0.25">
      <c r="A20" s="246"/>
      <c r="B20" s="291" t="str">
        <f>C7</f>
        <v>AÑO 0</v>
      </c>
      <c r="C20" s="291">
        <f>D7</f>
        <v>2021</v>
      </c>
      <c r="D20" s="291">
        <f t="shared" ref="D20:G20" si="0">E7</f>
        <v>2022</v>
      </c>
      <c r="E20" s="291">
        <f t="shared" si="0"/>
        <v>2023</v>
      </c>
      <c r="F20" s="291">
        <f t="shared" si="0"/>
        <v>2024</v>
      </c>
      <c r="G20" s="291">
        <f t="shared" si="0"/>
        <v>2025</v>
      </c>
    </row>
    <row r="21" spans="1:8" ht="18.75" x14ac:dyDescent="0.3">
      <c r="A21" s="697" t="s">
        <v>148</v>
      </c>
      <c r="B21" s="698"/>
      <c r="C21" s="698"/>
      <c r="D21" s="698"/>
      <c r="E21" s="698"/>
      <c r="F21" s="698"/>
      <c r="G21" s="699"/>
    </row>
    <row r="22" spans="1:8" x14ac:dyDescent="0.25">
      <c r="A22" s="247" t="s">
        <v>149</v>
      </c>
      <c r="B22" s="248">
        <f>B74-B23-B24-B30-B33-B36-B39-B42-B45-B48-B51-B26-B27-B56</f>
        <v>15955700</v>
      </c>
      <c r="C22" s="248">
        <f t="shared" ref="C22:G22" si="1">C74-C23-C24-C30-C33-C36-C39-C42-C45-C48-C51-C26-C27-C56</f>
        <v>36416470.830270872</v>
      </c>
      <c r="D22" s="248">
        <f t="shared" si="1"/>
        <v>136023970.06515291</v>
      </c>
      <c r="E22" s="248">
        <f t="shared" si="1"/>
        <v>467673454.68875295</v>
      </c>
      <c r="F22" s="248">
        <f t="shared" si="1"/>
        <v>818857640.96775222</v>
      </c>
      <c r="G22" s="248">
        <f t="shared" si="1"/>
        <v>855033484.25917828</v>
      </c>
    </row>
    <row r="23" spans="1:8" x14ac:dyDescent="0.25">
      <c r="A23" s="247" t="s">
        <v>150</v>
      </c>
      <c r="B23" s="248">
        <f t="shared" ref="B23:G23" si="2">C9</f>
        <v>173129000</v>
      </c>
      <c r="C23" s="248">
        <f t="shared" si="2"/>
        <v>1142472.2222222222</v>
      </c>
      <c r="D23" s="248">
        <f t="shared" si="2"/>
        <v>984503.19644444447</v>
      </c>
      <c r="E23" s="248">
        <f t="shared" si="2"/>
        <v>826819.75148088904</v>
      </c>
      <c r="F23" s="248">
        <f t="shared" si="2"/>
        <v>541514.81409929227</v>
      </c>
      <c r="G23" s="249">
        <f t="shared" si="2"/>
        <v>205302.91863826811</v>
      </c>
    </row>
    <row r="24" spans="1:8" x14ac:dyDescent="0.25">
      <c r="A24" s="247" t="s">
        <v>151</v>
      </c>
      <c r="B24" s="248">
        <f t="shared" ref="B24:G24" si="3">C12</f>
        <v>0</v>
      </c>
      <c r="C24" s="248">
        <f t="shared" si="3"/>
        <v>0</v>
      </c>
      <c r="D24" s="248">
        <f t="shared" si="3"/>
        <v>0</v>
      </c>
      <c r="E24" s="248">
        <f t="shared" si="3"/>
        <v>0</v>
      </c>
      <c r="F24" s="248">
        <f t="shared" si="3"/>
        <v>0</v>
      </c>
      <c r="G24" s="249">
        <f t="shared" si="3"/>
        <v>0</v>
      </c>
    </row>
    <row r="25" spans="1:8" x14ac:dyDescent="0.25">
      <c r="A25" s="250" t="s">
        <v>152</v>
      </c>
      <c r="B25" s="251">
        <f t="shared" ref="B25:G25" si="4">B22+B23+B24</f>
        <v>189084700</v>
      </c>
      <c r="C25" s="251">
        <f t="shared" si="4"/>
        <v>37558943.052493095</v>
      </c>
      <c r="D25" s="251">
        <f t="shared" si="4"/>
        <v>137008473.26159737</v>
      </c>
      <c r="E25" s="251">
        <f t="shared" si="4"/>
        <v>468500274.44023383</v>
      </c>
      <c r="F25" s="251">
        <f t="shared" si="4"/>
        <v>819399155.78185153</v>
      </c>
      <c r="G25" s="252">
        <f t="shared" si="4"/>
        <v>855238787.17781651</v>
      </c>
    </row>
    <row r="26" spans="1:8" x14ac:dyDescent="0.25">
      <c r="A26" s="247" t="s">
        <v>153</v>
      </c>
      <c r="B26" s="248">
        <f>'CTOS_VS_ING_OPER-INV_INFRAEST'!F408</f>
        <v>0</v>
      </c>
      <c r="C26" s="248">
        <f>'CTOS_VS_ING_OPER-INV_INFRAEST'!G408</f>
        <v>0</v>
      </c>
      <c r="D26" s="248">
        <f>'CTOS_VS_ING_OPER-INV_INFRAEST'!H408</f>
        <v>0</v>
      </c>
      <c r="E26" s="248">
        <f>'CTOS_VS_ING_OPER-INV_INFRAEST'!I408</f>
        <v>0</v>
      </c>
      <c r="F26" s="248">
        <f>'CTOS_VS_ING_OPER-INV_INFRAEST'!J408</f>
        <v>0</v>
      </c>
      <c r="G26" s="248">
        <f>'CTOS_VS_ING_OPER-INV_INFRAEST'!K408</f>
        <v>0</v>
      </c>
      <c r="H26" s="253"/>
    </row>
    <row r="27" spans="1:8" x14ac:dyDescent="0.25">
      <c r="A27" s="247" t="s">
        <v>154</v>
      </c>
      <c r="B27" s="248"/>
      <c r="C27" s="248">
        <f>'CTOS_VS_ING_OPER-INV_INFRAEST'!G409</f>
        <v>0</v>
      </c>
      <c r="D27" s="248">
        <f>'CTOS_VS_ING_OPER-INV_INFRAEST'!H409</f>
        <v>0</v>
      </c>
      <c r="E27" s="248">
        <f>'CTOS_VS_ING_OPER-INV_INFRAEST'!I409</f>
        <v>0</v>
      </c>
      <c r="F27" s="248">
        <f>'CTOS_VS_ING_OPER-INV_INFRAEST'!J409</f>
        <v>0</v>
      </c>
      <c r="G27" s="248">
        <f>'CTOS_VS_ING_OPER-INV_INFRAEST'!K409</f>
        <v>0</v>
      </c>
      <c r="H27" s="253"/>
    </row>
    <row r="28" spans="1:8" x14ac:dyDescent="0.25">
      <c r="A28" s="250" t="s">
        <v>155</v>
      </c>
      <c r="B28" s="254">
        <f t="shared" ref="B28:G28" si="5">B26+B27</f>
        <v>0</v>
      </c>
      <c r="C28" s="254">
        <f t="shared" si="5"/>
        <v>0</v>
      </c>
      <c r="D28" s="254">
        <f t="shared" si="5"/>
        <v>0</v>
      </c>
      <c r="E28" s="254">
        <f t="shared" si="5"/>
        <v>0</v>
      </c>
      <c r="F28" s="254">
        <f t="shared" si="5"/>
        <v>0</v>
      </c>
      <c r="G28" s="254">
        <f t="shared" si="5"/>
        <v>0</v>
      </c>
    </row>
    <row r="29" spans="1:8" ht="18.75" x14ac:dyDescent="0.3">
      <c r="A29" s="704" t="s">
        <v>156</v>
      </c>
      <c r="B29" s="705"/>
      <c r="C29" s="705"/>
      <c r="D29" s="705"/>
      <c r="E29" s="705"/>
      <c r="F29" s="705"/>
      <c r="G29" s="706"/>
    </row>
    <row r="30" spans="1:8" x14ac:dyDescent="0.25">
      <c r="A30" s="255" t="s">
        <v>157</v>
      </c>
      <c r="B30" s="256">
        <f>'CTOS_VS_ING_OPER-INV_INFRAEST'!F422</f>
        <v>0</v>
      </c>
      <c r="C30" s="256">
        <f>'CTOS_VS_ING_OPER-INV_INFRAEST'!G422</f>
        <v>0</v>
      </c>
      <c r="D30" s="256">
        <f>'CTOS_VS_ING_OPER-INV_INFRAEST'!H422</f>
        <v>0</v>
      </c>
      <c r="E30" s="256">
        <f>'CTOS_VS_ING_OPER-INV_INFRAEST'!I422</f>
        <v>0</v>
      </c>
      <c r="F30" s="256">
        <f>'CTOS_VS_ING_OPER-INV_INFRAEST'!J422</f>
        <v>0</v>
      </c>
      <c r="G30" s="256">
        <f>'CTOS_VS_ING_OPER-INV_INFRAEST'!K422</f>
        <v>0</v>
      </c>
      <c r="H30" s="253"/>
    </row>
    <row r="31" spans="1:8" x14ac:dyDescent="0.25">
      <c r="A31" s="257" t="s">
        <v>158</v>
      </c>
      <c r="B31" s="258">
        <f>'CTOS_VS_ING_OPER-INV_INFRAEST'!F373</f>
        <v>0</v>
      </c>
      <c r="C31" s="258">
        <f>'CTOS_VS_ING_OPER-INV_INFRAEST'!G373</f>
        <v>0</v>
      </c>
      <c r="D31" s="258">
        <f>'CTOS_VS_ING_OPER-INV_INFRAEST'!H373</f>
        <v>0</v>
      </c>
      <c r="E31" s="258">
        <f>'CTOS_VS_ING_OPER-INV_INFRAEST'!I373</f>
        <v>0</v>
      </c>
      <c r="F31" s="258">
        <f>'CTOS_VS_ING_OPER-INV_INFRAEST'!J373</f>
        <v>0</v>
      </c>
      <c r="G31" s="258">
        <f>'CTOS_VS_ING_OPER-INV_INFRAEST'!K373</f>
        <v>0</v>
      </c>
      <c r="H31" s="253"/>
    </row>
    <row r="32" spans="1:8" x14ac:dyDescent="0.25">
      <c r="A32" s="257" t="s">
        <v>160</v>
      </c>
      <c r="B32" s="258"/>
      <c r="C32" s="258">
        <f>'CTOS_VS_ING_OPER-INV_INFRAEST'!G374</f>
        <v>0</v>
      </c>
      <c r="D32" s="258">
        <f>'CTOS_VS_ING_OPER-INV_INFRAEST'!H374</f>
        <v>0</v>
      </c>
      <c r="E32" s="258">
        <f>'CTOS_VS_ING_OPER-INV_INFRAEST'!I374</f>
        <v>0</v>
      </c>
      <c r="F32" s="258">
        <f>'CTOS_VS_ING_OPER-INV_INFRAEST'!J374</f>
        <v>0</v>
      </c>
      <c r="G32" s="258">
        <f>'CTOS_VS_ING_OPER-INV_INFRAEST'!K374</f>
        <v>0</v>
      </c>
      <c r="H32" s="253"/>
    </row>
    <row r="33" spans="1:8" x14ac:dyDescent="0.25">
      <c r="A33" s="257" t="s">
        <v>161</v>
      </c>
      <c r="B33" s="258">
        <f t="shared" ref="B33:G33" si="6">B31+B32</f>
        <v>0</v>
      </c>
      <c r="C33" s="258">
        <f t="shared" si="6"/>
        <v>0</v>
      </c>
      <c r="D33" s="258">
        <f t="shared" si="6"/>
        <v>0</v>
      </c>
      <c r="E33" s="258">
        <f t="shared" si="6"/>
        <v>0</v>
      </c>
      <c r="F33" s="258">
        <f t="shared" si="6"/>
        <v>0</v>
      </c>
      <c r="G33" s="258">
        <f t="shared" si="6"/>
        <v>0</v>
      </c>
      <c r="H33" s="253"/>
    </row>
    <row r="34" spans="1:8" x14ac:dyDescent="0.25">
      <c r="A34" s="255" t="s">
        <v>162</v>
      </c>
      <c r="B34" s="256">
        <f>'CTOS_VS_ING_OPER-INV_INFRAEST'!F378</f>
        <v>300000</v>
      </c>
      <c r="C34" s="256">
        <f>'CTOS_VS_ING_OPER-INV_INFRAEST'!G378</f>
        <v>657000</v>
      </c>
      <c r="D34" s="256">
        <f>'CTOS_VS_ING_OPER-INV_INFRAEST'!H378</f>
        <v>1078000</v>
      </c>
      <c r="E34" s="256">
        <f>'CTOS_VS_ING_OPER-INV_INFRAEST'!I378</f>
        <v>1575150</v>
      </c>
      <c r="F34" s="256">
        <f>'CTOS_VS_ING_OPER-INV_INFRAEST'!J378</f>
        <v>2167150</v>
      </c>
      <c r="G34" s="256">
        <f>'CTOS_VS_ING_OPER-INV_INFRAEST'!K378</f>
        <v>2872050</v>
      </c>
      <c r="H34" s="253"/>
    </row>
    <row r="35" spans="1:8" x14ac:dyDescent="0.25">
      <c r="A35" s="255" t="s">
        <v>163</v>
      </c>
      <c r="B35" s="256"/>
      <c r="C35" s="256">
        <f>'CTOS_VS_ING_OPER-INV_INFRAEST'!G379</f>
        <v>-30000</v>
      </c>
      <c r="D35" s="256">
        <f>'CTOS_VS_ING_OPER-INV_INFRAEST'!H379</f>
        <v>-95700</v>
      </c>
      <c r="E35" s="256">
        <f>'CTOS_VS_ING_OPER-INV_INFRAEST'!I379</f>
        <v>-203500</v>
      </c>
      <c r="F35" s="256">
        <f>'CTOS_VS_ING_OPER-INV_INFRAEST'!J379</f>
        <v>-361015</v>
      </c>
      <c r="G35" s="256">
        <f>'CTOS_VS_ING_OPER-INV_INFRAEST'!K379</f>
        <v>-577730</v>
      </c>
      <c r="H35" s="253"/>
    </row>
    <row r="36" spans="1:8" x14ac:dyDescent="0.25">
      <c r="A36" s="255" t="s">
        <v>164</v>
      </c>
      <c r="B36" s="256">
        <f>B34+B35</f>
        <v>300000</v>
      </c>
      <c r="C36" s="256">
        <f t="shared" ref="C36:G36" si="7">C34+C35</f>
        <v>627000</v>
      </c>
      <c r="D36" s="256">
        <f t="shared" si="7"/>
        <v>982300</v>
      </c>
      <c r="E36" s="256">
        <f t="shared" si="7"/>
        <v>1371650</v>
      </c>
      <c r="F36" s="256">
        <f t="shared" si="7"/>
        <v>1806135</v>
      </c>
      <c r="G36" s="256">
        <f t="shared" si="7"/>
        <v>2294320</v>
      </c>
      <c r="H36" s="253"/>
    </row>
    <row r="37" spans="1:8" x14ac:dyDescent="0.25">
      <c r="A37" s="257" t="s">
        <v>165</v>
      </c>
      <c r="B37" s="258">
        <f>'CTOS_VS_ING_OPER-INV_INFRAEST'!F383</f>
        <v>2750000</v>
      </c>
      <c r="C37" s="258">
        <f>'CTOS_VS_ING_OPER-INV_INFRAEST'!G383</f>
        <v>2750000</v>
      </c>
      <c r="D37" s="258">
        <f>'CTOS_VS_ING_OPER-INV_INFRAEST'!H383</f>
        <v>2750000</v>
      </c>
      <c r="E37" s="258">
        <f>'CTOS_VS_ING_OPER-INV_INFRAEST'!I383</f>
        <v>2750000</v>
      </c>
      <c r="F37" s="258">
        <f>'CTOS_VS_ING_OPER-INV_INFRAEST'!J383</f>
        <v>2750000</v>
      </c>
      <c r="G37" s="258">
        <f>'CTOS_VS_ING_OPER-INV_INFRAEST'!K383</f>
        <v>2750000</v>
      </c>
      <c r="H37" s="253"/>
    </row>
    <row r="38" spans="1:8" x14ac:dyDescent="0.25">
      <c r="A38" s="257" t="s">
        <v>159</v>
      </c>
      <c r="B38" s="258"/>
      <c r="C38" s="258">
        <f>'CTOS_VS_ING_OPER-INV_INFRAEST'!G384</f>
        <v>-550000</v>
      </c>
      <c r="D38" s="258">
        <f>'CTOS_VS_ING_OPER-INV_INFRAEST'!H384</f>
        <v>-1100000</v>
      </c>
      <c r="E38" s="258">
        <f>'CTOS_VS_ING_OPER-INV_INFRAEST'!I384</f>
        <v>-1650000</v>
      </c>
      <c r="F38" s="258">
        <f>'CTOS_VS_ING_OPER-INV_INFRAEST'!J384</f>
        <v>-2200000</v>
      </c>
      <c r="G38" s="258">
        <f>'CTOS_VS_ING_OPER-INV_INFRAEST'!K384</f>
        <v>-2750000</v>
      </c>
      <c r="H38" s="253"/>
    </row>
    <row r="39" spans="1:8" x14ac:dyDescent="0.25">
      <c r="A39" s="257" t="s">
        <v>166</v>
      </c>
      <c r="B39" s="258">
        <f t="shared" ref="B39:G39" si="8">B37+B38</f>
        <v>2750000</v>
      </c>
      <c r="C39" s="258">
        <f t="shared" si="8"/>
        <v>2200000</v>
      </c>
      <c r="D39" s="258">
        <f t="shared" si="8"/>
        <v>1650000</v>
      </c>
      <c r="E39" s="258">
        <f t="shared" si="8"/>
        <v>1100000</v>
      </c>
      <c r="F39" s="258">
        <f t="shared" si="8"/>
        <v>550000</v>
      </c>
      <c r="G39" s="258">
        <f t="shared" si="8"/>
        <v>0</v>
      </c>
      <c r="H39" s="253"/>
    </row>
    <row r="40" spans="1:8" x14ac:dyDescent="0.25">
      <c r="A40" s="255" t="s">
        <v>167</v>
      </c>
      <c r="B40" s="256">
        <f>'CTOS_VS_ING_OPER-INV_INFRAEST'!F388</f>
        <v>0</v>
      </c>
      <c r="C40" s="256">
        <f>'CTOS_VS_ING_OPER-INV_INFRAEST'!G388</f>
        <v>0</v>
      </c>
      <c r="D40" s="256">
        <f>'CTOS_VS_ING_OPER-INV_INFRAEST'!H388</f>
        <v>0</v>
      </c>
      <c r="E40" s="256">
        <f>'CTOS_VS_ING_OPER-INV_INFRAEST'!I388</f>
        <v>0</v>
      </c>
      <c r="F40" s="256">
        <f>'CTOS_VS_ING_OPER-INV_INFRAEST'!J388</f>
        <v>0</v>
      </c>
      <c r="G40" s="256">
        <f>'CTOS_VS_ING_OPER-INV_INFRAEST'!K388</f>
        <v>0</v>
      </c>
      <c r="H40" s="253"/>
    </row>
    <row r="41" spans="1:8" x14ac:dyDescent="0.25">
      <c r="A41" s="255" t="s">
        <v>159</v>
      </c>
      <c r="B41" s="256"/>
      <c r="C41" s="256">
        <f>'CTOS_VS_ING_OPER-INV_INFRAEST'!G389</f>
        <v>0</v>
      </c>
      <c r="D41" s="256">
        <f>'CTOS_VS_ING_OPER-INV_INFRAEST'!H389</f>
        <v>0</v>
      </c>
      <c r="E41" s="256">
        <f>'CTOS_VS_ING_OPER-INV_INFRAEST'!I389</f>
        <v>0</v>
      </c>
      <c r="F41" s="256">
        <f>'CTOS_VS_ING_OPER-INV_INFRAEST'!J389</f>
        <v>0</v>
      </c>
      <c r="G41" s="256">
        <f>'CTOS_VS_ING_OPER-INV_INFRAEST'!K389</f>
        <v>0</v>
      </c>
      <c r="H41" s="253"/>
    </row>
    <row r="42" spans="1:8" x14ac:dyDescent="0.25">
      <c r="A42" s="255" t="s">
        <v>168</v>
      </c>
      <c r="B42" s="256">
        <f t="shared" ref="B42:G42" si="9">B40+B41</f>
        <v>0</v>
      </c>
      <c r="C42" s="256">
        <f t="shared" si="9"/>
        <v>0</v>
      </c>
      <c r="D42" s="256">
        <f t="shared" si="9"/>
        <v>0</v>
      </c>
      <c r="E42" s="256">
        <f t="shared" si="9"/>
        <v>0</v>
      </c>
      <c r="F42" s="256">
        <f t="shared" si="9"/>
        <v>0</v>
      </c>
      <c r="G42" s="256">
        <f t="shared" si="9"/>
        <v>0</v>
      </c>
      <c r="H42" s="253"/>
    </row>
    <row r="43" spans="1:8" x14ac:dyDescent="0.25">
      <c r="A43" s="257" t="s">
        <v>169</v>
      </c>
      <c r="B43" s="258">
        <f>'CTOS_VS_ING_OPER-INV_INFRAEST'!F393</f>
        <v>4219000</v>
      </c>
      <c r="C43" s="258">
        <f>'CTOS_VS_ING_OPER-INV_INFRAEST'!G393</f>
        <v>4219000</v>
      </c>
      <c r="D43" s="258">
        <f>'CTOS_VS_ING_OPER-INV_INFRAEST'!H393</f>
        <v>4219000</v>
      </c>
      <c r="E43" s="258">
        <f>'CTOS_VS_ING_OPER-INV_INFRAEST'!I393</f>
        <v>4219000</v>
      </c>
      <c r="F43" s="258">
        <f>'CTOS_VS_ING_OPER-INV_INFRAEST'!J393</f>
        <v>4219000</v>
      </c>
      <c r="G43" s="258">
        <f>'CTOS_VS_ING_OPER-INV_INFRAEST'!K393</f>
        <v>4219000</v>
      </c>
      <c r="H43" s="253"/>
    </row>
    <row r="44" spans="1:8" x14ac:dyDescent="0.25">
      <c r="A44" s="257" t="s">
        <v>159</v>
      </c>
      <c r="B44" s="258"/>
      <c r="C44" s="258">
        <f>'CTOS_VS_ING_OPER-INV_INFRAEST'!G394</f>
        <v>-1406333</v>
      </c>
      <c r="D44" s="258">
        <f>'CTOS_VS_ING_OPER-INV_INFRAEST'!H394</f>
        <v>-2812666</v>
      </c>
      <c r="E44" s="258">
        <f>'CTOS_VS_ING_OPER-INV_INFRAEST'!I394</f>
        <v>-4218999</v>
      </c>
      <c r="F44" s="258">
        <f>'CTOS_VS_ING_OPER-INV_INFRAEST'!J394</f>
        <v>-5625332</v>
      </c>
      <c r="G44" s="258">
        <f>'CTOS_VS_ING_OPER-INV_INFRAEST'!K394</f>
        <v>-7031665</v>
      </c>
      <c r="H44" s="253"/>
    </row>
    <row r="45" spans="1:8" x14ac:dyDescent="0.25">
      <c r="A45" s="257" t="s">
        <v>170</v>
      </c>
      <c r="B45" s="258">
        <f t="shared" ref="B45:G45" si="10">B43+B44</f>
        <v>4219000</v>
      </c>
      <c r="C45" s="258">
        <f t="shared" si="10"/>
        <v>2812667</v>
      </c>
      <c r="D45" s="258">
        <f t="shared" si="10"/>
        <v>1406334</v>
      </c>
      <c r="E45" s="258">
        <f t="shared" si="10"/>
        <v>1</v>
      </c>
      <c r="F45" s="258">
        <f t="shared" si="10"/>
        <v>-1406332</v>
      </c>
      <c r="G45" s="258">
        <f t="shared" si="10"/>
        <v>-2812665</v>
      </c>
      <c r="H45" s="253"/>
    </row>
    <row r="46" spans="1:8" x14ac:dyDescent="0.25">
      <c r="A46" s="255" t="s">
        <v>171</v>
      </c>
      <c r="B46" s="256">
        <f>'CTOS_VS_ING_OPER-INV_INFRAEST'!F398</f>
        <v>0</v>
      </c>
      <c r="C46" s="256">
        <f>'CTOS_VS_ING_OPER-INV_INFRAEST'!G398</f>
        <v>0</v>
      </c>
      <c r="D46" s="256">
        <f>'CTOS_VS_ING_OPER-INV_INFRAEST'!H398</f>
        <v>0</v>
      </c>
      <c r="E46" s="256">
        <f>'CTOS_VS_ING_OPER-INV_INFRAEST'!I398</f>
        <v>0</v>
      </c>
      <c r="F46" s="256">
        <f>'CTOS_VS_ING_OPER-INV_INFRAEST'!J398</f>
        <v>0</v>
      </c>
      <c r="G46" s="256">
        <f>'CTOS_VS_ING_OPER-INV_INFRAEST'!K398</f>
        <v>0</v>
      </c>
      <c r="H46" s="253"/>
    </row>
    <row r="47" spans="1:8" x14ac:dyDescent="0.25">
      <c r="A47" s="255" t="s">
        <v>172</v>
      </c>
      <c r="B47" s="256"/>
      <c r="C47" s="256">
        <f>'CTOS_VS_ING_OPER-INV_INFRAEST'!G399</f>
        <v>0</v>
      </c>
      <c r="D47" s="256">
        <f>'CTOS_VS_ING_OPER-INV_INFRAEST'!H399</f>
        <v>0</v>
      </c>
      <c r="E47" s="256">
        <f>'CTOS_VS_ING_OPER-INV_INFRAEST'!I399</f>
        <v>0</v>
      </c>
      <c r="F47" s="256">
        <f>'CTOS_VS_ING_OPER-INV_INFRAEST'!J399</f>
        <v>0</v>
      </c>
      <c r="G47" s="256">
        <f>'CTOS_VS_ING_OPER-INV_INFRAEST'!K399</f>
        <v>0</v>
      </c>
      <c r="H47" s="253"/>
    </row>
    <row r="48" spans="1:8" x14ac:dyDescent="0.25">
      <c r="A48" s="255" t="s">
        <v>171</v>
      </c>
      <c r="B48" s="256">
        <f>B46+B47</f>
        <v>0</v>
      </c>
      <c r="C48" s="256">
        <f t="shared" ref="C48:G48" si="11">C46+C47</f>
        <v>0</v>
      </c>
      <c r="D48" s="256">
        <f t="shared" si="11"/>
        <v>0</v>
      </c>
      <c r="E48" s="256">
        <f t="shared" si="11"/>
        <v>0</v>
      </c>
      <c r="F48" s="256">
        <f t="shared" si="11"/>
        <v>0</v>
      </c>
      <c r="G48" s="256">
        <f t="shared" si="11"/>
        <v>0</v>
      </c>
      <c r="H48" s="253"/>
    </row>
    <row r="49" spans="1:8" x14ac:dyDescent="0.25">
      <c r="A49" s="257" t="s">
        <v>173</v>
      </c>
      <c r="B49" s="258">
        <f>'CTOS_VS_ING_OPER-INV_INFRAEST'!F403</f>
        <v>0</v>
      </c>
      <c r="C49" s="258">
        <f>'CTOS_VS_ING_OPER-INV_INFRAEST'!G403</f>
        <v>0</v>
      </c>
      <c r="D49" s="258">
        <f>'CTOS_VS_ING_OPER-INV_INFRAEST'!H403</f>
        <v>0</v>
      </c>
      <c r="E49" s="258">
        <f>'CTOS_VS_ING_OPER-INV_INFRAEST'!I403</f>
        <v>0</v>
      </c>
      <c r="F49" s="258">
        <f>'CTOS_VS_ING_OPER-INV_INFRAEST'!J403</f>
        <v>0</v>
      </c>
      <c r="G49" s="258">
        <f>'CTOS_VS_ING_OPER-INV_INFRAEST'!K403</f>
        <v>0</v>
      </c>
      <c r="H49" s="253"/>
    </row>
    <row r="50" spans="1:8" x14ac:dyDescent="0.25">
      <c r="A50" s="257" t="s">
        <v>172</v>
      </c>
      <c r="B50" s="258"/>
      <c r="C50" s="258">
        <f>'CTOS_VS_ING_OPER-INV_INFRAEST'!G404</f>
        <v>0</v>
      </c>
      <c r="D50" s="258">
        <f>'CTOS_VS_ING_OPER-INV_INFRAEST'!H404</f>
        <v>0</v>
      </c>
      <c r="E50" s="258">
        <f>'CTOS_VS_ING_OPER-INV_INFRAEST'!I404</f>
        <v>0</v>
      </c>
      <c r="F50" s="258">
        <f>'CTOS_VS_ING_OPER-INV_INFRAEST'!J404</f>
        <v>0</v>
      </c>
      <c r="G50" s="258">
        <f>'CTOS_VS_ING_OPER-INV_INFRAEST'!K404</f>
        <v>0</v>
      </c>
      <c r="H50" s="253"/>
    </row>
    <row r="51" spans="1:8" x14ac:dyDescent="0.25">
      <c r="A51" s="257" t="s">
        <v>311</v>
      </c>
      <c r="B51" s="258">
        <f>B49+B50</f>
        <v>0</v>
      </c>
      <c r="C51" s="258">
        <f t="shared" ref="C51:G51" si="12">C49+C50</f>
        <v>0</v>
      </c>
      <c r="D51" s="258">
        <f t="shared" si="12"/>
        <v>0</v>
      </c>
      <c r="E51" s="258">
        <f t="shared" si="12"/>
        <v>0</v>
      </c>
      <c r="F51" s="258">
        <f t="shared" si="12"/>
        <v>0</v>
      </c>
      <c r="G51" s="258">
        <f t="shared" si="12"/>
        <v>0</v>
      </c>
      <c r="H51" s="253"/>
    </row>
    <row r="52" spans="1:8" x14ac:dyDescent="0.25">
      <c r="A52" s="259" t="s">
        <v>174</v>
      </c>
      <c r="B52" s="254">
        <f>B30+B33+B36+B39+B42+B45+B48+B51</f>
        <v>7269000</v>
      </c>
      <c r="C52" s="254">
        <f t="shared" ref="C52:G52" si="13">C30+C33+C36+C39+C42+C45+C48+C51</f>
        <v>5639667</v>
      </c>
      <c r="D52" s="254">
        <f t="shared" si="13"/>
        <v>4038634</v>
      </c>
      <c r="E52" s="254">
        <f t="shared" si="13"/>
        <v>2471651</v>
      </c>
      <c r="F52" s="254">
        <f t="shared" si="13"/>
        <v>949803</v>
      </c>
      <c r="G52" s="254">
        <f t="shared" si="13"/>
        <v>-518345</v>
      </c>
    </row>
    <row r="53" spans="1:8" ht="18.75" x14ac:dyDescent="0.3">
      <c r="A53" s="697" t="s">
        <v>69</v>
      </c>
      <c r="B53" s="698"/>
      <c r="C53" s="698"/>
      <c r="D53" s="698"/>
      <c r="E53" s="698"/>
      <c r="F53" s="698"/>
      <c r="G53" s="699"/>
    </row>
    <row r="54" spans="1:8" x14ac:dyDescent="0.25">
      <c r="A54" s="255" t="s">
        <v>69</v>
      </c>
      <c r="B54" s="260">
        <f>'CTOS_VS_ING_OPER-INV_INFRAEST'!F413</f>
        <v>0</v>
      </c>
      <c r="C54" s="260">
        <f>'CTOS_VS_ING_OPER-INV_INFRAEST'!G413</f>
        <v>0</v>
      </c>
      <c r="D54" s="260">
        <f>'CTOS_VS_ING_OPER-INV_INFRAEST'!H413</f>
        <v>0</v>
      </c>
      <c r="E54" s="260">
        <f>'CTOS_VS_ING_OPER-INV_INFRAEST'!I413</f>
        <v>0</v>
      </c>
      <c r="F54" s="260">
        <f>'CTOS_VS_ING_OPER-INV_INFRAEST'!J413</f>
        <v>0</v>
      </c>
      <c r="G54" s="260">
        <f>'CTOS_VS_ING_OPER-INV_INFRAEST'!K413</f>
        <v>0</v>
      </c>
      <c r="H54" s="253"/>
    </row>
    <row r="55" spans="1:8" x14ac:dyDescent="0.25">
      <c r="A55" s="255" t="s">
        <v>175</v>
      </c>
      <c r="B55" s="260">
        <f>'CTOS_VS_ING_OPER-INV_INFRAEST'!F415</f>
        <v>0</v>
      </c>
      <c r="C55" s="260">
        <f>'CTOS_VS_ING_OPER-INV_INFRAEST'!G415</f>
        <v>0</v>
      </c>
      <c r="D55" s="260">
        <f>'CTOS_VS_ING_OPER-INV_INFRAEST'!H415</f>
        <v>0</v>
      </c>
      <c r="E55" s="260">
        <f>'CTOS_VS_ING_OPER-INV_INFRAEST'!I415</f>
        <v>0</v>
      </c>
      <c r="F55" s="260">
        <f>'CTOS_VS_ING_OPER-INV_INFRAEST'!J415</f>
        <v>0</v>
      </c>
      <c r="G55" s="260">
        <f>'CTOS_VS_ING_OPER-INV_INFRAEST'!K415</f>
        <v>0</v>
      </c>
      <c r="H55" s="253"/>
    </row>
    <row r="56" spans="1:8" x14ac:dyDescent="0.25">
      <c r="A56" s="255" t="s">
        <v>69</v>
      </c>
      <c r="B56" s="260">
        <f>B54+B55</f>
        <v>0</v>
      </c>
      <c r="C56" s="260">
        <f t="shared" ref="C56:G56" si="14">C54+C55</f>
        <v>0</v>
      </c>
      <c r="D56" s="260">
        <f t="shared" si="14"/>
        <v>0</v>
      </c>
      <c r="E56" s="260">
        <f t="shared" si="14"/>
        <v>0</v>
      </c>
      <c r="F56" s="260">
        <f t="shared" si="14"/>
        <v>0</v>
      </c>
      <c r="G56" s="260">
        <f t="shared" si="14"/>
        <v>0</v>
      </c>
      <c r="H56" s="253"/>
    </row>
    <row r="57" spans="1:8" ht="15.75" thickBot="1" x14ac:dyDescent="0.3">
      <c r="A57" s="261" t="s">
        <v>176</v>
      </c>
      <c r="B57" s="262">
        <f t="shared" ref="B57:G57" si="15">B25+B28+B52+B56</f>
        <v>196353700</v>
      </c>
      <c r="C57" s="262">
        <f t="shared" si="15"/>
        <v>43198610.052493095</v>
      </c>
      <c r="D57" s="262">
        <f t="shared" si="15"/>
        <v>141047107.26159737</v>
      </c>
      <c r="E57" s="262">
        <f t="shared" si="15"/>
        <v>470971925.44023383</v>
      </c>
      <c r="F57" s="262">
        <f t="shared" si="15"/>
        <v>820348958.78185153</v>
      </c>
      <c r="G57" s="262">
        <f t="shared" si="15"/>
        <v>854720442.17781651</v>
      </c>
    </row>
    <row r="59" spans="1:8" ht="15.75" thickBot="1" x14ac:dyDescent="0.3"/>
    <row r="60" spans="1:8" ht="18.75" x14ac:dyDescent="0.3">
      <c r="A60" s="694" t="s">
        <v>177</v>
      </c>
      <c r="B60" s="695"/>
      <c r="C60" s="695"/>
      <c r="D60" s="695"/>
      <c r="E60" s="695"/>
      <c r="F60" s="695"/>
      <c r="G60" s="696"/>
    </row>
    <row r="61" spans="1:8" x14ac:dyDescent="0.25">
      <c r="A61" s="263" t="s">
        <v>139</v>
      </c>
      <c r="B61" s="264">
        <f t="shared" ref="B61:G61" si="16">C15</f>
        <v>2000000</v>
      </c>
      <c r="C61" s="264">
        <f t="shared" si="16"/>
        <v>918078.33333333337</v>
      </c>
      <c r="D61" s="264">
        <f t="shared" si="16"/>
        <v>755484.82275555562</v>
      </c>
      <c r="E61" s="264">
        <f t="shared" si="16"/>
        <v>671945.09437610686</v>
      </c>
      <c r="F61" s="264">
        <f t="shared" si="16"/>
        <v>488789.64751769428</v>
      </c>
      <c r="G61" s="264">
        <f t="shared" si="16"/>
        <v>279734.29541051551</v>
      </c>
    </row>
    <row r="62" spans="1:8" x14ac:dyDescent="0.25">
      <c r="A62" s="263" t="s">
        <v>178</v>
      </c>
      <c r="B62" s="264">
        <f>ESTADO_DE_RESULTADOS!B28</f>
        <v>0</v>
      </c>
      <c r="C62" s="264">
        <f>ESTADO_DE_RESULTADOS!C28</f>
        <v>18247932.012593299</v>
      </c>
      <c r="D62" s="264">
        <f>ESTADO_DE_RESULTADOS!D28</f>
        <v>97095710.108115867</v>
      </c>
      <c r="E62" s="264">
        <f>ESTADO_DE_RESULTADOS!E28</f>
        <v>153562574.12528163</v>
      </c>
      <c r="F62" s="264">
        <f>ESTADO_DE_RESULTADOS!F28</f>
        <v>303222818.44605726</v>
      </c>
      <c r="G62" s="264">
        <f>ESTADO_DE_RESULTADOS!G29</f>
        <v>0</v>
      </c>
    </row>
    <row r="63" spans="1:8" x14ac:dyDescent="0.25">
      <c r="A63" s="259" t="s">
        <v>179</v>
      </c>
      <c r="B63" s="254">
        <f t="shared" ref="B63:G63" si="17">SUM(B61:B62)</f>
        <v>2000000</v>
      </c>
      <c r="C63" s="254">
        <f t="shared" si="17"/>
        <v>19166010.345926631</v>
      </c>
      <c r="D63" s="254">
        <f t="shared" si="17"/>
        <v>97851194.930871427</v>
      </c>
      <c r="E63" s="254">
        <f t="shared" si="17"/>
        <v>154234519.21965775</v>
      </c>
      <c r="F63" s="254">
        <f t="shared" si="17"/>
        <v>303711608.09357494</v>
      </c>
      <c r="G63" s="254">
        <f t="shared" si="17"/>
        <v>279734.29541051551</v>
      </c>
    </row>
    <row r="64" spans="1:8" x14ac:dyDescent="0.25">
      <c r="A64" s="263" t="s">
        <v>180</v>
      </c>
      <c r="B64" s="264">
        <f>NECESIDADES_DE_FINANCIACION!E21</f>
        <v>144353700</v>
      </c>
      <c r="C64" s="264">
        <f>NECESIDADES_DE_FINANCIACION!G28*-1</f>
        <v>115482960</v>
      </c>
      <c r="D64" s="264">
        <f>NECESIDADES_DE_FINANCIACION!G29*-1</f>
        <v>86612220</v>
      </c>
      <c r="E64" s="264">
        <f>NECESIDADES_DE_FINANCIACION!G30*-1</f>
        <v>57741480</v>
      </c>
      <c r="F64" s="264">
        <f>NECESIDADES_DE_FINANCIACION!G31*-1</f>
        <v>28870740</v>
      </c>
      <c r="G64" s="264">
        <f>NECESIDADES_DE_FINANCIACION!G32*-1</f>
        <v>0</v>
      </c>
    </row>
    <row r="65" spans="1:7" x14ac:dyDescent="0.25">
      <c r="A65" s="259" t="s">
        <v>181</v>
      </c>
      <c r="B65" s="254">
        <f t="shared" ref="B65:G65" si="18">B63+B64</f>
        <v>146353700</v>
      </c>
      <c r="C65" s="254">
        <f t="shared" si="18"/>
        <v>134648970.34592664</v>
      </c>
      <c r="D65" s="254">
        <f t="shared" si="18"/>
        <v>184463414.93087143</v>
      </c>
      <c r="E65" s="254">
        <f t="shared" si="18"/>
        <v>211975999.21965775</v>
      </c>
      <c r="F65" s="254">
        <f t="shared" si="18"/>
        <v>332582348.09357494</v>
      </c>
      <c r="G65" s="254">
        <f t="shared" si="18"/>
        <v>279734.29541051551</v>
      </c>
    </row>
    <row r="66" spans="1:7" ht="18.75" x14ac:dyDescent="0.3">
      <c r="A66" s="697" t="s">
        <v>182</v>
      </c>
      <c r="B66" s="698"/>
      <c r="C66" s="698"/>
      <c r="D66" s="698"/>
      <c r="E66" s="698"/>
      <c r="F66" s="698"/>
      <c r="G66" s="699"/>
    </row>
    <row r="67" spans="1:7" x14ac:dyDescent="0.25">
      <c r="A67" s="265" t="s">
        <v>183</v>
      </c>
      <c r="B67" s="266">
        <f>NECESIDADES_DE_FINANCIACION!E20</f>
        <v>50000000</v>
      </c>
      <c r="C67" s="266">
        <f>B67+FLUJO_DE_CAJA!B39</f>
        <v>50000000</v>
      </c>
      <c r="D67" s="266">
        <f>C67+FLUJO_DE_CAJA!C39</f>
        <v>50000000</v>
      </c>
      <c r="E67" s="266">
        <f>D67+FLUJO_DE_CAJA!D39</f>
        <v>50000000</v>
      </c>
      <c r="F67" s="266">
        <f>E67+FLUJO_DE_CAJA!E39</f>
        <v>50000000</v>
      </c>
      <c r="G67" s="266">
        <f>F67+FLUJO_DE_CAJA!F39</f>
        <v>50000000</v>
      </c>
    </row>
    <row r="68" spans="1:7" x14ac:dyDescent="0.25">
      <c r="A68" s="265" t="s">
        <v>184</v>
      </c>
      <c r="B68" s="266">
        <f>0</f>
        <v>0</v>
      </c>
      <c r="C68" s="266">
        <f>ESTADO_DE_RESULTADOS!B29</f>
        <v>-14145036.029343355</v>
      </c>
      <c r="D68" s="266">
        <f>ESTADO_DE_RESULTADOS!C29</f>
        <v>5213694.8607409438</v>
      </c>
      <c r="E68" s="266">
        <f>ESTADO_DE_RESULTADOS!D29</f>
        <v>27741631.459461678</v>
      </c>
      <c r="F68" s="266">
        <f>ESTADO_DE_RESULTADOS!E29</f>
        <v>43875021.178651899</v>
      </c>
      <c r="G68" s="266">
        <f>ESTADO_DE_RESULTADOS!F29</f>
        <v>86635090.984587789</v>
      </c>
    </row>
    <row r="69" spans="1:7" x14ac:dyDescent="0.25">
      <c r="A69" s="265" t="s">
        <v>185</v>
      </c>
      <c r="B69" s="266">
        <f>0</f>
        <v>0</v>
      </c>
      <c r="C69" s="266">
        <f>ESTADO_DE_RESULTADOS!B35</f>
        <v>0</v>
      </c>
      <c r="D69" s="266">
        <f>ESTADO_DE_RESULTADOS!C35</f>
        <v>-127305324.2640902</v>
      </c>
      <c r="E69" s="266">
        <f>ESTADO_DE_RESULTADOS!D35</f>
        <v>28675321.734075189</v>
      </c>
      <c r="F69" s="266">
        <f>ESTADO_DE_RESULTADOS!E35</f>
        <v>152578973.02703923</v>
      </c>
      <c r="G69" s="266">
        <f>ESTADO_DE_RESULTADOS!F35</f>
        <v>241312616.48258546</v>
      </c>
    </row>
    <row r="70" spans="1:7" x14ac:dyDescent="0.25">
      <c r="A70" s="265" t="s">
        <v>186</v>
      </c>
      <c r="B70" s="266">
        <f>0</f>
        <v>0</v>
      </c>
      <c r="C70" s="266">
        <f>ESTADO_DE_RESULTADOS!B31</f>
        <v>-127305324.2640902</v>
      </c>
      <c r="D70" s="266">
        <f>ESTADO_DE_RESULTADOS!C31</f>
        <v>28675321.734075189</v>
      </c>
      <c r="E70" s="266">
        <f>ESTADO_DE_RESULTADOS!D31</f>
        <v>152578973.02703923</v>
      </c>
      <c r="F70" s="266">
        <f>ESTADO_DE_RESULTADOS!E31</f>
        <v>241312616.48258546</v>
      </c>
      <c r="G70" s="266">
        <f>ESTADO_DE_RESULTADOS!F31</f>
        <v>476493000.41523278</v>
      </c>
    </row>
    <row r="71" spans="1:7" x14ac:dyDescent="0.25">
      <c r="A71" s="265" t="s">
        <v>187</v>
      </c>
      <c r="B71" s="266">
        <f>0</f>
        <v>0</v>
      </c>
      <c r="C71" s="266"/>
      <c r="D71" s="266"/>
      <c r="E71" s="266"/>
      <c r="F71" s="266"/>
      <c r="G71" s="267"/>
    </row>
    <row r="72" spans="1:7" x14ac:dyDescent="0.25">
      <c r="A72" s="259" t="s">
        <v>188</v>
      </c>
      <c r="B72" s="254">
        <f t="shared" ref="B72:G72" si="19">B67+B68+B69+B70+B71</f>
        <v>50000000</v>
      </c>
      <c r="C72" s="254">
        <f t="shared" si="19"/>
        <v>-91450360.293433547</v>
      </c>
      <c r="D72" s="254">
        <f t="shared" si="19"/>
        <v>-43416307.669274062</v>
      </c>
      <c r="E72" s="254">
        <f t="shared" si="19"/>
        <v>258995926.22057611</v>
      </c>
      <c r="F72" s="254">
        <f t="shared" si="19"/>
        <v>487766610.68827659</v>
      </c>
      <c r="G72" s="254">
        <f t="shared" si="19"/>
        <v>854440707.882406</v>
      </c>
    </row>
    <row r="73" spans="1:7" x14ac:dyDescent="0.25">
      <c r="A73" s="268"/>
      <c r="B73" s="150"/>
      <c r="C73" s="150"/>
      <c r="D73" s="150"/>
      <c r="E73" s="150"/>
      <c r="F73" s="150"/>
      <c r="G73" s="269"/>
    </row>
    <row r="74" spans="1:7" ht="15.75" thickBot="1" x14ac:dyDescent="0.3">
      <c r="A74" s="261" t="s">
        <v>189</v>
      </c>
      <c r="B74" s="262">
        <f t="shared" ref="B74:G74" si="20">B65+B72</f>
        <v>196353700</v>
      </c>
      <c r="C74" s="262">
        <f t="shared" si="20"/>
        <v>43198610.052493095</v>
      </c>
      <c r="D74" s="262">
        <f t="shared" si="20"/>
        <v>141047107.26159737</v>
      </c>
      <c r="E74" s="262">
        <f t="shared" si="20"/>
        <v>470971925.44023383</v>
      </c>
      <c r="F74" s="262">
        <f t="shared" si="20"/>
        <v>820348958.78185153</v>
      </c>
      <c r="G74" s="262">
        <f t="shared" si="20"/>
        <v>854720442.17781651</v>
      </c>
    </row>
    <row r="76" spans="1:7" x14ac:dyDescent="0.25">
      <c r="A76" s="270" t="s">
        <v>190</v>
      </c>
      <c r="B76" s="271">
        <f t="shared" ref="B76:G76" si="21">B74-B57</f>
        <v>0</v>
      </c>
      <c r="C76" s="271">
        <f t="shared" si="21"/>
        <v>0</v>
      </c>
      <c r="D76" s="271">
        <f t="shared" si="21"/>
        <v>0</v>
      </c>
      <c r="E76" s="271">
        <f t="shared" si="21"/>
        <v>0</v>
      </c>
      <c r="F76" s="271">
        <f t="shared" si="21"/>
        <v>0</v>
      </c>
      <c r="G76" s="271">
        <f t="shared" si="21"/>
        <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60" zoomScaleNormal="60" workbookViewId="0">
      <selection activeCell="M19" sqref="M19"/>
    </sheetView>
  </sheetViews>
  <sheetFormatPr baseColWidth="10" defaultRowHeight="15" x14ac:dyDescent="0.25"/>
  <cols>
    <col min="1" max="1" width="44.140625" style="139" bestFit="1" customWidth="1"/>
    <col min="2" max="2" width="19.140625" style="139" bestFit="1" customWidth="1"/>
    <col min="3" max="4" width="18.7109375" style="139" bestFit="1" customWidth="1"/>
    <col min="5" max="5" width="18.28515625" style="139" bestFit="1" customWidth="1"/>
    <col min="6" max="6" width="20.5703125" style="139" bestFit="1" customWidth="1"/>
    <col min="7" max="7" width="11.42578125" style="139"/>
    <col min="8" max="8" width="39.140625" style="139" bestFit="1" customWidth="1"/>
    <col min="9" max="9" width="5.5703125" style="139" bestFit="1" customWidth="1"/>
    <col min="10" max="16384" width="11.42578125" style="139"/>
  </cols>
  <sheetData>
    <row r="2" spans="1:9" ht="15.75" thickBot="1" x14ac:dyDescent="0.3"/>
    <row r="3" spans="1:9" ht="37.5" x14ac:dyDescent="0.25">
      <c r="A3" s="284" t="s">
        <v>191</v>
      </c>
      <c r="B3" s="292">
        <f>BASES!D7</f>
        <v>2021</v>
      </c>
      <c r="C3" s="292">
        <f>BASES!E7</f>
        <v>2022</v>
      </c>
      <c r="D3" s="292">
        <f>BASES!F7</f>
        <v>2023</v>
      </c>
      <c r="E3" s="292">
        <f>BASES!G7</f>
        <v>2024</v>
      </c>
      <c r="F3" s="292">
        <f>BASES!H7</f>
        <v>2025</v>
      </c>
      <c r="G3" s="221"/>
    </row>
    <row r="4" spans="1:9" x14ac:dyDescent="0.25">
      <c r="A4" s="273" t="s">
        <v>192</v>
      </c>
      <c r="B4" s="440">
        <f>'CTOS_VS_ING_OPER-INV_INFRAEST'!G15</f>
        <v>307125000</v>
      </c>
      <c r="C4" s="440">
        <f>'CTOS_VS_ING_OPER-INV_INFRAEST'!I15</f>
        <v>607307000</v>
      </c>
      <c r="D4" s="440">
        <f>'CTOS_VS_ING_OPER-INV_INFRAEST'!K15</f>
        <v>958048000</v>
      </c>
      <c r="E4" s="440">
        <f>'CTOS_VS_ING_OPER-INV_INFRAEST'!M15</f>
        <v>1188479000</v>
      </c>
      <c r="F4" s="440">
        <f>'CTOS_VS_ING_OPER-INV_INFRAEST'!O15</f>
        <v>1811097000</v>
      </c>
    </row>
    <row r="5" spans="1:9" x14ac:dyDescent="0.25">
      <c r="A5" s="273" t="s">
        <v>193</v>
      </c>
      <c r="B5" s="274">
        <f>B4*$I$12</f>
        <v>0</v>
      </c>
      <c r="C5" s="274">
        <f>C4*$I$12</f>
        <v>0</v>
      </c>
      <c r="D5" s="274">
        <f>D4*$I$12</f>
        <v>0</v>
      </c>
      <c r="E5" s="274">
        <f>E4*$I$12</f>
        <v>0</v>
      </c>
      <c r="F5" s="274">
        <f>F4*$I$12</f>
        <v>0</v>
      </c>
    </row>
    <row r="6" spans="1:9" x14ac:dyDescent="0.25">
      <c r="A6" s="273" t="s">
        <v>194</v>
      </c>
      <c r="B6" s="440">
        <f>COSTOS_DE_PRODUCCION!D192</f>
        <v>187084700</v>
      </c>
      <c r="C6" s="440">
        <f>COSTOS_DE_PRODUCCION!F192</f>
        <v>232212514.04800004</v>
      </c>
      <c r="D6" s="440">
        <f>COSTOS_DE_PRODUCCION!G192</f>
        <v>280230377.21313286</v>
      </c>
      <c r="E6" s="440">
        <f>COSTOS_DE_PRODUCCION!H192</f>
        <v>305531049.8780362</v>
      </c>
      <c r="F6" s="440">
        <f>COSTOS_DE_PRODUCCION!I192</f>
        <v>354147672.31618541</v>
      </c>
      <c r="G6" s="404"/>
    </row>
    <row r="7" spans="1:9" x14ac:dyDescent="0.25">
      <c r="A7" s="273" t="s">
        <v>34</v>
      </c>
      <c r="B7" s="440">
        <f>'CTOS_VS_ING_OPER-INV_INFRAEST'!G418</f>
        <v>1986333</v>
      </c>
      <c r="C7" s="440">
        <f>'CTOS_VS_ING_OPER-INV_INFRAEST'!H418</f>
        <v>2022033</v>
      </c>
      <c r="D7" s="440">
        <f>'CTOS_VS_ING_OPER-INV_INFRAEST'!I418</f>
        <v>2064133</v>
      </c>
      <c r="E7" s="440">
        <f>'CTOS_VS_ING_OPER-INV_INFRAEST'!J418</f>
        <v>2113848</v>
      </c>
      <c r="F7" s="440">
        <f>'CTOS_VS_ING_OPER-INV_INFRAEST'!K418</f>
        <v>2173048</v>
      </c>
      <c r="G7" s="253"/>
    </row>
    <row r="8" spans="1:9" ht="15.75" thickBot="1" x14ac:dyDescent="0.3">
      <c r="A8" s="273" t="s">
        <v>195</v>
      </c>
      <c r="B8" s="440">
        <f>'CTOS_VS_ING_OPER-INV_INFRAEST'!G419</f>
        <v>0</v>
      </c>
      <c r="C8" s="440">
        <f>'CTOS_VS_ING_OPER-INV_INFRAEST'!H419</f>
        <v>0</v>
      </c>
      <c r="D8" s="440">
        <f>'CTOS_VS_ING_OPER-INV_INFRAEST'!I419</f>
        <v>0</v>
      </c>
      <c r="E8" s="440">
        <f>'CTOS_VS_ING_OPER-INV_INFRAEST'!J419</f>
        <v>0</v>
      </c>
      <c r="F8" s="440">
        <f>'CTOS_VS_ING_OPER-INV_INFRAEST'!K419</f>
        <v>0</v>
      </c>
      <c r="G8" s="253"/>
    </row>
    <row r="9" spans="1:9" x14ac:dyDescent="0.25">
      <c r="A9" s="285" t="s">
        <v>196</v>
      </c>
      <c r="B9" s="445">
        <f>B4-B5-B6-B7-B8</f>
        <v>118053967</v>
      </c>
      <c r="C9" s="445">
        <f>C4-C5-C6-C7-C8</f>
        <v>373072452.95199996</v>
      </c>
      <c r="D9" s="445">
        <f>D4-D5-D6-D7-D8</f>
        <v>675753489.78686714</v>
      </c>
      <c r="E9" s="445">
        <f>E4-E5-E6-E7-E8</f>
        <v>880834102.12196374</v>
      </c>
      <c r="F9" s="445">
        <f>F4-F5-F6-F7-F8</f>
        <v>1454776279.6838145</v>
      </c>
      <c r="H9" s="289" t="s">
        <v>211</v>
      </c>
      <c r="I9" s="287">
        <v>0.35</v>
      </c>
    </row>
    <row r="10" spans="1:9" x14ac:dyDescent="0.25">
      <c r="A10" s="273" t="s">
        <v>197</v>
      </c>
      <c r="B10" s="440">
        <f>CUADRO_DE_COSTOS_Y_GASTOS_FIJOS!C6+CUADRO_DE_COSTOS_Y_GASTOS_FIJOS!C8</f>
        <v>2100000</v>
      </c>
      <c r="C10" s="440">
        <f>CUADRO_DE_COSTOS_Y_GASTOS_FIJOS!D6+CUADRO_DE_COSTOS_Y_GASTOS_FIJOS!D8</f>
        <v>700000</v>
      </c>
      <c r="D10" s="440">
        <f>CUADRO_DE_COSTOS_Y_GASTOS_FIJOS!E6+CUADRO_DE_COSTOS_Y_GASTOS_FIJOS!E8</f>
        <v>2100000</v>
      </c>
      <c r="E10" s="440">
        <f>CUADRO_DE_COSTOS_Y_GASTOS_FIJOS!F6+CUADRO_DE_COSTOS_Y_GASTOS_FIJOS!F8</f>
        <v>1100000</v>
      </c>
      <c r="F10" s="440">
        <f>CUADRO_DE_COSTOS_Y_GASTOS_FIJOS!G6+CUADRO_DE_COSTOS_Y_GASTOS_FIJOS!G8</f>
        <v>700000</v>
      </c>
      <c r="H10" s="290" t="s">
        <v>212</v>
      </c>
      <c r="I10" s="288">
        <v>0.1</v>
      </c>
    </row>
    <row r="11" spans="1:9" x14ac:dyDescent="0.25">
      <c r="A11" s="273" t="s">
        <v>198</v>
      </c>
      <c r="B11" s="440">
        <f>CUADRO_DE_COSTOS_Y_GASTOS_FIJOS!C5+CUADRO_DE_COSTOS_Y_GASTOS_FIJOS!C9</f>
        <v>47118600</v>
      </c>
      <c r="C11" s="440">
        <f>CUADRO_DE_COSTOS_Y_GASTOS_FIJOS!D5+CUADRO_DE_COSTOS_Y_GASTOS_FIJOS!D9</f>
        <v>48037412.700000003</v>
      </c>
      <c r="D11" s="440">
        <f>CUADRO_DE_COSTOS_Y_GASTOS_FIJOS!E5+CUADRO_DE_COSTOS_Y_GASTOS_FIJOS!E9</f>
        <v>48974142.247650012</v>
      </c>
      <c r="E11" s="440">
        <f>CUADRO_DE_COSTOS_Y_GASTOS_FIJOS!F5+CUADRO_DE_COSTOS_Y_GASTOS_FIJOS!F9</f>
        <v>49929138.021479189</v>
      </c>
      <c r="F11" s="440">
        <f>CUADRO_DE_COSTOS_Y_GASTOS_FIJOS!G5+CUADRO_DE_COSTOS_Y_GASTOS_FIJOS!G9</f>
        <v>50902756.212898046</v>
      </c>
      <c r="H11" s="290" t="s">
        <v>213</v>
      </c>
      <c r="I11" s="288">
        <v>0</v>
      </c>
    </row>
    <row r="12" spans="1:9" x14ac:dyDescent="0.25">
      <c r="A12" s="273" t="s">
        <v>199</v>
      </c>
      <c r="B12" s="440">
        <f>CUADRO_DE_COSTOS_Y_GASTOS_FIJOS!C7</f>
        <v>19032081.138239998</v>
      </c>
      <c r="C12" s="440">
        <f>CUADRO_DE_COSTOS_Y_GASTOS_FIJOS!D7</f>
        <v>19403206.720435679</v>
      </c>
      <c r="D12" s="440">
        <f>CUADRO_DE_COSTOS_Y_GASTOS_FIJOS!E7</f>
        <v>19781569.251484174</v>
      </c>
      <c r="E12" s="440">
        <f>CUADRO_DE_COSTOS_Y_GASTOS_FIJOS!F7</f>
        <v>20167309.851888116</v>
      </c>
      <c r="F12" s="440">
        <f>CUADRO_DE_COSTOS_Y_GASTOS_FIJOS!G7</f>
        <v>20560572.393999938</v>
      </c>
      <c r="H12" s="290" t="s">
        <v>214</v>
      </c>
      <c r="I12" s="288">
        <v>0</v>
      </c>
    </row>
    <row r="13" spans="1:9" x14ac:dyDescent="0.25">
      <c r="A13" s="273" t="s">
        <v>200</v>
      </c>
      <c r="B13" s="440">
        <f>B4*BASES!$H$14</f>
        <v>33783750</v>
      </c>
      <c r="C13" s="440">
        <f>C4*BASES!$H$14</f>
        <v>66803770</v>
      </c>
      <c r="D13" s="440">
        <f>D4*BASES!$H$14</f>
        <v>105385280</v>
      </c>
      <c r="E13" s="440">
        <f>E4*BASES!$H$14</f>
        <v>130732690</v>
      </c>
      <c r="F13" s="440">
        <f>F4*BASES!$H$14</f>
        <v>199220670</v>
      </c>
      <c r="H13" s="290" t="s">
        <v>215</v>
      </c>
      <c r="I13" s="288">
        <v>0.15</v>
      </c>
    </row>
    <row r="14" spans="1:9" ht="13.9" customHeight="1" thickBot="1" x14ac:dyDescent="0.3">
      <c r="A14" s="273" t="s">
        <v>201</v>
      </c>
      <c r="B14" s="440">
        <f>B4*$I$13</f>
        <v>46068750</v>
      </c>
      <c r="C14" s="440">
        <f>C4*$I$13</f>
        <v>91096050</v>
      </c>
      <c r="D14" s="440">
        <f>D4*$I$13</f>
        <v>143707200</v>
      </c>
      <c r="E14" s="440">
        <f>E4*$I$13</f>
        <v>178271850</v>
      </c>
      <c r="F14" s="440">
        <f>F4*$I$13</f>
        <v>271664550</v>
      </c>
      <c r="H14" s="261" t="s">
        <v>216</v>
      </c>
      <c r="I14" s="447">
        <v>0</v>
      </c>
    </row>
    <row r="15" spans="1:9" ht="19.149999999999999" hidden="1" customHeight="1" x14ac:dyDescent="0.25">
      <c r="A15" s="446" t="s">
        <v>312</v>
      </c>
      <c r="B15" s="274"/>
      <c r="C15" s="274"/>
      <c r="D15" s="274"/>
      <c r="E15" s="274"/>
      <c r="F15" s="276"/>
    </row>
    <row r="16" spans="1:9" x14ac:dyDescent="0.25">
      <c r="A16" s="285" t="s">
        <v>202</v>
      </c>
      <c r="B16" s="445">
        <f>B9-SUM(B10:B15)</f>
        <v>-30049214.13823998</v>
      </c>
      <c r="C16" s="445">
        <f>C9-SUM(C10:C15)</f>
        <v>147032013.5315643</v>
      </c>
      <c r="D16" s="445">
        <f>D9-SUM(D10:D15)</f>
        <v>355805298.28773296</v>
      </c>
      <c r="E16" s="445">
        <f>E9-SUM(E10:E15)</f>
        <v>500633114.24859643</v>
      </c>
      <c r="F16" s="445">
        <f>F9-SUM(F10:F15)</f>
        <v>911727731.07691658</v>
      </c>
      <c r="H16" s="277"/>
      <c r="I16" s="278"/>
    </row>
    <row r="17" spans="1:6" x14ac:dyDescent="0.25">
      <c r="A17" s="275" t="s">
        <v>313</v>
      </c>
      <c r="B17" s="274"/>
      <c r="C17" s="274"/>
      <c r="D17" s="274"/>
      <c r="E17" s="274"/>
      <c r="F17" s="276"/>
    </row>
    <row r="18" spans="1:6" x14ac:dyDescent="0.25">
      <c r="A18" s="273" t="s">
        <v>203</v>
      </c>
      <c r="B18" s="440">
        <f>NECESIDADES_DE_FINANCIACION!F28</f>
        <v>-82530406.155193582</v>
      </c>
      <c r="C18" s="440">
        <f>NECESIDADES_DE_FINANCIACION!F29</f>
        <v>-66024324.924154863</v>
      </c>
      <c r="D18" s="440">
        <f>NECESIDADES_DE_FINANCIACION!F30</f>
        <v>-49518243.693116151</v>
      </c>
      <c r="E18" s="440">
        <f>NECESIDADES_DE_FINANCIACION!F31</f>
        <v>-33012162.462077431</v>
      </c>
      <c r="F18" s="441">
        <f>NECESIDADES_DE_FINANCIACION!F32</f>
        <v>-16506081.231038716</v>
      </c>
    </row>
    <row r="19" spans="1:6" x14ac:dyDescent="0.25">
      <c r="A19" s="273" t="s">
        <v>204</v>
      </c>
      <c r="B19" s="440">
        <f>NECESIDADES_DE_FINANCIACION!E28</f>
        <v>-28870740</v>
      </c>
      <c r="C19" s="440">
        <f>B19</f>
        <v>-28870740</v>
      </c>
      <c r="D19" s="440">
        <f>C19</f>
        <v>-28870740</v>
      </c>
      <c r="E19" s="440">
        <f>D19</f>
        <v>-28870740</v>
      </c>
      <c r="F19" s="440">
        <f>E19</f>
        <v>-28870740</v>
      </c>
    </row>
    <row r="20" spans="1:6" x14ac:dyDescent="0.25">
      <c r="A20" s="273" t="s">
        <v>205</v>
      </c>
      <c r="B20" s="440">
        <f>B17+B18+B19</f>
        <v>-111401146.15519358</v>
      </c>
      <c r="C20" s="440">
        <f>C17+C18+C19</f>
        <v>-94895064.924154863</v>
      </c>
      <c r="D20" s="440">
        <f>D17+D18+D19</f>
        <v>-78388983.693116158</v>
      </c>
      <c r="E20" s="440">
        <f>E17+E18+E19</f>
        <v>-61882902.462077431</v>
      </c>
      <c r="F20" s="440">
        <f>F17+F18+F19</f>
        <v>-45376821.231038719</v>
      </c>
    </row>
    <row r="21" spans="1:6" hidden="1" x14ac:dyDescent="0.25">
      <c r="A21" s="279" t="s">
        <v>314</v>
      </c>
      <c r="B21" s="442">
        <v>0</v>
      </c>
      <c r="C21" s="442">
        <v>0</v>
      </c>
      <c r="D21" s="442">
        <v>0</v>
      </c>
      <c r="E21" s="442">
        <v>0</v>
      </c>
      <c r="F21" s="443">
        <v>0</v>
      </c>
    </row>
    <row r="22" spans="1:6" hidden="1" x14ac:dyDescent="0.25">
      <c r="A22" s="279" t="s">
        <v>315</v>
      </c>
      <c r="B22" s="442">
        <v>0</v>
      </c>
      <c r="C22" s="442">
        <v>0</v>
      </c>
      <c r="D22" s="442">
        <v>0</v>
      </c>
      <c r="E22" s="442">
        <v>0</v>
      </c>
      <c r="F22" s="443">
        <v>0</v>
      </c>
    </row>
    <row r="23" spans="1:6" hidden="1" x14ac:dyDescent="0.25">
      <c r="A23" s="279" t="s">
        <v>316</v>
      </c>
      <c r="B23" s="442">
        <v>0</v>
      </c>
      <c r="C23" s="442">
        <v>0</v>
      </c>
      <c r="D23" s="442">
        <v>0</v>
      </c>
      <c r="E23" s="442">
        <v>0</v>
      </c>
      <c r="F23" s="443">
        <v>0</v>
      </c>
    </row>
    <row r="24" spans="1:6" hidden="1" x14ac:dyDescent="0.25">
      <c r="A24" s="279" t="s">
        <v>317</v>
      </c>
      <c r="B24" s="442">
        <v>0</v>
      </c>
      <c r="C24" s="442">
        <v>0</v>
      </c>
      <c r="D24" s="442">
        <v>0</v>
      </c>
      <c r="E24" s="442">
        <v>0</v>
      </c>
      <c r="F24" s="443">
        <v>0</v>
      </c>
    </row>
    <row r="25" spans="1:6" hidden="1" x14ac:dyDescent="0.25">
      <c r="A25" s="279" t="s">
        <v>318</v>
      </c>
      <c r="B25" s="442">
        <v>0</v>
      </c>
      <c r="C25" s="442">
        <v>0</v>
      </c>
      <c r="D25" s="442">
        <v>0</v>
      </c>
      <c r="E25" s="442">
        <v>0</v>
      </c>
      <c r="F25" s="443">
        <v>0</v>
      </c>
    </row>
    <row r="26" spans="1:6" hidden="1" x14ac:dyDescent="0.25">
      <c r="A26" s="280" t="s">
        <v>319</v>
      </c>
      <c r="B26" s="442">
        <f>B21+B22+B23+B24+B25</f>
        <v>0</v>
      </c>
      <c r="C26" s="442">
        <f>C21+C22+C23+C24+C25</f>
        <v>0</v>
      </c>
      <c r="D26" s="442">
        <f>D21+D22+D23+D24+D25</f>
        <v>0</v>
      </c>
      <c r="E26" s="442">
        <f>E21+E22+E23+E24+E25</f>
        <v>0</v>
      </c>
      <c r="F26" s="442">
        <f>F21+F22+F23+F24+F25</f>
        <v>0</v>
      </c>
    </row>
    <row r="27" spans="1:6" x14ac:dyDescent="0.25">
      <c r="A27" s="285" t="s">
        <v>206</v>
      </c>
      <c r="B27" s="445">
        <f>B16+B20+B26</f>
        <v>-141450360.29343355</v>
      </c>
      <c r="C27" s="445">
        <f>C16+C20+C26</f>
        <v>52136948.607409433</v>
      </c>
      <c r="D27" s="445">
        <f>D16+D20+D26</f>
        <v>277416314.59461677</v>
      </c>
      <c r="E27" s="445">
        <f>E16+E20+E26</f>
        <v>438750211.78651899</v>
      </c>
      <c r="F27" s="445">
        <f>F16+F20+F26</f>
        <v>866350909.84587789</v>
      </c>
    </row>
    <row r="28" spans="1:6" x14ac:dyDescent="0.25">
      <c r="A28" s="273" t="s">
        <v>207</v>
      </c>
      <c r="B28" s="440">
        <f>IF(B27*$I$9&lt;0,0,B27*$I$9)</f>
        <v>0</v>
      </c>
      <c r="C28" s="440">
        <f>IF(C27*$I$9&lt;0,0,C27*$I$9)</f>
        <v>18247932.012593299</v>
      </c>
      <c r="D28" s="440">
        <f>IF(D27*$I$9&lt;0,0,D27*$I$9)</f>
        <v>97095710.108115867</v>
      </c>
      <c r="E28" s="440">
        <f>IF(E27*$I$9&lt;0,0,E27*$I$9)</f>
        <v>153562574.12528163</v>
      </c>
      <c r="F28" s="440">
        <f>IF(F27*$I$9&lt;0,0,F27*$I$9)</f>
        <v>303222818.44605726</v>
      </c>
    </row>
    <row r="29" spans="1:6" x14ac:dyDescent="0.25">
      <c r="A29" s="273" t="s">
        <v>208</v>
      </c>
      <c r="B29" s="440">
        <f>IF(B27*$I$10=0,0,B27*$I$10)</f>
        <v>-14145036.029343355</v>
      </c>
      <c r="C29" s="440">
        <f>IF(C27*$I$10=0,0,C27*$I$10)</f>
        <v>5213694.8607409438</v>
      </c>
      <c r="D29" s="440">
        <f>IF(D27*$I$10=0,0,D27*$I$10)</f>
        <v>27741631.459461678</v>
      </c>
      <c r="E29" s="440">
        <f>IF(E27*$I$10=0,0,E27*$I$10)</f>
        <v>43875021.178651899</v>
      </c>
      <c r="F29" s="440">
        <f>IF(F27*$I$10=0,0,F27*$I$10)</f>
        <v>86635090.984587789</v>
      </c>
    </row>
    <row r="30" spans="1:6" x14ac:dyDescent="0.25">
      <c r="A30" s="273" t="s">
        <v>209</v>
      </c>
      <c r="B30" s="440">
        <f>IF(B27*$I$11&lt;0,0,B27*$I$11)</f>
        <v>0</v>
      </c>
      <c r="C30" s="440">
        <f>IF(C27*$I$11&lt;0,0,C27*$I$11)</f>
        <v>0</v>
      </c>
      <c r="D30" s="440">
        <f>IF(D27*$I$11&lt;0,0,D27*$I$11)</f>
        <v>0</v>
      </c>
      <c r="E30" s="440">
        <f>IF(E27*$I$11&lt;0,0,E27*$I$11)</f>
        <v>0</v>
      </c>
      <c r="F30" s="440">
        <f>IF(F27*$I$11&lt;0,0,F27*$I$11)</f>
        <v>0</v>
      </c>
    </row>
    <row r="31" spans="1:6" ht="15.75" thickBot="1" x14ac:dyDescent="0.3">
      <c r="A31" s="286" t="s">
        <v>210</v>
      </c>
      <c r="B31" s="444">
        <f>B27-B28-B29-B30</f>
        <v>-127305324.2640902</v>
      </c>
      <c r="C31" s="444">
        <f>C27-C28-C29-C30</f>
        <v>28675321.734075189</v>
      </c>
      <c r="D31" s="444">
        <f>D27-D28-D29-D30</f>
        <v>152578973.02703923</v>
      </c>
      <c r="E31" s="444">
        <f>E27-E28-E29-E30</f>
        <v>241312616.48258546</v>
      </c>
      <c r="F31" s="444">
        <f>F27-F28-F29-F30</f>
        <v>476493000.41523278</v>
      </c>
    </row>
    <row r="35" spans="1:6" ht="15" hidden="1" customHeight="1" x14ac:dyDescent="0.25">
      <c r="A35" s="281" t="s">
        <v>185</v>
      </c>
      <c r="B35" s="282">
        <v>0</v>
      </c>
      <c r="C35" s="282">
        <f>B31-B36</f>
        <v>-127305324.2640902</v>
      </c>
      <c r="D35" s="282">
        <f>C31-C36</f>
        <v>28675321.734075189</v>
      </c>
      <c r="E35" s="282">
        <f>D31-D36</f>
        <v>152578973.02703923</v>
      </c>
      <c r="F35" s="282">
        <f>E31-E36</f>
        <v>241312616.48258546</v>
      </c>
    </row>
    <row r="36" spans="1:6" hidden="1" x14ac:dyDescent="0.25">
      <c r="A36" s="281" t="s">
        <v>216</v>
      </c>
      <c r="B36" s="283">
        <f>IF(B31*$I$14&lt;0,0,B31*$I$14)</f>
        <v>0</v>
      </c>
      <c r="C36" s="283">
        <f>IF(C31*$I$14&lt;0,0,C31*$I$14)</f>
        <v>0</v>
      </c>
      <c r="D36" s="283">
        <f>IF(D31*$I$14&lt;0,0,D31*$I$14)</f>
        <v>0</v>
      </c>
      <c r="E36" s="283">
        <f>IF(E31*$I$14&lt;0,0,E31*$I$14)</f>
        <v>0</v>
      </c>
      <c r="F36" s="283">
        <f>IF(F31*$I$14&lt;0,0,F31*$I$14)</f>
        <v>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zoomScale="60" zoomScaleNormal="60" workbookViewId="0">
      <selection activeCell="B36" sqref="B36"/>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0" t="s">
        <v>217</v>
      </c>
      <c r="B6" s="301">
        <f>BASES!D7</f>
        <v>2021</v>
      </c>
      <c r="C6" s="301">
        <f>BASES!E7</f>
        <v>2022</v>
      </c>
      <c r="D6" s="301">
        <f>BASES!F7</f>
        <v>2023</v>
      </c>
      <c r="E6" s="301">
        <f>BASES!G7</f>
        <v>2024</v>
      </c>
      <c r="F6" s="301">
        <f>BASES!H7</f>
        <v>2025</v>
      </c>
    </row>
    <row r="7" spans="1:7" ht="18.75" x14ac:dyDescent="0.25">
      <c r="A7" s="707" t="s">
        <v>218</v>
      </c>
      <c r="B7" s="708"/>
      <c r="C7" s="708"/>
      <c r="D7" s="708"/>
      <c r="E7" s="708"/>
      <c r="F7" s="709"/>
    </row>
    <row r="8" spans="1:7" x14ac:dyDescent="0.25">
      <c r="A8" s="293" t="s">
        <v>219</v>
      </c>
      <c r="B8" s="415">
        <f>ESTADO_DE_RESULTADOS!B16</f>
        <v>-30049214.13823998</v>
      </c>
      <c r="C8" s="415">
        <f>ESTADO_DE_RESULTADOS!C16</f>
        <v>147032013.5315643</v>
      </c>
      <c r="D8" s="415">
        <f>ESTADO_DE_RESULTADOS!D16</f>
        <v>355805298.28773296</v>
      </c>
      <c r="E8" s="415">
        <f>ESTADO_DE_RESULTADOS!E16</f>
        <v>500633114.24859643</v>
      </c>
      <c r="F8" s="415">
        <f>ESTADO_DE_RESULTADOS!F16</f>
        <v>911727731.07691658</v>
      </c>
    </row>
    <row r="9" spans="1:7" x14ac:dyDescent="0.25">
      <c r="A9" s="293" t="s">
        <v>220</v>
      </c>
      <c r="B9" s="415">
        <f>'CTOS_VS_ING_OPER-INV_INFRAEST'!G418</f>
        <v>1986333</v>
      </c>
      <c r="C9" s="415">
        <f>'CTOS_VS_ING_OPER-INV_INFRAEST'!H418</f>
        <v>2022033</v>
      </c>
      <c r="D9" s="415">
        <f>'CTOS_VS_ING_OPER-INV_INFRAEST'!I418</f>
        <v>2064133</v>
      </c>
      <c r="E9" s="415">
        <f>'CTOS_VS_ING_OPER-INV_INFRAEST'!J418</f>
        <v>2113848</v>
      </c>
      <c r="F9" s="415">
        <f>'CTOS_VS_ING_OPER-INV_INFRAEST'!K418</f>
        <v>2173048</v>
      </c>
      <c r="G9" s="404"/>
    </row>
    <row r="10" spans="1:7" x14ac:dyDescent="0.25">
      <c r="A10" s="293" t="s">
        <v>221</v>
      </c>
      <c r="B10" s="415">
        <f>'CTOS_VS_ING_OPER-INV_INFRAEST'!G419</f>
        <v>0</v>
      </c>
      <c r="C10" s="415">
        <f>'CTOS_VS_ING_OPER-INV_INFRAEST'!H419</f>
        <v>0</v>
      </c>
      <c r="D10" s="415">
        <f>'CTOS_VS_ING_OPER-INV_INFRAEST'!I419</f>
        <v>0</v>
      </c>
      <c r="E10" s="415">
        <f>'CTOS_VS_ING_OPER-INV_INFRAEST'!J419</f>
        <v>0</v>
      </c>
      <c r="F10" s="415">
        <f>'CTOS_VS_ING_OPER-INV_INFRAEST'!K419</f>
        <v>0</v>
      </c>
      <c r="G10" s="404"/>
    </row>
    <row r="11" spans="1:7" x14ac:dyDescent="0.25">
      <c r="A11" s="293" t="s">
        <v>201</v>
      </c>
      <c r="B11" s="415">
        <f>ESTADO_DE_RESULTADOS!B14</f>
        <v>46068750</v>
      </c>
      <c r="C11" s="415">
        <f>ESTADO_DE_RESULTADOS!C14</f>
        <v>91096050</v>
      </c>
      <c r="D11" s="415">
        <f>ESTADO_DE_RESULTADOS!D14</f>
        <v>143707200</v>
      </c>
      <c r="E11" s="415">
        <f>ESTADO_DE_RESULTADOS!E14</f>
        <v>178271850</v>
      </c>
      <c r="F11" s="415">
        <f>ESTADO_DE_RESULTADOS!F14</f>
        <v>271664550</v>
      </c>
    </row>
    <row r="12" spans="1:7" x14ac:dyDescent="0.25">
      <c r="A12" s="293" t="s">
        <v>222</v>
      </c>
      <c r="B12" s="415"/>
      <c r="C12" s="415">
        <f>ESTADO_DE_RESULTADOS!B28*-1</f>
        <v>0</v>
      </c>
      <c r="D12" s="415">
        <f>ESTADO_DE_RESULTADOS!C28*-1</f>
        <v>-18247932.012593299</v>
      </c>
      <c r="E12" s="415">
        <f>ESTADO_DE_RESULTADOS!D28*-1</f>
        <v>-97095710.108115867</v>
      </c>
      <c r="F12" s="415">
        <f>ESTADO_DE_RESULTADOS!E28*-1</f>
        <v>-153562574.12528163</v>
      </c>
    </row>
    <row r="13" spans="1:7" ht="15.75" thickBot="1" x14ac:dyDescent="0.3">
      <c r="A13" s="294" t="s">
        <v>223</v>
      </c>
      <c r="B13" s="416">
        <f>SUM(B8:B12)</f>
        <v>18005868.86176002</v>
      </c>
      <c r="C13" s="416">
        <f>SUM(C8:C12)</f>
        <v>240150096.5315643</v>
      </c>
      <c r="D13" s="416">
        <f>SUM(D8:D12)</f>
        <v>483328699.27513969</v>
      </c>
      <c r="E13" s="416">
        <f>SUM(E8:E12)</f>
        <v>583923102.14048052</v>
      </c>
      <c r="F13" s="416">
        <f>SUM(F8:F12)</f>
        <v>1032002754.9516351</v>
      </c>
    </row>
    <row r="14" spans="1:7" ht="15.75" thickBot="1" x14ac:dyDescent="0.3"/>
    <row r="15" spans="1:7" ht="18.75" x14ac:dyDescent="0.25">
      <c r="A15" s="710" t="s">
        <v>224</v>
      </c>
      <c r="B15" s="711"/>
      <c r="C15" s="711"/>
      <c r="D15" s="711"/>
      <c r="E15" s="711"/>
      <c r="F15" s="712"/>
    </row>
    <row r="16" spans="1:7" ht="18.75" x14ac:dyDescent="0.25">
      <c r="A16" s="298" t="s">
        <v>225</v>
      </c>
      <c r="B16" s="299">
        <f>B6</f>
        <v>2021</v>
      </c>
      <c r="C16" s="299">
        <f>C6</f>
        <v>2022</v>
      </c>
      <c r="D16" s="299">
        <f>D6</f>
        <v>2023</v>
      </c>
      <c r="E16" s="299">
        <f>E6</f>
        <v>2024</v>
      </c>
      <c r="F16" s="299">
        <f>F6</f>
        <v>2025</v>
      </c>
    </row>
    <row r="17" spans="1:7" x14ac:dyDescent="0.25">
      <c r="A17" s="295" t="s">
        <v>226</v>
      </c>
      <c r="B17" s="417">
        <f>BALANCE_GENERAL!D10</f>
        <v>171986527.77777779</v>
      </c>
      <c r="C17" s="417">
        <f>BALANCE_GENERAL!E10</f>
        <v>157969.02577777777</v>
      </c>
      <c r="D17" s="417">
        <f>BALANCE_GENERAL!F10</f>
        <v>157683.44496355543</v>
      </c>
      <c r="E17" s="417">
        <f>BALANCE_GENERAL!G10</f>
        <v>285304.93738159677</v>
      </c>
      <c r="F17" s="417">
        <f>BALANCE_GENERAL!H10</f>
        <v>336211.89546102413</v>
      </c>
    </row>
    <row r="18" spans="1:7" x14ac:dyDescent="0.25">
      <c r="A18" s="295" t="s">
        <v>227</v>
      </c>
      <c r="B18" s="417">
        <f>BALANCE_GENERAL!D13</f>
        <v>0</v>
      </c>
      <c r="C18" s="417">
        <f>BALANCE_GENERAL!E13</f>
        <v>0</v>
      </c>
      <c r="D18" s="417">
        <f>BALANCE_GENERAL!F13</f>
        <v>0</v>
      </c>
      <c r="E18" s="417">
        <f>BALANCE_GENERAL!G13</f>
        <v>0</v>
      </c>
      <c r="F18" s="417">
        <f>BALANCE_GENERAL!H13</f>
        <v>0</v>
      </c>
    </row>
    <row r="19" spans="1:7" x14ac:dyDescent="0.25">
      <c r="A19" s="295" t="s">
        <v>228</v>
      </c>
      <c r="B19" s="417">
        <f>BALANCE_GENERAL!D16</f>
        <v>1081921.6666666665</v>
      </c>
      <c r="C19" s="417">
        <f>BALANCE_GENERAL!E16</f>
        <v>162593.51057777775</v>
      </c>
      <c r="D19" s="417">
        <f>BALANCE_GENERAL!F16</f>
        <v>83539.728379448759</v>
      </c>
      <c r="E19" s="417">
        <f>BALANCE_GENERAL!G16</f>
        <v>183155.44685841259</v>
      </c>
      <c r="F19" s="417">
        <f>BALANCE_GENERAL!H16</f>
        <v>209055.35210717877</v>
      </c>
    </row>
    <row r="20" spans="1:7" x14ac:dyDescent="0.25">
      <c r="A20" s="448" t="s">
        <v>229</v>
      </c>
      <c r="B20" s="449">
        <f>SUM(B17:B19)</f>
        <v>173068449.44444445</v>
      </c>
      <c r="C20" s="449">
        <f>SUM(C17:C19)</f>
        <v>320562.53635555552</v>
      </c>
      <c r="D20" s="449">
        <f>SUM(D17:D19)</f>
        <v>241223.17334300419</v>
      </c>
      <c r="E20" s="449">
        <f>SUM(E17:E19)</f>
        <v>468460.38424000936</v>
      </c>
      <c r="F20" s="449">
        <f>SUM(F17:F19)</f>
        <v>545267.2475682029</v>
      </c>
    </row>
    <row r="21" spans="1:7" x14ac:dyDescent="0.25">
      <c r="A21" s="295" t="s">
        <v>230</v>
      </c>
      <c r="B21" s="417">
        <f>'CTOS_VS_ING_OPER-INV_INFRAEST'!G42</f>
        <v>0</v>
      </c>
      <c r="C21" s="417">
        <f>'CTOS_VS_ING_OPER-INV_INFRAEST'!H42</f>
        <v>0</v>
      </c>
      <c r="D21" s="417">
        <f>'CTOS_VS_ING_OPER-INV_INFRAEST'!I42</f>
        <v>0</v>
      </c>
      <c r="E21" s="417">
        <f>'CTOS_VS_ING_OPER-INV_INFRAEST'!J42</f>
        <v>0</v>
      </c>
      <c r="F21" s="417">
        <f>'CTOS_VS_ING_OPER-INV_INFRAEST'!K42</f>
        <v>0</v>
      </c>
    </row>
    <row r="22" spans="1:7" x14ac:dyDescent="0.25">
      <c r="A22" s="295" t="s">
        <v>231</v>
      </c>
      <c r="B22" s="417">
        <f>'CTOS_VS_ING_OPER-INV_INFRAEST'!K54</f>
        <v>0</v>
      </c>
      <c r="C22" s="417">
        <f>'CTOS_VS_ING_OPER-INV_INFRAEST'!N54</f>
        <v>0</v>
      </c>
      <c r="D22" s="417">
        <f>'CTOS_VS_ING_OPER-INV_INFRAEST'!Q54</f>
        <v>0</v>
      </c>
      <c r="E22" s="417">
        <f>'CTOS_VS_ING_OPER-INV_INFRAEST'!T54</f>
        <v>0</v>
      </c>
      <c r="F22" s="417">
        <f>'CTOS_VS_ING_OPER-INV_INFRAEST'!W54</f>
        <v>0</v>
      </c>
      <c r="G22" s="253"/>
    </row>
    <row r="23" spans="1:7" x14ac:dyDescent="0.25">
      <c r="A23" s="295" t="s">
        <v>232</v>
      </c>
      <c r="B23" s="417">
        <f>'CTOS_VS_ING_OPER-INV_INFRAEST'!K97</f>
        <v>357000</v>
      </c>
      <c r="C23" s="417">
        <f>'CTOS_VS_ING_OPER-INV_INFRAEST'!N97</f>
        <v>421000</v>
      </c>
      <c r="D23" s="417">
        <f>'CTOS_VS_ING_OPER-INV_INFRAEST'!Q97</f>
        <v>497150</v>
      </c>
      <c r="E23" s="417">
        <f>'CTOS_VS_ING_OPER-INV_INFRAEST'!T97</f>
        <v>592000</v>
      </c>
      <c r="F23" s="417">
        <f>'CTOS_VS_ING_OPER-INV_INFRAEST'!W97</f>
        <v>704900</v>
      </c>
      <c r="G23" s="253"/>
    </row>
    <row r="24" spans="1:7" x14ac:dyDescent="0.25">
      <c r="A24" s="295" t="s">
        <v>233</v>
      </c>
      <c r="B24" s="417">
        <f>'CTOS_VS_ING_OPER-INV_INFRAEST'!K150</f>
        <v>0</v>
      </c>
      <c r="C24" s="417">
        <f>'CTOS_VS_ING_OPER-INV_INFRAEST'!N150</f>
        <v>0</v>
      </c>
      <c r="D24" s="417">
        <f>'CTOS_VS_ING_OPER-INV_INFRAEST'!Q150</f>
        <v>0</v>
      </c>
      <c r="E24" s="417">
        <f>'CTOS_VS_ING_OPER-INV_INFRAEST'!T150</f>
        <v>0</v>
      </c>
      <c r="F24" s="417">
        <f>'CTOS_VS_ING_OPER-INV_INFRAEST'!W150</f>
        <v>0</v>
      </c>
      <c r="G24" s="253"/>
    </row>
    <row r="25" spans="1:7" x14ac:dyDescent="0.25">
      <c r="A25" s="295" t="s">
        <v>234</v>
      </c>
      <c r="B25" s="417">
        <f>'CTOS_VS_ING_OPER-INV_INFRAEST'!K160</f>
        <v>0</v>
      </c>
      <c r="C25" s="417">
        <f>'CTOS_VS_ING_OPER-INV_INFRAEST'!N160</f>
        <v>0</v>
      </c>
      <c r="D25" s="417">
        <f>'CTOS_VS_ING_OPER-INV_INFRAEST'!Q160</f>
        <v>0</v>
      </c>
      <c r="E25" s="417">
        <f>'CTOS_VS_ING_OPER-INV_INFRAEST'!T160</f>
        <v>0</v>
      </c>
      <c r="F25" s="417">
        <f>'CTOS_VS_ING_OPER-INV_INFRAEST'!W160</f>
        <v>0</v>
      </c>
      <c r="G25" s="253"/>
    </row>
    <row r="26" spans="1:7" x14ac:dyDescent="0.25">
      <c r="A26" s="295" t="s">
        <v>235</v>
      </c>
      <c r="B26" s="417">
        <f>'CTOS_VS_ING_OPER-INV_INFRAEST'!K188</f>
        <v>0</v>
      </c>
      <c r="C26" s="417">
        <f>'CTOS_VS_ING_OPER-INV_INFRAEST'!N188</f>
        <v>0</v>
      </c>
      <c r="D26" s="417">
        <f>'CTOS_VS_ING_OPER-INV_INFRAEST'!Q188</f>
        <v>0</v>
      </c>
      <c r="E26" s="417">
        <f>'CTOS_VS_ING_OPER-INV_INFRAEST'!T188</f>
        <v>0</v>
      </c>
      <c r="F26" s="417">
        <f>'CTOS_VS_ING_OPER-INV_INFRAEST'!W188</f>
        <v>0</v>
      </c>
      <c r="G26" s="253"/>
    </row>
    <row r="27" spans="1:7" x14ac:dyDescent="0.25">
      <c r="A27" s="295" t="s">
        <v>236</v>
      </c>
      <c r="B27" s="417">
        <f>'CTOS_VS_ING_OPER-INV_INFRAEST'!K218</f>
        <v>0</v>
      </c>
      <c r="C27" s="417">
        <f>'CTOS_VS_ING_OPER-INV_INFRAEST'!N218</f>
        <v>0</v>
      </c>
      <c r="D27" s="417">
        <f>'CTOS_VS_ING_OPER-INV_INFRAEST'!Q218</f>
        <v>0</v>
      </c>
      <c r="E27" s="417">
        <f>'CTOS_VS_ING_OPER-INV_INFRAEST'!T218</f>
        <v>0</v>
      </c>
      <c r="F27" s="417">
        <f>'CTOS_VS_ING_OPER-INV_INFRAEST'!W218</f>
        <v>0</v>
      </c>
      <c r="G27" s="253"/>
    </row>
    <row r="28" spans="1:7" x14ac:dyDescent="0.25">
      <c r="A28" s="295" t="s">
        <v>237</v>
      </c>
      <c r="B28" s="417">
        <f>'CTOS_VS_ING_OPER-INV_INFRAEST'!K237</f>
        <v>0</v>
      </c>
      <c r="C28" s="417">
        <f>'CTOS_VS_ING_OPER-INV_INFRAEST'!N237</f>
        <v>0</v>
      </c>
      <c r="D28" s="417">
        <f>'CTOS_VS_ING_OPER-INV_INFRAEST'!Q237</f>
        <v>0</v>
      </c>
      <c r="E28" s="417">
        <f>'CTOS_VS_ING_OPER-INV_INFRAEST'!T237</f>
        <v>0</v>
      </c>
      <c r="F28" s="417">
        <f>'CTOS_VS_ING_OPER-INV_INFRAEST'!W237</f>
        <v>0</v>
      </c>
      <c r="G28" s="253"/>
    </row>
    <row r="29" spans="1:7" x14ac:dyDescent="0.25">
      <c r="A29" s="295" t="s">
        <v>238</v>
      </c>
      <c r="B29" s="417">
        <f>'CTOS_VS_ING_OPER-INV_INFRAEST'!K255</f>
        <v>0</v>
      </c>
      <c r="C29" s="417">
        <f>'CTOS_VS_ING_OPER-INV_INFRAEST'!N255</f>
        <v>0</v>
      </c>
      <c r="D29" s="417">
        <f>'CTOS_VS_ING_OPER-INV_INFRAEST'!Q255</f>
        <v>0</v>
      </c>
      <c r="E29" s="417">
        <f>'CTOS_VS_ING_OPER-INV_INFRAEST'!T255</f>
        <v>0</v>
      </c>
      <c r="F29" s="417">
        <f>'CTOS_VS_ING_OPER-INV_INFRAEST'!W255</f>
        <v>0</v>
      </c>
      <c r="G29" s="253"/>
    </row>
    <row r="30" spans="1:7" x14ac:dyDescent="0.25">
      <c r="A30" s="448" t="s">
        <v>239</v>
      </c>
      <c r="B30" s="449">
        <f>SUM(B21:B29)*-1</f>
        <v>-357000</v>
      </c>
      <c r="C30" s="449">
        <f>SUM(C21:C29)*-1</f>
        <v>-421000</v>
      </c>
      <c r="D30" s="449">
        <f>SUM(D21:D29)*-1</f>
        <v>-497150</v>
      </c>
      <c r="E30" s="449">
        <f>SUM(E21:E29)*-1</f>
        <v>-592000</v>
      </c>
      <c r="F30" s="449">
        <f>SUM(F21:F29)*-1</f>
        <v>-704900</v>
      </c>
    </row>
    <row r="31" spans="1:7" ht="15.75" thickBot="1" x14ac:dyDescent="0.3">
      <c r="A31" s="297" t="s">
        <v>240</v>
      </c>
      <c r="B31" s="418">
        <f>B20+B30</f>
        <v>172711449.44444445</v>
      </c>
      <c r="C31" s="418">
        <f>C20+C30</f>
        <v>-100437.46364444448</v>
      </c>
      <c r="D31" s="418">
        <f>D20+D30</f>
        <v>-255926.82665699581</v>
      </c>
      <c r="E31" s="418">
        <f>E20+E30</f>
        <v>-123539.61575999064</v>
      </c>
      <c r="F31" s="418">
        <f>F20+F30</f>
        <v>-159632.7524317971</v>
      </c>
    </row>
    <row r="32" spans="1:7" ht="15.75" thickBot="1" x14ac:dyDescent="0.3"/>
    <row r="33" spans="1:6" ht="18.75" x14ac:dyDescent="0.25">
      <c r="A33" s="710" t="s">
        <v>241</v>
      </c>
      <c r="B33" s="711"/>
      <c r="C33" s="711"/>
      <c r="D33" s="711"/>
      <c r="E33" s="711"/>
      <c r="F33" s="712"/>
    </row>
    <row r="34" spans="1:6" ht="18.75" x14ac:dyDescent="0.25">
      <c r="A34" s="298" t="s">
        <v>242</v>
      </c>
      <c r="B34" s="299">
        <f>B6</f>
        <v>2021</v>
      </c>
      <c r="C34" s="299">
        <f>C6</f>
        <v>2022</v>
      </c>
      <c r="D34" s="299">
        <f>D6</f>
        <v>2023</v>
      </c>
      <c r="E34" s="299">
        <f>E6</f>
        <v>2024</v>
      </c>
      <c r="F34" s="299">
        <f>F6</f>
        <v>2025</v>
      </c>
    </row>
    <row r="35" spans="1:6" x14ac:dyDescent="0.25">
      <c r="A35" s="295" t="s">
        <v>243</v>
      </c>
      <c r="B35" s="419">
        <v>0</v>
      </c>
      <c r="C35" s="419">
        <v>0</v>
      </c>
      <c r="D35" s="419">
        <v>0</v>
      </c>
      <c r="E35" s="419">
        <v>0</v>
      </c>
      <c r="F35" s="419">
        <v>0</v>
      </c>
    </row>
    <row r="36" spans="1:6" x14ac:dyDescent="0.25">
      <c r="A36" s="295" t="s">
        <v>244</v>
      </c>
      <c r="B36" s="419">
        <f>NECESIDADES_DE_FINANCIACION!E28</f>
        <v>-28870740</v>
      </c>
      <c r="C36" s="419">
        <f>NECESIDADES_DE_FINANCIACION!F28</f>
        <v>-82530406.155193582</v>
      </c>
      <c r="D36" s="419">
        <f>NECESIDADES_DE_FINANCIACION!G28</f>
        <v>-115482960</v>
      </c>
      <c r="E36" s="419">
        <f>NECESIDADES_DE_FINANCIACION!H28</f>
        <v>0</v>
      </c>
      <c r="F36" s="419">
        <f>NECESIDADES_DE_FINANCIACION!I28</f>
        <v>0</v>
      </c>
    </row>
    <row r="37" spans="1:6" x14ac:dyDescent="0.25">
      <c r="A37" s="295" t="s">
        <v>245</v>
      </c>
      <c r="B37" s="419">
        <f>NECESIDADES_DE_FINANCIACION!F28</f>
        <v>-82530406.155193582</v>
      </c>
      <c r="C37" s="419">
        <f>NECESIDADES_DE_FINANCIACION!G28</f>
        <v>-115482960</v>
      </c>
      <c r="D37" s="419">
        <f>NECESIDADES_DE_FINANCIACION!H28</f>
        <v>0</v>
      </c>
      <c r="E37" s="419">
        <f>NECESIDADES_DE_FINANCIACION!I28</f>
        <v>0</v>
      </c>
      <c r="F37" s="419">
        <f>NECESIDADES_DE_FINANCIACION!J28</f>
        <v>0</v>
      </c>
    </row>
    <row r="38" spans="1:6" x14ac:dyDescent="0.25">
      <c r="A38" s="295" t="s">
        <v>246</v>
      </c>
      <c r="B38" s="419">
        <f>ESTADO_DE_RESULTADOS!B36*-1</f>
        <v>0</v>
      </c>
      <c r="C38" s="419">
        <f>ESTADO_DE_RESULTADOS!C36*-1</f>
        <v>0</v>
      </c>
      <c r="D38" s="419">
        <f>ESTADO_DE_RESULTADOS!D36*-1</f>
        <v>0</v>
      </c>
      <c r="E38" s="419">
        <f>ESTADO_DE_RESULTADOS!E36*-1</f>
        <v>0</v>
      </c>
      <c r="F38" s="419">
        <f>ESTADO_DE_RESULTADOS!F36*-1</f>
        <v>0</v>
      </c>
    </row>
    <row r="39" spans="1:6" x14ac:dyDescent="0.25">
      <c r="A39" s="228" t="s">
        <v>247</v>
      </c>
      <c r="B39" s="420"/>
      <c r="C39" s="420"/>
      <c r="D39" s="420"/>
      <c r="E39" s="420"/>
      <c r="F39" s="420"/>
    </row>
    <row r="40" spans="1:6" ht="15.75" thickBot="1" x14ac:dyDescent="0.3">
      <c r="A40" s="450" t="s">
        <v>248</v>
      </c>
      <c r="B40" s="451">
        <f>SUM(B35:B39)</f>
        <v>-111401146.15519358</v>
      </c>
      <c r="C40" s="451">
        <f>SUM(C35:C39)</f>
        <v>-198013366.15519357</v>
      </c>
      <c r="D40" s="451">
        <f>SUM(D35:D39)</f>
        <v>-115482960</v>
      </c>
      <c r="E40" s="451">
        <f>SUM(E35:E39)</f>
        <v>0</v>
      </c>
      <c r="F40" s="451">
        <f>SUM(F35:F39)</f>
        <v>0</v>
      </c>
    </row>
    <row r="41" spans="1:6" ht="15.75" thickBot="1" x14ac:dyDescent="0.3"/>
    <row r="42" spans="1:6" x14ac:dyDescent="0.25">
      <c r="A42" s="296" t="s">
        <v>320</v>
      </c>
      <c r="B42" s="421">
        <f>B13+B31+B40</f>
        <v>79316172.151010886</v>
      </c>
      <c r="C42" s="421">
        <f>C13+C31+C40</f>
        <v>42036292.912726283</v>
      </c>
      <c r="D42" s="421">
        <f>D13+D31+D40</f>
        <v>367589812.44848269</v>
      </c>
      <c r="E42" s="421">
        <f>E13+E31+E40</f>
        <v>583799562.52472055</v>
      </c>
      <c r="F42" s="421">
        <f>F13+F31+F40</f>
        <v>1031843122.1992034</v>
      </c>
    </row>
    <row r="43" spans="1:6" x14ac:dyDescent="0.25">
      <c r="A43" s="295" t="s">
        <v>249</v>
      </c>
      <c r="B43" s="419">
        <f>BALANCE_GENERAL!B22</f>
        <v>15955700</v>
      </c>
      <c r="C43" s="419">
        <f>BALANCE_GENERAL!C22</f>
        <v>36416470.830270872</v>
      </c>
      <c r="D43" s="419">
        <f>BALANCE_GENERAL!D22</f>
        <v>136023970.06515291</v>
      </c>
      <c r="E43" s="419">
        <f>BALANCE_GENERAL!E22</f>
        <v>467673454.68875295</v>
      </c>
      <c r="F43" s="419">
        <f>BALANCE_GENERAL!F22</f>
        <v>818857640.96775222</v>
      </c>
    </row>
    <row r="44" spans="1:6" ht="15.75" thickBot="1" x14ac:dyDescent="0.3">
      <c r="A44" s="452" t="s">
        <v>250</v>
      </c>
      <c r="B44" s="453">
        <f>B42+B43</f>
        <v>95271872.151010886</v>
      </c>
      <c r="C44" s="453">
        <f>C42+C43</f>
        <v>78452763.742997155</v>
      </c>
      <c r="D44" s="453">
        <f>D42+D43</f>
        <v>503613782.51363564</v>
      </c>
      <c r="E44" s="453">
        <f>E42+E43</f>
        <v>1051473017.2134736</v>
      </c>
      <c r="F44" s="453">
        <f>F42+F43</f>
        <v>1850700763.1669555</v>
      </c>
    </row>
  </sheetData>
  <sheetProtection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60" zoomScaleNormal="60" workbookViewId="0">
      <selection activeCell="C39" sqref="C39:D40"/>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2"/>
    </row>
    <row r="8" spans="1:8" ht="15.75" thickBot="1" x14ac:dyDescent="0.3"/>
    <row r="9" spans="1:8" ht="14.45" customHeight="1" x14ac:dyDescent="0.25">
      <c r="A9" s="719" t="s">
        <v>324</v>
      </c>
      <c r="B9" s="720"/>
      <c r="C9" s="720"/>
      <c r="D9" s="720"/>
      <c r="E9" s="720"/>
      <c r="F9" s="720"/>
      <c r="G9" s="720"/>
      <c r="H9" s="717">
        <f>BASES!H18</f>
        <v>9.3399999999999997E-2</v>
      </c>
    </row>
    <row r="10" spans="1:8" ht="15.75" thickBot="1" x14ac:dyDescent="0.3">
      <c r="A10" s="721"/>
      <c r="B10" s="722"/>
      <c r="C10" s="722"/>
      <c r="D10" s="722"/>
      <c r="E10" s="722"/>
      <c r="F10" s="722"/>
      <c r="G10" s="722"/>
      <c r="H10" s="718"/>
    </row>
    <row r="11" spans="1:8" ht="19.5" thickBot="1" x14ac:dyDescent="0.35">
      <c r="A11" s="723" t="s">
        <v>251</v>
      </c>
      <c r="B11" s="724"/>
      <c r="C11" s="724"/>
      <c r="D11" s="724"/>
      <c r="E11" s="724"/>
      <c r="F11" s="724"/>
      <c r="G11" s="724"/>
      <c r="H11" s="303">
        <f>NECESIDADES_DE_FINANCIACION!E19</f>
        <v>194353700</v>
      </c>
    </row>
    <row r="13" spans="1:8" ht="15.75" thickBot="1" x14ac:dyDescent="0.3"/>
    <row r="14" spans="1:8" ht="15.75" thickBot="1" x14ac:dyDescent="0.3">
      <c r="C14" s="725" t="s">
        <v>252</v>
      </c>
      <c r="D14" s="726"/>
      <c r="E14" s="726"/>
      <c r="F14" s="726"/>
      <c r="G14" s="726"/>
      <c r="H14" s="727"/>
    </row>
    <row r="15" spans="1:8" ht="15.75" thickBot="1" x14ac:dyDescent="0.3"/>
    <row r="16" spans="1:8" x14ac:dyDescent="0.25">
      <c r="A16" s="744" t="s">
        <v>242</v>
      </c>
      <c r="B16" s="745"/>
      <c r="C16" s="317" t="str">
        <f>BASES!C7</f>
        <v>AÑO 0</v>
      </c>
      <c r="D16" s="318">
        <f>BASES!D7</f>
        <v>2021</v>
      </c>
      <c r="E16" s="318">
        <f>BASES!E7</f>
        <v>2022</v>
      </c>
      <c r="F16" s="318">
        <f>BASES!F7</f>
        <v>2023</v>
      </c>
      <c r="G16" s="318">
        <f>BASES!G7</f>
        <v>2024</v>
      </c>
      <c r="H16" s="318">
        <f>BASES!H7</f>
        <v>2025</v>
      </c>
    </row>
    <row r="17" spans="1:10" ht="15.75" thickBot="1" x14ac:dyDescent="0.3">
      <c r="A17" s="748" t="s">
        <v>253</v>
      </c>
      <c r="B17" s="749"/>
      <c r="C17" s="304">
        <f>H11*-1</f>
        <v>-194353700</v>
      </c>
      <c r="D17" s="304">
        <f>FLUJO_DE_CAJA!B44</f>
        <v>95271872.151010886</v>
      </c>
      <c r="E17" s="304">
        <f>FLUJO_DE_CAJA!C44</f>
        <v>78452763.742997155</v>
      </c>
      <c r="F17" s="304">
        <f>FLUJO_DE_CAJA!D44</f>
        <v>503613782.51363564</v>
      </c>
      <c r="G17" s="304">
        <f>FLUJO_DE_CAJA!E44</f>
        <v>1051473017.2134736</v>
      </c>
      <c r="H17" s="304">
        <f>FLUJO_DE_CAJA!F44</f>
        <v>1850700763.1669555</v>
      </c>
    </row>
    <row r="18" spans="1:10" ht="15.75" thickBot="1" x14ac:dyDescent="0.3"/>
    <row r="19" spans="1:10" x14ac:dyDescent="0.25">
      <c r="C19" s="728" t="s">
        <v>254</v>
      </c>
      <c r="D19" s="729"/>
      <c r="E19" s="305">
        <f>C17+NPV(H9,D17:H17)</f>
        <v>2263578801.0526505</v>
      </c>
    </row>
    <row r="20" spans="1:10" ht="15.75" thickBot="1" x14ac:dyDescent="0.3">
      <c r="C20" s="730" t="s">
        <v>255</v>
      </c>
      <c r="D20" s="731"/>
      <c r="E20" s="306">
        <f>IRR(C17:H17)</f>
        <v>1.1749544850075782</v>
      </c>
    </row>
    <row r="22" spans="1:10" ht="15.75" thickBot="1" x14ac:dyDescent="0.3"/>
    <row r="23" spans="1:10" x14ac:dyDescent="0.25">
      <c r="A23" s="732" t="s">
        <v>256</v>
      </c>
      <c r="B23" s="734">
        <f>E20</f>
        <v>1.1749544850075782</v>
      </c>
      <c r="C23" s="736" t="s">
        <v>257</v>
      </c>
      <c r="D23" s="738">
        <f>H9</f>
        <v>9.3399999999999997E-2</v>
      </c>
      <c r="E23" s="740" t="s">
        <v>1197</v>
      </c>
      <c r="F23" s="740"/>
      <c r="G23" s="742" t="s">
        <v>262</v>
      </c>
      <c r="H23" s="713" t="s">
        <v>1199</v>
      </c>
    </row>
    <row r="24" spans="1:10" ht="15.75" thickBot="1" x14ac:dyDescent="0.3">
      <c r="A24" s="733"/>
      <c r="B24" s="735"/>
      <c r="C24" s="737"/>
      <c r="D24" s="739"/>
      <c r="E24" s="741"/>
      <c r="F24" s="741"/>
      <c r="G24" s="743"/>
      <c r="H24" s="714"/>
    </row>
    <row r="25" spans="1:10" ht="15.75" thickBot="1" x14ac:dyDescent="0.3">
      <c r="J25" s="307"/>
    </row>
    <row r="26" spans="1:10" x14ac:dyDescent="0.25">
      <c r="A26" s="746" t="s">
        <v>256</v>
      </c>
      <c r="B26" s="754">
        <f>E20</f>
        <v>1.1749544850075782</v>
      </c>
      <c r="C26" s="760" t="s">
        <v>258</v>
      </c>
      <c r="D26" s="754">
        <f>H9</f>
        <v>9.3399999999999997E-2</v>
      </c>
      <c r="E26" s="740" t="s">
        <v>1198</v>
      </c>
      <c r="F26" s="740"/>
      <c r="G26" s="758" t="s">
        <v>261</v>
      </c>
      <c r="H26" s="713" t="s">
        <v>1200</v>
      </c>
    </row>
    <row r="27" spans="1:10" ht="15.75" thickBot="1" x14ac:dyDescent="0.3">
      <c r="A27" s="747"/>
      <c r="B27" s="755"/>
      <c r="C27" s="761"/>
      <c r="D27" s="755"/>
      <c r="E27" s="741"/>
      <c r="F27" s="741"/>
      <c r="G27" s="759"/>
      <c r="H27" s="714"/>
    </row>
    <row r="28" spans="1:10" ht="15.75" thickBot="1" x14ac:dyDescent="0.3"/>
    <row r="29" spans="1:10" x14ac:dyDescent="0.25">
      <c r="A29" s="746" t="s">
        <v>256</v>
      </c>
      <c r="B29" s="764">
        <f>E20</f>
        <v>1.1749544850075782</v>
      </c>
      <c r="C29" s="760" t="s">
        <v>259</v>
      </c>
      <c r="D29" s="754">
        <f>H9</f>
        <v>9.3399999999999997E-2</v>
      </c>
      <c r="E29" s="740" t="s">
        <v>1197</v>
      </c>
      <c r="F29" s="740"/>
      <c r="G29" s="758" t="s">
        <v>260</v>
      </c>
      <c r="H29" s="715" t="s">
        <v>1201</v>
      </c>
    </row>
    <row r="30" spans="1:10" ht="15.75" thickBot="1" x14ac:dyDescent="0.3">
      <c r="A30" s="747"/>
      <c r="B30" s="755"/>
      <c r="C30" s="761"/>
      <c r="D30" s="755"/>
      <c r="E30" s="741"/>
      <c r="F30" s="741"/>
      <c r="G30" s="759"/>
      <c r="H30" s="716"/>
    </row>
    <row r="31" spans="1:10" ht="15.75" thickBot="1" x14ac:dyDescent="0.3"/>
    <row r="32" spans="1:10" x14ac:dyDescent="0.25">
      <c r="A32" s="771" t="s">
        <v>263</v>
      </c>
      <c r="B32" s="772"/>
      <c r="C32" s="308">
        <f>D16</f>
        <v>2021</v>
      </c>
      <c r="D32" s="308">
        <f>E16</f>
        <v>2022</v>
      </c>
      <c r="E32" s="308">
        <f>F16</f>
        <v>2023</v>
      </c>
      <c r="F32" s="308">
        <f>G16</f>
        <v>2024</v>
      </c>
      <c r="G32" s="308">
        <f>H16</f>
        <v>2025</v>
      </c>
    </row>
    <row r="33" spans="1:7" x14ac:dyDescent="0.25">
      <c r="A33" s="752" t="s">
        <v>264</v>
      </c>
      <c r="B33" s="753"/>
      <c r="C33" s="518">
        <f>IF(BALANCE_GENERAL!C63=0,0,BALANCE_GENERAL!C25/BALANCE_GENERAL!C63)</f>
        <v>1.9596641332542915</v>
      </c>
      <c r="D33" s="518">
        <f>IF(BALANCE_GENERAL!D63=0,0,BALANCE_GENERAL!D25/BALANCE_GENERAL!D63)</f>
        <v>1.4001716929301602</v>
      </c>
      <c r="E33" s="518">
        <f>IF(BALANCE_GENERAL!E63=0,0,BALANCE_GENERAL!E25/BALANCE_GENERAL!E63)</f>
        <v>3.0375837835173916</v>
      </c>
      <c r="F33" s="518">
        <f>IF(BALANCE_GENERAL!F63=0,0,BALANCE_GENERAL!F25/BALANCE_GENERAL!F63)</f>
        <v>2.6979513918657694</v>
      </c>
      <c r="G33" s="518">
        <f>IF(BALANCE_GENERAL!G63=0,0,BALANCE_GENERAL!G25/BALANCE_GENERAL!G63)</f>
        <v>3057.3254735274309</v>
      </c>
    </row>
    <row r="34" spans="1:7" x14ac:dyDescent="0.25">
      <c r="A34" s="752" t="s">
        <v>321</v>
      </c>
      <c r="B34" s="753"/>
      <c r="C34" s="518">
        <f>IF(BALANCE_GENERAL!B57=0,0,BALANCE_GENERAL!B65/BALANCE_GENERAL!B57)</f>
        <v>0.7453574849875505</v>
      </c>
      <c r="D34" s="518">
        <f>IF(BALANCE_GENERAL!C57=0,0,BALANCE_GENERAL!C65/BALANCE_GENERAL!C57)</f>
        <v>3.1169746013195101</v>
      </c>
      <c r="E34" s="518">
        <f>IF(BALANCE_GENERAL!D57=0,0,BALANCE_GENERAL!D65/BALANCE_GENERAL!D57)</f>
        <v>1.3078142367624077</v>
      </c>
      <c r="F34" s="518">
        <f>IF(BALANCE_GENERAL!E57=0,0,BALANCE_GENERAL!E65/BALANCE_GENERAL!E57)</f>
        <v>0.45008202775890815</v>
      </c>
      <c r="G34" s="518">
        <f>IF(BALANCE_GENERAL!F57=0,0,BALANCE_GENERAL!F65/BALANCE_GENERAL!F57)</f>
        <v>0.405415700883477</v>
      </c>
    </row>
    <row r="35" spans="1:7" x14ac:dyDescent="0.25">
      <c r="A35" s="752" t="s">
        <v>265</v>
      </c>
      <c r="B35" s="753"/>
      <c r="C35" s="518">
        <f>IF(ESTADO_DE_RESULTADOS!B4=0,0,ESTADO_DE_RESULTADOS!B16/ESTADO_DE_RESULTADOS!B4)</f>
        <v>-9.7840339074448446E-2</v>
      </c>
      <c r="D35" s="518">
        <f>IF(ESTADO_DE_RESULTADOS!C4=0,0,ESTADO_DE_RESULTADOS!C16/ESTADO_DE_RESULTADOS!C4)</f>
        <v>0.24210492145087129</v>
      </c>
      <c r="E35" s="518">
        <f>IF(ESTADO_DE_RESULTADOS!D4=0,0,ESTADO_DE_RESULTADOS!D16/ESTADO_DE_RESULTADOS!D4)</f>
        <v>0.37138566991187599</v>
      </c>
      <c r="F35" s="518">
        <f>IF(ESTADO_DE_RESULTADOS!E4=0,0,ESTADO_DE_RESULTADOS!E16/ESTADO_DE_RESULTADOS!E4)</f>
        <v>0.42123850253020578</v>
      </c>
      <c r="G35" s="518">
        <f>IF(ESTADO_DE_RESULTADOS!F4=0,0,ESTADO_DE_RESULTADOS!F16/ESTADO_DE_RESULTADOS!F4)</f>
        <v>0.50341187196318948</v>
      </c>
    </row>
    <row r="36" spans="1:7" x14ac:dyDescent="0.25">
      <c r="A36" s="752" t="s">
        <v>266</v>
      </c>
      <c r="B36" s="753"/>
      <c r="C36" s="518">
        <f>IF(ESTADO_DE_RESULTADOS!B4=0,0,ESTADO_DE_RESULTADOS!B31/ESTADO_DE_RESULTADOS!B4)</f>
        <v>-0.41450655031042799</v>
      </c>
      <c r="D36" s="518">
        <f>IF(ESTADO_DE_RESULTADOS!C4=0,0,ESTADO_DE_RESULTADOS!C31/ESTADO_DE_RESULTADOS!C4)</f>
        <v>4.7217176377145641E-2</v>
      </c>
      <c r="E36" s="518">
        <f>IF(ESTADO_DE_RESULTADOS!D4=0,0,ESTADO_DE_RESULTADOS!D31/ESTADO_DE_RESULTADOS!D4)</f>
        <v>0.1592602594306749</v>
      </c>
      <c r="F36" s="518">
        <f>IF(ESTADO_DE_RESULTADOS!E4=0,0,ESTADO_DE_RESULTADOS!E31/ESTADO_DE_RESULTADOS!E4)</f>
        <v>0.20304323129191637</v>
      </c>
      <c r="G36" s="518">
        <f>IF(ESTADO_DE_RESULTADOS!F4=0,0,ESTADO_DE_RESULTADOS!F31/ESTADO_DE_RESULTADOS!F4)</f>
        <v>0.26309634459956194</v>
      </c>
    </row>
    <row r="37" spans="1:7" x14ac:dyDescent="0.25">
      <c r="A37" s="752" t="s">
        <v>267</v>
      </c>
      <c r="B37" s="753"/>
      <c r="C37" s="518">
        <f>IF(BALANCE_GENERAL!B72=0,0,BALANCE_GENERAL!B34/BALANCE_GENERAL!B72)</f>
        <v>6.0000000000000001E-3</v>
      </c>
      <c r="D37" s="518">
        <f>IF(BALANCE_GENERAL!C72=0,0,BALANCE_GENERAL!C34/BALANCE_GENERAL!C72)</f>
        <v>-7.18422538623038E-3</v>
      </c>
      <c r="E37" s="518">
        <f>IF(BALANCE_GENERAL!D72=0,0,BALANCE_GENERAL!D34/BALANCE_GENERAL!D72)</f>
        <v>-2.4829379969658404E-2</v>
      </c>
      <c r="F37" s="518">
        <f>IF(BALANCE_GENERAL!E72=0,0,BALANCE_GENERAL!E34/BALANCE_GENERAL!E72)</f>
        <v>6.0817558908571791E-3</v>
      </c>
      <c r="G37" s="518">
        <f>IF(BALANCE_GENERAL!F72=0,0,BALANCE_GENERAL!F34/BALANCE_GENERAL!F72)</f>
        <v>4.4430060453338185E-3</v>
      </c>
    </row>
    <row r="38" spans="1:7" ht="15.75" thickBot="1" x14ac:dyDescent="0.3">
      <c r="A38" s="762" t="s">
        <v>268</v>
      </c>
      <c r="B38" s="763"/>
      <c r="C38" s="519">
        <f>IF(BALANCE_GENERAL!B57=0,0,BALANCE_GENERAL!B34/BALANCE_GENERAL!B57)</f>
        <v>1.5278550900746969E-3</v>
      </c>
      <c r="D38" s="519">
        <f>IF(BALANCE_GENERAL!C57=0,0,BALANCE_GENERAL!C34/BALANCE_GENERAL!C57)</f>
        <v>1.5208822672804561E-2</v>
      </c>
      <c r="E38" s="519">
        <f>IF(BALANCE_GENERAL!D57=0,0,BALANCE_GENERAL!D34/BALANCE_GENERAL!D57)</f>
        <v>7.6428366446442183E-3</v>
      </c>
      <c r="F38" s="519">
        <f>IF(BALANCE_GENERAL!E57=0,0,BALANCE_GENERAL!E34/BALANCE_GENERAL!E57)</f>
        <v>3.3444668671654952E-3</v>
      </c>
      <c r="G38" s="519">
        <f>IF(BALANCE_GENERAL!F57=0,0,BALANCE_GENERAL!F34/BALANCE_GENERAL!F57)</f>
        <v>2.6417416354352829E-3</v>
      </c>
    </row>
    <row r="39" spans="1:7" x14ac:dyDescent="0.25">
      <c r="A39" s="765" t="s">
        <v>269</v>
      </c>
      <c r="B39" s="766"/>
      <c r="C39" s="769">
        <f>IF(ISERROR(-C17/AVERAGE(D17:H17)),"N.A.",(-C17/AVERAGE(D17:H17)))</f>
        <v>0.27148070631775328</v>
      </c>
      <c r="D39" s="769"/>
      <c r="E39" s="756" t="s">
        <v>58</v>
      </c>
      <c r="F39" s="309"/>
      <c r="G39" s="309"/>
    </row>
    <row r="40" spans="1:7" ht="15.75" thickBot="1" x14ac:dyDescent="0.3">
      <c r="A40" s="767"/>
      <c r="B40" s="768"/>
      <c r="C40" s="770"/>
      <c r="D40" s="770"/>
      <c r="E40" s="757"/>
      <c r="F40" s="309"/>
      <c r="G40" s="309"/>
    </row>
    <row r="44" spans="1:7" ht="15.75" thickBot="1" x14ac:dyDescent="0.3"/>
    <row r="45" spans="1:7" ht="46.9" customHeight="1" thickBot="1" x14ac:dyDescent="0.3">
      <c r="A45" s="310" t="s">
        <v>270</v>
      </c>
      <c r="B45" s="311" t="s">
        <v>273</v>
      </c>
      <c r="C45" s="319">
        <f>C17*-1</f>
        <v>194353700</v>
      </c>
      <c r="D45" s="311" t="s">
        <v>274</v>
      </c>
      <c r="E45" s="312" t="s">
        <v>275</v>
      </c>
      <c r="F45" s="313" t="s">
        <v>211</v>
      </c>
    </row>
    <row r="46" spans="1:7" ht="35.450000000000003" customHeight="1" thickBot="1" x14ac:dyDescent="0.3">
      <c r="A46" s="750" t="s">
        <v>278</v>
      </c>
      <c r="B46" s="314" t="s">
        <v>276</v>
      </c>
      <c r="C46" s="516">
        <f>NECESIDADES_DE_FINANCIACION!E20</f>
        <v>50000000</v>
      </c>
      <c r="D46" s="320">
        <f>IF(C45=0,0,C46/C45)</f>
        <v>0.25726291807153656</v>
      </c>
      <c r="E46" s="321">
        <f>H9</f>
        <v>9.3399999999999997E-2</v>
      </c>
      <c r="F46" s="324">
        <f>ESTADO_DE_RESULTADOS!I9</f>
        <v>0.35</v>
      </c>
    </row>
    <row r="47" spans="1:7" ht="45" customHeight="1" thickBot="1" x14ac:dyDescent="0.3">
      <c r="A47" s="751"/>
      <c r="B47" s="315" t="s">
        <v>277</v>
      </c>
      <c r="C47" s="517">
        <f>NECESIDADES_DE_FINANCIACION!E21</f>
        <v>144353700</v>
      </c>
      <c r="D47" s="322">
        <f>IF(C45=0,0,C47/C45)</f>
        <v>0.74273708192846344</v>
      </c>
      <c r="E47" s="323">
        <f>NECESIDADES_DE_FINANCIACION!E24</f>
        <v>0.57172352461484244</v>
      </c>
      <c r="F47" s="309"/>
    </row>
    <row r="49" spans="1:2" ht="15.75" thickBot="1" x14ac:dyDescent="0.3"/>
    <row r="50" spans="1:2" ht="15.75" thickBot="1" x14ac:dyDescent="0.3">
      <c r="A50" s="316" t="s">
        <v>279</v>
      </c>
      <c r="B50" s="325">
        <f>IF((D47*E47*(1-F46))+(D46*E46)&lt;0,"N.A.",(D47*E47*(1-F46))+(D46*E46))</f>
        <v>0.30004452707036616</v>
      </c>
    </row>
    <row r="75" spans="14:14" x14ac:dyDescent="0.25">
      <c r="N75" s="139" t="s">
        <v>41</v>
      </c>
    </row>
  </sheetData>
  <sheetProtection sheet="1" objects="1" scenarios="1"/>
  <mergeCells count="40">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 ref="A26:A27"/>
    <mergeCell ref="A17:B17"/>
    <mergeCell ref="A46:A47"/>
    <mergeCell ref="A37:B37"/>
    <mergeCell ref="D26:D27"/>
    <mergeCell ref="D29:D30"/>
    <mergeCell ref="A35:B35"/>
    <mergeCell ref="A36:B36"/>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1:X83"/>
  <sheetViews>
    <sheetView showGridLines="0" zoomScale="60" zoomScaleNormal="60" workbookViewId="0">
      <selection activeCell="I21" sqref="I21"/>
    </sheetView>
  </sheetViews>
  <sheetFormatPr baseColWidth="10" defaultRowHeight="15.75" x14ac:dyDescent="0.25"/>
  <cols>
    <col min="1" max="1" width="11.42578125" style="63"/>
    <col min="2" max="2" width="69.7109375" style="63" bestFit="1" customWidth="1"/>
    <col min="3" max="3" width="23.28515625" style="63" bestFit="1" customWidth="1"/>
    <col min="4" max="5" width="21.5703125" style="63" bestFit="1" customWidth="1"/>
    <col min="6" max="6" width="21.140625" style="63" bestFit="1" customWidth="1"/>
    <col min="7" max="7" width="23.7109375" style="63" bestFit="1" customWidth="1"/>
    <col min="8" max="8" width="19.7109375" style="63" bestFit="1" customWidth="1"/>
    <col min="9" max="10" width="11.42578125" style="63"/>
    <col min="11" max="11" width="32.7109375" style="63" bestFit="1" customWidth="1"/>
    <col min="12" max="12" width="23.28515625" style="63" bestFit="1" customWidth="1"/>
    <col min="13" max="17" width="19.7109375" style="63" bestFit="1" customWidth="1"/>
    <col min="18" max="18" width="26.140625" style="63" bestFit="1" customWidth="1"/>
    <col min="19" max="23" width="19.7109375" style="63" bestFit="1" customWidth="1"/>
    <col min="24" max="16384" width="11.42578125" style="63"/>
  </cols>
  <sheetData>
    <row r="1" spans="2:24" ht="16.5" thickBot="1" x14ac:dyDescent="0.3"/>
    <row r="2" spans="2:24" ht="32.25" customHeight="1" thickBot="1" x14ac:dyDescent="0.3">
      <c r="K2" s="773" t="s">
        <v>1196</v>
      </c>
      <c r="L2" s="774"/>
      <c r="M2" s="774"/>
      <c r="N2" s="774"/>
      <c r="O2" s="774"/>
      <c r="P2" s="774"/>
      <c r="Q2" s="774"/>
      <c r="R2" s="774"/>
      <c r="S2" s="774"/>
      <c r="T2" s="774"/>
      <c r="U2" s="774"/>
      <c r="V2" s="774"/>
      <c r="W2" s="774"/>
      <c r="X2" s="775"/>
    </row>
    <row r="3" spans="2:24" ht="16.5" thickBot="1" x14ac:dyDescent="0.3"/>
    <row r="4" spans="2:24" ht="16.5" thickBot="1" x14ac:dyDescent="0.3">
      <c r="B4" s="104" t="s">
        <v>1174</v>
      </c>
      <c r="C4" s="461">
        <v>0</v>
      </c>
      <c r="M4" s="778" t="s">
        <v>1188</v>
      </c>
      <c r="N4" s="779"/>
      <c r="O4" s="779"/>
      <c r="P4" s="779"/>
      <c r="Q4" s="780"/>
      <c r="R4" s="499" t="s">
        <v>1195</v>
      </c>
      <c r="S4" s="778" t="s">
        <v>1189</v>
      </c>
      <c r="T4" s="779"/>
      <c r="U4" s="779"/>
      <c r="V4" s="779"/>
      <c r="W4" s="780"/>
    </row>
    <row r="5" spans="2:24" x14ac:dyDescent="0.25">
      <c r="B5" s="454" t="s">
        <v>1194</v>
      </c>
      <c r="C5" s="455">
        <v>0.02</v>
      </c>
      <c r="M5" s="85"/>
      <c r="N5" s="85"/>
      <c r="O5" s="85"/>
      <c r="P5" s="85"/>
      <c r="Q5" s="85"/>
      <c r="R5" s="456"/>
      <c r="S5" s="85"/>
      <c r="T5" s="85"/>
      <c r="U5" s="85"/>
      <c r="V5" s="85"/>
      <c r="W5" s="85"/>
    </row>
    <row r="7" spans="2:24" ht="31.5" customHeight="1" x14ac:dyDescent="0.25">
      <c r="B7" s="462" t="s">
        <v>191</v>
      </c>
      <c r="C7" s="463">
        <f>ESTADO_DE_RESULTADOS!B3</f>
        <v>2021</v>
      </c>
      <c r="D7" s="463">
        <f>ESTADO_DE_RESULTADOS!C3</f>
        <v>2022</v>
      </c>
      <c r="E7" s="463">
        <f>ESTADO_DE_RESULTADOS!D3</f>
        <v>2023</v>
      </c>
      <c r="F7" s="463">
        <f>ESTADO_DE_RESULTADOS!E3</f>
        <v>2024</v>
      </c>
      <c r="G7" s="463">
        <f>ESTADO_DE_RESULTADOS!F3</f>
        <v>2025</v>
      </c>
      <c r="M7" s="777" t="s">
        <v>1187</v>
      </c>
      <c r="N7" s="777"/>
      <c r="O7" s="777"/>
      <c r="P7" s="777"/>
      <c r="Q7" s="777"/>
      <c r="R7" s="777"/>
      <c r="S7" s="777"/>
      <c r="T7" s="777"/>
      <c r="U7" s="777"/>
      <c r="V7" s="777"/>
      <c r="W7" s="777"/>
    </row>
    <row r="8" spans="2:24" x14ac:dyDescent="0.25">
      <c r="B8" s="464" t="s">
        <v>192</v>
      </c>
      <c r="C8" s="94">
        <f>ESTADO_DE_RESULTADOS!B4*(1+$C$4)</f>
        <v>307125000</v>
      </c>
      <c r="D8" s="94">
        <f>ESTADO_DE_RESULTADOS!C4*(1+$C$4)</f>
        <v>607307000</v>
      </c>
      <c r="E8" s="94">
        <f>ESTADO_DE_RESULTADOS!D4*(1+$C$4)</f>
        <v>958048000</v>
      </c>
      <c r="F8" s="94">
        <f>ESTADO_DE_RESULTADOS!E4*(1+$C$4)</f>
        <v>1188479000</v>
      </c>
      <c r="G8" s="94">
        <f>ESTADO_DE_RESULTADOS!F4*(1+$C$4)</f>
        <v>1811097000</v>
      </c>
      <c r="M8" s="776" t="s">
        <v>1175</v>
      </c>
      <c r="N8" s="776"/>
      <c r="O8" s="776"/>
      <c r="P8" s="776"/>
      <c r="Q8" s="776"/>
      <c r="R8" s="776"/>
      <c r="S8" s="776"/>
      <c r="T8" s="776"/>
      <c r="U8" s="776"/>
      <c r="V8" s="776"/>
      <c r="W8" s="776"/>
    </row>
    <row r="9" spans="2:24" x14ac:dyDescent="0.25">
      <c r="B9" s="464" t="s">
        <v>193</v>
      </c>
      <c r="C9" s="93">
        <f>ESTADO_DE_RESULTADOS!B5</f>
        <v>0</v>
      </c>
      <c r="D9" s="93">
        <f>ESTADO_DE_RESULTADOS!C5</f>
        <v>0</v>
      </c>
      <c r="E9" s="93">
        <f>ESTADO_DE_RESULTADOS!D5</f>
        <v>0</v>
      </c>
      <c r="F9" s="93">
        <f>ESTADO_DE_RESULTADOS!E5</f>
        <v>0</v>
      </c>
      <c r="G9" s="93">
        <f>ESTADO_DE_RESULTADOS!F5</f>
        <v>0</v>
      </c>
      <c r="K9" s="501"/>
      <c r="L9" s="501"/>
      <c r="M9" s="500">
        <f t="shared" ref="M9:P9" si="0">N9-$C$5</f>
        <v>-0.1</v>
      </c>
      <c r="N9" s="500">
        <f t="shared" si="0"/>
        <v>-0.08</v>
      </c>
      <c r="O9" s="500">
        <f t="shared" si="0"/>
        <v>-0.06</v>
      </c>
      <c r="P9" s="500">
        <f t="shared" si="0"/>
        <v>-0.04</v>
      </c>
      <c r="Q9" s="500">
        <f>R9-$C$5</f>
        <v>-0.02</v>
      </c>
      <c r="R9" s="500">
        <f>C4</f>
        <v>0</v>
      </c>
      <c r="S9" s="500">
        <f>R9+$C$5</f>
        <v>0.02</v>
      </c>
      <c r="T9" s="500">
        <f t="shared" ref="T9:W9" si="1">S9+$C$5</f>
        <v>0.04</v>
      </c>
      <c r="U9" s="500">
        <f t="shared" si="1"/>
        <v>0.06</v>
      </c>
      <c r="V9" s="500">
        <f t="shared" si="1"/>
        <v>0.08</v>
      </c>
      <c r="W9" s="500">
        <f t="shared" si="1"/>
        <v>0.1</v>
      </c>
    </row>
    <row r="10" spans="2:24" x14ac:dyDescent="0.25">
      <c r="B10" s="464" t="s">
        <v>194</v>
      </c>
      <c r="C10" s="94">
        <f>ESTADO_DE_RESULTADOS!B6</f>
        <v>187084700</v>
      </c>
      <c r="D10" s="94">
        <f>ESTADO_DE_RESULTADOS!C6</f>
        <v>232212514.04800004</v>
      </c>
      <c r="E10" s="94">
        <f>ESTADO_DE_RESULTADOS!D6</f>
        <v>280230377.21313286</v>
      </c>
      <c r="F10" s="94">
        <f>ESTADO_DE_RESULTADOS!E6</f>
        <v>305531049.8780362</v>
      </c>
      <c r="G10" s="94">
        <f>ESTADO_DE_RESULTADOS!F6</f>
        <v>354147672.31618541</v>
      </c>
      <c r="K10" s="502" t="s">
        <v>192</v>
      </c>
      <c r="L10" s="94">
        <f>C8</f>
        <v>307125000</v>
      </c>
      <c r="M10" s="79"/>
      <c r="N10" s="79"/>
      <c r="O10" s="79"/>
      <c r="P10" s="79"/>
      <c r="Q10" s="79"/>
      <c r="R10" s="457"/>
      <c r="S10" s="79"/>
      <c r="T10" s="79"/>
      <c r="U10" s="79"/>
      <c r="V10" s="79"/>
      <c r="W10" s="79"/>
    </row>
    <row r="11" spans="2:24" x14ac:dyDescent="0.25">
      <c r="B11" s="464" t="s">
        <v>34</v>
      </c>
      <c r="C11" s="94">
        <f>ESTADO_DE_RESULTADOS!B7</f>
        <v>1986333</v>
      </c>
      <c r="D11" s="94">
        <f>ESTADO_DE_RESULTADOS!C7</f>
        <v>2022033</v>
      </c>
      <c r="E11" s="94">
        <f>ESTADO_DE_RESULTADOS!D7</f>
        <v>2064133</v>
      </c>
      <c r="F11" s="94">
        <f>ESTADO_DE_RESULTADOS!E7</f>
        <v>2113848</v>
      </c>
      <c r="G11" s="94">
        <f>ESTADO_DE_RESULTADOS!F7</f>
        <v>2173048</v>
      </c>
      <c r="K11" s="502" t="s">
        <v>196</v>
      </c>
      <c r="L11" s="94">
        <f>C13</f>
        <v>118053967</v>
      </c>
      <c r="M11" s="79">
        <f t="dataTable" ref="M11:W17" dt2D="0" dtr="1" r1="C4" ca="1"/>
        <v>118053967</v>
      </c>
      <c r="N11" s="79">
        <v>118053967</v>
      </c>
      <c r="O11" s="79">
        <v>118053967</v>
      </c>
      <c r="P11" s="79">
        <v>118053967</v>
      </c>
      <c r="Q11" s="79">
        <v>118053967</v>
      </c>
      <c r="R11" s="457">
        <v>118053967</v>
      </c>
      <c r="S11" s="79">
        <v>118053967</v>
      </c>
      <c r="T11" s="79">
        <v>118053967</v>
      </c>
      <c r="U11" s="79">
        <v>118053967</v>
      </c>
      <c r="V11" s="79">
        <v>118053967</v>
      </c>
      <c r="W11" s="79">
        <v>118053967</v>
      </c>
    </row>
    <row r="12" spans="2:24" x14ac:dyDescent="0.25">
      <c r="B12" s="464" t="s">
        <v>195</v>
      </c>
      <c r="C12" s="94">
        <f>ESTADO_DE_RESULTADOS!B8</f>
        <v>0</v>
      </c>
      <c r="D12" s="94">
        <f>ESTADO_DE_RESULTADOS!C8</f>
        <v>0</v>
      </c>
      <c r="E12" s="94">
        <f>ESTADO_DE_RESULTADOS!D8</f>
        <v>0</v>
      </c>
      <c r="F12" s="94">
        <f>ESTADO_DE_RESULTADOS!E8</f>
        <v>0</v>
      </c>
      <c r="G12" s="94">
        <f>ESTADO_DE_RESULTADOS!F8</f>
        <v>0</v>
      </c>
      <c r="K12" s="502" t="s">
        <v>1176</v>
      </c>
      <c r="L12" s="94">
        <f>C20</f>
        <v>-30049214.13823998</v>
      </c>
      <c r="M12" s="79">
        <v>-30049214.13823998</v>
      </c>
      <c r="N12" s="79">
        <v>-30049214.13823998</v>
      </c>
      <c r="O12" s="79">
        <v>-30049214.13823998</v>
      </c>
      <c r="P12" s="79">
        <v>-30049214.13823998</v>
      </c>
      <c r="Q12" s="79">
        <v>-30049214.13823998</v>
      </c>
      <c r="R12" s="457">
        <v>-30049214.13823998</v>
      </c>
      <c r="S12" s="79">
        <v>-30049214.13823998</v>
      </c>
      <c r="T12" s="79">
        <v>-30049214.13823998</v>
      </c>
      <c r="U12" s="79">
        <v>-30049214.13823998</v>
      </c>
      <c r="V12" s="79">
        <v>-30049214.13823998</v>
      </c>
      <c r="W12" s="79">
        <v>-30049214.13823998</v>
      </c>
    </row>
    <row r="13" spans="2:24" x14ac:dyDescent="0.25">
      <c r="B13" s="465" t="s">
        <v>196</v>
      </c>
      <c r="C13" s="466">
        <f>C8-C9-C10-C11-C12</f>
        <v>118053967</v>
      </c>
      <c r="D13" s="466">
        <f t="shared" ref="D13:G13" si="2">D8-D9-D10-D11-D12</f>
        <v>373072452.95199996</v>
      </c>
      <c r="E13" s="466">
        <f t="shared" si="2"/>
        <v>675753489.78686714</v>
      </c>
      <c r="F13" s="466">
        <f t="shared" si="2"/>
        <v>880834102.12196374</v>
      </c>
      <c r="G13" s="466">
        <f t="shared" si="2"/>
        <v>1454776279.6838145</v>
      </c>
      <c r="K13" s="502" t="s">
        <v>1177</v>
      </c>
      <c r="L13" s="94">
        <f>C31</f>
        <v>-141450360.29343355</v>
      </c>
      <c r="M13" s="79">
        <v>-141450360.29343355</v>
      </c>
      <c r="N13" s="79">
        <v>-141450360.29343355</v>
      </c>
      <c r="O13" s="79">
        <v>-141450360.29343355</v>
      </c>
      <c r="P13" s="79">
        <v>-141450360.29343355</v>
      </c>
      <c r="Q13" s="79">
        <v>-141450360.29343355</v>
      </c>
      <c r="R13" s="457">
        <v>-141450360.29343355</v>
      </c>
      <c r="S13" s="79">
        <v>-141450360.29343355</v>
      </c>
      <c r="T13" s="79">
        <v>-141450360.29343355</v>
      </c>
      <c r="U13" s="79">
        <v>-141450360.29343355</v>
      </c>
      <c r="V13" s="79">
        <v>-141450360.29343355</v>
      </c>
      <c r="W13" s="79">
        <v>-141450360.29343355</v>
      </c>
    </row>
    <row r="14" spans="2:24" x14ac:dyDescent="0.25">
      <c r="B14" s="464" t="s">
        <v>197</v>
      </c>
      <c r="C14" s="94">
        <f>ESTADO_DE_RESULTADOS!B10</f>
        <v>2100000</v>
      </c>
      <c r="D14" s="94">
        <f>ESTADO_DE_RESULTADOS!C10</f>
        <v>700000</v>
      </c>
      <c r="E14" s="94">
        <f>ESTADO_DE_RESULTADOS!D10</f>
        <v>2100000</v>
      </c>
      <c r="F14" s="94">
        <f>ESTADO_DE_RESULTADOS!E10</f>
        <v>1100000</v>
      </c>
      <c r="G14" s="94">
        <f>ESTADO_DE_RESULTADOS!F10</f>
        <v>700000</v>
      </c>
      <c r="K14" s="502" t="s">
        <v>1178</v>
      </c>
      <c r="L14" s="94">
        <f>C35</f>
        <v>-127305324.2640902</v>
      </c>
      <c r="M14" s="79">
        <v>-127305324.2640902</v>
      </c>
      <c r="N14" s="79">
        <v>-127305324.2640902</v>
      </c>
      <c r="O14" s="79">
        <v>-127305324.2640902</v>
      </c>
      <c r="P14" s="79">
        <v>-127305324.2640902</v>
      </c>
      <c r="Q14" s="79">
        <v>-127305324.2640902</v>
      </c>
      <c r="R14" s="457">
        <v>-127305324.2640902</v>
      </c>
      <c r="S14" s="79">
        <v>-127305324.2640902</v>
      </c>
      <c r="T14" s="79">
        <v>-127305324.2640902</v>
      </c>
      <c r="U14" s="79">
        <v>-127305324.2640902</v>
      </c>
      <c r="V14" s="79">
        <v>-127305324.2640902</v>
      </c>
      <c r="W14" s="79">
        <v>-127305324.2640902</v>
      </c>
    </row>
    <row r="15" spans="2:24" x14ac:dyDescent="0.25">
      <c r="B15" s="464" t="s">
        <v>198</v>
      </c>
      <c r="C15" s="94">
        <f>ESTADO_DE_RESULTADOS!B11</f>
        <v>47118600</v>
      </c>
      <c r="D15" s="94">
        <f>ESTADO_DE_RESULTADOS!C11</f>
        <v>48037412.700000003</v>
      </c>
      <c r="E15" s="94">
        <f>ESTADO_DE_RESULTADOS!D11</f>
        <v>48974142.247650012</v>
      </c>
      <c r="F15" s="94">
        <f>ESTADO_DE_RESULTADOS!E11</f>
        <v>49929138.021479189</v>
      </c>
      <c r="G15" s="94">
        <f>ESTADO_DE_RESULTADOS!F11</f>
        <v>50902756.212898046</v>
      </c>
      <c r="K15" s="502" t="s">
        <v>218</v>
      </c>
      <c r="L15" s="94">
        <f>C46</f>
        <v>18005868.86176002</v>
      </c>
      <c r="M15" s="79">
        <v>18005868.86176002</v>
      </c>
      <c r="N15" s="79">
        <v>18005868.86176002</v>
      </c>
      <c r="O15" s="79">
        <v>18005868.86176002</v>
      </c>
      <c r="P15" s="79">
        <v>18005868.86176002</v>
      </c>
      <c r="Q15" s="79">
        <v>18005868.86176002</v>
      </c>
      <c r="R15" s="457">
        <v>18005868.86176002</v>
      </c>
      <c r="S15" s="79">
        <v>18005868.86176002</v>
      </c>
      <c r="T15" s="79">
        <v>18005868.86176002</v>
      </c>
      <c r="U15" s="79">
        <v>18005868.86176002</v>
      </c>
      <c r="V15" s="79">
        <v>18005868.86176002</v>
      </c>
      <c r="W15" s="79">
        <v>18005868.86176002</v>
      </c>
    </row>
    <row r="16" spans="2:24" x14ac:dyDescent="0.25">
      <c r="B16" s="464" t="s">
        <v>199</v>
      </c>
      <c r="C16" s="94">
        <f>ESTADO_DE_RESULTADOS!B12</f>
        <v>19032081.138239998</v>
      </c>
      <c r="D16" s="94">
        <f>ESTADO_DE_RESULTADOS!C12</f>
        <v>19403206.720435679</v>
      </c>
      <c r="E16" s="94">
        <f>ESTADO_DE_RESULTADOS!D12</f>
        <v>19781569.251484174</v>
      </c>
      <c r="F16" s="94">
        <f>ESTADO_DE_RESULTADOS!E12</f>
        <v>20167309.851888116</v>
      </c>
      <c r="G16" s="94">
        <f>ESTADO_DE_RESULTADOS!F12</f>
        <v>20560572.393999938</v>
      </c>
      <c r="K16" s="502" t="s">
        <v>253</v>
      </c>
      <c r="L16" s="94">
        <f>D77</f>
        <v>95271872.151010886</v>
      </c>
      <c r="M16" s="79">
        <v>95271872.151010886</v>
      </c>
      <c r="N16" s="79">
        <v>95271872.151010886</v>
      </c>
      <c r="O16" s="79">
        <v>95271872.151010886</v>
      </c>
      <c r="P16" s="79">
        <v>95271872.151010886</v>
      </c>
      <c r="Q16" s="79">
        <v>95271872.151010886</v>
      </c>
      <c r="R16" s="457">
        <v>95271872.151010886</v>
      </c>
      <c r="S16" s="79">
        <v>95271872.151010886</v>
      </c>
      <c r="T16" s="79">
        <v>95271872.151010886</v>
      </c>
      <c r="U16" s="79">
        <v>95271872.151010886</v>
      </c>
      <c r="V16" s="79">
        <v>95271872.151010886</v>
      </c>
      <c r="W16" s="79">
        <v>95271872.151010886</v>
      </c>
    </row>
    <row r="17" spans="2:23" x14ac:dyDescent="0.25">
      <c r="B17" s="464" t="s">
        <v>200</v>
      </c>
      <c r="C17" s="94">
        <f>ESTADO_DE_RESULTADOS!B13</f>
        <v>33783750</v>
      </c>
      <c r="D17" s="94">
        <f>ESTADO_DE_RESULTADOS!C13</f>
        <v>66803770</v>
      </c>
      <c r="E17" s="94">
        <f>ESTADO_DE_RESULTADOS!D13</f>
        <v>105385280</v>
      </c>
      <c r="F17" s="94">
        <f>ESTADO_DE_RESULTADOS!E13</f>
        <v>130732690</v>
      </c>
      <c r="G17" s="94">
        <f>ESTADO_DE_RESULTADOS!F13</f>
        <v>199220670</v>
      </c>
      <c r="K17" s="502" t="s">
        <v>1179</v>
      </c>
      <c r="L17" s="385">
        <f>C80</f>
        <v>2263578801.0526505</v>
      </c>
      <c r="M17" s="79">
        <v>2263578801.0526505</v>
      </c>
      <c r="N17" s="79">
        <v>2263578801.0526505</v>
      </c>
      <c r="O17" s="79">
        <v>2263578801.0526505</v>
      </c>
      <c r="P17" s="79">
        <v>2263578801.0526505</v>
      </c>
      <c r="Q17" s="79">
        <v>2263578801.0526505</v>
      </c>
      <c r="R17" s="457">
        <v>2263578801.0526505</v>
      </c>
      <c r="S17" s="79">
        <v>2263578801.0526505</v>
      </c>
      <c r="T17" s="79">
        <v>2263578801.0526505</v>
      </c>
      <c r="U17" s="79">
        <v>2263578801.0526505</v>
      </c>
      <c r="V17" s="79">
        <v>2263578801.0526505</v>
      </c>
      <c r="W17" s="79">
        <v>2263578801.0526505</v>
      </c>
    </row>
    <row r="18" spans="2:23" x14ac:dyDescent="0.25">
      <c r="B18" s="464" t="s">
        <v>201</v>
      </c>
      <c r="C18" s="94">
        <f>ESTADO_DE_RESULTADOS!B14</f>
        <v>46068750</v>
      </c>
      <c r="D18" s="94">
        <f>ESTADO_DE_RESULTADOS!C14</f>
        <v>91096050</v>
      </c>
      <c r="E18" s="94">
        <f>ESTADO_DE_RESULTADOS!D14</f>
        <v>143707200</v>
      </c>
      <c r="F18" s="94">
        <f>ESTADO_DE_RESULTADOS!E14</f>
        <v>178271850</v>
      </c>
      <c r="G18" s="94">
        <f>ESTADO_DE_RESULTADOS!F14</f>
        <v>271664550</v>
      </c>
    </row>
    <row r="19" spans="2:23" hidden="1" x14ac:dyDescent="0.25">
      <c r="B19" s="467" t="s">
        <v>312</v>
      </c>
      <c r="C19" s="96">
        <f>ESTADO_DE_RESULTADOS!B15</f>
        <v>0</v>
      </c>
      <c r="D19" s="96">
        <f>ESTADO_DE_RESULTADOS!C15</f>
        <v>0</v>
      </c>
      <c r="E19" s="96">
        <f>ESTADO_DE_RESULTADOS!D15</f>
        <v>0</v>
      </c>
      <c r="F19" s="96">
        <f>ESTADO_DE_RESULTADOS!E15</f>
        <v>0</v>
      </c>
      <c r="G19" s="96">
        <f>ESTADO_DE_RESULTADOS!F15</f>
        <v>0</v>
      </c>
    </row>
    <row r="20" spans="2:23" x14ac:dyDescent="0.25">
      <c r="B20" s="465" t="s">
        <v>202</v>
      </c>
      <c r="C20" s="466">
        <f>C13-SUM(C14:C19)</f>
        <v>-30049214.13823998</v>
      </c>
      <c r="D20" s="466">
        <f t="shared" ref="D20:G20" si="3">D13-SUM(D14:D19)</f>
        <v>147032013.5315643</v>
      </c>
      <c r="E20" s="466">
        <f t="shared" si="3"/>
        <v>355805298.28773296</v>
      </c>
      <c r="F20" s="466">
        <f t="shared" si="3"/>
        <v>500633114.24859643</v>
      </c>
      <c r="G20" s="466">
        <f t="shared" si="3"/>
        <v>911727731.07691658</v>
      </c>
    </row>
    <row r="21" spans="2:23" x14ac:dyDescent="0.25">
      <c r="B21" s="468" t="s">
        <v>313</v>
      </c>
      <c r="C21" s="94">
        <f>ESTADO_DE_RESULTADOS!B17</f>
        <v>0</v>
      </c>
      <c r="D21" s="94">
        <f>ESTADO_DE_RESULTADOS!C17</f>
        <v>0</v>
      </c>
      <c r="E21" s="94">
        <f>ESTADO_DE_RESULTADOS!D17</f>
        <v>0</v>
      </c>
      <c r="F21" s="94">
        <f>ESTADO_DE_RESULTADOS!E17</f>
        <v>0</v>
      </c>
      <c r="G21" s="94">
        <f>ESTADO_DE_RESULTADOS!F17</f>
        <v>0</v>
      </c>
      <c r="M21" s="777" t="s">
        <v>1190</v>
      </c>
      <c r="N21" s="777"/>
      <c r="O21" s="777"/>
      <c r="P21" s="777"/>
      <c r="Q21" s="777"/>
      <c r="R21" s="777"/>
      <c r="S21" s="777"/>
      <c r="T21" s="777"/>
      <c r="U21" s="777"/>
      <c r="V21" s="777"/>
      <c r="W21" s="777"/>
    </row>
    <row r="22" spans="2:23" x14ac:dyDescent="0.25">
      <c r="B22" s="468" t="s">
        <v>203</v>
      </c>
      <c r="C22" s="94">
        <f>ESTADO_DE_RESULTADOS!B18</f>
        <v>-82530406.155193582</v>
      </c>
      <c r="D22" s="94">
        <f>ESTADO_DE_RESULTADOS!C18</f>
        <v>-66024324.924154863</v>
      </c>
      <c r="E22" s="94">
        <f>ESTADO_DE_RESULTADOS!D18</f>
        <v>-49518243.693116151</v>
      </c>
      <c r="F22" s="94">
        <f>ESTADO_DE_RESULTADOS!E18</f>
        <v>-33012162.462077431</v>
      </c>
      <c r="G22" s="94">
        <f>ESTADO_DE_RESULTADOS!F18</f>
        <v>-16506081.231038716</v>
      </c>
      <c r="M22" s="776" t="s">
        <v>1175</v>
      </c>
      <c r="N22" s="776"/>
      <c r="O22" s="776"/>
      <c r="P22" s="776"/>
      <c r="Q22" s="776"/>
      <c r="R22" s="776"/>
      <c r="S22" s="776"/>
      <c r="T22" s="776"/>
      <c r="U22" s="776"/>
      <c r="V22" s="776"/>
      <c r="W22" s="776"/>
    </row>
    <row r="23" spans="2:23" x14ac:dyDescent="0.25">
      <c r="B23" s="468" t="s">
        <v>204</v>
      </c>
      <c r="C23" s="94">
        <f>ESTADO_DE_RESULTADOS!B19</f>
        <v>-28870740</v>
      </c>
      <c r="D23" s="94">
        <f>ESTADO_DE_RESULTADOS!C19</f>
        <v>-28870740</v>
      </c>
      <c r="E23" s="94">
        <f>ESTADO_DE_RESULTADOS!D19</f>
        <v>-28870740</v>
      </c>
      <c r="F23" s="94">
        <f>ESTADO_DE_RESULTADOS!E19</f>
        <v>-28870740</v>
      </c>
      <c r="G23" s="94">
        <f>ESTADO_DE_RESULTADOS!F19</f>
        <v>-28870740</v>
      </c>
      <c r="K23" s="501"/>
      <c r="L23" s="501"/>
      <c r="M23" s="500">
        <f t="shared" ref="M23:P23" si="4">N23-$C$5</f>
        <v>-0.1</v>
      </c>
      <c r="N23" s="500">
        <f t="shared" si="4"/>
        <v>-0.08</v>
      </c>
      <c r="O23" s="500">
        <f t="shared" si="4"/>
        <v>-0.06</v>
      </c>
      <c r="P23" s="500">
        <f t="shared" si="4"/>
        <v>-0.04</v>
      </c>
      <c r="Q23" s="500">
        <f>R23-$C$5</f>
        <v>-0.02</v>
      </c>
      <c r="R23" s="500">
        <f>C4</f>
        <v>0</v>
      </c>
      <c r="S23" s="500">
        <f>R23+$C$5</f>
        <v>0.02</v>
      </c>
      <c r="T23" s="500">
        <f t="shared" ref="T23:W23" si="5">S23+$C$5</f>
        <v>0.04</v>
      </c>
      <c r="U23" s="500">
        <f t="shared" si="5"/>
        <v>0.06</v>
      </c>
      <c r="V23" s="500">
        <f t="shared" si="5"/>
        <v>0.08</v>
      </c>
      <c r="W23" s="500">
        <f t="shared" si="5"/>
        <v>0.1</v>
      </c>
    </row>
    <row r="24" spans="2:23" x14ac:dyDescent="0.25">
      <c r="B24" s="468" t="s">
        <v>205</v>
      </c>
      <c r="C24" s="94">
        <f>C21+C22+C23</f>
        <v>-111401146.15519358</v>
      </c>
      <c r="D24" s="94">
        <f t="shared" ref="D24:G24" si="6">D21+D22+D23</f>
        <v>-94895064.924154863</v>
      </c>
      <c r="E24" s="94">
        <f t="shared" si="6"/>
        <v>-78388983.693116158</v>
      </c>
      <c r="F24" s="94">
        <f t="shared" si="6"/>
        <v>-61882902.462077431</v>
      </c>
      <c r="G24" s="94">
        <f t="shared" si="6"/>
        <v>-45376821.231038719</v>
      </c>
      <c r="K24" s="502" t="s">
        <v>192</v>
      </c>
      <c r="L24" s="94">
        <f>D8</f>
        <v>607307000</v>
      </c>
      <c r="M24" s="79">
        <f t="dataTable" ref="M24:W37" dt2D="0" dtr="1" r1="C4" ca="1"/>
        <v>546576300</v>
      </c>
      <c r="N24" s="79">
        <v>497991740.00000006</v>
      </c>
      <c r="O24" s="79">
        <v>461553320</v>
      </c>
      <c r="P24" s="79">
        <v>437261040</v>
      </c>
      <c r="Q24" s="79">
        <v>425114900</v>
      </c>
      <c r="R24" s="457">
        <v>425114900</v>
      </c>
      <c r="S24" s="79">
        <v>437261040</v>
      </c>
      <c r="T24" s="79">
        <v>461553320</v>
      </c>
      <c r="U24" s="79">
        <v>497991740.00000006</v>
      </c>
      <c r="V24" s="79">
        <v>546576300</v>
      </c>
      <c r="W24" s="79">
        <v>607307000</v>
      </c>
    </row>
    <row r="25" spans="2:23" hidden="1" x14ac:dyDescent="0.25">
      <c r="B25" s="469" t="s">
        <v>314</v>
      </c>
      <c r="C25" s="96">
        <f>ESTADO_DE_RESULTADOS!B21</f>
        <v>0</v>
      </c>
      <c r="D25" s="96">
        <f>ESTADO_DE_RESULTADOS!C21</f>
        <v>0</v>
      </c>
      <c r="E25" s="96">
        <f>ESTADO_DE_RESULTADOS!D21</f>
        <v>0</v>
      </c>
      <c r="F25" s="96">
        <f>ESTADO_DE_RESULTADOS!E21</f>
        <v>0</v>
      </c>
      <c r="G25" s="96">
        <f>ESTADO_DE_RESULTADOS!F21</f>
        <v>0</v>
      </c>
      <c r="K25" s="503"/>
      <c r="L25" s="504"/>
      <c r="M25" s="458">
        <v>0</v>
      </c>
      <c r="N25" s="458">
        <v>0</v>
      </c>
      <c r="O25" s="458">
        <v>0</v>
      </c>
      <c r="P25" s="458">
        <v>0</v>
      </c>
      <c r="Q25" s="458">
        <v>0</v>
      </c>
      <c r="R25" s="459">
        <v>0</v>
      </c>
      <c r="S25" s="458">
        <v>0</v>
      </c>
      <c r="T25" s="458">
        <v>0</v>
      </c>
      <c r="U25" s="458">
        <v>0</v>
      </c>
      <c r="V25" s="458">
        <v>0</v>
      </c>
      <c r="W25" s="458">
        <v>0</v>
      </c>
    </row>
    <row r="26" spans="2:23" hidden="1" x14ac:dyDescent="0.25">
      <c r="B26" s="469" t="s">
        <v>315</v>
      </c>
      <c r="C26" s="96">
        <f>ESTADO_DE_RESULTADOS!B22</f>
        <v>0</v>
      </c>
      <c r="D26" s="96">
        <f>ESTADO_DE_RESULTADOS!C22</f>
        <v>0</v>
      </c>
      <c r="E26" s="96">
        <f>ESTADO_DE_RESULTADOS!D22</f>
        <v>0</v>
      </c>
      <c r="F26" s="96">
        <f>ESTADO_DE_RESULTADOS!E22</f>
        <v>0</v>
      </c>
      <c r="G26" s="96">
        <f>ESTADO_DE_RESULTADOS!F22</f>
        <v>0</v>
      </c>
      <c r="K26" s="503"/>
      <c r="L26" s="504"/>
      <c r="M26" s="458">
        <v>0</v>
      </c>
      <c r="N26" s="458">
        <v>0</v>
      </c>
      <c r="O26" s="458">
        <v>0</v>
      </c>
      <c r="P26" s="458">
        <v>0</v>
      </c>
      <c r="Q26" s="458">
        <v>0</v>
      </c>
      <c r="R26" s="459">
        <v>0</v>
      </c>
      <c r="S26" s="458">
        <v>0</v>
      </c>
      <c r="T26" s="458">
        <v>0</v>
      </c>
      <c r="U26" s="458">
        <v>0</v>
      </c>
      <c r="V26" s="458">
        <v>0</v>
      </c>
      <c r="W26" s="458">
        <v>0</v>
      </c>
    </row>
    <row r="27" spans="2:23" hidden="1" x14ac:dyDescent="0.25">
      <c r="B27" s="469" t="s">
        <v>316</v>
      </c>
      <c r="C27" s="96">
        <f>ESTADO_DE_RESULTADOS!B23</f>
        <v>0</v>
      </c>
      <c r="D27" s="96">
        <f>ESTADO_DE_RESULTADOS!C23</f>
        <v>0</v>
      </c>
      <c r="E27" s="96">
        <f>ESTADO_DE_RESULTADOS!D23</f>
        <v>0</v>
      </c>
      <c r="F27" s="96">
        <f>ESTADO_DE_RESULTADOS!E23</f>
        <v>0</v>
      </c>
      <c r="G27" s="96">
        <f>ESTADO_DE_RESULTADOS!F23</f>
        <v>0</v>
      </c>
      <c r="K27" s="503"/>
      <c r="L27" s="504"/>
      <c r="M27" s="458">
        <v>0</v>
      </c>
      <c r="N27" s="458">
        <v>0</v>
      </c>
      <c r="O27" s="458">
        <v>0</v>
      </c>
      <c r="P27" s="458">
        <v>0</v>
      </c>
      <c r="Q27" s="458">
        <v>0</v>
      </c>
      <c r="R27" s="459">
        <v>0</v>
      </c>
      <c r="S27" s="458">
        <v>0</v>
      </c>
      <c r="T27" s="458">
        <v>0</v>
      </c>
      <c r="U27" s="458">
        <v>0</v>
      </c>
      <c r="V27" s="458">
        <v>0</v>
      </c>
      <c r="W27" s="458">
        <v>0</v>
      </c>
    </row>
    <row r="28" spans="2:23" hidden="1" x14ac:dyDescent="0.25">
      <c r="B28" s="469" t="s">
        <v>317</v>
      </c>
      <c r="C28" s="96">
        <f>ESTADO_DE_RESULTADOS!B24</f>
        <v>0</v>
      </c>
      <c r="D28" s="96">
        <f>ESTADO_DE_RESULTADOS!C24</f>
        <v>0</v>
      </c>
      <c r="E28" s="96">
        <f>ESTADO_DE_RESULTADOS!D24</f>
        <v>0</v>
      </c>
      <c r="F28" s="96">
        <f>ESTADO_DE_RESULTADOS!E24</f>
        <v>0</v>
      </c>
      <c r="G28" s="96">
        <f>ESTADO_DE_RESULTADOS!F24</f>
        <v>0</v>
      </c>
      <c r="K28" s="503"/>
      <c r="L28" s="504"/>
      <c r="M28" s="458">
        <v>0</v>
      </c>
      <c r="N28" s="458">
        <v>0</v>
      </c>
      <c r="O28" s="458">
        <v>0</v>
      </c>
      <c r="P28" s="458">
        <v>0</v>
      </c>
      <c r="Q28" s="458">
        <v>0</v>
      </c>
      <c r="R28" s="459">
        <v>0</v>
      </c>
      <c r="S28" s="458">
        <v>0</v>
      </c>
      <c r="T28" s="458">
        <v>0</v>
      </c>
      <c r="U28" s="458">
        <v>0</v>
      </c>
      <c r="V28" s="458">
        <v>0</v>
      </c>
      <c r="W28" s="458">
        <v>0</v>
      </c>
    </row>
    <row r="29" spans="2:23" hidden="1" x14ac:dyDescent="0.25">
      <c r="B29" s="469" t="s">
        <v>318</v>
      </c>
      <c r="C29" s="96">
        <f>ESTADO_DE_RESULTADOS!B25</f>
        <v>0</v>
      </c>
      <c r="D29" s="96">
        <f>ESTADO_DE_RESULTADOS!C25</f>
        <v>0</v>
      </c>
      <c r="E29" s="96">
        <f>ESTADO_DE_RESULTADOS!D25</f>
        <v>0</v>
      </c>
      <c r="F29" s="96">
        <f>ESTADO_DE_RESULTADOS!E25</f>
        <v>0</v>
      </c>
      <c r="G29" s="96">
        <f>ESTADO_DE_RESULTADOS!F25</f>
        <v>0</v>
      </c>
      <c r="K29" s="503"/>
      <c r="L29" s="504"/>
      <c r="M29" s="458">
        <v>0</v>
      </c>
      <c r="N29" s="458">
        <v>0</v>
      </c>
      <c r="O29" s="458">
        <v>0</v>
      </c>
      <c r="P29" s="458">
        <v>0</v>
      </c>
      <c r="Q29" s="458">
        <v>0</v>
      </c>
      <c r="R29" s="459">
        <v>0</v>
      </c>
      <c r="S29" s="458">
        <v>0</v>
      </c>
      <c r="T29" s="458">
        <v>0</v>
      </c>
      <c r="U29" s="458">
        <v>0</v>
      </c>
      <c r="V29" s="458">
        <v>0</v>
      </c>
      <c r="W29" s="458">
        <v>0</v>
      </c>
    </row>
    <row r="30" spans="2:23" hidden="1" x14ac:dyDescent="0.25">
      <c r="B30" s="470" t="s">
        <v>319</v>
      </c>
      <c r="C30" s="96">
        <f>C25+C26+C27+C28+C29</f>
        <v>0</v>
      </c>
      <c r="D30" s="96">
        <f t="shared" ref="D30:G30" si="7">D25+D26+D27+D28+D29</f>
        <v>0</v>
      </c>
      <c r="E30" s="96">
        <f t="shared" si="7"/>
        <v>0</v>
      </c>
      <c r="F30" s="96">
        <f t="shared" si="7"/>
        <v>0</v>
      </c>
      <c r="G30" s="96">
        <f t="shared" si="7"/>
        <v>0</v>
      </c>
      <c r="K30" s="503"/>
      <c r="L30" s="504"/>
      <c r="M30" s="458">
        <v>0</v>
      </c>
      <c r="N30" s="458">
        <v>0</v>
      </c>
      <c r="O30" s="458">
        <v>0</v>
      </c>
      <c r="P30" s="458">
        <v>0</v>
      </c>
      <c r="Q30" s="458">
        <v>0</v>
      </c>
      <c r="R30" s="459">
        <v>0</v>
      </c>
      <c r="S30" s="458">
        <v>0</v>
      </c>
      <c r="T30" s="458">
        <v>0</v>
      </c>
      <c r="U30" s="458">
        <v>0</v>
      </c>
      <c r="V30" s="458">
        <v>0</v>
      </c>
      <c r="W30" s="458">
        <v>0</v>
      </c>
    </row>
    <row r="31" spans="2:23" x14ac:dyDescent="0.25">
      <c r="B31" s="465" t="s">
        <v>1177</v>
      </c>
      <c r="C31" s="466">
        <f>C20+C24+C30</f>
        <v>-141450360.29343355</v>
      </c>
      <c r="D31" s="466">
        <f t="shared" ref="D31:G31" si="8">D20+D24+D30</f>
        <v>52136948.607409433</v>
      </c>
      <c r="E31" s="466">
        <f t="shared" si="8"/>
        <v>277416314.59461677</v>
      </c>
      <c r="F31" s="466">
        <f t="shared" si="8"/>
        <v>438750211.78651899</v>
      </c>
      <c r="G31" s="466">
        <f t="shared" si="8"/>
        <v>866350909.84587789</v>
      </c>
      <c r="K31" s="502" t="s">
        <v>196</v>
      </c>
      <c r="L31" s="94">
        <f>D13</f>
        <v>373072452.95199996</v>
      </c>
      <c r="M31" s="79">
        <v>312341752.95199996</v>
      </c>
      <c r="N31" s="79">
        <v>263757192.95200002</v>
      </c>
      <c r="O31" s="79">
        <v>227318772.95199996</v>
      </c>
      <c r="P31" s="79">
        <v>203026492.95199996</v>
      </c>
      <c r="Q31" s="79">
        <v>190880352.95199996</v>
      </c>
      <c r="R31" s="457">
        <v>190880352.95199996</v>
      </c>
      <c r="S31" s="79">
        <v>203026492.95199996</v>
      </c>
      <c r="T31" s="79">
        <v>227318772.95199996</v>
      </c>
      <c r="U31" s="79">
        <v>263757192.95200002</v>
      </c>
      <c r="V31" s="79">
        <v>312341752.95199996</v>
      </c>
      <c r="W31" s="79">
        <v>373072452.95199996</v>
      </c>
    </row>
    <row r="32" spans="2:23" x14ac:dyDescent="0.25">
      <c r="B32" s="464" t="s">
        <v>207</v>
      </c>
      <c r="C32" s="94">
        <f>IF(C31*ESTADO_DE_RESULTADOS!$I$9&lt;0,0,ANALISIS_DE_SENSIBILIDAD!C31*ESTADO_DE_RESULTADOS!$I$9)</f>
        <v>0</v>
      </c>
      <c r="D32" s="94">
        <f>IF(D31*ESTADO_DE_RESULTADOS!$I$9&lt;0,0,ANALISIS_DE_SENSIBILIDAD!D31*ESTADO_DE_RESULTADOS!$I$9)</f>
        <v>18247932.012593299</v>
      </c>
      <c r="E32" s="94">
        <f>IF(E31*ESTADO_DE_RESULTADOS!$I$9&lt;0,0,ANALISIS_DE_SENSIBILIDAD!E31*ESTADO_DE_RESULTADOS!$I$9)</f>
        <v>97095710.108115867</v>
      </c>
      <c r="F32" s="94">
        <f>IF(F31*ESTADO_DE_RESULTADOS!$I$9&lt;0,0,ANALISIS_DE_SENSIBILIDAD!F31*ESTADO_DE_RESULTADOS!$I$9)</f>
        <v>153562574.12528163</v>
      </c>
      <c r="G32" s="94">
        <f>IF(G31*ESTADO_DE_RESULTADOS!$I$9&lt;0,0,ANALISIS_DE_SENSIBILIDAD!G31*ESTADO_DE_RESULTADOS!$I$9)</f>
        <v>303222818.44605726</v>
      </c>
      <c r="K32" s="502" t="s">
        <v>1176</v>
      </c>
      <c r="L32" s="94">
        <f>D20</f>
        <v>147032013.5315643</v>
      </c>
      <c r="M32" s="79">
        <v>86301313.531564295</v>
      </c>
      <c r="N32" s="79">
        <v>37716753.531564355</v>
      </c>
      <c r="O32" s="79">
        <v>1278333.5315642953</v>
      </c>
      <c r="P32" s="79">
        <v>-23013946.468435705</v>
      </c>
      <c r="Q32" s="79">
        <v>-35160086.468435705</v>
      </c>
      <c r="R32" s="457">
        <v>-35160086.468435705</v>
      </c>
      <c r="S32" s="79">
        <v>-23013946.468435705</v>
      </c>
      <c r="T32" s="79">
        <v>1278333.5315642953</v>
      </c>
      <c r="U32" s="79">
        <v>37716753.531564355</v>
      </c>
      <c r="V32" s="79">
        <v>86301313.531564295</v>
      </c>
      <c r="W32" s="79">
        <v>147032013.5315643</v>
      </c>
    </row>
    <row r="33" spans="2:23" x14ac:dyDescent="0.25">
      <c r="B33" s="464" t="s">
        <v>208</v>
      </c>
      <c r="C33" s="94">
        <f>IF(C31*ESTADO_DE_RESULTADOS!$I$10=0,0,ANALISIS_DE_SENSIBILIDAD!C31*ESTADO_DE_RESULTADOS!$I$10)</f>
        <v>-14145036.029343355</v>
      </c>
      <c r="D33" s="94">
        <f>IF(D31*ESTADO_DE_RESULTADOS!$I$10=0,0,ANALISIS_DE_SENSIBILIDAD!D31*ESTADO_DE_RESULTADOS!$I$10)</f>
        <v>5213694.8607409438</v>
      </c>
      <c r="E33" s="94">
        <f>IF(E31*ESTADO_DE_RESULTADOS!$I$10=0,0,ANALISIS_DE_SENSIBILIDAD!E31*ESTADO_DE_RESULTADOS!$I$10)</f>
        <v>27741631.459461678</v>
      </c>
      <c r="F33" s="94">
        <f>IF(F31*ESTADO_DE_RESULTADOS!$I$10=0,0,ANALISIS_DE_SENSIBILIDAD!F31*ESTADO_DE_RESULTADOS!$I$10)</f>
        <v>43875021.178651899</v>
      </c>
      <c r="G33" s="94">
        <f>IF(G31*ESTADO_DE_RESULTADOS!$I$10=0,0,ANALISIS_DE_SENSIBILIDAD!G31*ESTADO_DE_RESULTADOS!$I$10)</f>
        <v>86635090.984587789</v>
      </c>
      <c r="K33" s="502" t="s">
        <v>1177</v>
      </c>
      <c r="L33" s="94">
        <f>D31</f>
        <v>52136948.607409433</v>
      </c>
      <c r="M33" s="79">
        <v>-8593751.3925905675</v>
      </c>
      <c r="N33" s="79">
        <v>-57178311.392590508</v>
      </c>
      <c r="O33" s="79">
        <v>-93616731.392590567</v>
      </c>
      <c r="P33" s="79">
        <v>-117909011.39259057</v>
      </c>
      <c r="Q33" s="79">
        <v>-130055151.39259057</v>
      </c>
      <c r="R33" s="457">
        <v>-130055151.39259057</v>
      </c>
      <c r="S33" s="79">
        <v>-117909011.39259057</v>
      </c>
      <c r="T33" s="79">
        <v>-93616731.392590567</v>
      </c>
      <c r="U33" s="79">
        <v>-57178311.392590508</v>
      </c>
      <c r="V33" s="79">
        <v>-8593751.3925905675</v>
      </c>
      <c r="W33" s="79">
        <v>52136948.607409433</v>
      </c>
    </row>
    <row r="34" spans="2:23" x14ac:dyDescent="0.25">
      <c r="B34" s="464" t="s">
        <v>209</v>
      </c>
      <c r="C34" s="94">
        <f>IF(C31*ESTADO_DE_RESULTADOS!$I$11&lt;0,0,ANALISIS_DE_SENSIBILIDAD!C31*ESTADO_DE_RESULTADOS!$I$11)</f>
        <v>0</v>
      </c>
      <c r="D34" s="94">
        <f>IF(D31*ESTADO_DE_RESULTADOS!$I$11&lt;0,0,ANALISIS_DE_SENSIBILIDAD!D31*ESTADO_DE_RESULTADOS!$I$11)</f>
        <v>0</v>
      </c>
      <c r="E34" s="94">
        <f>IF(E31*ESTADO_DE_RESULTADOS!$I$11&lt;0,0,ANALISIS_DE_SENSIBILIDAD!E31*ESTADO_DE_RESULTADOS!$I$11)</f>
        <v>0</v>
      </c>
      <c r="F34" s="94">
        <f>IF(F31*ESTADO_DE_RESULTADOS!$I$11&lt;0,0,ANALISIS_DE_SENSIBILIDAD!F31*ESTADO_DE_RESULTADOS!$I$11)</f>
        <v>0</v>
      </c>
      <c r="G34" s="94">
        <f>IF(G31*ESTADO_DE_RESULTADOS!$I$11&lt;0,0,ANALISIS_DE_SENSIBILIDAD!G31*ESTADO_DE_RESULTADOS!$I$11)</f>
        <v>0</v>
      </c>
      <c r="K34" s="502" t="s">
        <v>1178</v>
      </c>
      <c r="L34" s="94">
        <f>D35</f>
        <v>28675321.734075189</v>
      </c>
      <c r="M34" s="79">
        <v>-7734376.2533315104</v>
      </c>
      <c r="N34" s="79">
        <v>-51460480.253331453</v>
      </c>
      <c r="O34" s="79">
        <v>-84255058.253331512</v>
      </c>
      <c r="P34" s="79">
        <v>-106118110.25333151</v>
      </c>
      <c r="Q34" s="79">
        <v>-117049636.25333151</v>
      </c>
      <c r="R34" s="457">
        <v>-117049636.25333151</v>
      </c>
      <c r="S34" s="79">
        <v>-106118110.25333151</v>
      </c>
      <c r="T34" s="79">
        <v>-84255058.253331512</v>
      </c>
      <c r="U34" s="79">
        <v>-51460480.253331453</v>
      </c>
      <c r="V34" s="79">
        <v>-7734376.2533315104</v>
      </c>
      <c r="W34" s="79">
        <v>28675321.734075189</v>
      </c>
    </row>
    <row r="35" spans="2:23" ht="16.5" thickBot="1" x14ac:dyDescent="0.3">
      <c r="B35" s="471" t="s">
        <v>210</v>
      </c>
      <c r="C35" s="466">
        <f>C31-C32-C33-C34</f>
        <v>-127305324.2640902</v>
      </c>
      <c r="D35" s="466">
        <f t="shared" ref="D35:G35" si="9">D31-D32-D33-D34</f>
        <v>28675321.734075189</v>
      </c>
      <c r="E35" s="466">
        <f t="shared" si="9"/>
        <v>152578973.02703923</v>
      </c>
      <c r="F35" s="466">
        <f t="shared" si="9"/>
        <v>241312616.48258546</v>
      </c>
      <c r="G35" s="466">
        <f t="shared" si="9"/>
        <v>476493000.41523278</v>
      </c>
      <c r="K35" s="502" t="s">
        <v>218</v>
      </c>
      <c r="L35" s="94">
        <f>D46</f>
        <v>240150096.5315643</v>
      </c>
      <c r="M35" s="79">
        <v>179419396.5315643</v>
      </c>
      <c r="N35" s="79">
        <v>130834836.53156435</v>
      </c>
      <c r="O35" s="79">
        <v>94396416.531564295</v>
      </c>
      <c r="P35" s="79">
        <v>70104136.531564295</v>
      </c>
      <c r="Q35" s="79">
        <v>57957996.531564295</v>
      </c>
      <c r="R35" s="457">
        <v>57957996.531564295</v>
      </c>
      <c r="S35" s="79">
        <v>70104136.531564295</v>
      </c>
      <c r="T35" s="79">
        <v>94396416.531564295</v>
      </c>
      <c r="U35" s="79">
        <v>130834836.53156435</v>
      </c>
      <c r="V35" s="79">
        <v>179419396.5315643</v>
      </c>
      <c r="W35" s="79">
        <v>240150096.5315643</v>
      </c>
    </row>
    <row r="36" spans="2:23" x14ac:dyDescent="0.25">
      <c r="K36" s="502" t="s">
        <v>253</v>
      </c>
      <c r="L36" s="94">
        <f>E77</f>
        <v>78452763.742997155</v>
      </c>
      <c r="M36" s="79">
        <v>17722063.742997155</v>
      </c>
      <c r="N36" s="79">
        <v>-30862496.257002786</v>
      </c>
      <c r="O36" s="79">
        <v>-67300916.257002845</v>
      </c>
      <c r="P36" s="79">
        <v>-91593196.257002845</v>
      </c>
      <c r="Q36" s="79">
        <v>-103739336.25700285</v>
      </c>
      <c r="R36" s="457">
        <v>-103739336.25700285</v>
      </c>
      <c r="S36" s="79">
        <v>-91593196.257002845</v>
      </c>
      <c r="T36" s="79">
        <v>-67300916.257002845</v>
      </c>
      <c r="U36" s="79">
        <v>-30862496.257002786</v>
      </c>
      <c r="V36" s="79">
        <v>17722063.742997155</v>
      </c>
      <c r="W36" s="79">
        <v>78452763.742997155</v>
      </c>
    </row>
    <row r="37" spans="2:23" x14ac:dyDescent="0.25">
      <c r="K37" s="502" t="s">
        <v>1179</v>
      </c>
      <c r="L37" s="385">
        <f>C80</f>
        <v>2263578801.0526505</v>
      </c>
      <c r="M37" s="79">
        <v>1976395526.2457452</v>
      </c>
      <c r="N37" s="79">
        <v>1735481137.1347594</v>
      </c>
      <c r="O37" s="79">
        <v>1554795345.3015199</v>
      </c>
      <c r="P37" s="79">
        <v>1434338150.746027</v>
      </c>
      <c r="Q37" s="79">
        <v>1371661231.0549052</v>
      </c>
      <c r="R37" s="457">
        <v>1371661231.0549052</v>
      </c>
      <c r="S37" s="79">
        <v>1434338150.746027</v>
      </c>
      <c r="T37" s="79">
        <v>1554795345.3015199</v>
      </c>
      <c r="U37" s="79">
        <v>1735481137.1347594</v>
      </c>
      <c r="V37" s="79">
        <v>1976395526.2457452</v>
      </c>
      <c r="W37" s="79">
        <v>2263578801.0526505</v>
      </c>
    </row>
    <row r="40" spans="2:23" ht="31.5" customHeight="1" x14ac:dyDescent="0.25">
      <c r="B40" s="472" t="s">
        <v>1180</v>
      </c>
      <c r="C40" s="473">
        <f>FLUJO_DE_CAJA!B6</f>
        <v>2021</v>
      </c>
      <c r="D40" s="473">
        <f>FLUJO_DE_CAJA!C6</f>
        <v>2022</v>
      </c>
      <c r="E40" s="473">
        <f>FLUJO_DE_CAJA!D6</f>
        <v>2023</v>
      </c>
      <c r="F40" s="473">
        <f>FLUJO_DE_CAJA!E6</f>
        <v>2024</v>
      </c>
      <c r="G40" s="473">
        <f>FLUJO_DE_CAJA!F6</f>
        <v>2025</v>
      </c>
      <c r="M40" s="777" t="s">
        <v>1191</v>
      </c>
      <c r="N40" s="777"/>
      <c r="O40" s="777"/>
      <c r="P40" s="777"/>
      <c r="Q40" s="777"/>
      <c r="R40" s="777"/>
      <c r="S40" s="777"/>
      <c r="T40" s="777"/>
      <c r="U40" s="777"/>
      <c r="V40" s="777"/>
      <c r="W40" s="777"/>
    </row>
    <row r="41" spans="2:23" x14ac:dyDescent="0.25">
      <c r="B41" s="474" t="s">
        <v>219</v>
      </c>
      <c r="C41" s="94">
        <f>C20</f>
        <v>-30049214.13823998</v>
      </c>
      <c r="D41" s="94">
        <f t="shared" ref="D41:G41" si="10">D20</f>
        <v>147032013.5315643</v>
      </c>
      <c r="E41" s="94">
        <f t="shared" si="10"/>
        <v>355805298.28773296</v>
      </c>
      <c r="F41" s="94">
        <f t="shared" si="10"/>
        <v>500633114.24859643</v>
      </c>
      <c r="G41" s="94">
        <f t="shared" si="10"/>
        <v>911727731.07691658</v>
      </c>
      <c r="M41" s="776" t="s">
        <v>1175</v>
      </c>
      <c r="N41" s="776"/>
      <c r="O41" s="776"/>
      <c r="P41" s="776"/>
      <c r="Q41" s="776"/>
      <c r="R41" s="776"/>
      <c r="S41" s="776"/>
      <c r="T41" s="776"/>
      <c r="U41" s="776"/>
      <c r="V41" s="776"/>
      <c r="W41" s="776"/>
    </row>
    <row r="42" spans="2:23" x14ac:dyDescent="0.25">
      <c r="B42" s="474" t="s">
        <v>220</v>
      </c>
      <c r="C42" s="94">
        <f>FLUJO_DE_CAJA!B9</f>
        <v>1986333</v>
      </c>
      <c r="D42" s="94">
        <f>FLUJO_DE_CAJA!C9</f>
        <v>2022033</v>
      </c>
      <c r="E42" s="94">
        <f>FLUJO_DE_CAJA!D9</f>
        <v>2064133</v>
      </c>
      <c r="F42" s="94">
        <f>FLUJO_DE_CAJA!E9</f>
        <v>2113848</v>
      </c>
      <c r="G42" s="94">
        <f>FLUJO_DE_CAJA!F9</f>
        <v>2173048</v>
      </c>
      <c r="K42" s="501"/>
      <c r="L42" s="501"/>
      <c r="M42" s="500">
        <f t="shared" ref="M42:P42" si="11">N42-$C$5</f>
        <v>-0.1</v>
      </c>
      <c r="N42" s="500">
        <f t="shared" si="11"/>
        <v>-0.08</v>
      </c>
      <c r="O42" s="500">
        <f t="shared" si="11"/>
        <v>-0.06</v>
      </c>
      <c r="P42" s="500">
        <f t="shared" si="11"/>
        <v>-0.04</v>
      </c>
      <c r="Q42" s="500">
        <f>R42-$C$5</f>
        <v>-0.02</v>
      </c>
      <c r="R42" s="500">
        <f>C4</f>
        <v>0</v>
      </c>
      <c r="S42" s="500">
        <f>R42+$C$5</f>
        <v>0.02</v>
      </c>
      <c r="T42" s="500">
        <f t="shared" ref="T42:W42" si="12">S42+$C$5</f>
        <v>0.04</v>
      </c>
      <c r="U42" s="500">
        <f t="shared" si="12"/>
        <v>0.06</v>
      </c>
      <c r="V42" s="500">
        <f t="shared" si="12"/>
        <v>0.08</v>
      </c>
      <c r="W42" s="500">
        <f t="shared" si="12"/>
        <v>0.1</v>
      </c>
    </row>
    <row r="43" spans="2:23" x14ac:dyDescent="0.25">
      <c r="B43" s="474" t="s">
        <v>221</v>
      </c>
      <c r="C43" s="94">
        <f>FLUJO_DE_CAJA!B10</f>
        <v>0</v>
      </c>
      <c r="D43" s="94">
        <f>FLUJO_DE_CAJA!C10</f>
        <v>0</v>
      </c>
      <c r="E43" s="94">
        <f>FLUJO_DE_CAJA!D10</f>
        <v>0</v>
      </c>
      <c r="F43" s="94">
        <f>FLUJO_DE_CAJA!E10</f>
        <v>0</v>
      </c>
      <c r="G43" s="94">
        <f>FLUJO_DE_CAJA!F10</f>
        <v>0</v>
      </c>
      <c r="K43" s="502" t="s">
        <v>192</v>
      </c>
      <c r="L43" s="94">
        <f>E8</f>
        <v>958048000</v>
      </c>
      <c r="M43" s="79">
        <f t="dataTable" ref="M43:W50" dt2D="0" dtr="1" r1="C4" ca="1"/>
        <v>862243200</v>
      </c>
      <c r="N43" s="79">
        <v>785599360</v>
      </c>
      <c r="O43" s="79">
        <v>728116480</v>
      </c>
      <c r="P43" s="79">
        <v>689794560</v>
      </c>
      <c r="Q43" s="79">
        <v>670633600</v>
      </c>
      <c r="R43" s="457">
        <v>670633600</v>
      </c>
      <c r="S43" s="79">
        <v>689794560</v>
      </c>
      <c r="T43" s="79">
        <v>728116480</v>
      </c>
      <c r="U43" s="79">
        <v>785599360</v>
      </c>
      <c r="V43" s="79">
        <v>862243200</v>
      </c>
      <c r="W43" s="79">
        <v>958048000</v>
      </c>
    </row>
    <row r="44" spans="2:23" x14ac:dyDescent="0.25">
      <c r="B44" s="474" t="s">
        <v>201</v>
      </c>
      <c r="C44" s="94">
        <f>C18</f>
        <v>46068750</v>
      </c>
      <c r="D44" s="94">
        <f t="shared" ref="D44:G44" si="13">D18</f>
        <v>91096050</v>
      </c>
      <c r="E44" s="94">
        <f t="shared" si="13"/>
        <v>143707200</v>
      </c>
      <c r="F44" s="94">
        <f t="shared" si="13"/>
        <v>178271850</v>
      </c>
      <c r="G44" s="94">
        <f t="shared" si="13"/>
        <v>271664550</v>
      </c>
      <c r="K44" s="502" t="s">
        <v>196</v>
      </c>
      <c r="L44" s="94">
        <f>E13</f>
        <v>675753489.78686714</v>
      </c>
      <c r="M44" s="79">
        <v>579948689.78686714</v>
      </c>
      <c r="N44" s="79">
        <v>503304849.78686714</v>
      </c>
      <c r="O44" s="79">
        <v>445821969.78686714</v>
      </c>
      <c r="P44" s="79">
        <v>407500049.78686714</v>
      </c>
      <c r="Q44" s="79">
        <v>388339089.78686714</v>
      </c>
      <c r="R44" s="457">
        <v>388339089.78686714</v>
      </c>
      <c r="S44" s="79">
        <v>407500049.78686714</v>
      </c>
      <c r="T44" s="79">
        <v>445821969.78686714</v>
      </c>
      <c r="U44" s="79">
        <v>503304849.78686714</v>
      </c>
      <c r="V44" s="79">
        <v>579948689.78686714</v>
      </c>
      <c r="W44" s="79">
        <v>675753489.78686714</v>
      </c>
    </row>
    <row r="45" spans="2:23" x14ac:dyDescent="0.25">
      <c r="B45" s="474" t="s">
        <v>222</v>
      </c>
      <c r="C45" s="475"/>
      <c r="D45" s="94">
        <f>C32*-1</f>
        <v>0</v>
      </c>
      <c r="E45" s="94">
        <f t="shared" ref="E45:G45" si="14">D32*-1</f>
        <v>-18247932.012593299</v>
      </c>
      <c r="F45" s="94">
        <f t="shared" si="14"/>
        <v>-97095710.108115867</v>
      </c>
      <c r="G45" s="94">
        <f t="shared" si="14"/>
        <v>-153562574.12528163</v>
      </c>
      <c r="K45" s="502" t="s">
        <v>1176</v>
      </c>
      <c r="L45" s="94">
        <f>E20</f>
        <v>355805298.28773296</v>
      </c>
      <c r="M45" s="79">
        <v>260000498.28773296</v>
      </c>
      <c r="N45" s="79">
        <v>183356658.28773296</v>
      </c>
      <c r="O45" s="79">
        <v>125873778.28773296</v>
      </c>
      <c r="P45" s="79">
        <v>87551858.287732959</v>
      </c>
      <c r="Q45" s="79">
        <v>68390898.287732959</v>
      </c>
      <c r="R45" s="457">
        <v>68390898.287732959</v>
      </c>
      <c r="S45" s="79">
        <v>87551858.287732959</v>
      </c>
      <c r="T45" s="79">
        <v>125873778.28773296</v>
      </c>
      <c r="U45" s="79">
        <v>183356658.28773296</v>
      </c>
      <c r="V45" s="79">
        <v>260000498.28773296</v>
      </c>
      <c r="W45" s="79">
        <v>355805298.28773296</v>
      </c>
    </row>
    <row r="46" spans="2:23" ht="16.5" thickBot="1" x14ac:dyDescent="0.3">
      <c r="B46" s="476" t="s">
        <v>223</v>
      </c>
      <c r="C46" s="477">
        <f>SUM(C41:C45)</f>
        <v>18005868.86176002</v>
      </c>
      <c r="D46" s="477">
        <f t="shared" ref="D46:G46" si="15">SUM(D41:D45)</f>
        <v>240150096.5315643</v>
      </c>
      <c r="E46" s="477">
        <f t="shared" si="15"/>
        <v>483328699.27513969</v>
      </c>
      <c r="F46" s="477">
        <f t="shared" si="15"/>
        <v>583923102.14048052</v>
      </c>
      <c r="G46" s="477">
        <f t="shared" si="15"/>
        <v>1032002754.9516351</v>
      </c>
      <c r="K46" s="502" t="s">
        <v>1177</v>
      </c>
      <c r="L46" s="94">
        <f>E31</f>
        <v>277416314.59461677</v>
      </c>
      <c r="M46" s="79">
        <v>181611514.5946168</v>
      </c>
      <c r="N46" s="79">
        <v>104967674.5946168</v>
      </c>
      <c r="O46" s="79">
        <v>47484794.594616801</v>
      </c>
      <c r="P46" s="79">
        <v>9162874.5946168005</v>
      </c>
      <c r="Q46" s="79">
        <v>-9998085.4053831995</v>
      </c>
      <c r="R46" s="457">
        <v>-9998085.4053831995</v>
      </c>
      <c r="S46" s="79">
        <v>9162874.5946168005</v>
      </c>
      <c r="T46" s="79">
        <v>47484794.594616801</v>
      </c>
      <c r="U46" s="79">
        <v>104967674.5946168</v>
      </c>
      <c r="V46" s="79">
        <v>181611514.5946168</v>
      </c>
      <c r="W46" s="79">
        <v>277416314.59461677</v>
      </c>
    </row>
    <row r="47" spans="2:23" x14ac:dyDescent="0.25">
      <c r="K47" s="502" t="s">
        <v>1178</v>
      </c>
      <c r="L47" s="94">
        <f>E35</f>
        <v>152578973.02703923</v>
      </c>
      <c r="M47" s="79">
        <v>99886333.02703923</v>
      </c>
      <c r="N47" s="79">
        <v>57732221.027039237</v>
      </c>
      <c r="O47" s="79">
        <v>26116637.027039237</v>
      </c>
      <c r="P47" s="79">
        <v>5039581.027039241</v>
      </c>
      <c r="Q47" s="79">
        <v>-8998276.8648448791</v>
      </c>
      <c r="R47" s="457">
        <v>-8998276.8648448791</v>
      </c>
      <c r="S47" s="79">
        <v>5039581.027039241</v>
      </c>
      <c r="T47" s="79">
        <v>26116637.027039237</v>
      </c>
      <c r="U47" s="79">
        <v>57732221.027039237</v>
      </c>
      <c r="V47" s="79">
        <v>99886333.02703923</v>
      </c>
      <c r="W47" s="79">
        <v>152578973.02703923</v>
      </c>
    </row>
    <row r="48" spans="2:23" x14ac:dyDescent="0.25">
      <c r="B48" s="478" t="s">
        <v>1183</v>
      </c>
      <c r="C48" s="479">
        <f>FLUJO_DE_CAJA!B16</f>
        <v>2021</v>
      </c>
      <c r="D48" s="479">
        <f>FLUJO_DE_CAJA!C16</f>
        <v>2022</v>
      </c>
      <c r="E48" s="479">
        <f>FLUJO_DE_CAJA!D16</f>
        <v>2023</v>
      </c>
      <c r="F48" s="480">
        <f>FLUJO_DE_CAJA!E16</f>
        <v>2024</v>
      </c>
      <c r="G48" s="480">
        <f>FLUJO_DE_CAJA!F16</f>
        <v>2025</v>
      </c>
      <c r="K48" s="502" t="s">
        <v>218</v>
      </c>
      <c r="L48" s="94">
        <f>E46</f>
        <v>483328699.27513969</v>
      </c>
      <c r="M48" s="79">
        <v>405771831.28773296</v>
      </c>
      <c r="N48" s="79">
        <v>329127991.28773296</v>
      </c>
      <c r="O48" s="79">
        <v>271645111.28773296</v>
      </c>
      <c r="P48" s="79">
        <v>233323191.28773296</v>
      </c>
      <c r="Q48" s="79">
        <v>214162231.28773296</v>
      </c>
      <c r="R48" s="457">
        <v>214162231.28773296</v>
      </c>
      <c r="S48" s="79">
        <v>233323191.28773296</v>
      </c>
      <c r="T48" s="79">
        <v>271645111.28773296</v>
      </c>
      <c r="U48" s="79">
        <v>329127991.28773296</v>
      </c>
      <c r="V48" s="79">
        <v>405771831.28773296</v>
      </c>
      <c r="W48" s="79">
        <v>483328699.27513969</v>
      </c>
    </row>
    <row r="49" spans="2:23" x14ac:dyDescent="0.25">
      <c r="B49" s="481" t="s">
        <v>226</v>
      </c>
      <c r="C49" s="94">
        <f>FLUJO_DE_CAJA!B17</f>
        <v>171986527.77777779</v>
      </c>
      <c r="D49" s="94">
        <f>FLUJO_DE_CAJA!C17</f>
        <v>157969.02577777777</v>
      </c>
      <c r="E49" s="94">
        <f>FLUJO_DE_CAJA!D17</f>
        <v>157683.44496355543</v>
      </c>
      <c r="F49" s="94">
        <f>FLUJO_DE_CAJA!E17</f>
        <v>285304.93738159677</v>
      </c>
      <c r="G49" s="94">
        <f>FLUJO_DE_CAJA!F17</f>
        <v>336211.89546102413</v>
      </c>
      <c r="K49" s="502" t="s">
        <v>253</v>
      </c>
      <c r="L49" s="94">
        <f>F77</f>
        <v>503613782.51363564</v>
      </c>
      <c r="M49" s="79">
        <v>426056914.5262289</v>
      </c>
      <c r="N49" s="79">
        <v>349413074.5262289</v>
      </c>
      <c r="O49" s="79">
        <v>291930194.5262289</v>
      </c>
      <c r="P49" s="79">
        <v>253608274.52622887</v>
      </c>
      <c r="Q49" s="79">
        <v>234447314.52622887</v>
      </c>
      <c r="R49" s="457">
        <v>234447314.52622887</v>
      </c>
      <c r="S49" s="79">
        <v>253608274.52622887</v>
      </c>
      <c r="T49" s="79">
        <v>291930194.5262289</v>
      </c>
      <c r="U49" s="79">
        <v>349413074.5262289</v>
      </c>
      <c r="V49" s="79">
        <v>426056914.5262289</v>
      </c>
      <c r="W49" s="79">
        <v>503613782.51363564</v>
      </c>
    </row>
    <row r="50" spans="2:23" x14ac:dyDescent="0.25">
      <c r="B50" s="481" t="s">
        <v>227</v>
      </c>
      <c r="C50" s="94">
        <f>FLUJO_DE_CAJA!B18</f>
        <v>0</v>
      </c>
      <c r="D50" s="94">
        <f>FLUJO_DE_CAJA!C18</f>
        <v>0</v>
      </c>
      <c r="E50" s="94">
        <f>FLUJO_DE_CAJA!D18</f>
        <v>0</v>
      </c>
      <c r="F50" s="94">
        <f>FLUJO_DE_CAJA!E18</f>
        <v>0</v>
      </c>
      <c r="G50" s="94">
        <f>FLUJO_DE_CAJA!F18</f>
        <v>0</v>
      </c>
      <c r="K50" s="502" t="s">
        <v>1179</v>
      </c>
      <c r="L50" s="385">
        <f>C80</f>
        <v>2263578801.0526505</v>
      </c>
      <c r="M50" s="79">
        <v>1976395526.2457452</v>
      </c>
      <c r="N50" s="79">
        <v>1735481137.1347594</v>
      </c>
      <c r="O50" s="79">
        <v>1554795345.3015199</v>
      </c>
      <c r="P50" s="79">
        <v>1434338150.746027</v>
      </c>
      <c r="Q50" s="79">
        <v>1371661231.0549052</v>
      </c>
      <c r="R50" s="457">
        <v>1371661231.0549052</v>
      </c>
      <c r="S50" s="79">
        <v>1434338150.746027</v>
      </c>
      <c r="T50" s="79">
        <v>1554795345.3015199</v>
      </c>
      <c r="U50" s="79">
        <v>1735481137.1347594</v>
      </c>
      <c r="V50" s="79">
        <v>1976395526.2457452</v>
      </c>
      <c r="W50" s="79">
        <v>2263578801.0526505</v>
      </c>
    </row>
    <row r="51" spans="2:23" x14ac:dyDescent="0.25">
      <c r="B51" s="481" t="s">
        <v>228</v>
      </c>
      <c r="C51" s="94">
        <f>FLUJO_DE_CAJA!B19</f>
        <v>1081921.6666666665</v>
      </c>
      <c r="D51" s="94">
        <f>FLUJO_DE_CAJA!C19</f>
        <v>162593.51057777775</v>
      </c>
      <c r="E51" s="94">
        <f>FLUJO_DE_CAJA!D19</f>
        <v>83539.728379448759</v>
      </c>
      <c r="F51" s="94">
        <f>FLUJO_DE_CAJA!E19</f>
        <v>183155.44685841259</v>
      </c>
      <c r="G51" s="94">
        <f>FLUJO_DE_CAJA!F19</f>
        <v>209055.35210717877</v>
      </c>
    </row>
    <row r="52" spans="2:23" x14ac:dyDescent="0.25">
      <c r="B52" s="482" t="s">
        <v>1184</v>
      </c>
      <c r="C52" s="483">
        <f>SUM(C49:C51)</f>
        <v>173068449.44444445</v>
      </c>
      <c r="D52" s="483">
        <f t="shared" ref="D52:G52" si="16">SUM(D49:D51)</f>
        <v>320562.53635555552</v>
      </c>
      <c r="E52" s="483">
        <f t="shared" si="16"/>
        <v>241223.17334300419</v>
      </c>
      <c r="F52" s="483">
        <f t="shared" si="16"/>
        <v>468460.38424000936</v>
      </c>
      <c r="G52" s="483">
        <f t="shared" si="16"/>
        <v>545267.2475682029</v>
      </c>
    </row>
    <row r="53" spans="2:23" ht="15.75" customHeight="1" x14ac:dyDescent="0.25">
      <c r="B53" s="481" t="s">
        <v>230</v>
      </c>
      <c r="C53" s="94">
        <f>FLUJO_DE_CAJA!B21</f>
        <v>0</v>
      </c>
      <c r="D53" s="94">
        <f>FLUJO_DE_CAJA!C21</f>
        <v>0</v>
      </c>
      <c r="E53" s="94">
        <f>FLUJO_DE_CAJA!D21</f>
        <v>0</v>
      </c>
      <c r="F53" s="94">
        <f>FLUJO_DE_CAJA!E21</f>
        <v>0</v>
      </c>
      <c r="G53" s="94">
        <f>FLUJO_DE_CAJA!F21</f>
        <v>0</v>
      </c>
      <c r="M53" s="777" t="s">
        <v>1192</v>
      </c>
      <c r="N53" s="777"/>
      <c r="O53" s="777"/>
      <c r="P53" s="777"/>
      <c r="Q53" s="777"/>
      <c r="R53" s="777"/>
      <c r="S53" s="777"/>
      <c r="T53" s="777"/>
      <c r="U53" s="777"/>
      <c r="V53" s="777"/>
      <c r="W53" s="777"/>
    </row>
    <row r="54" spans="2:23" x14ac:dyDescent="0.25">
      <c r="B54" s="481" t="s">
        <v>231</v>
      </c>
      <c r="C54" s="94">
        <f>FLUJO_DE_CAJA!B22</f>
        <v>0</v>
      </c>
      <c r="D54" s="94">
        <f>FLUJO_DE_CAJA!C22</f>
        <v>0</v>
      </c>
      <c r="E54" s="94">
        <f>FLUJO_DE_CAJA!D22</f>
        <v>0</v>
      </c>
      <c r="F54" s="94">
        <f>FLUJO_DE_CAJA!E22</f>
        <v>0</v>
      </c>
      <c r="G54" s="94">
        <f>FLUJO_DE_CAJA!F22</f>
        <v>0</v>
      </c>
      <c r="M54" s="776" t="s">
        <v>1175</v>
      </c>
      <c r="N54" s="776"/>
      <c r="O54" s="776"/>
      <c r="P54" s="776"/>
      <c r="Q54" s="776"/>
      <c r="R54" s="776"/>
      <c r="S54" s="776"/>
      <c r="T54" s="776"/>
      <c r="U54" s="776"/>
      <c r="V54" s="776"/>
      <c r="W54" s="776"/>
    </row>
    <row r="55" spans="2:23" x14ac:dyDescent="0.25">
      <c r="B55" s="481" t="s">
        <v>232</v>
      </c>
      <c r="C55" s="94">
        <f>FLUJO_DE_CAJA!B23</f>
        <v>357000</v>
      </c>
      <c r="D55" s="94">
        <f>FLUJO_DE_CAJA!C23</f>
        <v>421000</v>
      </c>
      <c r="E55" s="94">
        <f>FLUJO_DE_CAJA!D23</f>
        <v>497150</v>
      </c>
      <c r="F55" s="94">
        <f>FLUJO_DE_CAJA!E23</f>
        <v>592000</v>
      </c>
      <c r="G55" s="94">
        <f>FLUJO_DE_CAJA!F23</f>
        <v>704900</v>
      </c>
      <c r="K55" s="501"/>
      <c r="L55" s="501"/>
      <c r="M55" s="500">
        <f t="shared" ref="M55:P55" si="17">N55-$C$5</f>
        <v>-0.1</v>
      </c>
      <c r="N55" s="500">
        <f t="shared" si="17"/>
        <v>-0.08</v>
      </c>
      <c r="O55" s="500">
        <f t="shared" si="17"/>
        <v>-0.06</v>
      </c>
      <c r="P55" s="500">
        <f t="shared" si="17"/>
        <v>-0.04</v>
      </c>
      <c r="Q55" s="500">
        <f>R55-$C$5</f>
        <v>-0.02</v>
      </c>
      <c r="R55" s="500">
        <f>C4</f>
        <v>0</v>
      </c>
      <c r="S55" s="500">
        <f>R55+$C$5</f>
        <v>0.02</v>
      </c>
      <c r="T55" s="500">
        <f t="shared" ref="T55:W55" si="18">S55+$C$5</f>
        <v>0.04</v>
      </c>
      <c r="U55" s="500">
        <f t="shared" si="18"/>
        <v>0.06</v>
      </c>
      <c r="V55" s="500">
        <f t="shared" si="18"/>
        <v>0.08</v>
      </c>
      <c r="W55" s="500">
        <f t="shared" si="18"/>
        <v>0.1</v>
      </c>
    </row>
    <row r="56" spans="2:23" x14ac:dyDescent="0.25">
      <c r="B56" s="481" t="s">
        <v>233</v>
      </c>
      <c r="C56" s="94">
        <f>FLUJO_DE_CAJA!B24</f>
        <v>0</v>
      </c>
      <c r="D56" s="94">
        <f>FLUJO_DE_CAJA!C24</f>
        <v>0</v>
      </c>
      <c r="E56" s="94">
        <f>FLUJO_DE_CAJA!D24</f>
        <v>0</v>
      </c>
      <c r="F56" s="94">
        <f>FLUJO_DE_CAJA!E24</f>
        <v>0</v>
      </c>
      <c r="G56" s="94">
        <f>FLUJO_DE_CAJA!F24</f>
        <v>0</v>
      </c>
      <c r="K56" s="502" t="s">
        <v>192</v>
      </c>
      <c r="L56" s="94">
        <f>F8</f>
        <v>1188479000</v>
      </c>
      <c r="M56" s="79">
        <f t="dataTable" ref="M56:W63" dt2D="0" dtr="1" r1="C4" ca="1"/>
        <v>1069631100</v>
      </c>
      <c r="N56" s="79">
        <v>974552780.00000012</v>
      </c>
      <c r="O56" s="79">
        <v>903244040</v>
      </c>
      <c r="P56" s="79">
        <v>855704880</v>
      </c>
      <c r="Q56" s="79">
        <v>831935300</v>
      </c>
      <c r="R56" s="457">
        <v>831935300</v>
      </c>
      <c r="S56" s="79">
        <v>855704880</v>
      </c>
      <c r="T56" s="79">
        <v>903244040</v>
      </c>
      <c r="U56" s="79">
        <v>974552780.00000012</v>
      </c>
      <c r="V56" s="79">
        <v>1069631100</v>
      </c>
      <c r="W56" s="79">
        <v>1188479000</v>
      </c>
    </row>
    <row r="57" spans="2:23" x14ac:dyDescent="0.25">
      <c r="B57" s="481" t="s">
        <v>234</v>
      </c>
      <c r="C57" s="94">
        <f>FLUJO_DE_CAJA!B25</f>
        <v>0</v>
      </c>
      <c r="D57" s="94">
        <f>FLUJO_DE_CAJA!C25</f>
        <v>0</v>
      </c>
      <c r="E57" s="94">
        <f>FLUJO_DE_CAJA!D25</f>
        <v>0</v>
      </c>
      <c r="F57" s="94">
        <f>FLUJO_DE_CAJA!E25</f>
        <v>0</v>
      </c>
      <c r="G57" s="94">
        <f>FLUJO_DE_CAJA!F25</f>
        <v>0</v>
      </c>
      <c r="K57" s="502" t="s">
        <v>196</v>
      </c>
      <c r="L57" s="94">
        <f>F13</f>
        <v>880834102.12196374</v>
      </c>
      <c r="M57" s="79">
        <v>761986202.12196374</v>
      </c>
      <c r="N57" s="79">
        <v>666907882.12196398</v>
      </c>
      <c r="O57" s="79">
        <v>595599142.12196374</v>
      </c>
      <c r="P57" s="79">
        <v>548059982.12196374</v>
      </c>
      <c r="Q57" s="79">
        <v>524290402.1219638</v>
      </c>
      <c r="R57" s="457">
        <v>524290402.1219638</v>
      </c>
      <c r="S57" s="79">
        <v>548059982.12196374</v>
      </c>
      <c r="T57" s="79">
        <v>595599142.12196374</v>
      </c>
      <c r="U57" s="79">
        <v>666907882.12196398</v>
      </c>
      <c r="V57" s="79">
        <v>761986202.12196374</v>
      </c>
      <c r="W57" s="79">
        <v>880834102.12196374</v>
      </c>
    </row>
    <row r="58" spans="2:23" x14ac:dyDescent="0.25">
      <c r="B58" s="481" t="s">
        <v>235</v>
      </c>
      <c r="C58" s="94">
        <f>FLUJO_DE_CAJA!B26</f>
        <v>0</v>
      </c>
      <c r="D58" s="94">
        <f>FLUJO_DE_CAJA!C26</f>
        <v>0</v>
      </c>
      <c r="E58" s="94">
        <f>FLUJO_DE_CAJA!D26</f>
        <v>0</v>
      </c>
      <c r="F58" s="94">
        <f>FLUJO_DE_CAJA!E26</f>
        <v>0</v>
      </c>
      <c r="G58" s="94">
        <f>FLUJO_DE_CAJA!F26</f>
        <v>0</v>
      </c>
      <c r="K58" s="502" t="s">
        <v>1176</v>
      </c>
      <c r="L58" s="94">
        <f>F20</f>
        <v>500633114.24859643</v>
      </c>
      <c r="M58" s="79">
        <v>381785214.24859643</v>
      </c>
      <c r="N58" s="79">
        <v>286706894.24859667</v>
      </c>
      <c r="O58" s="79">
        <v>215398154.24859643</v>
      </c>
      <c r="P58" s="79">
        <v>167858994.24859643</v>
      </c>
      <c r="Q58" s="79">
        <v>144089414.24859649</v>
      </c>
      <c r="R58" s="457">
        <v>144089414.24859649</v>
      </c>
      <c r="S58" s="79">
        <v>167858994.24859643</v>
      </c>
      <c r="T58" s="79">
        <v>215398154.24859643</v>
      </c>
      <c r="U58" s="79">
        <v>286706894.24859667</v>
      </c>
      <c r="V58" s="79">
        <v>381785214.24859643</v>
      </c>
      <c r="W58" s="79">
        <v>500633114.24859643</v>
      </c>
    </row>
    <row r="59" spans="2:23" x14ac:dyDescent="0.25">
      <c r="B59" s="481" t="s">
        <v>236</v>
      </c>
      <c r="C59" s="94">
        <f>FLUJO_DE_CAJA!B27</f>
        <v>0</v>
      </c>
      <c r="D59" s="94">
        <f>FLUJO_DE_CAJA!C27</f>
        <v>0</v>
      </c>
      <c r="E59" s="94">
        <f>FLUJO_DE_CAJA!D27</f>
        <v>0</v>
      </c>
      <c r="F59" s="94">
        <f>FLUJO_DE_CAJA!E27</f>
        <v>0</v>
      </c>
      <c r="G59" s="94">
        <f>FLUJO_DE_CAJA!F27</f>
        <v>0</v>
      </c>
      <c r="K59" s="502" t="s">
        <v>1177</v>
      </c>
      <c r="L59" s="94">
        <f>F31</f>
        <v>438750211.78651899</v>
      </c>
      <c r="M59" s="79">
        <v>319902311.78651899</v>
      </c>
      <c r="N59" s="79">
        <v>224823991.78651923</v>
      </c>
      <c r="O59" s="79">
        <v>153515251.78651899</v>
      </c>
      <c r="P59" s="79">
        <v>105976091.78651899</v>
      </c>
      <c r="Q59" s="79">
        <v>82206511.786519051</v>
      </c>
      <c r="R59" s="457">
        <v>82206511.786519051</v>
      </c>
      <c r="S59" s="79">
        <v>105976091.78651899</v>
      </c>
      <c r="T59" s="79">
        <v>153515251.78651899</v>
      </c>
      <c r="U59" s="79">
        <v>224823991.78651923</v>
      </c>
      <c r="V59" s="79">
        <v>319902311.78651899</v>
      </c>
      <c r="W59" s="79">
        <v>438750211.78651899</v>
      </c>
    </row>
    <row r="60" spans="2:23" x14ac:dyDescent="0.25">
      <c r="B60" s="481" t="s">
        <v>237</v>
      </c>
      <c r="C60" s="94">
        <f>FLUJO_DE_CAJA!B28</f>
        <v>0</v>
      </c>
      <c r="D60" s="94">
        <f>FLUJO_DE_CAJA!C28</f>
        <v>0</v>
      </c>
      <c r="E60" s="94">
        <f>FLUJO_DE_CAJA!D28</f>
        <v>0</v>
      </c>
      <c r="F60" s="94">
        <f>FLUJO_DE_CAJA!E28</f>
        <v>0</v>
      </c>
      <c r="G60" s="94">
        <f>FLUJO_DE_CAJA!F28</f>
        <v>0</v>
      </c>
      <c r="K60" s="502" t="s">
        <v>1178</v>
      </c>
      <c r="L60" s="94">
        <f>F35</f>
        <v>241312616.48258546</v>
      </c>
      <c r="M60" s="79">
        <v>175946271.48258546</v>
      </c>
      <c r="N60" s="79">
        <v>123653195.48258558</v>
      </c>
      <c r="O60" s="79">
        <v>84433388.482585445</v>
      </c>
      <c r="P60" s="79">
        <v>58286850.482585445</v>
      </c>
      <c r="Q60" s="79">
        <v>45213581.482585482</v>
      </c>
      <c r="R60" s="457">
        <v>45213581.482585482</v>
      </c>
      <c r="S60" s="79">
        <v>58286850.482585445</v>
      </c>
      <c r="T60" s="79">
        <v>84433388.482585445</v>
      </c>
      <c r="U60" s="79">
        <v>123653195.48258558</v>
      </c>
      <c r="V60" s="79">
        <v>175946271.48258546</v>
      </c>
      <c r="W60" s="79">
        <v>241312616.48258546</v>
      </c>
    </row>
    <row r="61" spans="2:23" x14ac:dyDescent="0.25">
      <c r="B61" s="481" t="s">
        <v>238</v>
      </c>
      <c r="C61" s="94">
        <f>FLUJO_DE_CAJA!B29</f>
        <v>0</v>
      </c>
      <c r="D61" s="94">
        <f>FLUJO_DE_CAJA!C29</f>
        <v>0</v>
      </c>
      <c r="E61" s="94">
        <f>FLUJO_DE_CAJA!D29</f>
        <v>0</v>
      </c>
      <c r="F61" s="94">
        <f>FLUJO_DE_CAJA!E29</f>
        <v>0</v>
      </c>
      <c r="G61" s="94">
        <f>FLUJO_DE_CAJA!F29</f>
        <v>0</v>
      </c>
      <c r="K61" s="502" t="s">
        <v>218</v>
      </c>
      <c r="L61" s="94">
        <f>F46</f>
        <v>583923102.14048052</v>
      </c>
      <c r="M61" s="79">
        <v>498606882.14048058</v>
      </c>
      <c r="N61" s="79">
        <v>430353906.14048082</v>
      </c>
      <c r="O61" s="79">
        <v>379164174.14048058</v>
      </c>
      <c r="P61" s="79">
        <v>345037686.14048058</v>
      </c>
      <c r="Q61" s="79">
        <v>324475112.24859649</v>
      </c>
      <c r="R61" s="457">
        <v>324475112.24859649</v>
      </c>
      <c r="S61" s="79">
        <v>345037686.14048058</v>
      </c>
      <c r="T61" s="79">
        <v>379164174.14048058</v>
      </c>
      <c r="U61" s="79">
        <v>430353906.14048082</v>
      </c>
      <c r="V61" s="79">
        <v>498606882.14048058</v>
      </c>
      <c r="W61" s="79">
        <v>583923102.14048052</v>
      </c>
    </row>
    <row r="62" spans="2:23" x14ac:dyDescent="0.25">
      <c r="B62" s="482" t="s">
        <v>239</v>
      </c>
      <c r="C62" s="483">
        <f>SUM(C53:C61)*-1</f>
        <v>-357000</v>
      </c>
      <c r="D62" s="483">
        <f t="shared" ref="D62:G62" si="19">SUM(D53:D61)*-1</f>
        <v>-421000</v>
      </c>
      <c r="E62" s="483">
        <f t="shared" si="19"/>
        <v>-497150</v>
      </c>
      <c r="F62" s="483">
        <f t="shared" si="19"/>
        <v>-592000</v>
      </c>
      <c r="G62" s="483">
        <f t="shared" si="19"/>
        <v>-704900</v>
      </c>
      <c r="K62" s="502" t="s">
        <v>253</v>
      </c>
      <c r="L62" s="94">
        <f>G77</f>
        <v>1051473017.2134736</v>
      </c>
      <c r="M62" s="79">
        <v>966156797.21347356</v>
      </c>
      <c r="N62" s="79">
        <v>897903821.2134738</v>
      </c>
      <c r="O62" s="79">
        <v>846714089.21347356</v>
      </c>
      <c r="P62" s="79">
        <v>812587601.21347356</v>
      </c>
      <c r="Q62" s="79">
        <v>792025027.32158947</v>
      </c>
      <c r="R62" s="457">
        <v>792025027.32158947</v>
      </c>
      <c r="S62" s="79">
        <v>812587601.21347356</v>
      </c>
      <c r="T62" s="79">
        <v>846714089.21347356</v>
      </c>
      <c r="U62" s="79">
        <v>897903821.2134738</v>
      </c>
      <c r="V62" s="79">
        <v>966156797.21347356</v>
      </c>
      <c r="W62" s="79">
        <v>1051473017.2134736</v>
      </c>
    </row>
    <row r="63" spans="2:23" ht="16.5" thickBot="1" x14ac:dyDescent="0.3">
      <c r="B63" s="484" t="s">
        <v>240</v>
      </c>
      <c r="C63" s="485">
        <f>C52+C62</f>
        <v>172711449.44444445</v>
      </c>
      <c r="D63" s="485">
        <f t="shared" ref="D63:G63" si="20">D52+D62</f>
        <v>-100437.46364444448</v>
      </c>
      <c r="E63" s="485">
        <f t="shared" si="20"/>
        <v>-255926.82665699581</v>
      </c>
      <c r="F63" s="485">
        <f t="shared" si="20"/>
        <v>-123539.61575999064</v>
      </c>
      <c r="G63" s="485">
        <f t="shared" si="20"/>
        <v>-159632.7524317971</v>
      </c>
      <c r="K63" s="502" t="s">
        <v>1179</v>
      </c>
      <c r="L63" s="385">
        <f>C80</f>
        <v>2263578801.0526505</v>
      </c>
      <c r="M63" s="79">
        <v>1976395526.2457452</v>
      </c>
      <c r="N63" s="79">
        <v>1735481137.1347594</v>
      </c>
      <c r="O63" s="79">
        <v>1554795345.3015199</v>
      </c>
      <c r="P63" s="79">
        <v>1434338150.746027</v>
      </c>
      <c r="Q63" s="79">
        <v>1371661231.0549052</v>
      </c>
      <c r="R63" s="457">
        <v>1371661231.0549052</v>
      </c>
      <c r="S63" s="79">
        <v>1434338150.746027</v>
      </c>
      <c r="T63" s="79">
        <v>1554795345.3015199</v>
      </c>
      <c r="U63" s="79">
        <v>1735481137.1347594</v>
      </c>
      <c r="V63" s="79">
        <v>1976395526.2457452</v>
      </c>
      <c r="W63" s="79">
        <v>2263578801.0526505</v>
      </c>
    </row>
    <row r="65" spans="2:23" x14ac:dyDescent="0.25">
      <c r="B65" s="478" t="s">
        <v>1185</v>
      </c>
      <c r="C65" s="480">
        <f>FLUJO_DE_CAJA!B34</f>
        <v>2021</v>
      </c>
      <c r="D65" s="480">
        <f>FLUJO_DE_CAJA!C34</f>
        <v>2022</v>
      </c>
      <c r="E65" s="480">
        <f>FLUJO_DE_CAJA!D34</f>
        <v>2023</v>
      </c>
      <c r="F65" s="480">
        <f>FLUJO_DE_CAJA!E34</f>
        <v>2024</v>
      </c>
      <c r="G65" s="480">
        <f>FLUJO_DE_CAJA!F34</f>
        <v>2025</v>
      </c>
    </row>
    <row r="66" spans="2:23" x14ac:dyDescent="0.25">
      <c r="B66" s="486" t="s">
        <v>243</v>
      </c>
      <c r="C66" s="94">
        <f>FLUJO_DE_CAJA!B35</f>
        <v>0</v>
      </c>
      <c r="D66" s="94">
        <f>FLUJO_DE_CAJA!C35</f>
        <v>0</v>
      </c>
      <c r="E66" s="94">
        <f>FLUJO_DE_CAJA!D35</f>
        <v>0</v>
      </c>
      <c r="F66" s="94">
        <f>FLUJO_DE_CAJA!E35</f>
        <v>0</v>
      </c>
      <c r="G66" s="94">
        <f>FLUJO_DE_CAJA!F35</f>
        <v>0</v>
      </c>
      <c r="M66" s="777" t="s">
        <v>1193</v>
      </c>
      <c r="N66" s="777"/>
      <c r="O66" s="777"/>
      <c r="P66" s="777"/>
      <c r="Q66" s="777"/>
      <c r="R66" s="777"/>
      <c r="S66" s="777"/>
      <c r="T66" s="777"/>
      <c r="U66" s="777"/>
      <c r="V66" s="777"/>
      <c r="W66" s="777"/>
    </row>
    <row r="67" spans="2:23" x14ac:dyDescent="0.25">
      <c r="B67" s="486" t="s">
        <v>244</v>
      </c>
      <c r="C67" s="94">
        <f>FLUJO_DE_CAJA!B36</f>
        <v>-28870740</v>
      </c>
      <c r="D67" s="94">
        <f>FLUJO_DE_CAJA!C36</f>
        <v>-82530406.155193582</v>
      </c>
      <c r="E67" s="94">
        <f>FLUJO_DE_CAJA!D36</f>
        <v>-115482960</v>
      </c>
      <c r="F67" s="94">
        <f>FLUJO_DE_CAJA!E36</f>
        <v>0</v>
      </c>
      <c r="G67" s="94">
        <f>FLUJO_DE_CAJA!F36</f>
        <v>0</v>
      </c>
      <c r="M67" s="776" t="s">
        <v>1175</v>
      </c>
      <c r="N67" s="776"/>
      <c r="O67" s="776"/>
      <c r="P67" s="776"/>
      <c r="Q67" s="776"/>
      <c r="R67" s="776"/>
      <c r="S67" s="776"/>
      <c r="T67" s="776"/>
      <c r="U67" s="776"/>
      <c r="V67" s="776"/>
      <c r="W67" s="776"/>
    </row>
    <row r="68" spans="2:23" x14ac:dyDescent="0.25">
      <c r="B68" s="486" t="s">
        <v>245</v>
      </c>
      <c r="C68" s="94">
        <f>FLUJO_DE_CAJA!B37</f>
        <v>-82530406.155193582</v>
      </c>
      <c r="D68" s="94">
        <f>FLUJO_DE_CAJA!C37</f>
        <v>-115482960</v>
      </c>
      <c r="E68" s="94">
        <f>FLUJO_DE_CAJA!D37</f>
        <v>0</v>
      </c>
      <c r="F68" s="94">
        <f>FLUJO_DE_CAJA!E37</f>
        <v>0</v>
      </c>
      <c r="G68" s="94">
        <f>FLUJO_DE_CAJA!F37</f>
        <v>0</v>
      </c>
      <c r="K68" s="501"/>
      <c r="L68" s="501"/>
      <c r="M68" s="500">
        <f t="shared" ref="M68:P68" si="21">N68-$C$5</f>
        <v>-0.1</v>
      </c>
      <c r="N68" s="500">
        <f t="shared" si="21"/>
        <v>-0.08</v>
      </c>
      <c r="O68" s="500">
        <f t="shared" si="21"/>
        <v>-0.06</v>
      </c>
      <c r="P68" s="500">
        <f t="shared" si="21"/>
        <v>-0.04</v>
      </c>
      <c r="Q68" s="500">
        <f>R68-$C$5</f>
        <v>-0.02</v>
      </c>
      <c r="R68" s="500">
        <f>C4</f>
        <v>0</v>
      </c>
      <c r="S68" s="500">
        <f>R68+$C$5</f>
        <v>0.02</v>
      </c>
      <c r="T68" s="500">
        <f t="shared" ref="T68:W68" si="22">S68+$C$5</f>
        <v>0.04</v>
      </c>
      <c r="U68" s="500">
        <f t="shared" si="22"/>
        <v>0.06</v>
      </c>
      <c r="V68" s="500">
        <f t="shared" si="22"/>
        <v>0.08</v>
      </c>
      <c r="W68" s="500">
        <f t="shared" si="22"/>
        <v>0.1</v>
      </c>
    </row>
    <row r="69" spans="2:23" x14ac:dyDescent="0.25">
      <c r="B69" s="486" t="s">
        <v>246</v>
      </c>
      <c r="C69" s="94">
        <f>ESTADO_DE_RESULTADOS!B36*-1</f>
        <v>0</v>
      </c>
      <c r="D69" s="94">
        <f>ESTADO_DE_RESULTADOS!C36*-1</f>
        <v>0</v>
      </c>
      <c r="E69" s="94">
        <f>ESTADO_DE_RESULTADOS!D36*-1</f>
        <v>0</v>
      </c>
      <c r="F69" s="94">
        <f>ESTADO_DE_RESULTADOS!E36*-1</f>
        <v>0</v>
      </c>
      <c r="G69" s="94">
        <f>ESTADO_DE_RESULTADOS!F36*-1</f>
        <v>0</v>
      </c>
      <c r="K69" s="502" t="s">
        <v>192</v>
      </c>
      <c r="L69" s="94">
        <f>G8</f>
        <v>1811097000</v>
      </c>
      <c r="M69" s="79">
        <f t="dataTable" ref="M69:W76" dt2D="0" dtr="1" r1="C4" ca="1"/>
        <v>1629987300</v>
      </c>
      <c r="N69" s="79">
        <v>1485099540</v>
      </c>
      <c r="O69" s="79">
        <v>1376433720</v>
      </c>
      <c r="P69" s="79">
        <v>1303989840</v>
      </c>
      <c r="Q69" s="79">
        <v>1267767900</v>
      </c>
      <c r="R69" s="457">
        <v>1267767900</v>
      </c>
      <c r="S69" s="79">
        <v>1303989840</v>
      </c>
      <c r="T69" s="79">
        <v>1376433720</v>
      </c>
      <c r="U69" s="79">
        <v>1485099540</v>
      </c>
      <c r="V69" s="79">
        <v>1629987300</v>
      </c>
      <c r="W69" s="79">
        <v>1811097000</v>
      </c>
    </row>
    <row r="70" spans="2:23" x14ac:dyDescent="0.25">
      <c r="B70" s="487" t="s">
        <v>247</v>
      </c>
      <c r="C70" s="94">
        <f>FLUJO_DE_CAJA!B39</f>
        <v>0</v>
      </c>
      <c r="D70" s="94">
        <f>FLUJO_DE_CAJA!C39</f>
        <v>0</v>
      </c>
      <c r="E70" s="94">
        <f>FLUJO_DE_CAJA!D39</f>
        <v>0</v>
      </c>
      <c r="F70" s="94">
        <f>FLUJO_DE_CAJA!E39</f>
        <v>0</v>
      </c>
      <c r="G70" s="94">
        <f>FLUJO_DE_CAJA!F39</f>
        <v>0</v>
      </c>
      <c r="K70" s="502" t="s">
        <v>196</v>
      </c>
      <c r="L70" s="94">
        <f>G13</f>
        <v>1454776279.6838145</v>
      </c>
      <c r="M70" s="79">
        <v>1273666579.6838145</v>
      </c>
      <c r="N70" s="79">
        <v>1128778819.6838145</v>
      </c>
      <c r="O70" s="79">
        <v>1020112999.6838145</v>
      </c>
      <c r="P70" s="79">
        <v>947669119.68381453</v>
      </c>
      <c r="Q70" s="79">
        <v>911447179.68381453</v>
      </c>
      <c r="R70" s="457">
        <v>911447179.68381453</v>
      </c>
      <c r="S70" s="79">
        <v>947669119.68381453</v>
      </c>
      <c r="T70" s="79">
        <v>1020112999.6838145</v>
      </c>
      <c r="U70" s="79">
        <v>1128778819.6838145</v>
      </c>
      <c r="V70" s="79">
        <v>1273666579.6838145</v>
      </c>
      <c r="W70" s="79">
        <v>1454776279.6838145</v>
      </c>
    </row>
    <row r="71" spans="2:23" x14ac:dyDescent="0.25">
      <c r="B71" s="488" t="s">
        <v>248</v>
      </c>
      <c r="C71" s="489">
        <f>SUM(C66:C70)</f>
        <v>-111401146.15519358</v>
      </c>
      <c r="D71" s="489">
        <f t="shared" ref="D71:G71" si="23">SUM(D66:D70)</f>
        <v>-198013366.15519357</v>
      </c>
      <c r="E71" s="489">
        <f t="shared" si="23"/>
        <v>-115482960</v>
      </c>
      <c r="F71" s="489">
        <f t="shared" si="23"/>
        <v>0</v>
      </c>
      <c r="G71" s="489">
        <f t="shared" si="23"/>
        <v>0</v>
      </c>
      <c r="K71" s="502" t="s">
        <v>1176</v>
      </c>
      <c r="L71" s="94">
        <f>G20</f>
        <v>911727731.07691658</v>
      </c>
      <c r="M71" s="79">
        <v>730618031.07691658</v>
      </c>
      <c r="N71" s="79">
        <v>585730271.07691658</v>
      </c>
      <c r="O71" s="79">
        <v>477064451.07691658</v>
      </c>
      <c r="P71" s="79">
        <v>404620571.07691658</v>
      </c>
      <c r="Q71" s="79">
        <v>368398631.07691658</v>
      </c>
      <c r="R71" s="457">
        <v>368398631.07691658</v>
      </c>
      <c r="S71" s="79">
        <v>404620571.07691658</v>
      </c>
      <c r="T71" s="79">
        <v>477064451.07691658</v>
      </c>
      <c r="U71" s="79">
        <v>585730271.07691658</v>
      </c>
      <c r="V71" s="79">
        <v>730618031.07691658</v>
      </c>
      <c r="W71" s="79">
        <v>911727731.07691658</v>
      </c>
    </row>
    <row r="72" spans="2:23" x14ac:dyDescent="0.25">
      <c r="K72" s="502" t="s">
        <v>1177</v>
      </c>
      <c r="L72" s="94">
        <f>G31</f>
        <v>866350909.84587789</v>
      </c>
      <c r="M72" s="79">
        <v>685241209.84587789</v>
      </c>
      <c r="N72" s="79">
        <v>540353449.84587789</v>
      </c>
      <c r="O72" s="79">
        <v>431687629.84587789</v>
      </c>
      <c r="P72" s="79">
        <v>359243749.84587789</v>
      </c>
      <c r="Q72" s="79">
        <v>323021809.84587789</v>
      </c>
      <c r="R72" s="457">
        <v>323021809.84587789</v>
      </c>
      <c r="S72" s="79">
        <v>359243749.84587789</v>
      </c>
      <c r="T72" s="79">
        <v>431687629.84587789</v>
      </c>
      <c r="U72" s="79">
        <v>540353449.84587789</v>
      </c>
      <c r="V72" s="79">
        <v>685241209.84587789</v>
      </c>
      <c r="W72" s="79">
        <v>866350909.84587789</v>
      </c>
    </row>
    <row r="73" spans="2:23" x14ac:dyDescent="0.25">
      <c r="K73" s="502" t="s">
        <v>1178</v>
      </c>
      <c r="L73" s="94">
        <f>G35</f>
        <v>476493000.41523278</v>
      </c>
      <c r="M73" s="79">
        <v>376882665.4152329</v>
      </c>
      <c r="N73" s="79">
        <v>297194397.41523284</v>
      </c>
      <c r="O73" s="79">
        <v>237428196.41523284</v>
      </c>
      <c r="P73" s="79">
        <v>197584062.41523284</v>
      </c>
      <c r="Q73" s="79">
        <v>177661995.41523284</v>
      </c>
      <c r="R73" s="457">
        <v>177661995.41523284</v>
      </c>
      <c r="S73" s="79">
        <v>197584062.41523284</v>
      </c>
      <c r="T73" s="79">
        <v>237428196.41523284</v>
      </c>
      <c r="U73" s="79">
        <v>297194397.41523284</v>
      </c>
      <c r="V73" s="79">
        <v>376882665.4152329</v>
      </c>
      <c r="W73" s="79">
        <v>476493000.41523278</v>
      </c>
    </row>
    <row r="74" spans="2:23" x14ac:dyDescent="0.25">
      <c r="B74" s="490" t="s">
        <v>1181</v>
      </c>
      <c r="C74" s="491" t="str">
        <f>ANALISIS_DE_VPN_Y_TIR!C16</f>
        <v>AÑO 0</v>
      </c>
      <c r="D74" s="492">
        <f>ANALISIS_DE_VPN_Y_TIR!D16</f>
        <v>2021</v>
      </c>
      <c r="E74" s="491">
        <f>ANALISIS_DE_VPN_Y_TIR!E16</f>
        <v>2022</v>
      </c>
      <c r="F74" s="491">
        <f>ANALISIS_DE_VPN_Y_TIR!F16</f>
        <v>2023</v>
      </c>
      <c r="G74" s="491">
        <f>ANALISIS_DE_VPN_Y_TIR!G16</f>
        <v>2024</v>
      </c>
      <c r="H74" s="491">
        <f>ANALISIS_DE_VPN_Y_TIR!H16</f>
        <v>2025</v>
      </c>
      <c r="K74" s="502" t="s">
        <v>218</v>
      </c>
      <c r="L74" s="94">
        <f>G46</f>
        <v>1032002754.9516351</v>
      </c>
      <c r="M74" s="79">
        <v>892489819.95163488</v>
      </c>
      <c r="N74" s="79">
        <v>780879471.95163488</v>
      </c>
      <c r="O74" s="79">
        <v>697171710.95163488</v>
      </c>
      <c r="P74" s="79">
        <v>641366536.95163488</v>
      </c>
      <c r="Q74" s="79">
        <v>613463949.95163488</v>
      </c>
      <c r="R74" s="457">
        <v>613463949.95163488</v>
      </c>
      <c r="S74" s="79">
        <v>641366536.95163488</v>
      </c>
      <c r="T74" s="79">
        <v>697171710.95163488</v>
      </c>
      <c r="U74" s="79">
        <v>780879471.95163488</v>
      </c>
      <c r="V74" s="79">
        <v>892489819.95163488</v>
      </c>
      <c r="W74" s="79">
        <v>1032002754.9516351</v>
      </c>
    </row>
    <row r="75" spans="2:23" x14ac:dyDescent="0.25">
      <c r="B75" s="493" t="s">
        <v>320</v>
      </c>
      <c r="C75" s="494"/>
      <c r="D75" s="94">
        <f>C46+C63+C71</f>
        <v>79316172.151010886</v>
      </c>
      <c r="E75" s="94">
        <f t="shared" ref="E75:H75" si="24">D46+D63+D71</f>
        <v>42036292.912726283</v>
      </c>
      <c r="F75" s="94">
        <f t="shared" si="24"/>
        <v>367589812.44848269</v>
      </c>
      <c r="G75" s="94">
        <f t="shared" si="24"/>
        <v>583799562.52472055</v>
      </c>
      <c r="H75" s="94">
        <f t="shared" si="24"/>
        <v>1031843122.1992034</v>
      </c>
      <c r="K75" s="502" t="s">
        <v>253</v>
      </c>
      <c r="L75" s="94">
        <f>H77</f>
        <v>1850700763.1669555</v>
      </c>
      <c r="M75" s="79">
        <v>1711187828.1669555</v>
      </c>
      <c r="N75" s="79">
        <v>1599577480.1669555</v>
      </c>
      <c r="O75" s="79">
        <v>1515869719.1669555</v>
      </c>
      <c r="P75" s="79">
        <v>1460064545.1669555</v>
      </c>
      <c r="Q75" s="79">
        <v>1432161958.1669555</v>
      </c>
      <c r="R75" s="457">
        <v>1432161958.1669555</v>
      </c>
      <c r="S75" s="79">
        <v>1460064545.1669555</v>
      </c>
      <c r="T75" s="79">
        <v>1515869719.1669555</v>
      </c>
      <c r="U75" s="79">
        <v>1599577480.1669555</v>
      </c>
      <c r="V75" s="79">
        <v>1711187828.1669555</v>
      </c>
      <c r="W75" s="79">
        <v>1850700763.1669555</v>
      </c>
    </row>
    <row r="76" spans="2:23" x14ac:dyDescent="0.25">
      <c r="B76" s="493" t="s">
        <v>249</v>
      </c>
      <c r="C76" s="475"/>
      <c r="D76" s="94">
        <f>FLUJO_DE_CAJA!B43</f>
        <v>15955700</v>
      </c>
      <c r="E76" s="94">
        <f>FLUJO_DE_CAJA!C43</f>
        <v>36416470.830270872</v>
      </c>
      <c r="F76" s="94">
        <f>FLUJO_DE_CAJA!D43</f>
        <v>136023970.06515291</v>
      </c>
      <c r="G76" s="94">
        <f>FLUJO_DE_CAJA!E43</f>
        <v>467673454.68875295</v>
      </c>
      <c r="H76" s="94">
        <f>FLUJO_DE_CAJA!F43</f>
        <v>818857640.96775222</v>
      </c>
      <c r="K76" s="502" t="s">
        <v>1179</v>
      </c>
      <c r="L76" s="385">
        <f>C80</f>
        <v>2263578801.0526505</v>
      </c>
      <c r="M76" s="79">
        <v>1976395526.2457452</v>
      </c>
      <c r="N76" s="79">
        <v>1735481137.1347594</v>
      </c>
      <c r="O76" s="79">
        <v>1554795345.3015199</v>
      </c>
      <c r="P76" s="79">
        <v>1434338150.746027</v>
      </c>
      <c r="Q76" s="79">
        <v>1371661231.0549052</v>
      </c>
      <c r="R76" s="457">
        <v>1371661231.0549052</v>
      </c>
      <c r="S76" s="79">
        <v>1434338150.746027</v>
      </c>
      <c r="T76" s="79">
        <v>1554795345.3015199</v>
      </c>
      <c r="U76" s="79">
        <v>1735481137.1347594</v>
      </c>
      <c r="V76" s="79">
        <v>1976395526.2457452</v>
      </c>
      <c r="W76" s="79">
        <v>2263578801.0526505</v>
      </c>
    </row>
    <row r="77" spans="2:23" x14ac:dyDescent="0.25">
      <c r="B77" s="495" t="s">
        <v>1182</v>
      </c>
      <c r="C77" s="496">
        <f>ANALISIS_DE_VPN_Y_TIR!H11*-1</f>
        <v>-194353700</v>
      </c>
      <c r="D77" s="496">
        <f>SUM(D75:D76)</f>
        <v>95271872.151010886</v>
      </c>
      <c r="E77" s="496">
        <f t="shared" ref="E77:H77" si="25">SUM(E75:E76)</f>
        <v>78452763.742997155</v>
      </c>
      <c r="F77" s="496">
        <f t="shared" si="25"/>
        <v>503613782.51363564</v>
      </c>
      <c r="G77" s="496">
        <f t="shared" si="25"/>
        <v>1051473017.2134736</v>
      </c>
      <c r="H77" s="496">
        <f t="shared" si="25"/>
        <v>1850700763.1669555</v>
      </c>
    </row>
    <row r="79" spans="2:23" ht="16.5" thickBot="1" x14ac:dyDescent="0.3"/>
    <row r="80" spans="2:23" ht="16.5" thickBot="1" x14ac:dyDescent="0.3">
      <c r="B80" s="497" t="s">
        <v>1186</v>
      </c>
      <c r="C80" s="498">
        <f>C77+NPV(ANALISIS_DE_VPN_Y_TIR!H9,ANALISIS_DE_SENSIBILIDAD!D77:H77)</f>
        <v>2263578801.0526505</v>
      </c>
    </row>
    <row r="83" spans="2:2" x14ac:dyDescent="0.25">
      <c r="B83" s="460"/>
    </row>
  </sheetData>
  <sheetProtection sheet="1" objects="1" scenarios="1"/>
  <mergeCells count="13">
    <mergeCell ref="M67:W67"/>
    <mergeCell ref="M4:Q4"/>
    <mergeCell ref="S4:W4"/>
    <mergeCell ref="M8:W8"/>
    <mergeCell ref="M7:W7"/>
    <mergeCell ref="M21:W21"/>
    <mergeCell ref="M22:W22"/>
    <mergeCell ref="M40:W40"/>
    <mergeCell ref="K2:X2"/>
    <mergeCell ref="M41:W41"/>
    <mergeCell ref="M53:W53"/>
    <mergeCell ref="M54:W54"/>
    <mergeCell ref="M66:W66"/>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0</xdr:row>
                    <xdr:rowOff>200025</xdr:rowOff>
                  </from>
                  <to>
                    <xdr:col>1</xdr:col>
                    <xdr:colOff>2638425</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2021-07-14T16:42:21Z</dcterms:modified>
</cp:coreProperties>
</file>