
<file path=[Content_Types].xml><?xml version="1.0" encoding="utf-8"?>
<Types xmlns="http://schemas.openxmlformats.org/package/2006/content-types">
  <Default Extension="bin" ContentType="application/vnd.openxmlformats-officedocument.spreadsheetml.printerSettings"/>
  <Default Extension="docm" ContentType="application/vnd.ms-word.document.macroEnabled.12"/>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drawings/drawing3.xml" ContentType="application/vnd.openxmlformats-officedocument.drawing+xml"/>
  <Override PartName="/xl/ctrlProps/ctrlProp1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31.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32.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37.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drawings/drawing13.xml" ContentType="application/vnd.openxmlformats-officedocument.drawing+xml"/>
  <Override PartName="/xl/ctrlProps/ctrlProp39.xml" ContentType="application/vnd.ms-excel.controlproperties+xml"/>
  <Override PartName="/xl/comments7.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5.xml" ContentType="application/vnd.openxmlformats-officedocument.drawing+xml"/>
  <Override PartName="/xl/ctrlProps/ctrlProp4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Usuario\Documents\Universidad de la Salle\Laboratorio FINTRADE (prácticas)\Actividades - Funciones\"/>
    </mc:Choice>
  </mc:AlternateContent>
  <xr:revisionPtr revIDLastSave="0" documentId="13_ncr:1_{4D1C0824-66D3-4C8A-94A6-F08716EAB351}" xr6:coauthVersionLast="47" xr6:coauthVersionMax="47" xr10:uidLastSave="{00000000-0000-0000-0000-000000000000}"/>
  <bookViews>
    <workbookView xWindow="-120" yWindow="-120" windowWidth="20730" windowHeight="11160" tabRatio="889" xr2:uid="{96E5E301-DA65-4C76-8BE1-667D104024B0}"/>
  </bookViews>
  <sheets>
    <sheet name="PORTADA" sheetId="8" r:id="rId1"/>
    <sheet name="INSTRUCCIONES" sheetId="14" r:id="rId2"/>
    <sheet name="BASES" sheetId="2" r:id="rId3"/>
    <sheet name="PRODUCTO_O_SERVICIO" sheetId="33" r:id="rId4"/>
    <sheet name="COSTOS_DE_PRODUCCION" sheetId="38" r:id="rId5"/>
    <sheet name="CTOS_VS_ING_OPER-INV_INFRAEST" sheetId="36" r:id="rId6"/>
    <sheet name="GTOS_ADTIVO_Y_VTAS-CTOS_FIJOS" sheetId="18" r:id="rId7"/>
    <sheet name="NECESIDADES_DE_FINANCIACION" sheetId="19" r:id="rId8"/>
    <sheet name="CUADRO_DE_COSTOS_Y_GASTOS_FIJOS" sheetId="20" r:id="rId9"/>
    <sheet name="PUNTO_DE_EQUILIBRIO" sheetId="37" r:id="rId10"/>
    <sheet name="BALANCE_GENERAL" sheetId="22" r:id="rId11"/>
    <sheet name="ESTADO_DE_RESULTADOS" sheetId="23" r:id="rId12"/>
    <sheet name="FLUJO_DE_CAJA" sheetId="24" r:id="rId13"/>
    <sheet name="ANALISIS_DE_VPN_Y_TIR" sheetId="25" r:id="rId14"/>
    <sheet name="ANALISIS_DE_SENSIBILIDAD" sheetId="39" r:id="rId15"/>
  </sheets>
  <definedNames>
    <definedName name="_xlnm._FilterDatabase" localSheetId="4" hidden="1">COSTOS_DE_PRODUCCION!$AT$54:$AX$54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76" i="39" l="1"/>
  <c r="O75" i="39"/>
  <c r="O74" i="39"/>
  <c r="O73" i="39"/>
  <c r="O72" i="39"/>
  <c r="O71" i="39"/>
  <c r="O70" i="39"/>
  <c r="O69" i="39"/>
  <c r="O63" i="39"/>
  <c r="O62" i="39"/>
  <c r="O61" i="39"/>
  <c r="O60" i="39"/>
  <c r="O59" i="39"/>
  <c r="O58" i="39"/>
  <c r="O57" i="39"/>
  <c r="O56" i="39"/>
  <c r="O50" i="39"/>
  <c r="O49" i="39"/>
  <c r="O48" i="39"/>
  <c r="O47" i="39"/>
  <c r="O46" i="39"/>
  <c r="O45" i="39"/>
  <c r="O44" i="39"/>
  <c r="O43" i="39"/>
  <c r="O36" i="39"/>
  <c r="O35" i="39"/>
  <c r="O34" i="39"/>
  <c r="O33" i="39"/>
  <c r="O26" i="39"/>
  <c r="O25" i="39"/>
  <c r="O24" i="39"/>
  <c r="O23" i="39"/>
  <c r="O16" i="39"/>
  <c r="O15" i="39"/>
  <c r="O14" i="39"/>
  <c r="O13" i="39"/>
  <c r="O12" i="39"/>
  <c r="O11" i="39"/>
  <c r="O10" i="39"/>
  <c r="O9" i="39"/>
  <c r="G10" i="39"/>
  <c r="F10" i="39"/>
  <c r="E10" i="39"/>
  <c r="D10" i="39"/>
  <c r="C10" i="39"/>
  <c r="GS107" i="38" l="1"/>
  <c r="GS108" i="38"/>
  <c r="GO107" i="38"/>
  <c r="GO108" i="38"/>
  <c r="GD104" i="38"/>
  <c r="FY107" i="38"/>
  <c r="FY108" i="38"/>
  <c r="FU107" i="38"/>
  <c r="FU108" i="38"/>
  <c r="FU55" i="38"/>
  <c r="FK107" i="38"/>
  <c r="FJ104" i="38"/>
  <c r="H21" i="37"/>
  <c r="H20" i="37"/>
  <c r="K9" i="37"/>
  <c r="H9" i="37"/>
  <c r="G9" i="37"/>
  <c r="G10" i="37"/>
  <c r="R24" i="36"/>
  <c r="R23" i="36"/>
  <c r="O24" i="36"/>
  <c r="O23" i="36"/>
  <c r="L24" i="36"/>
  <c r="L23" i="36"/>
  <c r="I24" i="36"/>
  <c r="I23" i="36"/>
  <c r="F24" i="36"/>
  <c r="F23" i="36"/>
  <c r="O9" i="36"/>
  <c r="M9" i="36"/>
  <c r="K9" i="36"/>
  <c r="I9" i="36"/>
  <c r="N9" i="36"/>
  <c r="L9" i="36"/>
  <c r="J9" i="36"/>
  <c r="H9" i="36"/>
  <c r="H10" i="36"/>
  <c r="F9" i="36"/>
  <c r="F10" i="36"/>
  <c r="G9" i="36" l="1"/>
  <c r="G10" i="36"/>
  <c r="F9" i="37"/>
  <c r="F10" i="37"/>
  <c r="H10" i="37"/>
  <c r="E23" i="36"/>
  <c r="E24" i="36"/>
  <c r="E9" i="36"/>
  <c r="E10" i="36"/>
  <c r="J10" i="36"/>
  <c r="K10" i="36" s="1"/>
  <c r="L10" i="36"/>
  <c r="M10" i="36" s="1"/>
  <c r="N10" i="36"/>
  <c r="O10" i="36" s="1"/>
  <c r="D193" i="38"/>
  <c r="G193" i="38"/>
  <c r="H193" i="38"/>
  <c r="I193" i="38"/>
  <c r="J193" i="38"/>
  <c r="K193" i="38"/>
  <c r="L193" i="38"/>
  <c r="M193" i="38"/>
  <c r="N193" i="38"/>
  <c r="O193" i="38"/>
  <c r="P193" i="38"/>
  <c r="Q193" i="38"/>
  <c r="R193" i="38"/>
  <c r="S193" i="38"/>
  <c r="T193" i="38"/>
  <c r="D192" i="38"/>
  <c r="D165" i="38"/>
  <c r="F165" i="38"/>
  <c r="G165" i="38" s="1"/>
  <c r="H165" i="38"/>
  <c r="J165" i="38"/>
  <c r="L165" i="38"/>
  <c r="N165" i="38"/>
  <c r="Q165" i="38"/>
  <c r="R165" i="38" s="1"/>
  <c r="S165" i="38" s="1"/>
  <c r="T165" i="38" s="1"/>
  <c r="Z165" i="38"/>
  <c r="AA165" i="38" s="1"/>
  <c r="AB165" i="38"/>
  <c r="AD165" i="38"/>
  <c r="AF165" i="38"/>
  <c r="AH165" i="38"/>
  <c r="AK165" i="38"/>
  <c r="AL165" i="38" s="1"/>
  <c r="AM165" i="38" s="1"/>
  <c r="AN165" i="38" s="1"/>
  <c r="AT165" i="38"/>
  <c r="AU165" i="38" s="1"/>
  <c r="AV165" i="38"/>
  <c r="AX165" i="38"/>
  <c r="AZ165" i="38"/>
  <c r="BB165" i="38"/>
  <c r="BE165" i="38"/>
  <c r="BF165" i="38" s="1"/>
  <c r="BG165" i="38" s="1"/>
  <c r="BH165" i="38" s="1"/>
  <c r="BN165" i="38"/>
  <c r="BO165" i="38" s="1"/>
  <c r="BP165" i="38"/>
  <c r="BR165" i="38"/>
  <c r="BT165" i="38"/>
  <c r="BV165" i="38"/>
  <c r="BY165" i="38"/>
  <c r="BZ165" i="38" s="1"/>
  <c r="CA165" i="38" s="1"/>
  <c r="CB165" i="38" s="1"/>
  <c r="CH165" i="38"/>
  <c r="CI165" i="38" s="1"/>
  <c r="CJ165" i="38"/>
  <c r="CL165" i="38"/>
  <c r="CN165" i="38"/>
  <c r="CP165" i="38"/>
  <c r="CS165" i="38"/>
  <c r="CT165" i="38" s="1"/>
  <c r="CU165" i="38" s="1"/>
  <c r="CV165" i="38" s="1"/>
  <c r="DB165" i="38"/>
  <c r="DC165" i="38" s="1"/>
  <c r="DD165" i="38"/>
  <c r="DF165" i="38"/>
  <c r="DH165" i="38"/>
  <c r="DJ165" i="38"/>
  <c r="DM165" i="38"/>
  <c r="DN165" i="38" s="1"/>
  <c r="DO165" i="38" s="1"/>
  <c r="DP165" i="38" s="1"/>
  <c r="DV165" i="38"/>
  <c r="DW165" i="38" s="1"/>
  <c r="DX165" i="38"/>
  <c r="DZ165" i="38"/>
  <c r="EB165" i="38"/>
  <c r="ED165" i="38"/>
  <c r="EG165" i="38"/>
  <c r="EH165" i="38" s="1"/>
  <c r="EI165" i="38" s="1"/>
  <c r="EJ165" i="38" s="1"/>
  <c r="EP165" i="38"/>
  <c r="EQ165" i="38" s="1"/>
  <c r="ER165" i="38"/>
  <c r="ET165" i="38"/>
  <c r="EV165" i="38"/>
  <c r="EX165" i="38"/>
  <c r="FA165" i="38"/>
  <c r="FB165" i="38" s="1"/>
  <c r="FC165" i="38" s="1"/>
  <c r="FD165" i="38" s="1"/>
  <c r="FJ165" i="38"/>
  <c r="FK165" i="38" s="1"/>
  <c r="FL165" i="38"/>
  <c r="FN165" i="38"/>
  <c r="FP165" i="38"/>
  <c r="FR165" i="38"/>
  <c r="FU165" i="38"/>
  <c r="FV165" i="38" s="1"/>
  <c r="FW165" i="38" s="1"/>
  <c r="FX165" i="38" s="1"/>
  <c r="GD165" i="38"/>
  <c r="GE165" i="38" s="1"/>
  <c r="GF165" i="38"/>
  <c r="GH165" i="38"/>
  <c r="GJ165" i="38"/>
  <c r="GL165" i="38"/>
  <c r="GO165" i="38"/>
  <c r="GP165" i="38" s="1"/>
  <c r="GQ165" i="38" s="1"/>
  <c r="GR165" i="38" s="1"/>
  <c r="D164" i="38"/>
  <c r="D145" i="38"/>
  <c r="D146" i="38"/>
  <c r="D107" i="38"/>
  <c r="D108" i="38"/>
  <c r="F108" i="38"/>
  <c r="G108" i="38" s="1"/>
  <c r="H108" i="38"/>
  <c r="J108" i="38"/>
  <c r="L108" i="38"/>
  <c r="N108" i="38"/>
  <c r="Q108" i="38"/>
  <c r="R108" i="38" s="1"/>
  <c r="S108" i="38" s="1"/>
  <c r="T108" i="38" s="1"/>
  <c r="Z108" i="38"/>
  <c r="AA108" i="38" s="1"/>
  <c r="AB108" i="38"/>
  <c r="AD108" i="38"/>
  <c r="AF108" i="38"/>
  <c r="AH108" i="38"/>
  <c r="AK108" i="38"/>
  <c r="AL108" i="38" s="1"/>
  <c r="AM108" i="38" s="1"/>
  <c r="AN108" i="38" s="1"/>
  <c r="AT108" i="38"/>
  <c r="AU108" i="38" s="1"/>
  <c r="AV108" i="38"/>
  <c r="AX108" i="38"/>
  <c r="AZ108" i="38"/>
  <c r="BB108" i="38"/>
  <c r="BE108" i="38"/>
  <c r="BF108" i="38" s="1"/>
  <c r="BG108" i="38" s="1"/>
  <c r="BH108" i="38" s="1"/>
  <c r="BN108" i="38"/>
  <c r="BO108" i="38" s="1"/>
  <c r="BP108" i="38"/>
  <c r="BR108" i="38"/>
  <c r="BT108" i="38"/>
  <c r="BV108" i="38"/>
  <c r="BY108" i="38"/>
  <c r="BZ108" i="38" s="1"/>
  <c r="CA108" i="38" s="1"/>
  <c r="CB108" i="38" s="1"/>
  <c r="CH108" i="38"/>
  <c r="CI108" i="38" s="1"/>
  <c r="CJ108" i="38"/>
  <c r="CL108" i="38"/>
  <c r="CN108" i="38"/>
  <c r="CP108" i="38"/>
  <c r="CS108" i="38"/>
  <c r="CT108" i="38" s="1"/>
  <c r="CU108" i="38" s="1"/>
  <c r="CV108" i="38" s="1"/>
  <c r="DB108" i="38"/>
  <c r="DC108" i="38" s="1"/>
  <c r="DD108" i="38"/>
  <c r="DF108" i="38"/>
  <c r="DH108" i="38"/>
  <c r="DJ108" i="38"/>
  <c r="DM108" i="38"/>
  <c r="DN108" i="38" s="1"/>
  <c r="DO108" i="38" s="1"/>
  <c r="DP108" i="38" s="1"/>
  <c r="DV108" i="38"/>
  <c r="DW108" i="38" s="1"/>
  <c r="DX108" i="38"/>
  <c r="DZ108" i="38"/>
  <c r="EB108" i="38"/>
  <c r="ED108" i="38"/>
  <c r="EG108" i="38"/>
  <c r="EH108" i="38" s="1"/>
  <c r="EI108" i="38" s="1"/>
  <c r="EJ108" i="38" s="1"/>
  <c r="EP108" i="38"/>
  <c r="EQ108" i="38" s="1"/>
  <c r="ER108" i="38"/>
  <c r="ET108" i="38"/>
  <c r="EV108" i="38"/>
  <c r="EX108" i="38"/>
  <c r="FA108" i="38"/>
  <c r="FB108" i="38" s="1"/>
  <c r="FC108" i="38" s="1"/>
  <c r="FD108" i="38" s="1"/>
  <c r="FJ108" i="38"/>
  <c r="FK108" i="38" s="1"/>
  <c r="FL108" i="38"/>
  <c r="FN108" i="38"/>
  <c r="FP108" i="38"/>
  <c r="FR108" i="38"/>
  <c r="FV108" i="38"/>
  <c r="FW108" i="38" s="1"/>
  <c r="FX108" i="38" s="1"/>
  <c r="GD108" i="38"/>
  <c r="GE108" i="38" s="1"/>
  <c r="GF108" i="38"/>
  <c r="GH108" i="38"/>
  <c r="GJ108" i="38"/>
  <c r="GL108" i="38"/>
  <c r="GP108" i="38"/>
  <c r="GQ108" i="38" s="1"/>
  <c r="GR108" i="38" s="1"/>
  <c r="D90" i="38"/>
  <c r="D91" i="38"/>
  <c r="D55" i="38"/>
  <c r="D56" i="38"/>
  <c r="F56" i="38"/>
  <c r="G56" i="38" s="1"/>
  <c r="H56" i="38"/>
  <c r="J56" i="38"/>
  <c r="L56" i="38"/>
  <c r="N56" i="38"/>
  <c r="Q56" i="38"/>
  <c r="R56" i="38" s="1"/>
  <c r="S56" i="38" s="1"/>
  <c r="T56" i="38" s="1"/>
  <c r="Z56" i="38"/>
  <c r="AA56" i="38" s="1"/>
  <c r="AB56" i="38"/>
  <c r="AD56" i="38"/>
  <c r="AF56" i="38"/>
  <c r="AH56" i="38"/>
  <c r="AK56" i="38"/>
  <c r="AL56" i="38" s="1"/>
  <c r="AM56" i="38" s="1"/>
  <c r="AN56" i="38" s="1"/>
  <c r="AT56" i="38"/>
  <c r="AU56" i="38" s="1"/>
  <c r="AV56" i="38"/>
  <c r="AX56" i="38"/>
  <c r="AZ56" i="38"/>
  <c r="BB56" i="38"/>
  <c r="BE56" i="38"/>
  <c r="BF56" i="38" s="1"/>
  <c r="BG56" i="38" s="1"/>
  <c r="BH56" i="38" s="1"/>
  <c r="BN56" i="38"/>
  <c r="BO56" i="38" s="1"/>
  <c r="BP56" i="38"/>
  <c r="BR56" i="38"/>
  <c r="BT56" i="38"/>
  <c r="BV56" i="38"/>
  <c r="BY56" i="38"/>
  <c r="BZ56" i="38" s="1"/>
  <c r="CA56" i="38" s="1"/>
  <c r="CB56" i="38" s="1"/>
  <c r="CH56" i="38"/>
  <c r="CI56" i="38" s="1"/>
  <c r="CJ56" i="38"/>
  <c r="CL56" i="38"/>
  <c r="CN56" i="38"/>
  <c r="CP56" i="38"/>
  <c r="CS56" i="38"/>
  <c r="CT56" i="38" s="1"/>
  <c r="CU56" i="38" s="1"/>
  <c r="CV56" i="38" s="1"/>
  <c r="DB56" i="38"/>
  <c r="DC56" i="38" s="1"/>
  <c r="DD56" i="38"/>
  <c r="DF56" i="38"/>
  <c r="DH56" i="38"/>
  <c r="DJ56" i="38"/>
  <c r="DM56" i="38"/>
  <c r="DN56" i="38" s="1"/>
  <c r="DO56" i="38" s="1"/>
  <c r="DP56" i="38" s="1"/>
  <c r="DV56" i="38"/>
  <c r="DW56" i="38" s="1"/>
  <c r="DX56" i="38"/>
  <c r="DZ56" i="38"/>
  <c r="EB56" i="38"/>
  <c r="ED56" i="38"/>
  <c r="EG56" i="38"/>
  <c r="EH56" i="38" s="1"/>
  <c r="EI56" i="38" s="1"/>
  <c r="EJ56" i="38" s="1"/>
  <c r="EP56" i="38"/>
  <c r="EQ56" i="38" s="1"/>
  <c r="ER56" i="38"/>
  <c r="ET56" i="38"/>
  <c r="EV56" i="38"/>
  <c r="EX56" i="38"/>
  <c r="FA56" i="38"/>
  <c r="FB56" i="38" s="1"/>
  <c r="FC56" i="38" s="1"/>
  <c r="FD56" i="38" s="1"/>
  <c r="FJ56" i="38"/>
  <c r="FK56" i="38" s="1"/>
  <c r="FL56" i="38"/>
  <c r="FN56" i="38"/>
  <c r="FP56" i="38"/>
  <c r="FR56" i="38"/>
  <c r="FU56" i="38"/>
  <c r="FV56" i="38" s="1"/>
  <c r="FW56" i="38" s="1"/>
  <c r="FX56" i="38" s="1"/>
  <c r="GD56" i="38"/>
  <c r="GE56" i="38" s="1"/>
  <c r="GF56" i="38"/>
  <c r="GH56" i="38"/>
  <c r="GJ56" i="38"/>
  <c r="GL56" i="38"/>
  <c r="GO56" i="38"/>
  <c r="GP56" i="38" s="1"/>
  <c r="GQ56" i="38" s="1"/>
  <c r="GR56" i="38" s="1"/>
  <c r="GX56" i="38"/>
  <c r="GY56" i="38" s="1"/>
  <c r="GZ56" i="38"/>
  <c r="HB56" i="38"/>
  <c r="HD56" i="38"/>
  <c r="HF56" i="38"/>
  <c r="HI56" i="38"/>
  <c r="HJ56" i="38" s="1"/>
  <c r="HK56" i="38" s="1"/>
  <c r="HL56" i="38" s="1"/>
  <c r="HR56" i="38"/>
  <c r="HS56" i="38" s="1"/>
  <c r="HT56" i="38"/>
  <c r="HV56" i="38"/>
  <c r="HX56" i="38"/>
  <c r="HZ56" i="38"/>
  <c r="IC56" i="38"/>
  <c r="ID56" i="38" s="1"/>
  <c r="IE56" i="38" s="1"/>
  <c r="IF56" i="38" s="1"/>
  <c r="IL56" i="38"/>
  <c r="IM56" i="38" s="1"/>
  <c r="IN56" i="38"/>
  <c r="IP56" i="38"/>
  <c r="IR56" i="38"/>
  <c r="IT56" i="38"/>
  <c r="IW56" i="38"/>
  <c r="IX56" i="38" s="1"/>
  <c r="IY56" i="38" s="1"/>
  <c r="IZ56" i="38" s="1"/>
  <c r="JF56" i="38"/>
  <c r="JG56" i="38" s="1"/>
  <c r="JH56" i="38"/>
  <c r="JJ56" i="38"/>
  <c r="JL56" i="38"/>
  <c r="JN56" i="38"/>
  <c r="JQ56" i="38"/>
  <c r="JR56" i="38" s="1"/>
  <c r="JS56" i="38" s="1"/>
  <c r="JT56" i="38" s="1"/>
  <c r="JZ56" i="38"/>
  <c r="KA56" i="38" s="1"/>
  <c r="KB56" i="38"/>
  <c r="KD56" i="38"/>
  <c r="KF56" i="38"/>
  <c r="KH56" i="38"/>
  <c r="KK56" i="38"/>
  <c r="KL56" i="38" s="1"/>
  <c r="KM56" i="38" s="1"/>
  <c r="KN56" i="38" s="1"/>
  <c r="KT56" i="38"/>
  <c r="KU56" i="38" s="1"/>
  <c r="KV56" i="38"/>
  <c r="KX56" i="38"/>
  <c r="KZ56" i="38"/>
  <c r="LB56" i="38"/>
  <c r="LE56" i="38"/>
  <c r="LF56" i="38" s="1"/>
  <c r="LG56" i="38" s="1"/>
  <c r="LH56" i="38" s="1"/>
  <c r="LN56" i="38"/>
  <c r="LO56" i="38" s="1"/>
  <c r="LP56" i="38"/>
  <c r="LR56" i="38"/>
  <c r="LT56" i="38"/>
  <c r="LV56" i="38"/>
  <c r="LY56" i="38"/>
  <c r="LZ56" i="38" s="1"/>
  <c r="MA56" i="38" s="1"/>
  <c r="MB56" i="38" s="1"/>
  <c r="MH56" i="38"/>
  <c r="MI56" i="38" s="1"/>
  <c r="MJ56" i="38"/>
  <c r="ML56" i="38"/>
  <c r="MN56" i="38"/>
  <c r="MP56" i="38"/>
  <c r="MS56" i="38"/>
  <c r="MT56" i="38" s="1"/>
  <c r="MU56" i="38" s="1"/>
  <c r="MV56" i="38" s="1"/>
  <c r="NB56" i="38"/>
  <c r="NC56" i="38" s="1"/>
  <c r="ND56" i="38"/>
  <c r="NF56" i="38"/>
  <c r="NH56" i="38"/>
  <c r="NJ56" i="38"/>
  <c r="NM56" i="38"/>
  <c r="NN56" i="38" s="1"/>
  <c r="NO56" i="38" s="1"/>
  <c r="NP56" i="38" s="1"/>
  <c r="NV56" i="38"/>
  <c r="NW56" i="38" s="1"/>
  <c r="NX56" i="38"/>
  <c r="NZ56" i="38"/>
  <c r="OB56" i="38"/>
  <c r="OD56" i="38"/>
  <c r="OG56" i="38"/>
  <c r="OH56" i="38" s="1"/>
  <c r="OI56" i="38" s="1"/>
  <c r="OJ56" i="38" s="1"/>
  <c r="D41" i="38"/>
  <c r="D40" i="38"/>
  <c r="D70" i="39"/>
  <c r="E70" i="39"/>
  <c r="F70" i="39"/>
  <c r="G70" i="39"/>
  <c r="C70" i="39"/>
  <c r="X193" i="38" l="1"/>
  <c r="I10" i="36"/>
  <c r="W193" i="38"/>
  <c r="GG108" i="38"/>
  <c r="GI108" i="38" s="1"/>
  <c r="GK108" i="38" s="1"/>
  <c r="GM108" i="38" s="1"/>
  <c r="Y193" i="38"/>
  <c r="V193" i="38"/>
  <c r="FM108" i="38"/>
  <c r="F193" i="38"/>
  <c r="U193" i="38" s="1"/>
  <c r="ES108" i="38"/>
  <c r="EU108" i="38" s="1"/>
  <c r="EW108" i="38" s="1"/>
  <c r="EY108" i="38" s="1"/>
  <c r="DY165" i="38"/>
  <c r="EA165" i="38" s="1"/>
  <c r="EC165" i="38" s="1"/>
  <c r="EE165" i="38" s="1"/>
  <c r="EF165" i="38"/>
  <c r="AW165" i="38"/>
  <c r="AY165" i="38" s="1"/>
  <c r="BA165" i="38" s="1"/>
  <c r="BC165" i="38" s="1"/>
  <c r="BD165" i="38"/>
  <c r="ES165" i="38"/>
  <c r="EU165" i="38" s="1"/>
  <c r="EW165" i="38" s="1"/>
  <c r="EY165" i="38" s="1"/>
  <c r="EZ165" i="38"/>
  <c r="BQ165" i="38"/>
  <c r="BS165" i="38" s="1"/>
  <c r="BU165" i="38" s="1"/>
  <c r="BW165" i="38" s="1"/>
  <c r="BX165" i="38"/>
  <c r="FM165" i="38"/>
  <c r="FO165" i="38" s="1"/>
  <c r="FQ165" i="38" s="1"/>
  <c r="FS165" i="38" s="1"/>
  <c r="FT165" i="38"/>
  <c r="CK165" i="38"/>
  <c r="CM165" i="38" s="1"/>
  <c r="CO165" i="38" s="1"/>
  <c r="CQ165" i="38" s="1"/>
  <c r="CR165" i="38"/>
  <c r="I165" i="38"/>
  <c r="K165" i="38" s="1"/>
  <c r="M165" i="38" s="1"/>
  <c r="O165" i="38" s="1"/>
  <c r="P165" i="38"/>
  <c r="GG165" i="38"/>
  <c r="GI165" i="38" s="1"/>
  <c r="GK165" i="38" s="1"/>
  <c r="GM165" i="38" s="1"/>
  <c r="GN165" i="38"/>
  <c r="DE165" i="38"/>
  <c r="DG165" i="38" s="1"/>
  <c r="DI165" i="38" s="1"/>
  <c r="DK165" i="38" s="1"/>
  <c r="DL165" i="38"/>
  <c r="AC165" i="38"/>
  <c r="AE165" i="38" s="1"/>
  <c r="AG165" i="38" s="1"/>
  <c r="AI165" i="38" s="1"/>
  <c r="AJ165" i="38"/>
  <c r="BQ108" i="38"/>
  <c r="BS108" i="38" s="1"/>
  <c r="BU108" i="38" s="1"/>
  <c r="BW108" i="38" s="1"/>
  <c r="FO108" i="38"/>
  <c r="FQ108" i="38" s="1"/>
  <c r="FS108" i="38" s="1"/>
  <c r="CK108" i="38"/>
  <c r="CM108" i="38" s="1"/>
  <c r="CO108" i="38" s="1"/>
  <c r="CQ108" i="38" s="1"/>
  <c r="AC108" i="38"/>
  <c r="AE108" i="38" s="1"/>
  <c r="AG108" i="38" s="1"/>
  <c r="AI108" i="38" s="1"/>
  <c r="DE108" i="38"/>
  <c r="DG108" i="38" s="1"/>
  <c r="DI108" i="38" s="1"/>
  <c r="DK108" i="38" s="1"/>
  <c r="DY108" i="38"/>
  <c r="EA108" i="38" s="1"/>
  <c r="EC108" i="38" s="1"/>
  <c r="EE108" i="38" s="1"/>
  <c r="AW108" i="38"/>
  <c r="AY108" i="38" s="1"/>
  <c r="BA108" i="38" s="1"/>
  <c r="BC108" i="38" s="1"/>
  <c r="I108" i="38"/>
  <c r="K108" i="38" s="1"/>
  <c r="M108" i="38" s="1"/>
  <c r="O108" i="38" s="1"/>
  <c r="GN108" i="38"/>
  <c r="FT108" i="38"/>
  <c r="EZ108" i="38"/>
  <c r="EF108" i="38"/>
  <c r="DL108" i="38"/>
  <c r="CR108" i="38"/>
  <c r="BX108" i="38"/>
  <c r="BD108" i="38"/>
  <c r="AJ108" i="38"/>
  <c r="P108" i="38"/>
  <c r="I56" i="38"/>
  <c r="K56" i="38" s="1"/>
  <c r="M56" i="38" s="1"/>
  <c r="O56" i="38" s="1"/>
  <c r="NY56" i="38"/>
  <c r="OA56" i="38" s="1"/>
  <c r="OC56" i="38" s="1"/>
  <c r="OE56" i="38" s="1"/>
  <c r="OF56" i="38"/>
  <c r="NE56" i="38"/>
  <c r="NG56" i="38" s="1"/>
  <c r="NI56" i="38" s="1"/>
  <c r="NK56" i="38" s="1"/>
  <c r="NL56" i="38"/>
  <c r="MK56" i="38"/>
  <c r="MM56" i="38" s="1"/>
  <c r="MO56" i="38" s="1"/>
  <c r="MQ56" i="38" s="1"/>
  <c r="MR56" i="38"/>
  <c r="LQ56" i="38"/>
  <c r="LS56" i="38" s="1"/>
  <c r="LU56" i="38" s="1"/>
  <c r="LW56" i="38" s="1"/>
  <c r="LX56" i="38"/>
  <c r="KW56" i="38"/>
  <c r="KY56" i="38" s="1"/>
  <c r="LA56" i="38" s="1"/>
  <c r="LC56" i="38" s="1"/>
  <c r="LD56" i="38"/>
  <c r="KC56" i="38"/>
  <c r="KE56" i="38" s="1"/>
  <c r="KG56" i="38" s="1"/>
  <c r="KI56" i="38" s="1"/>
  <c r="KJ56" i="38"/>
  <c r="JI56" i="38"/>
  <c r="JK56" i="38" s="1"/>
  <c r="JM56" i="38" s="1"/>
  <c r="JO56" i="38" s="1"/>
  <c r="JP56" i="38"/>
  <c r="IO56" i="38"/>
  <c r="IQ56" i="38" s="1"/>
  <c r="IS56" i="38" s="1"/>
  <c r="IU56" i="38" s="1"/>
  <c r="IV56" i="38"/>
  <c r="HU56" i="38"/>
  <c r="HW56" i="38" s="1"/>
  <c r="HY56" i="38" s="1"/>
  <c r="IA56" i="38" s="1"/>
  <c r="IB56" i="38"/>
  <c r="HA56" i="38"/>
  <c r="HC56" i="38" s="1"/>
  <c r="HE56" i="38" s="1"/>
  <c r="HG56" i="38" s="1"/>
  <c r="HH56" i="38"/>
  <c r="GG56" i="38"/>
  <c r="GI56" i="38" s="1"/>
  <c r="GK56" i="38" s="1"/>
  <c r="GM56" i="38" s="1"/>
  <c r="GN56" i="38"/>
  <c r="FM56" i="38"/>
  <c r="FO56" i="38" s="1"/>
  <c r="FQ56" i="38" s="1"/>
  <c r="FS56" i="38" s="1"/>
  <c r="FT56" i="38"/>
  <c r="ES56" i="38"/>
  <c r="EU56" i="38" s="1"/>
  <c r="EW56" i="38" s="1"/>
  <c r="EY56" i="38" s="1"/>
  <c r="EZ56" i="38"/>
  <c r="DY56" i="38"/>
  <c r="EA56" i="38" s="1"/>
  <c r="EC56" i="38" s="1"/>
  <c r="EE56" i="38" s="1"/>
  <c r="EF56" i="38"/>
  <c r="DE56" i="38"/>
  <c r="DG56" i="38" s="1"/>
  <c r="DI56" i="38" s="1"/>
  <c r="DK56" i="38" s="1"/>
  <c r="DL56" i="38"/>
  <c r="CK56" i="38"/>
  <c r="CM56" i="38" s="1"/>
  <c r="CO56" i="38" s="1"/>
  <c r="CQ56" i="38" s="1"/>
  <c r="CR56" i="38"/>
  <c r="BQ56" i="38"/>
  <c r="BS56" i="38" s="1"/>
  <c r="BU56" i="38" s="1"/>
  <c r="BW56" i="38" s="1"/>
  <c r="BX56" i="38"/>
  <c r="AW56" i="38"/>
  <c r="AY56" i="38" s="1"/>
  <c r="BA56" i="38" s="1"/>
  <c r="BC56" i="38" s="1"/>
  <c r="BD56" i="38"/>
  <c r="AC56" i="38"/>
  <c r="AE56" i="38" s="1"/>
  <c r="AG56" i="38" s="1"/>
  <c r="AI56" i="38" s="1"/>
  <c r="AJ56" i="38"/>
  <c r="P56" i="38"/>
  <c r="GS165" i="38" l="1"/>
  <c r="GW165" i="38"/>
  <c r="GT165" i="38"/>
  <c r="GU165" i="38"/>
  <c r="GV165" i="38"/>
  <c r="CC165" i="38"/>
  <c r="CG165" i="38"/>
  <c r="CD165" i="38"/>
  <c r="CE165" i="38"/>
  <c r="CF165" i="38"/>
  <c r="AO165" i="38"/>
  <c r="AS165" i="38"/>
  <c r="AP165" i="38"/>
  <c r="AQ165" i="38"/>
  <c r="AR165" i="38"/>
  <c r="CW165" i="38"/>
  <c r="DA165" i="38"/>
  <c r="CZ165" i="38"/>
  <c r="CX165" i="38"/>
  <c r="CY165" i="38"/>
  <c r="BI165" i="38"/>
  <c r="BM165" i="38"/>
  <c r="BJ165" i="38"/>
  <c r="BK165" i="38"/>
  <c r="BL165" i="38"/>
  <c r="DQ165" i="38"/>
  <c r="DU165" i="38"/>
  <c r="DR165" i="38"/>
  <c r="DS165" i="38"/>
  <c r="DT165" i="38"/>
  <c r="U165" i="38"/>
  <c r="Y165" i="38"/>
  <c r="V165" i="38"/>
  <c r="W165" i="38"/>
  <c r="X165" i="38"/>
  <c r="FY165" i="38"/>
  <c r="GC165" i="38"/>
  <c r="FZ165" i="38"/>
  <c r="GA165" i="38"/>
  <c r="GB165" i="38"/>
  <c r="FE165" i="38"/>
  <c r="FI165" i="38"/>
  <c r="FH165" i="38"/>
  <c r="FF165" i="38"/>
  <c r="FG165" i="38"/>
  <c r="EK165" i="38"/>
  <c r="EO165" i="38"/>
  <c r="EL165" i="38"/>
  <c r="EM165" i="38"/>
  <c r="EN165" i="38"/>
  <c r="EK108" i="38"/>
  <c r="EO108" i="38"/>
  <c r="EM108" i="38"/>
  <c r="EL108" i="38"/>
  <c r="EN108" i="38"/>
  <c r="CC108" i="38"/>
  <c r="CG108" i="38"/>
  <c r="CE108" i="38"/>
  <c r="CD108" i="38"/>
  <c r="CF108" i="38"/>
  <c r="FE108" i="38"/>
  <c r="FI108" i="38"/>
  <c r="FG108" i="38"/>
  <c r="FF108" i="38"/>
  <c r="FH108" i="38"/>
  <c r="BI108" i="38"/>
  <c r="BM108" i="38"/>
  <c r="BK108" i="38"/>
  <c r="BJ108" i="38"/>
  <c r="BL108" i="38"/>
  <c r="U108" i="38"/>
  <c r="Y108" i="38"/>
  <c r="V108" i="38"/>
  <c r="W108" i="38"/>
  <c r="X108" i="38"/>
  <c r="CW108" i="38"/>
  <c r="DA108" i="38"/>
  <c r="CX108" i="38"/>
  <c r="CZ108" i="38"/>
  <c r="CY108" i="38"/>
  <c r="GC108" i="38"/>
  <c r="GA108" i="38"/>
  <c r="FZ108" i="38"/>
  <c r="GB108" i="38"/>
  <c r="AO108" i="38"/>
  <c r="AS108" i="38"/>
  <c r="AQ108" i="38"/>
  <c r="AP108" i="38"/>
  <c r="AR108" i="38"/>
  <c r="DQ108" i="38"/>
  <c r="DU108" i="38"/>
  <c r="DS108" i="38"/>
  <c r="DR108" i="38"/>
  <c r="DT108" i="38"/>
  <c r="GW108" i="38"/>
  <c r="GT108" i="38"/>
  <c r="GV108" i="38"/>
  <c r="GU108" i="38"/>
  <c r="CW56" i="38"/>
  <c r="DA56" i="38"/>
  <c r="CX56" i="38"/>
  <c r="CZ56" i="38"/>
  <c r="CY56" i="38"/>
  <c r="FY56" i="38"/>
  <c r="GC56" i="38"/>
  <c r="FZ56" i="38"/>
  <c r="GB56" i="38"/>
  <c r="GA56" i="38"/>
  <c r="JA56" i="38"/>
  <c r="JE56" i="38"/>
  <c r="JB56" i="38"/>
  <c r="JD56" i="38"/>
  <c r="JC56" i="38"/>
  <c r="MC56" i="38"/>
  <c r="MG56" i="38"/>
  <c r="MF56" i="38"/>
  <c r="MD56" i="38"/>
  <c r="ME56" i="38"/>
  <c r="NQ56" i="38"/>
  <c r="NU56" i="38"/>
  <c r="NT56" i="38"/>
  <c r="NR56" i="38"/>
  <c r="NS56" i="38"/>
  <c r="U56" i="38"/>
  <c r="Y56" i="38"/>
  <c r="W56" i="38"/>
  <c r="V56" i="38"/>
  <c r="X56" i="38"/>
  <c r="BI56" i="38"/>
  <c r="BM56" i="38"/>
  <c r="BJ56" i="38"/>
  <c r="BL56" i="38"/>
  <c r="BK56" i="38"/>
  <c r="EK56" i="38"/>
  <c r="EO56" i="38"/>
  <c r="EL56" i="38"/>
  <c r="EN56" i="38"/>
  <c r="EM56" i="38"/>
  <c r="HM56" i="38"/>
  <c r="HQ56" i="38"/>
  <c r="HN56" i="38"/>
  <c r="HP56" i="38"/>
  <c r="HO56" i="38"/>
  <c r="KO56" i="38"/>
  <c r="KS56" i="38"/>
  <c r="KP56" i="38"/>
  <c r="KR56" i="38"/>
  <c r="KQ56" i="38"/>
  <c r="AO56" i="38"/>
  <c r="AS56" i="38"/>
  <c r="AP56" i="38"/>
  <c r="AR56" i="38"/>
  <c r="AQ56" i="38"/>
  <c r="CC56" i="38"/>
  <c r="CG56" i="38"/>
  <c r="CD56" i="38"/>
  <c r="CF56" i="38"/>
  <c r="CE56" i="38"/>
  <c r="DQ56" i="38"/>
  <c r="DU56" i="38"/>
  <c r="DR56" i="38"/>
  <c r="DT56" i="38"/>
  <c r="DS56" i="38"/>
  <c r="FE56" i="38"/>
  <c r="FI56" i="38"/>
  <c r="FF56" i="38"/>
  <c r="FH56" i="38"/>
  <c r="FG56" i="38"/>
  <c r="GS56" i="38"/>
  <c r="GW56" i="38"/>
  <c r="GT56" i="38"/>
  <c r="GV56" i="38"/>
  <c r="GU56" i="38"/>
  <c r="IG56" i="38"/>
  <c r="IK56" i="38"/>
  <c r="IH56" i="38"/>
  <c r="IJ56" i="38"/>
  <c r="II56" i="38"/>
  <c r="JU56" i="38"/>
  <c r="JY56" i="38"/>
  <c r="JV56" i="38"/>
  <c r="JX56" i="38"/>
  <c r="JW56" i="38"/>
  <c r="LI56" i="38"/>
  <c r="LM56" i="38"/>
  <c r="LL56" i="38"/>
  <c r="LJ56" i="38"/>
  <c r="LK56" i="38"/>
  <c r="MW56" i="38"/>
  <c r="NA56" i="38"/>
  <c r="MZ56" i="38"/>
  <c r="MX56" i="38"/>
  <c r="MY56" i="38"/>
  <c r="OK56" i="38"/>
  <c r="OO56" i="38"/>
  <c r="ON56" i="38"/>
  <c r="OL56" i="38"/>
  <c r="OM56" i="38"/>
  <c r="E68" i="39"/>
  <c r="F68" i="39"/>
  <c r="G68" i="39"/>
  <c r="F67" i="39"/>
  <c r="G67" i="39"/>
  <c r="D66" i="39"/>
  <c r="E66" i="39"/>
  <c r="F66" i="39"/>
  <c r="G66" i="39"/>
  <c r="C66" i="39"/>
  <c r="C74" i="39"/>
  <c r="B26" i="23"/>
  <c r="D31" i="39"/>
  <c r="E31" i="39"/>
  <c r="F31" i="39"/>
  <c r="G31" i="39"/>
  <c r="D30" i="39"/>
  <c r="E30" i="39"/>
  <c r="F30" i="39"/>
  <c r="G30" i="39"/>
  <c r="D28" i="39"/>
  <c r="E28" i="39"/>
  <c r="F28" i="39"/>
  <c r="G28" i="39"/>
  <c r="D29" i="39"/>
  <c r="E29" i="39"/>
  <c r="F29" i="39"/>
  <c r="G29" i="39"/>
  <c r="D27" i="39"/>
  <c r="D32" i="39" s="1"/>
  <c r="E27" i="39"/>
  <c r="E32" i="39" s="1"/>
  <c r="F27" i="39"/>
  <c r="F32" i="39" s="1"/>
  <c r="G27" i="39"/>
  <c r="G32" i="39" s="1"/>
  <c r="C27" i="39"/>
  <c r="C28" i="39"/>
  <c r="C29" i="39"/>
  <c r="C30" i="39"/>
  <c r="C31" i="39"/>
  <c r="D23" i="39"/>
  <c r="E23" i="39"/>
  <c r="F23" i="39"/>
  <c r="G23" i="39"/>
  <c r="C23" i="39"/>
  <c r="D21" i="39"/>
  <c r="E21" i="39"/>
  <c r="F21" i="39"/>
  <c r="G21" i="39"/>
  <c r="C17" i="39"/>
  <c r="C18" i="39"/>
  <c r="C21" i="39"/>
  <c r="C16" i="39"/>
  <c r="GZ165" i="38" l="1"/>
  <c r="GY165" i="38"/>
  <c r="GY108" i="38"/>
  <c r="HB165" i="38"/>
  <c r="HA165" i="38"/>
  <c r="GX165" i="38"/>
  <c r="HB108" i="38"/>
  <c r="OR56" i="38"/>
  <c r="GZ108" i="38"/>
  <c r="GX108" i="38"/>
  <c r="OP56" i="38"/>
  <c r="HA108" i="38"/>
  <c r="OQ56" i="38"/>
  <c r="OS56" i="38"/>
  <c r="OT56" i="38"/>
  <c r="C32" i="39"/>
  <c r="F23" i="33" l="1"/>
  <c r="V20" i="33"/>
  <c r="R20" i="33"/>
  <c r="N20" i="33"/>
  <c r="J20" i="33"/>
  <c r="F20" i="33"/>
  <c r="C28" i="19"/>
  <c r="C27" i="19"/>
  <c r="T192" i="38" l="1"/>
  <c r="S192" i="38"/>
  <c r="R192" i="38"/>
  <c r="Q192" i="38"/>
  <c r="P192" i="38"/>
  <c r="O192" i="38"/>
  <c r="N192" i="38"/>
  <c r="M192" i="38"/>
  <c r="L192" i="38"/>
  <c r="K192" i="38"/>
  <c r="J192" i="38"/>
  <c r="I192" i="38"/>
  <c r="H192" i="38"/>
  <c r="G192" i="38"/>
  <c r="GO164" i="38"/>
  <c r="GP164" i="38" s="1"/>
  <c r="GQ164" i="38" s="1"/>
  <c r="GR164" i="38" s="1"/>
  <c r="GL164" i="38"/>
  <c r="GJ164" i="38"/>
  <c r="GH164" i="38"/>
  <c r="GF164" i="38"/>
  <c r="GD164" i="38"/>
  <c r="GE164" i="38" s="1"/>
  <c r="GD161" i="38"/>
  <c r="FU164" i="38"/>
  <c r="FV164" i="38" s="1"/>
  <c r="FW164" i="38" s="1"/>
  <c r="FX164" i="38" s="1"/>
  <c r="FR164" i="38"/>
  <c r="FP164" i="38"/>
  <c r="FN164" i="38"/>
  <c r="FL164" i="38"/>
  <c r="FJ164" i="38"/>
  <c r="FK164" i="38" s="1"/>
  <c r="FJ161" i="38"/>
  <c r="FA164" i="38"/>
  <c r="FB164" i="38" s="1"/>
  <c r="FC164" i="38" s="1"/>
  <c r="FD164" i="38" s="1"/>
  <c r="EX164" i="38"/>
  <c r="EV164" i="38"/>
  <c r="ET164" i="38"/>
  <c r="ER164" i="38"/>
  <c r="EP164" i="38"/>
  <c r="EQ164" i="38" s="1"/>
  <c r="EP161" i="38"/>
  <c r="EG164" i="38"/>
  <c r="EH164" i="38" s="1"/>
  <c r="EI164" i="38" s="1"/>
  <c r="EJ164" i="38" s="1"/>
  <c r="ED164" i="38"/>
  <c r="EB164" i="38"/>
  <c r="DZ164" i="38"/>
  <c r="DX164" i="38"/>
  <c r="DV164" i="38"/>
  <c r="DW164" i="38" s="1"/>
  <c r="DV161" i="38"/>
  <c r="DM164" i="38"/>
  <c r="DN164" i="38" s="1"/>
  <c r="DO164" i="38" s="1"/>
  <c r="DP164" i="38" s="1"/>
  <c r="DJ164" i="38"/>
  <c r="DH164" i="38"/>
  <c r="DF164" i="38"/>
  <c r="DD164" i="38"/>
  <c r="DB164" i="38"/>
  <c r="DC164" i="38" s="1"/>
  <c r="DB161" i="38"/>
  <c r="CS164" i="38"/>
  <c r="CT164" i="38" s="1"/>
  <c r="CU164" i="38" s="1"/>
  <c r="CV164" i="38" s="1"/>
  <c r="CP164" i="38"/>
  <c r="CN164" i="38"/>
  <c r="CL164" i="38"/>
  <c r="CJ164" i="38"/>
  <c r="CH164" i="38"/>
  <c r="CI164" i="38" s="1"/>
  <c r="CH161" i="38"/>
  <c r="BY164" i="38"/>
  <c r="BZ164" i="38" s="1"/>
  <c r="CA164" i="38" s="1"/>
  <c r="CB164" i="38" s="1"/>
  <c r="BV164" i="38"/>
  <c r="BT164" i="38"/>
  <c r="BR164" i="38"/>
  <c r="BP164" i="38"/>
  <c r="BN164" i="38"/>
  <c r="BO164" i="38" s="1"/>
  <c r="BN161" i="38"/>
  <c r="BE164" i="38"/>
  <c r="BF164" i="38" s="1"/>
  <c r="BG164" i="38" s="1"/>
  <c r="BH164" i="38" s="1"/>
  <c r="BB164" i="38"/>
  <c r="AZ164" i="38"/>
  <c r="AX164" i="38"/>
  <c r="AV164" i="38"/>
  <c r="AT164" i="38"/>
  <c r="AU164" i="38" s="1"/>
  <c r="AT161" i="38"/>
  <c r="AK164" i="38"/>
  <c r="AL164" i="38" s="1"/>
  <c r="AM164" i="38" s="1"/>
  <c r="AN164" i="38" s="1"/>
  <c r="AH164" i="38"/>
  <c r="AF164" i="38"/>
  <c r="AD164" i="38"/>
  <c r="AB164" i="38"/>
  <c r="Z164" i="38"/>
  <c r="AA164" i="38" s="1"/>
  <c r="Z161" i="38"/>
  <c r="Q164" i="38"/>
  <c r="R164" i="38" s="1"/>
  <c r="S164" i="38" s="1"/>
  <c r="T164" i="38" s="1"/>
  <c r="N164" i="38"/>
  <c r="L164" i="38"/>
  <c r="J164" i="38"/>
  <c r="H164" i="38"/>
  <c r="F164" i="38"/>
  <c r="G164" i="38" s="1"/>
  <c r="F161" i="38"/>
  <c r="GP107" i="38"/>
  <c r="GQ107" i="38" s="1"/>
  <c r="GR107" i="38" s="1"/>
  <c r="GL107" i="38"/>
  <c r="GJ107" i="38"/>
  <c r="GH107" i="38"/>
  <c r="GF107" i="38"/>
  <c r="GD107" i="38"/>
  <c r="GE107" i="38" s="1"/>
  <c r="GN107" i="38" s="1"/>
  <c r="FV107" i="38"/>
  <c r="FW107" i="38" s="1"/>
  <c r="FX107" i="38" s="1"/>
  <c r="FR107" i="38"/>
  <c r="FP107" i="38"/>
  <c r="FN107" i="38"/>
  <c r="FL107" i="38"/>
  <c r="FJ107" i="38"/>
  <c r="FA107" i="38"/>
  <c r="FB107" i="38" s="1"/>
  <c r="FC107" i="38" s="1"/>
  <c r="FD107" i="38" s="1"/>
  <c r="EX107" i="38"/>
  <c r="EV107" i="38"/>
  <c r="ET107" i="38"/>
  <c r="ER107" i="38"/>
  <c r="EP104" i="38"/>
  <c r="EP107" i="38"/>
  <c r="EQ107" i="38" s="1"/>
  <c r="EG107" i="38"/>
  <c r="EH107" i="38" s="1"/>
  <c r="EI107" i="38" s="1"/>
  <c r="EJ107" i="38" s="1"/>
  <c r="ED107" i="38"/>
  <c r="EB107" i="38"/>
  <c r="DZ107" i="38"/>
  <c r="DX107" i="38"/>
  <c r="DV107" i="38"/>
  <c r="DW107" i="38" s="1"/>
  <c r="EF107" i="38" s="1"/>
  <c r="DV104" i="38"/>
  <c r="DM107" i="38"/>
  <c r="DN107" i="38" s="1"/>
  <c r="DO107" i="38" s="1"/>
  <c r="DP107" i="38" s="1"/>
  <c r="DJ107" i="38"/>
  <c r="DH107" i="38"/>
  <c r="DF107" i="38"/>
  <c r="DD107" i="38"/>
  <c r="DB107" i="38"/>
  <c r="DC107" i="38" s="1"/>
  <c r="DL107" i="38" s="1"/>
  <c r="DB104" i="38"/>
  <c r="CS107" i="38"/>
  <c r="CT107" i="38" s="1"/>
  <c r="CU107" i="38" s="1"/>
  <c r="CV107" i="38" s="1"/>
  <c r="CP107" i="38"/>
  <c r="CN107" i="38"/>
  <c r="CL107" i="38"/>
  <c r="CJ107" i="38"/>
  <c r="CH107" i="38"/>
  <c r="CI107" i="38" s="1"/>
  <c r="CH104" i="38"/>
  <c r="BY107" i="38"/>
  <c r="BZ107" i="38" s="1"/>
  <c r="CA107" i="38" s="1"/>
  <c r="CB107" i="38" s="1"/>
  <c r="BV107" i="38"/>
  <c r="BT107" i="38"/>
  <c r="BR107" i="38"/>
  <c r="BP107" i="38"/>
  <c r="BN107" i="38"/>
  <c r="BO107" i="38" s="1"/>
  <c r="BN104" i="38"/>
  <c r="AT104" i="38"/>
  <c r="BE107" i="38"/>
  <c r="BF107" i="38" s="1"/>
  <c r="BG107" i="38" s="1"/>
  <c r="BH107" i="38" s="1"/>
  <c r="BB107" i="38"/>
  <c r="AZ107" i="38"/>
  <c r="AX107" i="38"/>
  <c r="AV107" i="38"/>
  <c r="AT107" i="38"/>
  <c r="AU107" i="38" s="1"/>
  <c r="BD107" i="38" s="1"/>
  <c r="AK107" i="38"/>
  <c r="AL107" i="38" s="1"/>
  <c r="AM107" i="38" s="1"/>
  <c r="AN107" i="38" s="1"/>
  <c r="AH107" i="38"/>
  <c r="AF107" i="38"/>
  <c r="AD107" i="38"/>
  <c r="AB107" i="38"/>
  <c r="Z107" i="38"/>
  <c r="AA107" i="38" s="1"/>
  <c r="Z104" i="38"/>
  <c r="Q107" i="38"/>
  <c r="R107" i="38" s="1"/>
  <c r="S107" i="38" s="1"/>
  <c r="T107" i="38" s="1"/>
  <c r="N107" i="38"/>
  <c r="L107" i="38"/>
  <c r="J107" i="38"/>
  <c r="H107" i="38"/>
  <c r="F107" i="38"/>
  <c r="G107" i="38" s="1"/>
  <c r="F104" i="38"/>
  <c r="F144" i="38" a="1"/>
  <c r="F144" i="38" s="1"/>
  <c r="F89" i="38" a="1"/>
  <c r="F89" i="38" s="1"/>
  <c r="F39" i="38" a="1"/>
  <c r="F39" i="38" s="1"/>
  <c r="OG55" i="38"/>
  <c r="OH55" i="38" s="1"/>
  <c r="OI55" i="38" s="1"/>
  <c r="OJ55" i="38" s="1"/>
  <c r="OD55" i="38"/>
  <c r="OB55" i="38"/>
  <c r="NZ55" i="38"/>
  <c r="NX55" i="38"/>
  <c r="NV55" i="38"/>
  <c r="NW55" i="38" s="1"/>
  <c r="NV52" i="38"/>
  <c r="NM55" i="38"/>
  <c r="NN55" i="38" s="1"/>
  <c r="NO55" i="38" s="1"/>
  <c r="NP55" i="38" s="1"/>
  <c r="NJ55" i="38"/>
  <c r="NH55" i="38"/>
  <c r="NF55" i="38"/>
  <c r="ND55" i="38"/>
  <c r="NB55" i="38"/>
  <c r="NC55" i="38" s="1"/>
  <c r="NB52" i="38"/>
  <c r="MS55" i="38"/>
  <c r="MT55" i="38" s="1"/>
  <c r="MU55" i="38" s="1"/>
  <c r="MV55" i="38" s="1"/>
  <c r="MP55" i="38"/>
  <c r="MN55" i="38"/>
  <c r="ML55" i="38"/>
  <c r="MJ55" i="38"/>
  <c r="MH55" i="38"/>
  <c r="MI55" i="38" s="1"/>
  <c r="MH52" i="38"/>
  <c r="LY55" i="38"/>
  <c r="LZ55" i="38" s="1"/>
  <c r="MA55" i="38" s="1"/>
  <c r="MB55" i="38" s="1"/>
  <c r="LV55" i="38"/>
  <c r="LT55" i="38"/>
  <c r="LR55" i="38"/>
  <c r="LP55" i="38"/>
  <c r="LN55" i="38"/>
  <c r="LO55" i="38" s="1"/>
  <c r="LN52" i="38"/>
  <c r="LE55" i="38"/>
  <c r="LF55" i="38" s="1"/>
  <c r="LG55" i="38" s="1"/>
  <c r="LH55" i="38" s="1"/>
  <c r="LB55" i="38"/>
  <c r="KZ55" i="38"/>
  <c r="KX55" i="38"/>
  <c r="KV55" i="38"/>
  <c r="KT55" i="38"/>
  <c r="KU55" i="38" s="1"/>
  <c r="KT52" i="38"/>
  <c r="KK55" i="38"/>
  <c r="KL55" i="38" s="1"/>
  <c r="KM55" i="38" s="1"/>
  <c r="KN55" i="38" s="1"/>
  <c r="KH55" i="38"/>
  <c r="KF55" i="38"/>
  <c r="KD55" i="38"/>
  <c r="KB55" i="38"/>
  <c r="JZ55" i="38"/>
  <c r="KA55" i="38" s="1"/>
  <c r="JZ52" i="38"/>
  <c r="JQ55" i="38"/>
  <c r="JR55" i="38" s="1"/>
  <c r="JS55" i="38" s="1"/>
  <c r="JT55" i="38" s="1"/>
  <c r="JN55" i="38"/>
  <c r="JL55" i="38"/>
  <c r="JJ55" i="38"/>
  <c r="JH55" i="38"/>
  <c r="JF55" i="38"/>
  <c r="JG55" i="38" s="1"/>
  <c r="JF52" i="38"/>
  <c r="IW55" i="38"/>
  <c r="IX55" i="38" s="1"/>
  <c r="IY55" i="38" s="1"/>
  <c r="IZ55" i="38" s="1"/>
  <c r="IT55" i="38"/>
  <c r="IR55" i="38"/>
  <c r="IP55" i="38"/>
  <c r="IN55" i="38"/>
  <c r="IL55" i="38"/>
  <c r="IM55" i="38" s="1"/>
  <c r="IL52" i="38"/>
  <c r="IC55" i="38"/>
  <c r="ID55" i="38" s="1"/>
  <c r="IE55" i="38" s="1"/>
  <c r="IF55" i="38" s="1"/>
  <c r="HZ55" i="38"/>
  <c r="HX55" i="38"/>
  <c r="HV55" i="38"/>
  <c r="HT55" i="38"/>
  <c r="HR55" i="38"/>
  <c r="HS55" i="38" s="1"/>
  <c r="HR52" i="38"/>
  <c r="HI55" i="38"/>
  <c r="HJ55" i="38" s="1"/>
  <c r="HK55" i="38" s="1"/>
  <c r="HL55" i="38" s="1"/>
  <c r="HF55" i="38"/>
  <c r="HD55" i="38"/>
  <c r="HB55" i="38"/>
  <c r="GZ55" i="38"/>
  <c r="GX55" i="38"/>
  <c r="GY55" i="38" s="1"/>
  <c r="GX52" i="38"/>
  <c r="GO55" i="38"/>
  <c r="GP55" i="38" s="1"/>
  <c r="GQ55" i="38" s="1"/>
  <c r="GR55" i="38" s="1"/>
  <c r="GL55" i="38"/>
  <c r="GJ55" i="38"/>
  <c r="GH55" i="38"/>
  <c r="GF55" i="38"/>
  <c r="GD55" i="38"/>
  <c r="GE55" i="38" s="1"/>
  <c r="GD52" i="38"/>
  <c r="FV55" i="38"/>
  <c r="FW55" i="38" s="1"/>
  <c r="FX55" i="38" s="1"/>
  <c r="FR55" i="38"/>
  <c r="FP55" i="38"/>
  <c r="FN55" i="38"/>
  <c r="FL55" i="38"/>
  <c r="FJ55" i="38"/>
  <c r="FK55" i="38" s="1"/>
  <c r="FJ52" i="38"/>
  <c r="FA55" i="38"/>
  <c r="FB55" i="38" s="1"/>
  <c r="FC55" i="38" s="1"/>
  <c r="FD55" i="38" s="1"/>
  <c r="EG55" i="38"/>
  <c r="EH55" i="38" s="1"/>
  <c r="EI55" i="38" s="1"/>
  <c r="EJ55" i="38" s="1"/>
  <c r="EX55" i="38"/>
  <c r="EV55" i="38"/>
  <c r="ET55" i="38"/>
  <c r="ER55" i="38"/>
  <c r="EP55" i="38"/>
  <c r="EQ55" i="38" s="1"/>
  <c r="EP52" i="38"/>
  <c r="ED55" i="38"/>
  <c r="EB55" i="38"/>
  <c r="DZ55" i="38"/>
  <c r="DX55" i="38"/>
  <c r="DV55" i="38"/>
  <c r="DW55" i="38" s="1"/>
  <c r="DV52" i="38"/>
  <c r="DM55" i="38"/>
  <c r="DN55" i="38" s="1"/>
  <c r="DO55" i="38" s="1"/>
  <c r="DP55" i="38" s="1"/>
  <c r="DJ55" i="38"/>
  <c r="DH55" i="38"/>
  <c r="DF55" i="38"/>
  <c r="DD55" i="38"/>
  <c r="DB55" i="38"/>
  <c r="DC55" i="38" s="1"/>
  <c r="DB52" i="38"/>
  <c r="CS55" i="38"/>
  <c r="CT55" i="38" s="1"/>
  <c r="CU55" i="38" s="1"/>
  <c r="CV55" i="38" s="1"/>
  <c r="CP55" i="38"/>
  <c r="CN55" i="38"/>
  <c r="CL55" i="38"/>
  <c r="CJ55" i="38"/>
  <c r="CH55" i="38"/>
  <c r="CI55" i="38" s="1"/>
  <c r="CH52" i="38"/>
  <c r="BY55" i="38"/>
  <c r="BZ55" i="38" s="1"/>
  <c r="CA55" i="38" s="1"/>
  <c r="CB55" i="38" s="1"/>
  <c r="BV55" i="38"/>
  <c r="BT55" i="38"/>
  <c r="BR55" i="38"/>
  <c r="BP55" i="38"/>
  <c r="BN55" i="38"/>
  <c r="BO55" i="38" s="1"/>
  <c r="BN52" i="38"/>
  <c r="BE55" i="38"/>
  <c r="BF55" i="38" s="1"/>
  <c r="BG55" i="38" s="1"/>
  <c r="BH55" i="38" s="1"/>
  <c r="BB55" i="38"/>
  <c r="AZ55" i="38"/>
  <c r="AX55" i="38"/>
  <c r="AV55" i="38"/>
  <c r="AT55" i="38"/>
  <c r="AU55" i="38" s="1"/>
  <c r="AT52" i="38"/>
  <c r="AK55" i="38"/>
  <c r="AL55" i="38" s="1"/>
  <c r="AM55" i="38" s="1"/>
  <c r="AN55" i="38" s="1"/>
  <c r="AH55" i="38"/>
  <c r="AF55" i="38"/>
  <c r="AD55" i="38"/>
  <c r="AB55" i="38"/>
  <c r="Z55" i="38"/>
  <c r="AA55" i="38" s="1"/>
  <c r="Z52" i="38"/>
  <c r="Q55" i="38"/>
  <c r="R55" i="38" s="1"/>
  <c r="S55" i="38" s="1"/>
  <c r="T55" i="38" s="1"/>
  <c r="N55" i="38"/>
  <c r="L55" i="38"/>
  <c r="F52" i="38"/>
  <c r="I10" i="37" l="1"/>
  <c r="J10" i="37" s="1"/>
  <c r="I9" i="37"/>
  <c r="G24" i="36"/>
  <c r="V192" i="38"/>
  <c r="M23" i="36" s="1"/>
  <c r="N23" i="36" s="1"/>
  <c r="X192" i="38"/>
  <c r="S23" i="36" s="1"/>
  <c r="T23" i="36" s="1"/>
  <c r="W192" i="38"/>
  <c r="P23" i="36" s="1"/>
  <c r="Q23" i="36" s="1"/>
  <c r="Y192" i="38"/>
  <c r="G23" i="36"/>
  <c r="H23" i="36" s="1"/>
  <c r="ES107" i="38"/>
  <c r="EU107" i="38" s="1"/>
  <c r="EW107" i="38" s="1"/>
  <c r="EY107" i="38" s="1"/>
  <c r="EZ107" i="38"/>
  <c r="FI107" i="38" s="1"/>
  <c r="GV107" i="38"/>
  <c r="GT107" i="38"/>
  <c r="GW107" i="38"/>
  <c r="GU107" i="38"/>
  <c r="DT107" i="38"/>
  <c r="DR107" i="38"/>
  <c r="DU107" i="38"/>
  <c r="DS107" i="38"/>
  <c r="DQ107" i="38"/>
  <c r="FM107" i="38"/>
  <c r="FO107" i="38" s="1"/>
  <c r="FQ107" i="38" s="1"/>
  <c r="FS107" i="38" s="1"/>
  <c r="FT107" i="38"/>
  <c r="EN107" i="38"/>
  <c r="EL107" i="38"/>
  <c r="EO107" i="38"/>
  <c r="EM107" i="38"/>
  <c r="EK107" i="38"/>
  <c r="GG164" i="38"/>
  <c r="GI164" i="38" s="1"/>
  <c r="GK164" i="38" s="1"/>
  <c r="GM164" i="38" s="1"/>
  <c r="GN164" i="38"/>
  <c r="DE107" i="38"/>
  <c r="DG107" i="38" s="1"/>
  <c r="DI107" i="38" s="1"/>
  <c r="DK107" i="38" s="1"/>
  <c r="GG107" i="38"/>
  <c r="GI107" i="38" s="1"/>
  <c r="GK107" i="38" s="1"/>
  <c r="GM107" i="38" s="1"/>
  <c r="DY107" i="38"/>
  <c r="EA107" i="38" s="1"/>
  <c r="EC107" i="38" s="1"/>
  <c r="EE107" i="38" s="1"/>
  <c r="FM164" i="38"/>
  <c r="FO164" i="38" s="1"/>
  <c r="FQ164" i="38" s="1"/>
  <c r="FS164" i="38" s="1"/>
  <c r="FT164" i="38"/>
  <c r="ES164" i="38"/>
  <c r="EU164" i="38" s="1"/>
  <c r="EW164" i="38" s="1"/>
  <c r="EY164" i="38" s="1"/>
  <c r="EZ164" i="38"/>
  <c r="DY164" i="38"/>
  <c r="EA164" i="38" s="1"/>
  <c r="EC164" i="38" s="1"/>
  <c r="EE164" i="38" s="1"/>
  <c r="EF164" i="38"/>
  <c r="DE164" i="38"/>
  <c r="DG164" i="38" s="1"/>
  <c r="DI164" i="38" s="1"/>
  <c r="DK164" i="38" s="1"/>
  <c r="DL164" i="38"/>
  <c r="CK164" i="38"/>
  <c r="CM164" i="38" s="1"/>
  <c r="CO164" i="38" s="1"/>
  <c r="CQ164" i="38" s="1"/>
  <c r="CR164" i="38"/>
  <c r="BQ164" i="38"/>
  <c r="BS164" i="38" s="1"/>
  <c r="BU164" i="38" s="1"/>
  <c r="BW164" i="38" s="1"/>
  <c r="BX164" i="38"/>
  <c r="AW164" i="38"/>
  <c r="AY164" i="38" s="1"/>
  <c r="BA164" i="38" s="1"/>
  <c r="BC164" i="38" s="1"/>
  <c r="BD164" i="38"/>
  <c r="AC164" i="38"/>
  <c r="AE164" i="38" s="1"/>
  <c r="AG164" i="38" s="1"/>
  <c r="AI164" i="38" s="1"/>
  <c r="AJ164" i="38"/>
  <c r="I164" i="38"/>
  <c r="K164" i="38" s="1"/>
  <c r="M164" i="38" s="1"/>
  <c r="O164" i="38" s="1"/>
  <c r="P164" i="38"/>
  <c r="BL107" i="38"/>
  <c r="BJ107" i="38"/>
  <c r="BM107" i="38"/>
  <c r="BK107" i="38"/>
  <c r="BI107" i="38"/>
  <c r="BQ107" i="38"/>
  <c r="BS107" i="38" s="1"/>
  <c r="BU107" i="38" s="1"/>
  <c r="BW107" i="38" s="1"/>
  <c r="BX107" i="38"/>
  <c r="CK107" i="38"/>
  <c r="CM107" i="38" s="1"/>
  <c r="CO107" i="38" s="1"/>
  <c r="CQ107" i="38" s="1"/>
  <c r="CR107" i="38"/>
  <c r="AW107" i="38"/>
  <c r="AY107" i="38" s="1"/>
  <c r="BA107" i="38" s="1"/>
  <c r="BC107" i="38" s="1"/>
  <c r="AC107" i="38"/>
  <c r="AE107" i="38" s="1"/>
  <c r="AG107" i="38" s="1"/>
  <c r="AI107" i="38" s="1"/>
  <c r="AJ107" i="38"/>
  <c r="I107" i="38"/>
  <c r="K107" i="38" s="1"/>
  <c r="M107" i="38" s="1"/>
  <c r="O107" i="38" s="1"/>
  <c r="P107" i="38"/>
  <c r="NY55" i="38"/>
  <c r="OA55" i="38" s="1"/>
  <c r="OC55" i="38" s="1"/>
  <c r="OE55" i="38" s="1"/>
  <c r="OF55" i="38"/>
  <c r="NE55" i="38"/>
  <c r="NG55" i="38" s="1"/>
  <c r="NI55" i="38" s="1"/>
  <c r="NK55" i="38" s="1"/>
  <c r="NL55" i="38"/>
  <c r="MK55" i="38"/>
  <c r="MM55" i="38" s="1"/>
  <c r="MO55" i="38" s="1"/>
  <c r="MQ55" i="38" s="1"/>
  <c r="MR55" i="38"/>
  <c r="AC55" i="38"/>
  <c r="AE55" i="38" s="1"/>
  <c r="AG55" i="38" s="1"/>
  <c r="AI55" i="38" s="1"/>
  <c r="LQ55" i="38"/>
  <c r="LS55" i="38" s="1"/>
  <c r="LU55" i="38" s="1"/>
  <c r="LW55" i="38" s="1"/>
  <c r="LX55" i="38"/>
  <c r="KW55" i="38"/>
  <c r="KY55" i="38" s="1"/>
  <c r="LA55" i="38" s="1"/>
  <c r="LC55" i="38" s="1"/>
  <c r="LD55" i="38"/>
  <c r="LM55" i="38" s="1"/>
  <c r="KC55" i="38"/>
  <c r="KE55" i="38" s="1"/>
  <c r="KG55" i="38" s="1"/>
  <c r="KI55" i="38" s="1"/>
  <c r="KJ55" i="38"/>
  <c r="JI55" i="38"/>
  <c r="JK55" i="38" s="1"/>
  <c r="JM55" i="38" s="1"/>
  <c r="JO55" i="38" s="1"/>
  <c r="JP55" i="38"/>
  <c r="IV55" i="38"/>
  <c r="IO55" i="38"/>
  <c r="IQ55" i="38" s="1"/>
  <c r="IS55" i="38" s="1"/>
  <c r="IU55" i="38" s="1"/>
  <c r="IB55" i="38"/>
  <c r="IK55" i="38" s="1"/>
  <c r="HU55" i="38"/>
  <c r="HW55" i="38" s="1"/>
  <c r="HY55" i="38" s="1"/>
  <c r="IA55" i="38" s="1"/>
  <c r="HA55" i="38"/>
  <c r="HC55" i="38" s="1"/>
  <c r="HE55" i="38" s="1"/>
  <c r="HG55" i="38" s="1"/>
  <c r="HH55" i="38"/>
  <c r="GG55" i="38"/>
  <c r="GI55" i="38" s="1"/>
  <c r="GK55" i="38" s="1"/>
  <c r="GM55" i="38" s="1"/>
  <c r="GN55" i="38"/>
  <c r="FM55" i="38"/>
  <c r="FO55" i="38" s="1"/>
  <c r="FQ55" i="38" s="1"/>
  <c r="FS55" i="38" s="1"/>
  <c r="FT55" i="38"/>
  <c r="EZ55" i="38"/>
  <c r="ES55" i="38"/>
  <c r="EU55" i="38" s="1"/>
  <c r="EW55" i="38" s="1"/>
  <c r="EY55" i="38" s="1"/>
  <c r="DY55" i="38"/>
  <c r="EA55" i="38" s="1"/>
  <c r="EC55" i="38" s="1"/>
  <c r="EE55" i="38" s="1"/>
  <c r="EF55" i="38"/>
  <c r="DE55" i="38"/>
  <c r="DG55" i="38" s="1"/>
  <c r="DI55" i="38" s="1"/>
  <c r="DK55" i="38" s="1"/>
  <c r="DL55" i="38"/>
  <c r="CK55" i="38"/>
  <c r="CM55" i="38" s="1"/>
  <c r="CO55" i="38" s="1"/>
  <c r="CQ55" i="38" s="1"/>
  <c r="CR55" i="38"/>
  <c r="BQ55" i="38"/>
  <c r="BS55" i="38" s="1"/>
  <c r="BU55" i="38" s="1"/>
  <c r="BW55" i="38" s="1"/>
  <c r="BX55" i="38"/>
  <c r="AW55" i="38"/>
  <c r="AY55" i="38" s="1"/>
  <c r="BA55" i="38" s="1"/>
  <c r="BC55" i="38" s="1"/>
  <c r="BD55" i="38"/>
  <c r="AJ55" i="38"/>
  <c r="J9" i="37" l="1"/>
  <c r="M24" i="36"/>
  <c r="S24" i="36"/>
  <c r="FG107" i="38"/>
  <c r="FG119" i="38" s="1"/>
  <c r="EM119" i="38"/>
  <c r="P24" i="36"/>
  <c r="FE107" i="38"/>
  <c r="FE119" i="38" s="1"/>
  <c r="EO119" i="38"/>
  <c r="FH107" i="38"/>
  <c r="FH119" i="38" s="1"/>
  <c r="EL119" i="38"/>
  <c r="FI119" i="38"/>
  <c r="FF107" i="38"/>
  <c r="FF119" i="38" s="1"/>
  <c r="EK119" i="38"/>
  <c r="EN119" i="38"/>
  <c r="GW164" i="38"/>
  <c r="GU164" i="38"/>
  <c r="GS164" i="38"/>
  <c r="GV164" i="38"/>
  <c r="GT164" i="38"/>
  <c r="GC107" i="38"/>
  <c r="GA107" i="38"/>
  <c r="GB107" i="38"/>
  <c r="FZ107" i="38"/>
  <c r="DU119" i="38"/>
  <c r="DS119" i="38"/>
  <c r="DQ119" i="38"/>
  <c r="DT119" i="38"/>
  <c r="DR119" i="38"/>
  <c r="GC164" i="38"/>
  <c r="GA164" i="38"/>
  <c r="FY164" i="38"/>
  <c r="GB164" i="38"/>
  <c r="FZ164" i="38"/>
  <c r="FI164" i="38"/>
  <c r="FG164" i="38"/>
  <c r="FE164" i="38"/>
  <c r="FH164" i="38"/>
  <c r="FF164" i="38"/>
  <c r="EO164" i="38"/>
  <c r="EM164" i="38"/>
  <c r="EK164" i="38"/>
  <c r="EN164" i="38"/>
  <c r="EL164" i="38"/>
  <c r="DU164" i="38"/>
  <c r="DS164" i="38"/>
  <c r="DQ164" i="38"/>
  <c r="DT164" i="38"/>
  <c r="DR164" i="38"/>
  <c r="DA164" i="38"/>
  <c r="CY164" i="38"/>
  <c r="CW164" i="38"/>
  <c r="CZ164" i="38"/>
  <c r="CX164" i="38"/>
  <c r="CG164" i="38"/>
  <c r="CE164" i="38"/>
  <c r="CC164" i="38"/>
  <c r="CF164" i="38"/>
  <c r="CD164" i="38"/>
  <c r="BM164" i="38"/>
  <c r="BK164" i="38"/>
  <c r="BI164" i="38"/>
  <c r="BL164" i="38"/>
  <c r="BJ164" i="38"/>
  <c r="AS164" i="38"/>
  <c r="AQ164" i="38"/>
  <c r="AO164" i="38"/>
  <c r="AR164" i="38"/>
  <c r="AP164" i="38"/>
  <c r="Y164" i="38"/>
  <c r="W164" i="38"/>
  <c r="U164" i="38"/>
  <c r="X164" i="38"/>
  <c r="V164" i="38"/>
  <c r="BM119" i="38"/>
  <c r="BK119" i="38"/>
  <c r="BI119" i="38"/>
  <c r="BL119" i="38"/>
  <c r="BJ119" i="38"/>
  <c r="CG107" i="38"/>
  <c r="CG119" i="38" s="1"/>
  <c r="CE107" i="38"/>
  <c r="CE119" i="38" s="1"/>
  <c r="CC107" i="38"/>
  <c r="CC119" i="38" s="1"/>
  <c r="CF107" i="38"/>
  <c r="CF119" i="38" s="1"/>
  <c r="CD107" i="38"/>
  <c r="CD119" i="38" s="1"/>
  <c r="DA107" i="38"/>
  <c r="CY107" i="38"/>
  <c r="CW107" i="38"/>
  <c r="CZ107" i="38"/>
  <c r="CX107" i="38"/>
  <c r="AS107" i="38"/>
  <c r="AQ107" i="38"/>
  <c r="AO107" i="38"/>
  <c r="AR107" i="38"/>
  <c r="AP107" i="38"/>
  <c r="Y107" i="38"/>
  <c r="W107" i="38"/>
  <c r="U107" i="38"/>
  <c r="V107" i="38"/>
  <c r="X107" i="38"/>
  <c r="OO55" i="38"/>
  <c r="OK55" i="38"/>
  <c r="OL55" i="38"/>
  <c r="OM55" i="38"/>
  <c r="ON55" i="38"/>
  <c r="NU55" i="38"/>
  <c r="NQ55" i="38"/>
  <c r="NR55" i="38"/>
  <c r="NS55" i="38"/>
  <c r="NT55" i="38"/>
  <c r="NA55" i="38"/>
  <c r="MW55" i="38"/>
  <c r="MX55" i="38"/>
  <c r="MY55" i="38"/>
  <c r="MY67" i="38" s="1"/>
  <c r="MZ55" i="38"/>
  <c r="MZ67" i="38" s="1"/>
  <c r="LI55" i="38"/>
  <c r="LJ55" i="38"/>
  <c r="LL55" i="38"/>
  <c r="MG55" i="38"/>
  <c r="MC55" i="38"/>
  <c r="MD55" i="38"/>
  <c r="MF55" i="38"/>
  <c r="ME55" i="38"/>
  <c r="LK55" i="38"/>
  <c r="LM67" i="38"/>
  <c r="KS55" i="38"/>
  <c r="KO55" i="38"/>
  <c r="KP55" i="38"/>
  <c r="KQ55" i="38"/>
  <c r="KR55" i="38"/>
  <c r="JY55" i="38"/>
  <c r="JU55" i="38"/>
  <c r="JV55" i="38"/>
  <c r="JW55" i="38"/>
  <c r="JX55" i="38"/>
  <c r="JX67" i="38" s="1"/>
  <c r="II55" i="38"/>
  <c r="IG55" i="38"/>
  <c r="IH55" i="38"/>
  <c r="IJ55" i="38"/>
  <c r="JE55" i="38"/>
  <c r="JA55" i="38"/>
  <c r="JB55" i="38"/>
  <c r="JC55" i="38"/>
  <c r="JD55" i="38"/>
  <c r="IK67" i="38"/>
  <c r="HQ55" i="38"/>
  <c r="HM55" i="38"/>
  <c r="HN55" i="38"/>
  <c r="HO55" i="38"/>
  <c r="HP55" i="38"/>
  <c r="GW55" i="38"/>
  <c r="GS55" i="38"/>
  <c r="GT55" i="38"/>
  <c r="GU55" i="38"/>
  <c r="GV55" i="38"/>
  <c r="GV67" i="38" s="1"/>
  <c r="GC55" i="38"/>
  <c r="FY55" i="38"/>
  <c r="FZ55" i="38"/>
  <c r="GA55" i="38"/>
  <c r="GB55" i="38"/>
  <c r="FI55" i="38"/>
  <c r="FE55" i="38"/>
  <c r="FF55" i="38"/>
  <c r="FG55" i="38"/>
  <c r="FG67" i="38" s="1"/>
  <c r="FH55" i="38"/>
  <c r="EO55" i="38"/>
  <c r="EK55" i="38"/>
  <c r="EL55" i="38"/>
  <c r="EM55" i="38"/>
  <c r="EN55" i="38"/>
  <c r="EN67" i="38" s="1"/>
  <c r="DU55" i="38"/>
  <c r="DQ55" i="38"/>
  <c r="DR55" i="38"/>
  <c r="DS55" i="38"/>
  <c r="DT55" i="38"/>
  <c r="DA55" i="38"/>
  <c r="DA67" i="38" s="1"/>
  <c r="CX55" i="38"/>
  <c r="CY55" i="38"/>
  <c r="CW55" i="38"/>
  <c r="CZ55" i="38"/>
  <c r="CG55" i="38"/>
  <c r="CC55" i="38"/>
  <c r="CD55" i="38"/>
  <c r="CE55" i="38"/>
  <c r="CF55" i="38"/>
  <c r="BM55" i="38"/>
  <c r="BI55" i="38"/>
  <c r="BJ55" i="38"/>
  <c r="BK55" i="38"/>
  <c r="BL55" i="38"/>
  <c r="AS55" i="38"/>
  <c r="AO55" i="38"/>
  <c r="AP55" i="38"/>
  <c r="AQ55" i="38"/>
  <c r="AR55" i="38"/>
  <c r="G20" i="37" l="1"/>
  <c r="I20" i="37" s="1"/>
  <c r="G21" i="37"/>
  <c r="CW67" i="38"/>
  <c r="FH67" i="38"/>
  <c r="GU67" i="38"/>
  <c r="CX67" i="38"/>
  <c r="EM67" i="38"/>
  <c r="JW67" i="38"/>
  <c r="GZ107" i="38"/>
  <c r="FY119" i="38"/>
  <c r="CZ67" i="38"/>
  <c r="GX107" i="38"/>
  <c r="GY107" i="38"/>
  <c r="HB107" i="38"/>
  <c r="GS119" i="38"/>
  <c r="GV175" i="38"/>
  <c r="HA164" i="38"/>
  <c r="HA107" i="38"/>
  <c r="GU119" i="38"/>
  <c r="GS175" i="38"/>
  <c r="GX164" i="38"/>
  <c r="OM67" i="38"/>
  <c r="GT119" i="38"/>
  <c r="GW119" i="38"/>
  <c r="GU175" i="38"/>
  <c r="GZ164" i="38"/>
  <c r="ON67" i="38"/>
  <c r="GV119" i="38"/>
  <c r="GT175" i="38"/>
  <c r="GY164" i="38"/>
  <c r="GW175" i="38"/>
  <c r="HB164" i="38"/>
  <c r="CY175" i="38"/>
  <c r="DT175" i="38"/>
  <c r="FH175" i="38"/>
  <c r="W175" i="38"/>
  <c r="EM175" i="38"/>
  <c r="AO175" i="38"/>
  <c r="BJ175" i="38"/>
  <c r="BM175" i="38"/>
  <c r="CC175" i="38"/>
  <c r="GA175" i="38"/>
  <c r="AP175" i="38"/>
  <c r="AS175" i="38"/>
  <c r="BI175" i="38"/>
  <c r="CD175" i="38"/>
  <c r="CG175" i="38"/>
  <c r="DS175" i="38"/>
  <c r="EN175" i="38"/>
  <c r="FG175" i="38"/>
  <c r="V175" i="38"/>
  <c r="Y175" i="38"/>
  <c r="AQ175" i="38"/>
  <c r="BL175" i="38"/>
  <c r="CE175" i="38"/>
  <c r="CX175" i="38"/>
  <c r="DA175" i="38"/>
  <c r="DQ175" i="38"/>
  <c r="EL175" i="38"/>
  <c r="EO175" i="38"/>
  <c r="FE175" i="38"/>
  <c r="FZ175" i="38"/>
  <c r="GC175" i="38"/>
  <c r="X175" i="38"/>
  <c r="CZ175" i="38"/>
  <c r="GB175" i="38"/>
  <c r="CY67" i="38"/>
  <c r="U119" i="38"/>
  <c r="AR119" i="38"/>
  <c r="U175" i="38"/>
  <c r="AR175" i="38"/>
  <c r="BK175" i="38"/>
  <c r="CF175" i="38"/>
  <c r="CW175" i="38"/>
  <c r="DR175" i="38"/>
  <c r="DU175" i="38"/>
  <c r="EK175" i="38"/>
  <c r="FF175" i="38"/>
  <c r="FI175" i="38"/>
  <c r="FY175" i="38"/>
  <c r="FZ119" i="38"/>
  <c r="GC119" i="38"/>
  <c r="AO119" i="38"/>
  <c r="GB119" i="38"/>
  <c r="V119" i="38"/>
  <c r="CZ119" i="38"/>
  <c r="CW119" i="38"/>
  <c r="MX67" i="38"/>
  <c r="OL67" i="38"/>
  <c r="W119" i="38"/>
  <c r="CY119" i="38"/>
  <c r="AO67" i="38"/>
  <c r="KO67" i="38"/>
  <c r="NU67" i="38"/>
  <c r="X119" i="38"/>
  <c r="Y119" i="38"/>
  <c r="AQ119" i="38"/>
  <c r="CX119" i="38"/>
  <c r="DA119" i="38"/>
  <c r="AP119" i="38"/>
  <c r="AS119" i="38"/>
  <c r="GA119" i="38"/>
  <c r="FF67" i="38"/>
  <c r="JV67" i="38"/>
  <c r="LK67" i="38"/>
  <c r="BL67" i="38"/>
  <c r="BM67" i="38"/>
  <c r="CE67" i="38"/>
  <c r="DS67" i="38"/>
  <c r="EL67" i="38"/>
  <c r="FE67" i="38"/>
  <c r="GB67" i="38"/>
  <c r="GC67" i="38"/>
  <c r="GT67" i="38"/>
  <c r="HM67" i="38"/>
  <c r="JD67" i="38"/>
  <c r="II67" i="38"/>
  <c r="JU67" i="38"/>
  <c r="LI67" i="38"/>
  <c r="MW67" i="38"/>
  <c r="NT67" i="38"/>
  <c r="OK67" i="38"/>
  <c r="AR67" i="38"/>
  <c r="AS67" i="38"/>
  <c r="BK67" i="38"/>
  <c r="CD67" i="38"/>
  <c r="DR67" i="38"/>
  <c r="GA67" i="38"/>
  <c r="HP67" i="38"/>
  <c r="HQ67" i="38"/>
  <c r="JC67" i="38"/>
  <c r="IJ67" i="38"/>
  <c r="KR67" i="38"/>
  <c r="KS67" i="38"/>
  <c r="NS67" i="38"/>
  <c r="JE67" i="38"/>
  <c r="MC67" i="38"/>
  <c r="FI67" i="38"/>
  <c r="GS67" i="38"/>
  <c r="MG67" i="38"/>
  <c r="NA67" i="38"/>
  <c r="AQ67" i="38"/>
  <c r="BJ67" i="38"/>
  <c r="CC67" i="38"/>
  <c r="DQ67" i="38"/>
  <c r="EO67" i="38"/>
  <c r="FZ67" i="38"/>
  <c r="GW67" i="38"/>
  <c r="HO67" i="38"/>
  <c r="JB67" i="38"/>
  <c r="IH67" i="38"/>
  <c r="KQ67" i="38"/>
  <c r="MF67" i="38"/>
  <c r="LL67" i="38"/>
  <c r="NR67" i="38"/>
  <c r="EK67" i="38"/>
  <c r="JY67" i="38"/>
  <c r="ME67" i="38"/>
  <c r="OO67" i="38"/>
  <c r="AP67" i="38"/>
  <c r="BI67" i="38"/>
  <c r="CF67" i="38"/>
  <c r="CG67" i="38"/>
  <c r="DT67" i="38"/>
  <c r="DU67" i="38"/>
  <c r="FY67" i="38"/>
  <c r="HN67" i="38"/>
  <c r="JA67" i="38"/>
  <c r="IG67" i="38"/>
  <c r="KP67" i="38"/>
  <c r="MD67" i="38"/>
  <c r="LJ67" i="38"/>
  <c r="NQ67" i="38"/>
  <c r="J55" i="38"/>
  <c r="H55" i="38"/>
  <c r="F55" i="38"/>
  <c r="D16" i="25"/>
  <c r="D74" i="39" s="1"/>
  <c r="C16" i="25"/>
  <c r="B6" i="24"/>
  <c r="C40" i="39" s="1"/>
  <c r="B3" i="23"/>
  <c r="C9" i="39" s="1"/>
  <c r="C7" i="22"/>
  <c r="B16" i="24" l="1"/>
  <c r="C48" i="39" s="1"/>
  <c r="G55" i="38"/>
  <c r="I55" i="38" s="1"/>
  <c r="K55" i="38" s="1"/>
  <c r="M55" i="38" s="1"/>
  <c r="O55" i="38" s="1"/>
  <c r="F192" i="38"/>
  <c r="U192" i="38" s="1"/>
  <c r="J23" i="36" s="1"/>
  <c r="K23" i="36" s="1"/>
  <c r="D180" i="38"/>
  <c r="C11" i="19" s="1"/>
  <c r="E11" i="19" s="1"/>
  <c r="G181" i="38"/>
  <c r="H181" i="38"/>
  <c r="E180" i="38"/>
  <c r="I181" i="38"/>
  <c r="F181" i="38"/>
  <c r="E181" i="38"/>
  <c r="D181" i="38"/>
  <c r="C17" i="19" s="1"/>
  <c r="H180" i="38"/>
  <c r="G180" i="38"/>
  <c r="F180" i="38"/>
  <c r="I180" i="38"/>
  <c r="C3" i="38"/>
  <c r="B55" i="22"/>
  <c r="C3" i="20"/>
  <c r="D7" i="22"/>
  <c r="C20" i="22" s="1"/>
  <c r="B20" i="22"/>
  <c r="F416" i="36"/>
  <c r="G416" i="36" s="1"/>
  <c r="C21" i="24"/>
  <c r="D53" i="39" s="1"/>
  <c r="D21" i="24"/>
  <c r="E53" i="39" s="1"/>
  <c r="E21" i="24"/>
  <c r="F53" i="39" s="1"/>
  <c r="F21" i="24"/>
  <c r="G53" i="39" s="1"/>
  <c r="B21" i="24"/>
  <c r="F371" i="36"/>
  <c r="F376" i="36" s="1"/>
  <c r="F381" i="36" s="1"/>
  <c r="F386" i="36" s="1"/>
  <c r="F391" i="36" s="1"/>
  <c r="F396" i="36" s="1"/>
  <c r="F401" i="36" s="1"/>
  <c r="F406" i="36" s="1"/>
  <c r="F415" i="36" s="1"/>
  <c r="G366" i="36"/>
  <c r="G371" i="36" s="1"/>
  <c r="G376" i="36" s="1"/>
  <c r="G381" i="36" s="1"/>
  <c r="G386" i="36" s="1"/>
  <c r="G391" i="36" s="1"/>
  <c r="G396" i="36" s="1"/>
  <c r="G401" i="36" s="1"/>
  <c r="G406" i="36" s="1"/>
  <c r="F279" i="36"/>
  <c r="H257" i="36"/>
  <c r="F42" i="37"/>
  <c r="F41" i="37"/>
  <c r="F21" i="37"/>
  <c r="F20" i="37"/>
  <c r="W247" i="36"/>
  <c r="W248" i="36"/>
  <c r="W246" i="36"/>
  <c r="T247" i="36"/>
  <c r="T248" i="36"/>
  <c r="T246" i="36"/>
  <c r="Q247" i="36"/>
  <c r="Q248" i="36"/>
  <c r="Q246" i="36"/>
  <c r="N247" i="36"/>
  <c r="N248" i="36"/>
  <c r="N246" i="36"/>
  <c r="K247" i="36"/>
  <c r="K248" i="36"/>
  <c r="K246" i="36"/>
  <c r="H247" i="36"/>
  <c r="H248" i="36"/>
  <c r="H246" i="36"/>
  <c r="X234" i="36"/>
  <c r="G338" i="36" s="1"/>
  <c r="W235" i="36"/>
  <c r="W236" i="36"/>
  <c r="W237" i="36"/>
  <c r="W238" i="36"/>
  <c r="W239" i="36"/>
  <c r="W240" i="36"/>
  <c r="W234" i="36"/>
  <c r="T235" i="36"/>
  <c r="T236" i="36"/>
  <c r="T237" i="36"/>
  <c r="T238" i="36"/>
  <c r="T239" i="36"/>
  <c r="T240" i="36"/>
  <c r="T234" i="36"/>
  <c r="Q235" i="36"/>
  <c r="Q236" i="36"/>
  <c r="Q237" i="36"/>
  <c r="Q238" i="36"/>
  <c r="Q239" i="36"/>
  <c r="Q240" i="36"/>
  <c r="Q234" i="36"/>
  <c r="N235" i="36"/>
  <c r="N236" i="36"/>
  <c r="N237" i="36"/>
  <c r="N238" i="36"/>
  <c r="N239" i="36"/>
  <c r="N240" i="36"/>
  <c r="N234" i="36"/>
  <c r="K235" i="36"/>
  <c r="K236" i="36"/>
  <c r="K237" i="36"/>
  <c r="K238" i="36"/>
  <c r="K239" i="36"/>
  <c r="K240" i="36"/>
  <c r="K234" i="36"/>
  <c r="H235" i="36"/>
  <c r="H236" i="36"/>
  <c r="H237" i="36"/>
  <c r="H238" i="36"/>
  <c r="H239" i="36"/>
  <c r="H240" i="36"/>
  <c r="H234" i="36"/>
  <c r="X215" i="36"/>
  <c r="W216" i="36"/>
  <c r="W217" i="36"/>
  <c r="W218" i="36"/>
  <c r="W219" i="36"/>
  <c r="W220" i="36"/>
  <c r="W221" i="36"/>
  <c r="W222" i="36"/>
  <c r="W223" i="36"/>
  <c r="W224" i="36"/>
  <c r="W225" i="36"/>
  <c r="W226" i="36"/>
  <c r="W227" i="36"/>
  <c r="W228" i="36"/>
  <c r="W229" i="36"/>
  <c r="W230" i="36"/>
  <c r="W215" i="36"/>
  <c r="T216" i="36"/>
  <c r="T217" i="36"/>
  <c r="T218" i="36"/>
  <c r="T219" i="36"/>
  <c r="T220" i="36"/>
  <c r="T221" i="36"/>
  <c r="T222" i="36"/>
  <c r="T223" i="36"/>
  <c r="T224" i="36"/>
  <c r="T225" i="36"/>
  <c r="T226" i="36"/>
  <c r="T227" i="36"/>
  <c r="T228" i="36"/>
  <c r="T229" i="36"/>
  <c r="T230" i="36"/>
  <c r="T215" i="36"/>
  <c r="Q216" i="36"/>
  <c r="Q217" i="36"/>
  <c r="Q218" i="36"/>
  <c r="Q219" i="36"/>
  <c r="Q220" i="36"/>
  <c r="Q221" i="36"/>
  <c r="Q222" i="36"/>
  <c r="Q223" i="36"/>
  <c r="Q224" i="36"/>
  <c r="Q225" i="36"/>
  <c r="Q226" i="36"/>
  <c r="Q227" i="36"/>
  <c r="Q228" i="36"/>
  <c r="Q229" i="36"/>
  <c r="Q230" i="36"/>
  <c r="Q215" i="36"/>
  <c r="N216" i="36"/>
  <c r="N217" i="36"/>
  <c r="N218" i="36"/>
  <c r="N219" i="36"/>
  <c r="N220" i="36"/>
  <c r="N221" i="36"/>
  <c r="N222" i="36"/>
  <c r="N223" i="36"/>
  <c r="N224" i="36"/>
  <c r="N225" i="36"/>
  <c r="N226" i="36"/>
  <c r="N227" i="36"/>
  <c r="N228" i="36"/>
  <c r="N229" i="36"/>
  <c r="N230" i="36"/>
  <c r="N215" i="36"/>
  <c r="K216" i="36"/>
  <c r="K217" i="36"/>
  <c r="K218" i="36"/>
  <c r="K219" i="36"/>
  <c r="K220" i="36"/>
  <c r="K221" i="36"/>
  <c r="K222" i="36"/>
  <c r="K223" i="36"/>
  <c r="K224" i="36"/>
  <c r="K225" i="36"/>
  <c r="K226" i="36"/>
  <c r="K227" i="36"/>
  <c r="K228" i="36"/>
  <c r="K229" i="36"/>
  <c r="K230" i="36"/>
  <c r="K215" i="36"/>
  <c r="H216" i="36"/>
  <c r="H217" i="36"/>
  <c r="H218" i="36"/>
  <c r="H219" i="36"/>
  <c r="H220" i="36"/>
  <c r="H221" i="36"/>
  <c r="H222" i="36"/>
  <c r="H223" i="36"/>
  <c r="H224" i="36"/>
  <c r="H225" i="36"/>
  <c r="H226" i="36"/>
  <c r="H227" i="36"/>
  <c r="H228" i="36"/>
  <c r="H229" i="36"/>
  <c r="H230" i="36"/>
  <c r="H215" i="36"/>
  <c r="X196" i="36"/>
  <c r="G313" i="36" s="1"/>
  <c r="W197" i="36"/>
  <c r="W198" i="36"/>
  <c r="W199" i="36"/>
  <c r="W200" i="36"/>
  <c r="W201" i="36"/>
  <c r="W202" i="36"/>
  <c r="W203" i="36"/>
  <c r="W204" i="36"/>
  <c r="W205" i="36"/>
  <c r="W206" i="36"/>
  <c r="W207" i="36"/>
  <c r="W208" i="36"/>
  <c r="W209" i="36"/>
  <c r="W210" i="36"/>
  <c r="W211" i="36"/>
  <c r="W196" i="36"/>
  <c r="T197" i="36"/>
  <c r="T198" i="36"/>
  <c r="T199" i="36"/>
  <c r="T200" i="36"/>
  <c r="T201" i="36"/>
  <c r="T202" i="36"/>
  <c r="T203" i="36"/>
  <c r="T204" i="36"/>
  <c r="T205" i="36"/>
  <c r="T206" i="36"/>
  <c r="T207" i="36"/>
  <c r="T208" i="36"/>
  <c r="T209" i="36"/>
  <c r="T210" i="36"/>
  <c r="T211" i="36"/>
  <c r="T196" i="36"/>
  <c r="Q197" i="36"/>
  <c r="Q198" i="36"/>
  <c r="Q199" i="36"/>
  <c r="Q200" i="36"/>
  <c r="Q201" i="36"/>
  <c r="Q202" i="36"/>
  <c r="Q203" i="36"/>
  <c r="Q204" i="36"/>
  <c r="Q205" i="36"/>
  <c r="Q206" i="36"/>
  <c r="Q207" i="36"/>
  <c r="Q208" i="36"/>
  <c r="Q209" i="36"/>
  <c r="Q210" i="36"/>
  <c r="Q211" i="36"/>
  <c r="Q196" i="36"/>
  <c r="N197" i="36"/>
  <c r="N198" i="36"/>
  <c r="N199" i="36"/>
  <c r="N200" i="36"/>
  <c r="N201" i="36"/>
  <c r="N202" i="36"/>
  <c r="N203" i="36"/>
  <c r="N204" i="36"/>
  <c r="N205" i="36"/>
  <c r="N206" i="36"/>
  <c r="N207" i="36"/>
  <c r="N208" i="36"/>
  <c r="N209" i="36"/>
  <c r="N210" i="36"/>
  <c r="N211" i="36"/>
  <c r="N196" i="36"/>
  <c r="K197" i="36"/>
  <c r="K198" i="36"/>
  <c r="K199" i="36"/>
  <c r="K200" i="36"/>
  <c r="K201" i="36"/>
  <c r="K202" i="36"/>
  <c r="K203" i="36"/>
  <c r="K204" i="36"/>
  <c r="K205" i="36"/>
  <c r="K206" i="36"/>
  <c r="K207" i="36"/>
  <c r="K208" i="36"/>
  <c r="K209" i="36"/>
  <c r="K210" i="36"/>
  <c r="K211" i="36"/>
  <c r="K196" i="36"/>
  <c r="H197" i="36"/>
  <c r="H198" i="36"/>
  <c r="H199" i="36"/>
  <c r="H200" i="36"/>
  <c r="H201" i="36"/>
  <c r="H202" i="36"/>
  <c r="H203" i="36"/>
  <c r="H204" i="36"/>
  <c r="H205" i="36"/>
  <c r="H206" i="36"/>
  <c r="H207" i="36"/>
  <c r="H208" i="36"/>
  <c r="H209" i="36"/>
  <c r="H210" i="36"/>
  <c r="H211" i="36"/>
  <c r="H196" i="36"/>
  <c r="X157" i="36"/>
  <c r="G354" i="36" s="1"/>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57" i="36"/>
  <c r="T158" i="36"/>
  <c r="T159" i="36"/>
  <c r="T160" i="36"/>
  <c r="T161" i="36"/>
  <c r="T162" i="36"/>
  <c r="T163" i="36"/>
  <c r="T164" i="36"/>
  <c r="T165" i="36"/>
  <c r="T166" i="36"/>
  <c r="T167" i="36"/>
  <c r="T168" i="36"/>
  <c r="T169" i="36"/>
  <c r="T170" i="36"/>
  <c r="T171" i="36"/>
  <c r="T172" i="36"/>
  <c r="T173" i="36"/>
  <c r="T174" i="36"/>
  <c r="T175" i="36"/>
  <c r="T176" i="36"/>
  <c r="T177" i="36"/>
  <c r="T178" i="36"/>
  <c r="T179" i="36"/>
  <c r="T180" i="36"/>
  <c r="T181" i="36"/>
  <c r="T157" i="36"/>
  <c r="Q158" i="36"/>
  <c r="Q159" i="36"/>
  <c r="Q160" i="36"/>
  <c r="Q161" i="36"/>
  <c r="Q162" i="36"/>
  <c r="Q163" i="36"/>
  <c r="Q164" i="36"/>
  <c r="Q165" i="36"/>
  <c r="Q166" i="36"/>
  <c r="Q167" i="36"/>
  <c r="Q168" i="36"/>
  <c r="Q169" i="36"/>
  <c r="Q170" i="36"/>
  <c r="Q171" i="36"/>
  <c r="Q172" i="36"/>
  <c r="Q173" i="36"/>
  <c r="Q174" i="36"/>
  <c r="Q175" i="36"/>
  <c r="Q176" i="36"/>
  <c r="Q177" i="36"/>
  <c r="Q178" i="36"/>
  <c r="Q179" i="36"/>
  <c r="Q180" i="36"/>
  <c r="Q181" i="36"/>
  <c r="Q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57" i="36"/>
  <c r="K158" i="36"/>
  <c r="K159" i="36"/>
  <c r="K160" i="36"/>
  <c r="K161" i="36"/>
  <c r="K162" i="36"/>
  <c r="K163" i="36"/>
  <c r="K164" i="36"/>
  <c r="K165" i="36"/>
  <c r="K166" i="36"/>
  <c r="K167" i="36"/>
  <c r="K168" i="36"/>
  <c r="K169" i="36"/>
  <c r="K170" i="36"/>
  <c r="K171" i="36"/>
  <c r="K172" i="36"/>
  <c r="K173" i="36"/>
  <c r="K174" i="36"/>
  <c r="K175" i="36"/>
  <c r="K176" i="36"/>
  <c r="K177" i="36"/>
  <c r="K178" i="36"/>
  <c r="K179" i="36"/>
  <c r="K180" i="36"/>
  <c r="K181" i="36"/>
  <c r="K157" i="36"/>
  <c r="H158" i="36"/>
  <c r="H159" i="36"/>
  <c r="H160" i="36"/>
  <c r="H161" i="36"/>
  <c r="H162" i="36"/>
  <c r="H163" i="36"/>
  <c r="H164" i="36"/>
  <c r="H165" i="36"/>
  <c r="H166" i="36"/>
  <c r="H167" i="36"/>
  <c r="H168" i="36"/>
  <c r="H169" i="36"/>
  <c r="H170" i="36"/>
  <c r="H171" i="36"/>
  <c r="H172" i="36"/>
  <c r="H173" i="36"/>
  <c r="H174" i="36"/>
  <c r="H175" i="36"/>
  <c r="H176" i="36"/>
  <c r="H177" i="36"/>
  <c r="H178" i="36"/>
  <c r="H179" i="36"/>
  <c r="H180" i="36"/>
  <c r="H181" i="36"/>
  <c r="H157" i="36"/>
  <c r="X147" i="36"/>
  <c r="G308" i="36" s="1"/>
  <c r="W148" i="36"/>
  <c r="W149" i="36"/>
  <c r="W150" i="36"/>
  <c r="W151" i="36"/>
  <c r="W152" i="36"/>
  <c r="W153" i="36"/>
  <c r="W147" i="36"/>
  <c r="T148" i="36"/>
  <c r="T149" i="36"/>
  <c r="T150" i="36"/>
  <c r="T151" i="36"/>
  <c r="T152" i="36"/>
  <c r="T153" i="36"/>
  <c r="T147" i="36"/>
  <c r="Q148" i="36"/>
  <c r="Q149" i="36"/>
  <c r="Q150" i="36"/>
  <c r="Q151" i="36"/>
  <c r="Q152" i="36"/>
  <c r="Q153" i="36"/>
  <c r="Q147" i="36"/>
  <c r="N148" i="36"/>
  <c r="N149" i="36"/>
  <c r="N150" i="36"/>
  <c r="N151" i="36"/>
  <c r="N152" i="36"/>
  <c r="N153" i="36"/>
  <c r="N147" i="36"/>
  <c r="K148" i="36"/>
  <c r="K149" i="36"/>
  <c r="K150" i="36"/>
  <c r="K151" i="36"/>
  <c r="K152" i="36"/>
  <c r="K153" i="36"/>
  <c r="K147" i="36"/>
  <c r="H148" i="36"/>
  <c r="H149" i="36"/>
  <c r="H150" i="36"/>
  <c r="H151" i="36"/>
  <c r="H152" i="36"/>
  <c r="H153" i="36"/>
  <c r="H147" i="36"/>
  <c r="X94" i="36"/>
  <c r="G328" i="36" s="1"/>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94" i="36"/>
  <c r="T95" i="36"/>
  <c r="T96" i="36"/>
  <c r="T97" i="36"/>
  <c r="T98" i="36"/>
  <c r="T99" i="36"/>
  <c r="T100" i="36"/>
  <c r="T101" i="36"/>
  <c r="T102" i="36"/>
  <c r="T103" i="36"/>
  <c r="T104" i="36"/>
  <c r="T105" i="36"/>
  <c r="T106" i="36"/>
  <c r="T107" i="36"/>
  <c r="T108" i="36"/>
  <c r="T109" i="36"/>
  <c r="T110" i="36"/>
  <c r="T111" i="36"/>
  <c r="T112" i="36"/>
  <c r="T113" i="36"/>
  <c r="T114" i="36"/>
  <c r="T115" i="36"/>
  <c r="T116" i="36"/>
  <c r="T117" i="36"/>
  <c r="T118" i="36"/>
  <c r="T119" i="36"/>
  <c r="T120" i="36"/>
  <c r="T121" i="36"/>
  <c r="T122" i="36"/>
  <c r="T123" i="36"/>
  <c r="T124" i="36"/>
  <c r="T125" i="36"/>
  <c r="T126" i="36"/>
  <c r="T127" i="36"/>
  <c r="T128" i="36"/>
  <c r="T129" i="36"/>
  <c r="T130" i="36"/>
  <c r="T131" i="36"/>
  <c r="T132" i="36"/>
  <c r="T133" i="36"/>
  <c r="T134" i="36"/>
  <c r="T135" i="36"/>
  <c r="T136" i="36"/>
  <c r="T137" i="36"/>
  <c r="T138" i="36"/>
  <c r="T139" i="36"/>
  <c r="T140" i="36"/>
  <c r="T141" i="36"/>
  <c r="T142" i="36"/>
  <c r="T143" i="36"/>
  <c r="T94" i="36"/>
  <c r="Q95" i="36"/>
  <c r="Q96" i="36"/>
  <c r="Q97" i="36"/>
  <c r="Q98" i="36"/>
  <c r="Q99" i="36"/>
  <c r="Q100" i="36"/>
  <c r="Q101" i="36"/>
  <c r="Q102" i="36"/>
  <c r="Q103" i="36"/>
  <c r="Q104" i="36"/>
  <c r="Q105" i="36"/>
  <c r="Q106" i="36"/>
  <c r="Q107" i="36"/>
  <c r="Q108" i="36"/>
  <c r="Q109" i="36"/>
  <c r="Q110" i="36"/>
  <c r="Q111" i="36"/>
  <c r="Q112" i="36"/>
  <c r="Q113" i="36"/>
  <c r="Q114" i="36"/>
  <c r="Q115" i="36"/>
  <c r="Q116" i="36"/>
  <c r="Q117" i="36"/>
  <c r="Q118" i="36"/>
  <c r="Q119" i="36"/>
  <c r="Q120" i="36"/>
  <c r="Q121" i="36"/>
  <c r="Q122" i="36"/>
  <c r="Q123" i="36"/>
  <c r="Q124" i="36"/>
  <c r="Q125" i="36"/>
  <c r="Q126" i="36"/>
  <c r="Q127" i="36"/>
  <c r="Q128" i="36"/>
  <c r="Q129" i="36"/>
  <c r="Q130" i="36"/>
  <c r="Q131" i="36"/>
  <c r="Q132" i="36"/>
  <c r="Q133" i="36"/>
  <c r="Q134" i="36"/>
  <c r="Q135" i="36"/>
  <c r="Q136" i="36"/>
  <c r="Q137" i="36"/>
  <c r="Q138" i="36"/>
  <c r="Q139" i="36"/>
  <c r="Q140" i="36"/>
  <c r="Q141" i="36"/>
  <c r="Q142" i="36"/>
  <c r="Q143" i="36"/>
  <c r="Q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94" i="36"/>
  <c r="K95" i="36"/>
  <c r="K96" i="36"/>
  <c r="K97" i="36"/>
  <c r="K98" i="36"/>
  <c r="K99" i="36"/>
  <c r="K100" i="36"/>
  <c r="K101" i="36"/>
  <c r="K102" i="36"/>
  <c r="K103" i="36"/>
  <c r="K104" i="36"/>
  <c r="K105" i="36"/>
  <c r="K106" i="36"/>
  <c r="K107" i="36"/>
  <c r="K108" i="36"/>
  <c r="K109" i="36"/>
  <c r="K110" i="36"/>
  <c r="K111" i="36"/>
  <c r="K112" i="36"/>
  <c r="K113" i="36"/>
  <c r="K114" i="36"/>
  <c r="K115" i="36"/>
  <c r="K116" i="36"/>
  <c r="K117" i="36"/>
  <c r="K118" i="36"/>
  <c r="K119" i="36"/>
  <c r="K120" i="36"/>
  <c r="K121" i="36"/>
  <c r="K122" i="36"/>
  <c r="K123" i="36"/>
  <c r="K124" i="36"/>
  <c r="K125" i="36"/>
  <c r="K126" i="36"/>
  <c r="K127" i="36"/>
  <c r="K128" i="36"/>
  <c r="K129" i="36"/>
  <c r="K130" i="36"/>
  <c r="K131" i="36"/>
  <c r="K132" i="36"/>
  <c r="K133" i="36"/>
  <c r="K134" i="36"/>
  <c r="K135" i="36"/>
  <c r="K136" i="36"/>
  <c r="K137" i="36"/>
  <c r="K138" i="36"/>
  <c r="K139" i="36"/>
  <c r="K140" i="36"/>
  <c r="K141" i="36"/>
  <c r="K142" i="36"/>
  <c r="K143" i="36"/>
  <c r="K94" i="36"/>
  <c r="H95" i="36"/>
  <c r="H96" i="36"/>
  <c r="H97" i="36"/>
  <c r="H98" i="36"/>
  <c r="H99" i="36"/>
  <c r="H100" i="36"/>
  <c r="H101" i="36"/>
  <c r="H102" i="36"/>
  <c r="H103" i="36"/>
  <c r="H104" i="36"/>
  <c r="H105" i="36"/>
  <c r="H106" i="36"/>
  <c r="H107" i="36"/>
  <c r="H108" i="36"/>
  <c r="H109" i="36"/>
  <c r="H110" i="36"/>
  <c r="H111" i="36"/>
  <c r="H112" i="36"/>
  <c r="H113" i="36"/>
  <c r="H114" i="36"/>
  <c r="H115" i="36"/>
  <c r="H116" i="36"/>
  <c r="H117" i="36"/>
  <c r="H118" i="36"/>
  <c r="H119" i="36"/>
  <c r="H120" i="36"/>
  <c r="H121" i="36"/>
  <c r="H122" i="36"/>
  <c r="H123" i="36"/>
  <c r="H124" i="36"/>
  <c r="H125" i="36"/>
  <c r="H126" i="36"/>
  <c r="H127" i="36"/>
  <c r="H128" i="36"/>
  <c r="H129" i="36"/>
  <c r="H130" i="36"/>
  <c r="H131" i="36"/>
  <c r="H132" i="36"/>
  <c r="H133" i="36"/>
  <c r="H134" i="36"/>
  <c r="H135" i="36"/>
  <c r="H136" i="36"/>
  <c r="H137" i="36"/>
  <c r="H138" i="36"/>
  <c r="H139" i="36"/>
  <c r="H140" i="36"/>
  <c r="H141" i="36"/>
  <c r="H142" i="36"/>
  <c r="H143" i="36"/>
  <c r="H94" i="36"/>
  <c r="X51" i="36"/>
  <c r="X41" i="36"/>
  <c r="G258" i="36" s="1"/>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51" i="36"/>
  <c r="T52" i="36"/>
  <c r="T53" i="36"/>
  <c r="T54" i="36"/>
  <c r="T55" i="36"/>
  <c r="T56" i="36"/>
  <c r="T57" i="36"/>
  <c r="T58" i="36"/>
  <c r="T59" i="36"/>
  <c r="T60" i="36"/>
  <c r="T61" i="36"/>
  <c r="T62" i="36"/>
  <c r="T63" i="36"/>
  <c r="T64" i="36"/>
  <c r="T65" i="36"/>
  <c r="T66" i="36"/>
  <c r="T67" i="36"/>
  <c r="T68" i="36"/>
  <c r="T69" i="36"/>
  <c r="T70" i="36"/>
  <c r="T71" i="36"/>
  <c r="T72" i="36"/>
  <c r="T73" i="36"/>
  <c r="T74" i="36"/>
  <c r="T75" i="36"/>
  <c r="T76" i="36"/>
  <c r="T77" i="36"/>
  <c r="T78" i="36"/>
  <c r="T79" i="36"/>
  <c r="T80" i="36"/>
  <c r="T81" i="36"/>
  <c r="T82" i="36"/>
  <c r="T83" i="36"/>
  <c r="T84" i="36"/>
  <c r="T85" i="36"/>
  <c r="T86" i="36"/>
  <c r="T87" i="36"/>
  <c r="T88" i="36"/>
  <c r="T89" i="36"/>
  <c r="T90" i="36"/>
  <c r="T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51" i="36"/>
  <c r="K5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K83" i="36"/>
  <c r="K84" i="36"/>
  <c r="K85" i="36"/>
  <c r="K86" i="36"/>
  <c r="K87" i="36"/>
  <c r="K88" i="36"/>
  <c r="K89" i="36"/>
  <c r="K90" i="36"/>
  <c r="K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83" i="36"/>
  <c r="H84" i="36"/>
  <c r="H85" i="36"/>
  <c r="H86" i="36"/>
  <c r="H87" i="36"/>
  <c r="H88" i="36"/>
  <c r="H89" i="36"/>
  <c r="H90" i="36"/>
  <c r="H51" i="36"/>
  <c r="W42" i="36"/>
  <c r="W43" i="36"/>
  <c r="W44" i="36"/>
  <c r="W45" i="36"/>
  <c r="W46" i="36"/>
  <c r="W47" i="36"/>
  <c r="W41" i="36"/>
  <c r="T42" i="36"/>
  <c r="T43" i="36"/>
  <c r="T44" i="36"/>
  <c r="T45" i="36"/>
  <c r="T46" i="36"/>
  <c r="T47" i="36"/>
  <c r="T41" i="36"/>
  <c r="Q42" i="36"/>
  <c r="Q43" i="36"/>
  <c r="Q44" i="36"/>
  <c r="Q45" i="36"/>
  <c r="Q46" i="36"/>
  <c r="Q47" i="36"/>
  <c r="Q41" i="36"/>
  <c r="N42" i="36"/>
  <c r="N43" i="36"/>
  <c r="N44" i="36"/>
  <c r="N45" i="36"/>
  <c r="N46" i="36"/>
  <c r="N47" i="36"/>
  <c r="N41" i="36"/>
  <c r="K42" i="36"/>
  <c r="K43" i="36"/>
  <c r="K44" i="36"/>
  <c r="K45" i="36"/>
  <c r="K46" i="36"/>
  <c r="K47" i="36"/>
  <c r="K41" i="36"/>
  <c r="H42" i="36"/>
  <c r="H43" i="36"/>
  <c r="H44" i="36"/>
  <c r="H45" i="36"/>
  <c r="H46" i="36"/>
  <c r="H47" i="36"/>
  <c r="H41" i="36"/>
  <c r="I39" i="36"/>
  <c r="G35" i="36"/>
  <c r="F21" i="36"/>
  <c r="F7" i="36"/>
  <c r="P55" i="38" l="1"/>
  <c r="Y55" i="38" s="1"/>
  <c r="OT55" i="38" s="1"/>
  <c r="C53" i="39"/>
  <c r="J24" i="36"/>
  <c r="V55" i="38"/>
  <c r="W55" i="38"/>
  <c r="U55" i="38"/>
  <c r="X55" i="38"/>
  <c r="Q249" i="36"/>
  <c r="F340" i="36" s="1"/>
  <c r="W91" i="36"/>
  <c r="F23" i="24" s="1"/>
  <c r="G55" i="39" s="1"/>
  <c r="K144" i="36"/>
  <c r="B24" i="24" s="1"/>
  <c r="C56" i="39" s="1"/>
  <c r="Q144" i="36"/>
  <c r="F328" i="36" s="1"/>
  <c r="W144" i="36"/>
  <c r="F24" i="24" s="1"/>
  <c r="G56" i="39" s="1"/>
  <c r="X95" i="36"/>
  <c r="X96" i="36" s="1"/>
  <c r="X97" i="36" s="1"/>
  <c r="X98" i="36" s="1"/>
  <c r="X99" i="36" s="1"/>
  <c r="X100" i="36" s="1"/>
  <c r="X101" i="36" s="1"/>
  <c r="X102" i="36" s="1"/>
  <c r="X103" i="36" s="1"/>
  <c r="X104" i="36" s="1"/>
  <c r="X105" i="36" s="1"/>
  <c r="X106" i="36" s="1"/>
  <c r="X107" i="36" s="1"/>
  <c r="X108" i="36" s="1"/>
  <c r="X109" i="36" s="1"/>
  <c r="X110" i="36" s="1"/>
  <c r="X111" i="36" s="1"/>
  <c r="X112" i="36" s="1"/>
  <c r="X113" i="36" s="1"/>
  <c r="X114" i="36" s="1"/>
  <c r="X115" i="36" s="1"/>
  <c r="X116" i="36" s="1"/>
  <c r="X117" i="36" s="1"/>
  <c r="X118" i="36" s="1"/>
  <c r="X119" i="36" s="1"/>
  <c r="X120" i="36" s="1"/>
  <c r="X121" i="36" s="1"/>
  <c r="X122" i="36" s="1"/>
  <c r="X123" i="36" s="1"/>
  <c r="X124" i="36" s="1"/>
  <c r="X125" i="36" s="1"/>
  <c r="X126" i="36" s="1"/>
  <c r="X127" i="36" s="1"/>
  <c r="X128" i="36" s="1"/>
  <c r="X129" i="36" s="1"/>
  <c r="X130" i="36" s="1"/>
  <c r="X131" i="36" s="1"/>
  <c r="X132" i="36" s="1"/>
  <c r="X133" i="36" s="1"/>
  <c r="X134" i="36" s="1"/>
  <c r="X135" i="36" s="1"/>
  <c r="X136" i="36" s="1"/>
  <c r="X137" i="36" s="1"/>
  <c r="X138" i="36" s="1"/>
  <c r="X139" i="36" s="1"/>
  <c r="X140" i="36" s="1"/>
  <c r="X141" i="36" s="1"/>
  <c r="X142" i="36" s="1"/>
  <c r="X143" i="36" s="1"/>
  <c r="H231" i="36"/>
  <c r="F270" i="36" s="1"/>
  <c r="F397" i="36" s="1"/>
  <c r="B49" i="22" s="1"/>
  <c r="B51" i="22" s="1"/>
  <c r="N231" i="36"/>
  <c r="C28" i="24" s="1"/>
  <c r="D60" i="39" s="1"/>
  <c r="T231" i="36"/>
  <c r="E28" i="24" s="1"/>
  <c r="F60" i="39" s="1"/>
  <c r="W231" i="36"/>
  <c r="F28" i="24" s="1"/>
  <c r="G60" i="39" s="1"/>
  <c r="K241" i="36"/>
  <c r="T91" i="36"/>
  <c r="E23" i="24" s="1"/>
  <c r="F55" i="39" s="1"/>
  <c r="K154" i="36"/>
  <c r="B25" i="24" s="1"/>
  <c r="C57" i="39" s="1"/>
  <c r="W154" i="36"/>
  <c r="F25" i="24" s="1"/>
  <c r="G57" i="39" s="1"/>
  <c r="Q182" i="36"/>
  <c r="D26" i="24" s="1"/>
  <c r="E58" i="39" s="1"/>
  <c r="K212" i="36"/>
  <c r="B27" i="24" s="1"/>
  <c r="C59" i="39" s="1"/>
  <c r="Q212" i="36"/>
  <c r="D27" i="24" s="1"/>
  <c r="E59" i="39" s="1"/>
  <c r="W212" i="36"/>
  <c r="F27" i="24" s="1"/>
  <c r="G59" i="39" s="1"/>
  <c r="N241" i="36"/>
  <c r="F316" i="36" s="1"/>
  <c r="H144" i="36"/>
  <c r="F262" i="36" s="1"/>
  <c r="F377" i="36" s="1"/>
  <c r="B37" i="22" s="1"/>
  <c r="K182" i="36"/>
  <c r="B26" i="24" s="1"/>
  <c r="C58" i="39" s="1"/>
  <c r="N182" i="36"/>
  <c r="C26" i="24" s="1"/>
  <c r="D58" i="39" s="1"/>
  <c r="Q48" i="36"/>
  <c r="D22" i="24" s="1"/>
  <c r="E54" i="39" s="1"/>
  <c r="W182" i="36"/>
  <c r="F26" i="24" s="1"/>
  <c r="G58" i="39" s="1"/>
  <c r="K91" i="36"/>
  <c r="B23" i="24" s="1"/>
  <c r="C55" i="39" s="1"/>
  <c r="Q91" i="36"/>
  <c r="F326" i="36" s="1"/>
  <c r="N154" i="36"/>
  <c r="F308" i="36" s="1"/>
  <c r="H182" i="36"/>
  <c r="F266" i="36" s="1"/>
  <c r="F387" i="36" s="1"/>
  <c r="B43" i="22" s="1"/>
  <c r="T182" i="36"/>
  <c r="F354" i="36" s="1"/>
  <c r="H354" i="36" s="1"/>
  <c r="H355" i="36" s="1"/>
  <c r="X158" i="36"/>
  <c r="X159" i="36" s="1"/>
  <c r="X160" i="36" s="1"/>
  <c r="X161" i="36" s="1"/>
  <c r="X162" i="36" s="1"/>
  <c r="X163" i="36" s="1"/>
  <c r="X164" i="36" s="1"/>
  <c r="X165" i="36" s="1"/>
  <c r="X166" i="36" s="1"/>
  <c r="X167" i="36" s="1"/>
  <c r="X168" i="36" s="1"/>
  <c r="X169" i="36" s="1"/>
  <c r="X170" i="36" s="1"/>
  <c r="X171" i="36" s="1"/>
  <c r="X172" i="36" s="1"/>
  <c r="X173" i="36" s="1"/>
  <c r="X174" i="36" s="1"/>
  <c r="X175" i="36" s="1"/>
  <c r="X176" i="36" s="1"/>
  <c r="X177" i="36" s="1"/>
  <c r="X178" i="36" s="1"/>
  <c r="X179" i="36" s="1"/>
  <c r="X180" i="36" s="1"/>
  <c r="X181" i="36" s="1"/>
  <c r="N249" i="36"/>
  <c r="F318" i="36" s="1"/>
  <c r="G348" i="36"/>
  <c r="X52" i="36"/>
  <c r="X53" i="36" s="1"/>
  <c r="X54" i="36" s="1"/>
  <c r="X55" i="36" s="1"/>
  <c r="X56" i="36" s="1"/>
  <c r="X57" i="36" s="1"/>
  <c r="X58" i="36" s="1"/>
  <c r="X59" i="36" s="1"/>
  <c r="X60" i="36" s="1"/>
  <c r="X61" i="36" s="1"/>
  <c r="X62" i="36" s="1"/>
  <c r="X63" i="36" s="1"/>
  <c r="X64" i="36" s="1"/>
  <c r="X65" i="36" s="1"/>
  <c r="X66" i="36" s="1"/>
  <c r="X67" i="36" s="1"/>
  <c r="X68" i="36" s="1"/>
  <c r="X69" i="36" s="1"/>
  <c r="X70" i="36" s="1"/>
  <c r="X71" i="36" s="1"/>
  <c r="X72" i="36" s="1"/>
  <c r="X73" i="36" s="1"/>
  <c r="X74" i="36" s="1"/>
  <c r="X75" i="36" s="1"/>
  <c r="X76" i="36" s="1"/>
  <c r="X77" i="36" s="1"/>
  <c r="X78" i="36" s="1"/>
  <c r="X79" i="36" s="1"/>
  <c r="X80" i="36" s="1"/>
  <c r="X81" i="36" s="1"/>
  <c r="X82" i="36" s="1"/>
  <c r="X83" i="36" s="1"/>
  <c r="X84" i="36" s="1"/>
  <c r="X85" i="36" s="1"/>
  <c r="X86" i="36" s="1"/>
  <c r="X87" i="36" s="1"/>
  <c r="X88" i="36" s="1"/>
  <c r="X89" i="36" s="1"/>
  <c r="X90" i="36" s="1"/>
  <c r="T144" i="36"/>
  <c r="G336" i="36"/>
  <c r="X216" i="36"/>
  <c r="X217" i="36" s="1"/>
  <c r="X218" i="36" s="1"/>
  <c r="X219" i="36" s="1"/>
  <c r="X220" i="36" s="1"/>
  <c r="X221" i="36" s="1"/>
  <c r="X222" i="36" s="1"/>
  <c r="X223" i="36" s="1"/>
  <c r="X224" i="36" s="1"/>
  <c r="X225" i="36" s="1"/>
  <c r="X226" i="36" s="1"/>
  <c r="X227" i="36" s="1"/>
  <c r="X228" i="36" s="1"/>
  <c r="X229" i="36" s="1"/>
  <c r="X230" i="36" s="1"/>
  <c r="H91" i="36"/>
  <c r="F260" i="36" s="1"/>
  <c r="F372" i="36" s="1"/>
  <c r="H154" i="36"/>
  <c r="F264" i="36" s="1"/>
  <c r="F382" i="36" s="1"/>
  <c r="B40" i="22" s="1"/>
  <c r="T154" i="36"/>
  <c r="H212" i="36"/>
  <c r="H241" i="36"/>
  <c r="W241" i="36"/>
  <c r="K249" i="36"/>
  <c r="W249" i="36"/>
  <c r="N144" i="36"/>
  <c r="K48" i="36"/>
  <c r="W48" i="36"/>
  <c r="N91" i="36"/>
  <c r="Q154" i="36"/>
  <c r="N212" i="36"/>
  <c r="K231" i="36"/>
  <c r="Q241" i="36"/>
  <c r="F338" i="36" s="1"/>
  <c r="H338" i="36" s="1"/>
  <c r="H249" i="36"/>
  <c r="H251" i="36" s="1"/>
  <c r="F274" i="36" s="1"/>
  <c r="F407" i="36" s="1"/>
  <c r="T249" i="36"/>
  <c r="T212" i="36"/>
  <c r="Q231" i="36"/>
  <c r="D29" i="24"/>
  <c r="E61" i="39" s="1"/>
  <c r="H416" i="36"/>
  <c r="I416" i="36" s="1"/>
  <c r="C30" i="22"/>
  <c r="B30" i="22"/>
  <c r="H48" i="36"/>
  <c r="N48" i="36"/>
  <c r="T48" i="36"/>
  <c r="G12" i="36"/>
  <c r="X42" i="36"/>
  <c r="X43" i="36" s="1"/>
  <c r="X44" i="36" s="1"/>
  <c r="X45" i="36" s="1"/>
  <c r="X46" i="36" s="1"/>
  <c r="X47" i="36" s="1"/>
  <c r="X197" i="36"/>
  <c r="X198" i="36" s="1"/>
  <c r="X199" i="36" s="1"/>
  <c r="X200" i="36" s="1"/>
  <c r="X201" i="36" s="1"/>
  <c r="X202" i="36" s="1"/>
  <c r="X203" i="36" s="1"/>
  <c r="X204" i="36" s="1"/>
  <c r="X205" i="36" s="1"/>
  <c r="X206" i="36" s="1"/>
  <c r="X207" i="36" s="1"/>
  <c r="X208" i="36" s="1"/>
  <c r="X209" i="36" s="1"/>
  <c r="X210" i="36" s="1"/>
  <c r="X211" i="36" s="1"/>
  <c r="G262" i="36"/>
  <c r="G270" i="36"/>
  <c r="G280" i="36"/>
  <c r="G288" i="36"/>
  <c r="G330" i="36"/>
  <c r="G350" i="36"/>
  <c r="G352" i="36"/>
  <c r="G260" i="36"/>
  <c r="G269" i="36"/>
  <c r="G282" i="36"/>
  <c r="G291" i="36"/>
  <c r="G302" i="36"/>
  <c r="G306" i="36"/>
  <c r="G310" i="36"/>
  <c r="G314" i="36"/>
  <c r="G324" i="36"/>
  <c r="G326" i="36"/>
  <c r="G332" i="36"/>
  <c r="G346" i="36"/>
  <c r="G357" i="36"/>
  <c r="G358" i="36"/>
  <c r="G272" i="36"/>
  <c r="G284" i="36"/>
  <c r="G292" i="36"/>
  <c r="G335" i="36"/>
  <c r="G360" i="36"/>
  <c r="X148" i="36"/>
  <c r="X149" i="36" s="1"/>
  <c r="X150" i="36" s="1"/>
  <c r="X151" i="36" s="1"/>
  <c r="X152" i="36" s="1"/>
  <c r="X153" i="36" s="1"/>
  <c r="X235" i="36"/>
  <c r="X236" i="36" s="1"/>
  <c r="X237" i="36" s="1"/>
  <c r="X238" i="36" s="1"/>
  <c r="X239" i="36" s="1"/>
  <c r="X240" i="36" s="1"/>
  <c r="X246" i="36" s="1"/>
  <c r="G12" i="37"/>
  <c r="K10" i="37" s="1"/>
  <c r="G264" i="36"/>
  <c r="G266" i="36"/>
  <c r="G286" i="36"/>
  <c r="G294" i="36"/>
  <c r="G304" i="36"/>
  <c r="G316" i="36"/>
  <c r="G415" i="36"/>
  <c r="G411" i="36"/>
  <c r="T241" i="36"/>
  <c r="F360" i="36" s="1"/>
  <c r="H24" i="36"/>
  <c r="Y67" i="38" l="1"/>
  <c r="I179" i="38" s="1"/>
  <c r="I182" i="38" s="1"/>
  <c r="X67" i="38"/>
  <c r="H179" i="38" s="1"/>
  <c r="OS55" i="38"/>
  <c r="U67" i="38"/>
  <c r="D179" i="38" s="1"/>
  <c r="C14" i="19" s="1"/>
  <c r="OP55" i="38"/>
  <c r="W67" i="38"/>
  <c r="G179" i="38" s="1"/>
  <c r="OR55" i="38"/>
  <c r="V67" i="38"/>
  <c r="E179" i="38" s="1"/>
  <c r="E182" i="38" s="1"/>
  <c r="OQ55" i="38"/>
  <c r="I21" i="37"/>
  <c r="I29" i="37" s="1"/>
  <c r="G33" i="37" s="1"/>
  <c r="F284" i="36"/>
  <c r="I284" i="36" s="1"/>
  <c r="E26" i="24"/>
  <c r="F58" i="39" s="1"/>
  <c r="F288" i="36"/>
  <c r="I288" i="36" s="1"/>
  <c r="W243" i="36"/>
  <c r="Q251" i="36"/>
  <c r="F335" i="36"/>
  <c r="I335" i="36" s="1"/>
  <c r="F324" i="36"/>
  <c r="I324" i="36" s="1"/>
  <c r="C29" i="24"/>
  <c r="D61" i="39" s="1"/>
  <c r="F332" i="36"/>
  <c r="I332" i="36" s="1"/>
  <c r="H328" i="36"/>
  <c r="I328" i="36"/>
  <c r="D24" i="24"/>
  <c r="E56" i="39" s="1"/>
  <c r="F314" i="36"/>
  <c r="J314" i="36" s="1"/>
  <c r="F348" i="36"/>
  <c r="H348" i="36" s="1"/>
  <c r="H349" i="36" s="1"/>
  <c r="D30" i="22"/>
  <c r="F291" i="36"/>
  <c r="K291" i="36" s="1"/>
  <c r="I338" i="36"/>
  <c r="J338" i="36" s="1"/>
  <c r="F310" i="36"/>
  <c r="J310" i="36" s="1"/>
  <c r="Q243" i="36"/>
  <c r="F286" i="36"/>
  <c r="G382" i="36" s="1"/>
  <c r="H382" i="36" s="1"/>
  <c r="F358" i="36"/>
  <c r="H358" i="36" s="1"/>
  <c r="H359" i="36" s="1"/>
  <c r="D23" i="24"/>
  <c r="E55" i="39" s="1"/>
  <c r="F282" i="36"/>
  <c r="I282" i="36" s="1"/>
  <c r="J308" i="36"/>
  <c r="I308" i="36"/>
  <c r="N251" i="36"/>
  <c r="C25" i="24"/>
  <c r="D57" i="39" s="1"/>
  <c r="Q184" i="36"/>
  <c r="H308" i="36"/>
  <c r="H309" i="36" s="1"/>
  <c r="C22" i="24"/>
  <c r="D54" i="39" s="1"/>
  <c r="N184" i="36"/>
  <c r="F302" i="36"/>
  <c r="J302" i="36" s="1"/>
  <c r="F357" i="36"/>
  <c r="H357" i="36" s="1"/>
  <c r="I357" i="36" s="1"/>
  <c r="E27" i="24"/>
  <c r="F59" i="39" s="1"/>
  <c r="T243" i="36"/>
  <c r="F304" i="36"/>
  <c r="J304" i="36" s="1"/>
  <c r="C23" i="24"/>
  <c r="D55" i="39" s="1"/>
  <c r="F29" i="24"/>
  <c r="G61" i="39" s="1"/>
  <c r="W251" i="36"/>
  <c r="F269" i="36"/>
  <c r="F392" i="36" s="1"/>
  <c r="H243" i="36"/>
  <c r="E24" i="24"/>
  <c r="F56" i="39" s="1"/>
  <c r="F350" i="36"/>
  <c r="H350" i="36" s="1"/>
  <c r="H351" i="36" s="1"/>
  <c r="B54" i="22"/>
  <c r="B56" i="22" s="1"/>
  <c r="B34" i="22"/>
  <c r="B36" i="22" s="1"/>
  <c r="F258" i="36"/>
  <c r="H184" i="36"/>
  <c r="B28" i="24"/>
  <c r="C60" i="39" s="1"/>
  <c r="F292" i="36"/>
  <c r="G397" i="36" s="1"/>
  <c r="C49" i="22" s="1"/>
  <c r="F22" i="24"/>
  <c r="G54" i="39" s="1"/>
  <c r="G62" i="39" s="1"/>
  <c r="W184" i="36"/>
  <c r="C24" i="24"/>
  <c r="D56" i="39" s="1"/>
  <c r="F306" i="36"/>
  <c r="I306" i="36" s="1"/>
  <c r="B29" i="24"/>
  <c r="C61" i="39" s="1"/>
  <c r="K251" i="36"/>
  <c r="F296" i="36"/>
  <c r="G407" i="36" s="1"/>
  <c r="E25" i="24"/>
  <c r="F57" i="39" s="1"/>
  <c r="F352" i="36"/>
  <c r="H352" i="36" s="1"/>
  <c r="E22" i="24"/>
  <c r="F54" i="39" s="1"/>
  <c r="F346" i="36"/>
  <c r="T184" i="36"/>
  <c r="D28" i="24"/>
  <c r="E60" i="39" s="1"/>
  <c r="F336" i="36"/>
  <c r="D25" i="24"/>
  <c r="E57" i="39" s="1"/>
  <c r="F330" i="36"/>
  <c r="D8" i="19"/>
  <c r="F272" i="36"/>
  <c r="F402" i="36" s="1"/>
  <c r="H360" i="36"/>
  <c r="H361" i="36" s="1"/>
  <c r="I354" i="36"/>
  <c r="E29" i="24"/>
  <c r="F61" i="39" s="1"/>
  <c r="F362" i="36"/>
  <c r="T251" i="36"/>
  <c r="F313" i="36"/>
  <c r="C27" i="24"/>
  <c r="D59" i="39" s="1"/>
  <c r="N243" i="36"/>
  <c r="B22" i="24"/>
  <c r="F280" i="36"/>
  <c r="K280" i="36" s="1"/>
  <c r="K184" i="36"/>
  <c r="K243" i="36"/>
  <c r="F294" i="36" s="1"/>
  <c r="K294" i="36" s="1"/>
  <c r="B4" i="23"/>
  <c r="I326" i="36"/>
  <c r="H326" i="36"/>
  <c r="H339" i="36"/>
  <c r="K286" i="36"/>
  <c r="G362" i="36"/>
  <c r="G340" i="36"/>
  <c r="G318" i="36"/>
  <c r="G274" i="36"/>
  <c r="G296" i="36"/>
  <c r="X247" i="36"/>
  <c r="X248" i="36" s="1"/>
  <c r="L260" i="36"/>
  <c r="I260" i="36"/>
  <c r="H260" i="36"/>
  <c r="J260" i="36"/>
  <c r="K260" i="36"/>
  <c r="I316" i="36"/>
  <c r="J316" i="36"/>
  <c r="H316" i="36"/>
  <c r="H317" i="36" s="1"/>
  <c r="J266" i="36"/>
  <c r="K266" i="36"/>
  <c r="L266" i="36"/>
  <c r="I266" i="36"/>
  <c r="H266" i="36"/>
  <c r="K262" i="36"/>
  <c r="L262" i="36"/>
  <c r="I262" i="36"/>
  <c r="H262" i="36"/>
  <c r="J262" i="36"/>
  <c r="J264" i="36"/>
  <c r="K264" i="36"/>
  <c r="L264" i="36"/>
  <c r="I264" i="36"/>
  <c r="H264" i="36"/>
  <c r="K270" i="36"/>
  <c r="L270" i="36"/>
  <c r="I270" i="36"/>
  <c r="H270" i="36"/>
  <c r="J270" i="36"/>
  <c r="E30" i="22"/>
  <c r="J416" i="36"/>
  <c r="G42" i="37" l="1"/>
  <c r="G41" i="37"/>
  <c r="E62" i="39"/>
  <c r="C54" i="39"/>
  <c r="C62" i="39" s="1"/>
  <c r="B30" i="24"/>
  <c r="F62" i="39"/>
  <c r="D62" i="39"/>
  <c r="H9" i="22"/>
  <c r="H15" i="22"/>
  <c r="B5" i="23"/>
  <c r="C11" i="39" s="1"/>
  <c r="F179" i="38"/>
  <c r="F182" i="38" s="1"/>
  <c r="G182" i="38"/>
  <c r="F9" i="22"/>
  <c r="F15" i="22"/>
  <c r="H182" i="38"/>
  <c r="G15" i="22"/>
  <c r="G9" i="22"/>
  <c r="D182" i="38"/>
  <c r="D9" i="22"/>
  <c r="D15" i="22"/>
  <c r="O13" i="36"/>
  <c r="F6" i="23"/>
  <c r="G12" i="39" s="1"/>
  <c r="H284" i="36"/>
  <c r="H379" i="36" s="1"/>
  <c r="J284" i="36"/>
  <c r="J379" i="36" s="1"/>
  <c r="G377" i="36"/>
  <c r="C37" i="22" s="1"/>
  <c r="K284" i="36"/>
  <c r="C40" i="22"/>
  <c r="H335" i="36"/>
  <c r="J335" i="36" s="1"/>
  <c r="H288" i="36"/>
  <c r="H389" i="36" s="1"/>
  <c r="K288" i="36"/>
  <c r="K389" i="36" s="1"/>
  <c r="J288" i="36"/>
  <c r="H310" i="36"/>
  <c r="G387" i="36"/>
  <c r="C43" i="22" s="1"/>
  <c r="J291" i="36"/>
  <c r="G372" i="36"/>
  <c r="C34" i="22" s="1"/>
  <c r="J328" i="36"/>
  <c r="I310" i="36"/>
  <c r="H324" i="36"/>
  <c r="J324" i="36" s="1"/>
  <c r="H304" i="36"/>
  <c r="H305" i="36" s="1"/>
  <c r="I286" i="36"/>
  <c r="I384" i="36" s="1"/>
  <c r="H329" i="36"/>
  <c r="I329" i="36" s="1"/>
  <c r="L272" i="36"/>
  <c r="K404" i="36" s="1"/>
  <c r="J286" i="36"/>
  <c r="K272" i="36"/>
  <c r="I304" i="36"/>
  <c r="H302" i="36"/>
  <c r="H303" i="36" s="1"/>
  <c r="K292" i="36"/>
  <c r="H286" i="36"/>
  <c r="H287" i="36" s="1"/>
  <c r="I339" i="36"/>
  <c r="I348" i="36"/>
  <c r="H269" i="36"/>
  <c r="I302" i="36"/>
  <c r="I291" i="36"/>
  <c r="H332" i="36"/>
  <c r="H333" i="36" s="1"/>
  <c r="I333" i="36" s="1"/>
  <c r="I272" i="36"/>
  <c r="H282" i="36"/>
  <c r="I314" i="36"/>
  <c r="F334" i="36"/>
  <c r="K282" i="36"/>
  <c r="K374" i="36" s="1"/>
  <c r="H314" i="36"/>
  <c r="J282" i="36"/>
  <c r="J272" i="36"/>
  <c r="H291" i="36"/>
  <c r="J294" i="36"/>
  <c r="F290" i="36"/>
  <c r="Q253" i="36"/>
  <c r="I360" i="36"/>
  <c r="H272" i="36"/>
  <c r="H273" i="36" s="1"/>
  <c r="G403" i="36" s="1"/>
  <c r="C27" i="22" s="1"/>
  <c r="I350" i="36"/>
  <c r="H397" i="36"/>
  <c r="D49" i="22" s="1"/>
  <c r="J292" i="36"/>
  <c r="I330" i="36"/>
  <c r="K384" i="36" s="1"/>
  <c r="I309" i="36"/>
  <c r="J309" i="36" s="1"/>
  <c r="I292" i="36"/>
  <c r="H306" i="36"/>
  <c r="H307" i="36" s="1"/>
  <c r="I307" i="36" s="1"/>
  <c r="I358" i="36"/>
  <c r="W253" i="36"/>
  <c r="K308" i="36"/>
  <c r="H292" i="36"/>
  <c r="H399" i="36" s="1"/>
  <c r="J280" i="36"/>
  <c r="I280" i="36"/>
  <c r="I317" i="36"/>
  <c r="J317" i="36" s="1"/>
  <c r="J306" i="36"/>
  <c r="F356" i="36"/>
  <c r="H280" i="36"/>
  <c r="H281" i="36" s="1"/>
  <c r="H330" i="36"/>
  <c r="H253" i="36"/>
  <c r="D7" i="19" s="1"/>
  <c r="C54" i="22"/>
  <c r="H407" i="36"/>
  <c r="I352" i="36"/>
  <c r="H353" i="36"/>
  <c r="H346" i="36"/>
  <c r="I346" i="36" s="1"/>
  <c r="N253" i="36"/>
  <c r="I294" i="36"/>
  <c r="K253" i="36"/>
  <c r="B26" i="22"/>
  <c r="G402" i="36"/>
  <c r="H336" i="36"/>
  <c r="I336" i="36"/>
  <c r="H294" i="36"/>
  <c r="H295" i="36" s="1"/>
  <c r="I313" i="36"/>
  <c r="J313" i="36"/>
  <c r="K394" i="36" s="1"/>
  <c r="H313" i="36"/>
  <c r="F268" i="36"/>
  <c r="F367" i="36"/>
  <c r="J258" i="36"/>
  <c r="J268" i="36" s="1"/>
  <c r="K258" i="36"/>
  <c r="K268" i="36" s="1"/>
  <c r="H258" i="36"/>
  <c r="H268" i="36" s="1"/>
  <c r="I258" i="36"/>
  <c r="L258" i="36"/>
  <c r="B46" i="22"/>
  <c r="B48" i="22" s="1"/>
  <c r="G392" i="36"/>
  <c r="H362" i="36"/>
  <c r="H363" i="36" s="1"/>
  <c r="T253" i="36"/>
  <c r="F312" i="36"/>
  <c r="I318" i="36"/>
  <c r="J318" i="36"/>
  <c r="H318" i="36"/>
  <c r="H327" i="36"/>
  <c r="I327" i="36" s="1"/>
  <c r="J326" i="36"/>
  <c r="G374" i="36"/>
  <c r="M260" i="36"/>
  <c r="H261" i="36"/>
  <c r="I340" i="36"/>
  <c r="H340" i="36"/>
  <c r="M270" i="36"/>
  <c r="H271" i="36"/>
  <c r="G399" i="36"/>
  <c r="G393" i="36"/>
  <c r="C47" i="22" s="1"/>
  <c r="G389" i="36"/>
  <c r="M266" i="36"/>
  <c r="H267" i="36"/>
  <c r="G388" i="36" s="1"/>
  <c r="C44" i="22" s="1"/>
  <c r="G384" i="36"/>
  <c r="H265" i="36"/>
  <c r="G383" i="36" s="1"/>
  <c r="C41" i="22" s="1"/>
  <c r="M264" i="36"/>
  <c r="I296" i="36"/>
  <c r="J296" i="36"/>
  <c r="K296" i="36"/>
  <c r="H296" i="36"/>
  <c r="G379" i="36"/>
  <c r="M262" i="36"/>
  <c r="H263" i="36"/>
  <c r="K316" i="36"/>
  <c r="L274" i="36"/>
  <c r="I274" i="36"/>
  <c r="H274" i="36"/>
  <c r="J274" i="36"/>
  <c r="K274" i="36"/>
  <c r="K416" i="36"/>
  <c r="G30" i="22" s="1"/>
  <c r="F30" i="22"/>
  <c r="D40" i="22"/>
  <c r="I382" i="36"/>
  <c r="D17" i="33"/>
  <c r="P25" i="37" l="1"/>
  <c r="G45" i="37"/>
  <c r="P24" i="37" s="1"/>
  <c r="P27" i="37"/>
  <c r="Q24" i="37"/>
  <c r="E9" i="22"/>
  <c r="E15" i="22"/>
  <c r="K13" i="36"/>
  <c r="D6" i="23"/>
  <c r="E12" i="39" s="1"/>
  <c r="M13" i="36"/>
  <c r="E6" i="23"/>
  <c r="F12" i="39" s="1"/>
  <c r="G13" i="36"/>
  <c r="G14" i="36" s="1"/>
  <c r="C4" i="20" s="1"/>
  <c r="B6" i="23"/>
  <c r="C12" i="39" s="1"/>
  <c r="I13" i="36"/>
  <c r="C6" i="23"/>
  <c r="D12" i="39" s="1"/>
  <c r="H285" i="36"/>
  <c r="I285" i="36" s="1"/>
  <c r="J285" i="36" s="1"/>
  <c r="K285" i="36" s="1"/>
  <c r="L284" i="36"/>
  <c r="H377" i="36"/>
  <c r="I377" i="36" s="1"/>
  <c r="J377" i="36" s="1"/>
  <c r="H325" i="36"/>
  <c r="I325" i="36" s="1"/>
  <c r="K379" i="36"/>
  <c r="L288" i="36"/>
  <c r="J394" i="36"/>
  <c r="K310" i="36"/>
  <c r="H289" i="36"/>
  <c r="I289" i="36" s="1"/>
  <c r="J289" i="36" s="1"/>
  <c r="K289" i="36" s="1"/>
  <c r="I389" i="36"/>
  <c r="H387" i="36"/>
  <c r="I387" i="36" s="1"/>
  <c r="J387" i="36" s="1"/>
  <c r="H311" i="36"/>
  <c r="I311" i="36" s="1"/>
  <c r="J311" i="36" s="1"/>
  <c r="H372" i="36"/>
  <c r="I372" i="36" s="1"/>
  <c r="J290" i="36"/>
  <c r="I374" i="36"/>
  <c r="K304" i="36"/>
  <c r="I287" i="36"/>
  <c r="J287" i="36" s="1"/>
  <c r="K287" i="36" s="1"/>
  <c r="K290" i="36"/>
  <c r="I290" i="36"/>
  <c r="I379" i="36"/>
  <c r="I305" i="36"/>
  <c r="J305" i="36" s="1"/>
  <c r="I295" i="36"/>
  <c r="J295" i="36" s="1"/>
  <c r="K295" i="36" s="1"/>
  <c r="I312" i="36"/>
  <c r="J374" i="36"/>
  <c r="H404" i="36"/>
  <c r="I397" i="36"/>
  <c r="E49" i="22" s="1"/>
  <c r="K369" i="36"/>
  <c r="K399" i="36"/>
  <c r="I303" i="36"/>
  <c r="J303" i="36" s="1"/>
  <c r="J384" i="36"/>
  <c r="J399" i="36"/>
  <c r="J389" i="36"/>
  <c r="K302" i="36"/>
  <c r="M269" i="36"/>
  <c r="G394" i="36"/>
  <c r="J332" i="36"/>
  <c r="L286" i="36"/>
  <c r="I404" i="36"/>
  <c r="J404" i="36"/>
  <c r="K314" i="36"/>
  <c r="H290" i="36"/>
  <c r="H334" i="36"/>
  <c r="H384" i="36"/>
  <c r="I394" i="36"/>
  <c r="L291" i="36"/>
  <c r="J312" i="36"/>
  <c r="J307" i="36"/>
  <c r="K306" i="36"/>
  <c r="J330" i="36"/>
  <c r="H293" i="36"/>
  <c r="I293" i="36" s="1"/>
  <c r="J293" i="36" s="1"/>
  <c r="K293" i="36" s="1"/>
  <c r="H374" i="36"/>
  <c r="K393" i="36"/>
  <c r="G47" i="22" s="1"/>
  <c r="H312" i="36"/>
  <c r="H394" i="36"/>
  <c r="M272" i="36"/>
  <c r="L292" i="36"/>
  <c r="H283" i="36"/>
  <c r="I283" i="36" s="1"/>
  <c r="J283" i="36" s="1"/>
  <c r="K283" i="36" s="1"/>
  <c r="H393" i="36"/>
  <c r="D47" i="22" s="1"/>
  <c r="I356" i="36"/>
  <c r="I334" i="36"/>
  <c r="J369" i="36"/>
  <c r="I393" i="36"/>
  <c r="E47" i="22" s="1"/>
  <c r="H315" i="36"/>
  <c r="I315" i="36" s="1"/>
  <c r="J315" i="36" s="1"/>
  <c r="L282" i="36"/>
  <c r="I399" i="36"/>
  <c r="G404" i="36"/>
  <c r="H331" i="36"/>
  <c r="I331" i="36" s="1"/>
  <c r="I409" i="36"/>
  <c r="E55" i="22" s="1"/>
  <c r="L280" i="36"/>
  <c r="L268" i="36"/>
  <c r="I281" i="36"/>
  <c r="J281" i="36" s="1"/>
  <c r="K281" i="36" s="1"/>
  <c r="I265" i="36"/>
  <c r="H383" i="36" s="1"/>
  <c r="D41" i="22" s="1"/>
  <c r="I273" i="36"/>
  <c r="J273" i="36" s="1"/>
  <c r="H337" i="36"/>
  <c r="I337" i="36" s="1"/>
  <c r="J336" i="36"/>
  <c r="L294" i="36"/>
  <c r="I369" i="36"/>
  <c r="J393" i="36"/>
  <c r="F47" i="22" s="1"/>
  <c r="I268" i="36"/>
  <c r="C46" i="22"/>
  <c r="H392" i="36"/>
  <c r="M258" i="36"/>
  <c r="M268" i="36" s="1"/>
  <c r="G367" i="36"/>
  <c r="B31" i="22"/>
  <c r="H402" i="36"/>
  <c r="C26" i="22"/>
  <c r="H356" i="36"/>
  <c r="H347" i="36"/>
  <c r="I362" i="36"/>
  <c r="G369" i="36"/>
  <c r="G412" i="36" s="1"/>
  <c r="H259" i="36"/>
  <c r="G368" i="36" s="1"/>
  <c r="C32" i="22" s="1"/>
  <c r="D54" i="22"/>
  <c r="I407" i="36"/>
  <c r="K409" i="36"/>
  <c r="G55" i="22" s="1"/>
  <c r="H369" i="36"/>
  <c r="K313" i="36"/>
  <c r="M274" i="36"/>
  <c r="H275" i="36"/>
  <c r="G408" i="36" s="1"/>
  <c r="G409" i="36"/>
  <c r="C55" i="22" s="1"/>
  <c r="H409" i="36"/>
  <c r="D55" i="22" s="1"/>
  <c r="I263" i="36"/>
  <c r="G378" i="36"/>
  <c r="C38" i="22" s="1"/>
  <c r="L296" i="36"/>
  <c r="H297" i="36"/>
  <c r="I297" i="36" s="1"/>
  <c r="J297" i="36" s="1"/>
  <c r="K297" i="36" s="1"/>
  <c r="H341" i="36"/>
  <c r="I341" i="36" s="1"/>
  <c r="J340" i="36"/>
  <c r="J409" i="36"/>
  <c r="F55" i="22" s="1"/>
  <c r="I267" i="36"/>
  <c r="G398" i="36"/>
  <c r="C50" i="22" s="1"/>
  <c r="I271" i="36"/>
  <c r="G373" i="36"/>
  <c r="C35" i="22" s="1"/>
  <c r="I261" i="36"/>
  <c r="H319" i="36"/>
  <c r="I319" i="36" s="1"/>
  <c r="J319" i="36" s="1"/>
  <c r="K318" i="36"/>
  <c r="J382" i="36"/>
  <c r="E40" i="22"/>
  <c r="H42" i="37" l="1"/>
  <c r="H41" i="37"/>
  <c r="B7" i="23"/>
  <c r="C13" i="39" s="1"/>
  <c r="B9" i="24"/>
  <c r="C42" i="39" s="1"/>
  <c r="E37" i="22"/>
  <c r="K412" i="36"/>
  <c r="D37" i="22"/>
  <c r="E43" i="22"/>
  <c r="D34" i="22"/>
  <c r="D43" i="22"/>
  <c r="I412" i="36"/>
  <c r="H403" i="36"/>
  <c r="D27" i="22" s="1"/>
  <c r="J397" i="36"/>
  <c r="F49" i="22" s="1"/>
  <c r="J265" i="36"/>
  <c r="K265" i="36" s="1"/>
  <c r="I413" i="36"/>
  <c r="J334" i="36"/>
  <c r="J412" i="36"/>
  <c r="K312" i="36"/>
  <c r="L290" i="36"/>
  <c r="H412" i="36"/>
  <c r="H413" i="36"/>
  <c r="K413" i="36"/>
  <c r="I392" i="36"/>
  <c r="D46" i="22"/>
  <c r="J407" i="36"/>
  <c r="E54" i="22"/>
  <c r="J372" i="36"/>
  <c r="E34" i="22"/>
  <c r="D26" i="22"/>
  <c r="I402" i="36"/>
  <c r="I275" i="36"/>
  <c r="J275" i="36" s="1"/>
  <c r="J413" i="36"/>
  <c r="G413" i="36"/>
  <c r="H367" i="36"/>
  <c r="C31" i="22"/>
  <c r="I259" i="36"/>
  <c r="H398" i="36"/>
  <c r="D50" i="22" s="1"/>
  <c r="J271" i="36"/>
  <c r="K273" i="36"/>
  <c r="I403" i="36"/>
  <c r="E27" i="22" s="1"/>
  <c r="H378" i="36"/>
  <c r="D38" i="22" s="1"/>
  <c r="J263" i="36"/>
  <c r="H373" i="36"/>
  <c r="D35" i="22" s="1"/>
  <c r="J261" i="36"/>
  <c r="H388" i="36"/>
  <c r="D44" i="22" s="1"/>
  <c r="J267" i="36"/>
  <c r="F37" i="22"/>
  <c r="K377" i="36"/>
  <c r="G37" i="22" s="1"/>
  <c r="F43" i="22"/>
  <c r="K387" i="36"/>
  <c r="G43" i="22" s="1"/>
  <c r="F40" i="22"/>
  <c r="K382" i="36"/>
  <c r="G40" i="22" s="1"/>
  <c r="G11" i="33"/>
  <c r="G10" i="33"/>
  <c r="G9" i="33"/>
  <c r="G8" i="33"/>
  <c r="H20" i="33" s="1"/>
  <c r="F7" i="33"/>
  <c r="H45" i="37" l="1"/>
  <c r="Q25" i="37"/>
  <c r="Q27" i="37"/>
  <c r="D7" i="23"/>
  <c r="E13" i="39" s="1"/>
  <c r="D9" i="24"/>
  <c r="E42" i="39" s="1"/>
  <c r="F8" i="23"/>
  <c r="G14" i="39" s="1"/>
  <c r="F10" i="24"/>
  <c r="G43" i="39" s="1"/>
  <c r="F7" i="23"/>
  <c r="G13" i="39" s="1"/>
  <c r="F9" i="24"/>
  <c r="G42" i="39" s="1"/>
  <c r="B8" i="23"/>
  <c r="B10" i="24"/>
  <c r="C43" i="39" s="1"/>
  <c r="C8" i="23"/>
  <c r="D14" i="39" s="1"/>
  <c r="C10" i="24"/>
  <c r="D43" i="39" s="1"/>
  <c r="E7" i="23"/>
  <c r="F13" i="39" s="1"/>
  <c r="E9" i="24"/>
  <c r="F42" i="39" s="1"/>
  <c r="E8" i="23"/>
  <c r="F14" i="39" s="1"/>
  <c r="E10" i="24"/>
  <c r="F43" i="39" s="1"/>
  <c r="C7" i="23"/>
  <c r="D13" i="39" s="1"/>
  <c r="C9" i="24"/>
  <c r="D42" i="39" s="1"/>
  <c r="D8" i="23"/>
  <c r="E14" i="39" s="1"/>
  <c r="D10" i="24"/>
  <c r="E43" i="39" s="1"/>
  <c r="L20" i="33"/>
  <c r="I20" i="33"/>
  <c r="K397" i="36"/>
  <c r="G49" i="22" s="1"/>
  <c r="I383" i="36"/>
  <c r="E41" i="22" s="1"/>
  <c r="H408" i="36"/>
  <c r="J402" i="36"/>
  <c r="E26" i="22"/>
  <c r="F54" i="22"/>
  <c r="K407" i="36"/>
  <c r="G54" i="22" s="1"/>
  <c r="H368" i="36"/>
  <c r="D32" i="22" s="1"/>
  <c r="J259" i="36"/>
  <c r="I367" i="36"/>
  <c r="D31" i="22"/>
  <c r="F34" i="22"/>
  <c r="K372" i="36"/>
  <c r="G34" i="22" s="1"/>
  <c r="E46" i="22"/>
  <c r="J392" i="36"/>
  <c r="K275" i="36"/>
  <c r="I408" i="36"/>
  <c r="J403" i="36"/>
  <c r="F27" i="22" s="1"/>
  <c r="L273" i="36"/>
  <c r="K403" i="36" s="1"/>
  <c r="G27" i="22" s="1"/>
  <c r="L265" i="36"/>
  <c r="K383" i="36" s="1"/>
  <c r="G41" i="22" s="1"/>
  <c r="J383" i="36"/>
  <c r="F41" i="22" s="1"/>
  <c r="K267" i="36"/>
  <c r="I388" i="36"/>
  <c r="E44" i="22" s="1"/>
  <c r="I378" i="36"/>
  <c r="E38" i="22" s="1"/>
  <c r="K263" i="36"/>
  <c r="K271" i="36"/>
  <c r="I398" i="36"/>
  <c r="E50" i="22" s="1"/>
  <c r="I373" i="36"/>
  <c r="E35" i="22" s="1"/>
  <c r="K261" i="36"/>
  <c r="F24" i="33"/>
  <c r="F25" i="33" s="1"/>
  <c r="C7" i="33"/>
  <c r="C14" i="39" l="1"/>
  <c r="C15" i="39" s="1"/>
  <c r="B9" i="23"/>
  <c r="M20" i="33"/>
  <c r="P20" i="33"/>
  <c r="F46" i="22"/>
  <c r="K392" i="36"/>
  <c r="G46" i="22" s="1"/>
  <c r="I368" i="36"/>
  <c r="E32" i="22" s="1"/>
  <c r="K259" i="36"/>
  <c r="E31" i="22"/>
  <c r="J367" i="36"/>
  <c r="F26" i="22"/>
  <c r="K402" i="36"/>
  <c r="G26" i="22" s="1"/>
  <c r="L275" i="36"/>
  <c r="K408" i="36" s="1"/>
  <c r="J408" i="36"/>
  <c r="L271" i="36"/>
  <c r="K398" i="36" s="1"/>
  <c r="G50" i="22" s="1"/>
  <c r="J398" i="36"/>
  <c r="F50" i="22" s="1"/>
  <c r="L267" i="36"/>
  <c r="K388" i="36" s="1"/>
  <c r="G44" i="22" s="1"/>
  <c r="J388" i="36"/>
  <c r="F44" i="22" s="1"/>
  <c r="J373" i="36"/>
  <c r="F35" i="22" s="1"/>
  <c r="L261" i="36"/>
  <c r="K373" i="36" s="1"/>
  <c r="G35" i="22" s="1"/>
  <c r="L263" i="36"/>
  <c r="K378" i="36" s="1"/>
  <c r="G38" i="22" s="1"/>
  <c r="J378" i="36"/>
  <c r="F38" i="22" s="1"/>
  <c r="C2" i="33"/>
  <c r="Q20" i="33" l="1"/>
  <c r="T20" i="33"/>
  <c r="U20" i="33" s="1"/>
  <c r="K367" i="36"/>
  <c r="G31" i="22" s="1"/>
  <c r="F31" i="22"/>
  <c r="J368" i="36"/>
  <c r="F32" i="22" s="1"/>
  <c r="L259" i="36"/>
  <c r="K368" i="36" s="1"/>
  <c r="G32" i="22" s="1"/>
  <c r="I12" i="36"/>
  <c r="K24" i="36"/>
  <c r="I23" i="33"/>
  <c r="I24" i="33" s="1"/>
  <c r="I25" i="33" s="1"/>
  <c r="C25" i="2"/>
  <c r="C20" i="2"/>
  <c r="K12" i="36" l="1"/>
  <c r="N24" i="36"/>
  <c r="I14" i="36"/>
  <c r="D4" i="20" s="1"/>
  <c r="C4" i="23"/>
  <c r="M23" i="33"/>
  <c r="M12" i="36" l="1"/>
  <c r="Q24" i="36"/>
  <c r="K14" i="36"/>
  <c r="E4" i="20" s="1"/>
  <c r="D4" i="23"/>
  <c r="M24" i="33"/>
  <c r="M25" i="33" s="1"/>
  <c r="Q23" i="33"/>
  <c r="F46" i="25"/>
  <c r="C46" i="25"/>
  <c r="H9" i="25"/>
  <c r="E46" i="25" s="1"/>
  <c r="D37" i="24"/>
  <c r="E37" i="24"/>
  <c r="F37" i="24"/>
  <c r="E36" i="24"/>
  <c r="F36" i="24"/>
  <c r="U23" i="33" l="1"/>
  <c r="U24" i="33" s="1"/>
  <c r="U25" i="33" s="1"/>
  <c r="T24" i="36"/>
  <c r="M14" i="36"/>
  <c r="F4" i="20" s="1"/>
  <c r="E4" i="23"/>
  <c r="Q24" i="33"/>
  <c r="Q25" i="33" s="1"/>
  <c r="D29" i="25"/>
  <c r="D26" i="25"/>
  <c r="D30" i="24"/>
  <c r="C30" i="24"/>
  <c r="F30" i="24"/>
  <c r="O12" i="36" l="1"/>
  <c r="O14" i="36" s="1"/>
  <c r="G4" i="20" s="1"/>
  <c r="C26" i="23"/>
  <c r="D26" i="23"/>
  <c r="E26" i="23"/>
  <c r="F26" i="23"/>
  <c r="B71" i="22"/>
  <c r="B70" i="22"/>
  <c r="C69" i="22"/>
  <c r="B69" i="22"/>
  <c r="B68" i="22"/>
  <c r="B67" i="22"/>
  <c r="C67" i="22" s="1"/>
  <c r="D67" i="22" s="1"/>
  <c r="E67" i="22" s="1"/>
  <c r="F67" i="22" s="1"/>
  <c r="G67" i="22" s="1"/>
  <c r="G62" i="22"/>
  <c r="B61" i="22"/>
  <c r="B24" i="22"/>
  <c r="K151" i="18"/>
  <c r="F8" i="20" s="1"/>
  <c r="L151" i="18"/>
  <c r="G8" i="20" s="1"/>
  <c r="H146" i="18"/>
  <c r="E24" i="19"/>
  <c r="E47" i="25" s="1"/>
  <c r="H151" i="18"/>
  <c r="C8" i="20" s="1"/>
  <c r="J151" i="18"/>
  <c r="E8" i="20" s="1"/>
  <c r="I151" i="18"/>
  <c r="D8" i="20" s="1"/>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45" i="18"/>
  <c r="C136" i="18"/>
  <c r="C137" i="18" s="1"/>
  <c r="D125" i="18"/>
  <c r="D136" i="18" s="1"/>
  <c r="D118" i="18"/>
  <c r="D119" i="18" s="1"/>
  <c r="C118" i="18"/>
  <c r="C119" i="18" s="1"/>
  <c r="E109" i="18"/>
  <c r="E110" i="18"/>
  <c r="E111" i="18"/>
  <c r="E112" i="18"/>
  <c r="E113" i="18"/>
  <c r="E114" i="18"/>
  <c r="E115" i="18"/>
  <c r="E116" i="18"/>
  <c r="E117" i="18"/>
  <c r="E108" i="18"/>
  <c r="C88" i="18"/>
  <c r="C89" i="18" s="1"/>
  <c r="D78" i="18"/>
  <c r="D79" i="18"/>
  <c r="D80" i="18"/>
  <c r="D81" i="18"/>
  <c r="D82" i="18"/>
  <c r="D83" i="18"/>
  <c r="D84" i="18"/>
  <c r="D85" i="18"/>
  <c r="D86" i="18"/>
  <c r="D87" i="18"/>
  <c r="D77" i="18"/>
  <c r="D70" i="18"/>
  <c r="D71" i="18" s="1"/>
  <c r="C70" i="18"/>
  <c r="C71" i="18" s="1"/>
  <c r="E61" i="18"/>
  <c r="E62" i="18"/>
  <c r="E63" i="18"/>
  <c r="E64" i="18"/>
  <c r="E65" i="18"/>
  <c r="E66" i="18"/>
  <c r="E67" i="18"/>
  <c r="E68" i="18"/>
  <c r="E69" i="18"/>
  <c r="E60" i="18"/>
  <c r="C46" i="18"/>
  <c r="C47" i="18" s="1"/>
  <c r="D36" i="18"/>
  <c r="D37" i="18"/>
  <c r="D38" i="18"/>
  <c r="D39" i="18"/>
  <c r="D40" i="18"/>
  <c r="D41" i="18"/>
  <c r="D42" i="18"/>
  <c r="D43" i="18"/>
  <c r="D44" i="18"/>
  <c r="D45" i="18"/>
  <c r="D35" i="18"/>
  <c r="D28" i="18"/>
  <c r="D29" i="18" s="1"/>
  <c r="C28" i="18"/>
  <c r="C29" i="18" s="1"/>
  <c r="E18" i="18"/>
  <c r="E19" i="18"/>
  <c r="E20" i="18"/>
  <c r="E21" i="18"/>
  <c r="E22" i="18"/>
  <c r="E23" i="18"/>
  <c r="E24" i="18"/>
  <c r="E25" i="18"/>
  <c r="E26" i="18"/>
  <c r="E27" i="18"/>
  <c r="E17" i="18"/>
  <c r="N16" i="18"/>
  <c r="N59" i="18" s="1"/>
  <c r="N107" i="18" s="1"/>
  <c r="M16" i="18"/>
  <c r="M21" i="18" s="1"/>
  <c r="L16" i="18"/>
  <c r="L19" i="18" s="1"/>
  <c r="J16" i="18"/>
  <c r="J19" i="18" s="1"/>
  <c r="I16" i="18"/>
  <c r="I25" i="18" s="1"/>
  <c r="H16" i="18"/>
  <c r="H21" i="18" s="1"/>
  <c r="G16" i="18"/>
  <c r="G19" i="18" s="1"/>
  <c r="F16" i="18"/>
  <c r="F59" i="18" s="1"/>
  <c r="F107" i="18" s="1"/>
  <c r="F112" i="18" s="1"/>
  <c r="E118" i="18" l="1"/>
  <c r="E119" i="18" s="1"/>
  <c r="N19" i="18"/>
  <c r="D46" i="18"/>
  <c r="F4" i="23"/>
  <c r="G18" i="18"/>
  <c r="N111" i="18"/>
  <c r="N117" i="18"/>
  <c r="N109" i="18"/>
  <c r="N22" i="18"/>
  <c r="H22" i="18"/>
  <c r="J25" i="18"/>
  <c r="J24" i="18"/>
  <c r="J21" i="18"/>
  <c r="J18" i="18"/>
  <c r="J17" i="18"/>
  <c r="J26" i="18"/>
  <c r="L17" i="18"/>
  <c r="L18" i="18"/>
  <c r="I27" i="18"/>
  <c r="I26" i="18"/>
  <c r="I24" i="18"/>
  <c r="I18" i="18"/>
  <c r="B72" i="22"/>
  <c r="C172" i="18"/>
  <c r="C9" i="20" s="1"/>
  <c r="D88" i="18"/>
  <c r="B28" i="22"/>
  <c r="L20" i="18"/>
  <c r="N108" i="18"/>
  <c r="F111" i="18"/>
  <c r="N110" i="18"/>
  <c r="M22" i="18"/>
  <c r="N18" i="18"/>
  <c r="F108" i="18"/>
  <c r="F117" i="18"/>
  <c r="F109" i="18"/>
  <c r="N116" i="18"/>
  <c r="M20" i="18"/>
  <c r="F116" i="18"/>
  <c r="N115" i="18"/>
  <c r="N27" i="18"/>
  <c r="F115" i="18"/>
  <c r="N114" i="18"/>
  <c r="F110" i="18"/>
  <c r="G26" i="18"/>
  <c r="I23" i="18"/>
  <c r="J20" i="18"/>
  <c r="N26" i="18"/>
  <c r="F114" i="18"/>
  <c r="N113" i="18"/>
  <c r="G22" i="18"/>
  <c r="I22" i="18"/>
  <c r="N24" i="18"/>
  <c r="G59" i="18"/>
  <c r="G69" i="18" s="1"/>
  <c r="F113" i="18"/>
  <c r="N112" i="18"/>
  <c r="G17" i="18"/>
  <c r="G20" i="18"/>
  <c r="I19" i="18"/>
  <c r="L26" i="18"/>
  <c r="N23" i="18"/>
  <c r="N64" i="18"/>
  <c r="N65" i="18"/>
  <c r="N66" i="18"/>
  <c r="N67" i="18"/>
  <c r="N68" i="18"/>
  <c r="N61" i="18"/>
  <c r="N69" i="18"/>
  <c r="N62" i="18"/>
  <c r="N63" i="18"/>
  <c r="N60" i="18"/>
  <c r="F63" i="18"/>
  <c r="F64" i="18"/>
  <c r="F65" i="18"/>
  <c r="F66" i="18"/>
  <c r="F67" i="18"/>
  <c r="F68" i="18"/>
  <c r="F61" i="18"/>
  <c r="F69" i="18"/>
  <c r="F60" i="18"/>
  <c r="F62" i="18"/>
  <c r="H20" i="18"/>
  <c r="F24" i="18"/>
  <c r="N17" i="18"/>
  <c r="F23" i="18"/>
  <c r="G25" i="18"/>
  <c r="H27" i="18"/>
  <c r="H19" i="18"/>
  <c r="I21" i="18"/>
  <c r="J23" i="18"/>
  <c r="L25" i="18"/>
  <c r="M27" i="18"/>
  <c r="M19" i="18"/>
  <c r="N21" i="18"/>
  <c r="H59" i="18"/>
  <c r="H107" i="18" s="1"/>
  <c r="F17" i="18"/>
  <c r="F22" i="18"/>
  <c r="G24" i="18"/>
  <c r="H26" i="18"/>
  <c r="H18" i="18"/>
  <c r="I20" i="18"/>
  <c r="J22" i="18"/>
  <c r="L24" i="18"/>
  <c r="M26" i="18"/>
  <c r="M18" i="18"/>
  <c r="N20" i="18"/>
  <c r="I59" i="18"/>
  <c r="I107" i="18" s="1"/>
  <c r="F21" i="18"/>
  <c r="G23" i="18"/>
  <c r="H25" i="18"/>
  <c r="L23" i="18"/>
  <c r="M25" i="18"/>
  <c r="J59" i="18"/>
  <c r="J107" i="18" s="1"/>
  <c r="H17" i="18"/>
  <c r="E28" i="18"/>
  <c r="E29" i="18" s="1"/>
  <c r="F20" i="18"/>
  <c r="H24" i="18"/>
  <c r="L22" i="18"/>
  <c r="M24" i="18"/>
  <c r="L59" i="18"/>
  <c r="L107" i="18" s="1"/>
  <c r="I17" i="18"/>
  <c r="F27" i="18"/>
  <c r="F19" i="18"/>
  <c r="G21" i="18"/>
  <c r="H23" i="18"/>
  <c r="J27" i="18"/>
  <c r="L21" i="18"/>
  <c r="M23" i="18"/>
  <c r="N25" i="18"/>
  <c r="M59" i="18"/>
  <c r="M107" i="18" s="1"/>
  <c r="E70" i="18"/>
  <c r="E71" i="18" s="1"/>
  <c r="F26" i="18"/>
  <c r="F18" i="18"/>
  <c r="M17" i="18"/>
  <c r="F25" i="18"/>
  <c r="G27" i="18"/>
  <c r="L27" i="18"/>
  <c r="G64" i="18" l="1"/>
  <c r="G68" i="18"/>
  <c r="N28" i="18"/>
  <c r="N29" i="18" s="1"/>
  <c r="G67" i="18"/>
  <c r="G61" i="18"/>
  <c r="G63" i="18"/>
  <c r="G65" i="18"/>
  <c r="G66" i="18"/>
  <c r="G60" i="18"/>
  <c r="J28" i="18"/>
  <c r="J29" i="18" s="1"/>
  <c r="O18" i="18"/>
  <c r="P18" i="18" s="1"/>
  <c r="O21" i="18"/>
  <c r="P21" i="18" s="1"/>
  <c r="D9" i="20"/>
  <c r="B42" i="22"/>
  <c r="B39" i="22"/>
  <c r="I28" i="18"/>
  <c r="I29" i="18" s="1"/>
  <c r="O23" i="18"/>
  <c r="P23" i="18" s="1"/>
  <c r="N70" i="18"/>
  <c r="N71" i="18" s="1"/>
  <c r="F118" i="18"/>
  <c r="F119" i="18" s="1"/>
  <c r="O26" i="18"/>
  <c r="P26" i="18" s="1"/>
  <c r="O24" i="18"/>
  <c r="P24" i="18" s="1"/>
  <c r="M110" i="18"/>
  <c r="M108" i="18"/>
  <c r="M111" i="18"/>
  <c r="M112" i="18"/>
  <c r="M116" i="18"/>
  <c r="M113" i="18"/>
  <c r="M114" i="18"/>
  <c r="M115" i="18"/>
  <c r="M109" i="18"/>
  <c r="M117" i="18"/>
  <c r="H114" i="18"/>
  <c r="H115" i="18"/>
  <c r="H112" i="18"/>
  <c r="H116" i="18"/>
  <c r="H109" i="18"/>
  <c r="H117" i="18"/>
  <c r="H110" i="18"/>
  <c r="H108" i="18"/>
  <c r="H111" i="18"/>
  <c r="H113" i="18"/>
  <c r="O25" i="18"/>
  <c r="P25" i="18" s="1"/>
  <c r="J116" i="18"/>
  <c r="J109" i="18"/>
  <c r="J117" i="18"/>
  <c r="J110" i="18"/>
  <c r="J108" i="18"/>
  <c r="J111" i="18"/>
  <c r="J112" i="18"/>
  <c r="J113" i="18"/>
  <c r="J114" i="18"/>
  <c r="J115" i="18"/>
  <c r="L28" i="18"/>
  <c r="L29" i="18" s="1"/>
  <c r="I115" i="18"/>
  <c r="I116" i="18"/>
  <c r="I109" i="18"/>
  <c r="I117" i="18"/>
  <c r="I113" i="18"/>
  <c r="I110" i="18"/>
  <c r="I108" i="18"/>
  <c r="I111" i="18"/>
  <c r="I112" i="18"/>
  <c r="I114" i="18"/>
  <c r="O17" i="18"/>
  <c r="P17" i="18" s="1"/>
  <c r="G62" i="18"/>
  <c r="G107" i="18"/>
  <c r="O27" i="18"/>
  <c r="P27" i="18" s="1"/>
  <c r="L109" i="18"/>
  <c r="L117" i="18"/>
  <c r="L110" i="18"/>
  <c r="L108" i="18"/>
  <c r="L111" i="18"/>
  <c r="L115" i="18"/>
  <c r="L112" i="18"/>
  <c r="L113" i="18"/>
  <c r="L114" i="18"/>
  <c r="L116" i="18"/>
  <c r="O19" i="18"/>
  <c r="P19" i="18" s="1"/>
  <c r="O20" i="18"/>
  <c r="P20" i="18" s="1"/>
  <c r="G28" i="18"/>
  <c r="G29" i="18" s="1"/>
  <c r="N118" i="18"/>
  <c r="N119" i="18" s="1"/>
  <c r="F70" i="18"/>
  <c r="F71" i="18" s="1"/>
  <c r="M65" i="18"/>
  <c r="M60" i="18"/>
  <c r="M66" i="18"/>
  <c r="M67" i="18"/>
  <c r="M68" i="18"/>
  <c r="M61" i="18"/>
  <c r="M69" i="18"/>
  <c r="M62" i="18"/>
  <c r="M63" i="18"/>
  <c r="M64" i="18"/>
  <c r="H61" i="18"/>
  <c r="H69" i="18"/>
  <c r="H62" i="18"/>
  <c r="H63" i="18"/>
  <c r="H64" i="18"/>
  <c r="H65" i="18"/>
  <c r="H60" i="18"/>
  <c r="H66" i="18"/>
  <c r="H67" i="18"/>
  <c r="H68" i="18"/>
  <c r="O22" i="18"/>
  <c r="P22" i="18" s="1"/>
  <c r="F28" i="18"/>
  <c r="F29" i="18" s="1"/>
  <c r="L66" i="18"/>
  <c r="L67" i="18"/>
  <c r="L60" i="18"/>
  <c r="L68" i="18"/>
  <c r="L61" i="18"/>
  <c r="L69" i="18"/>
  <c r="L62" i="18"/>
  <c r="L63" i="18"/>
  <c r="L64" i="18"/>
  <c r="L65" i="18"/>
  <c r="H28" i="18"/>
  <c r="H29" i="18" s="1"/>
  <c r="J67" i="18"/>
  <c r="J68" i="18"/>
  <c r="J61" i="18"/>
  <c r="J69" i="18"/>
  <c r="J60" i="18"/>
  <c r="J62" i="18"/>
  <c r="J63" i="18"/>
  <c r="J64" i="18"/>
  <c r="J65" i="18"/>
  <c r="J66" i="18"/>
  <c r="I68" i="18"/>
  <c r="I61" i="18"/>
  <c r="I69" i="18"/>
  <c r="I62" i="18"/>
  <c r="I63" i="18"/>
  <c r="I60" i="18"/>
  <c r="I64" i="18"/>
  <c r="I65" i="18"/>
  <c r="I66" i="18"/>
  <c r="I67" i="18"/>
  <c r="M28" i="18"/>
  <c r="M29" i="18" s="1"/>
  <c r="G70" i="18" l="1"/>
  <c r="G71" i="18" s="1"/>
  <c r="O62" i="18"/>
  <c r="P62" i="18" s="1"/>
  <c r="O67" i="18"/>
  <c r="P67" i="18" s="1"/>
  <c r="O61" i="18"/>
  <c r="P61" i="18" s="1"/>
  <c r="E9" i="20"/>
  <c r="F9" i="20" s="1"/>
  <c r="B45" i="22"/>
  <c r="E30" i="24"/>
  <c r="L118" i="18"/>
  <c r="L119" i="18" s="1"/>
  <c r="I70" i="18"/>
  <c r="I71" i="18" s="1"/>
  <c r="O66" i="18"/>
  <c r="P66" i="18" s="1"/>
  <c r="O28" i="18"/>
  <c r="O29" i="18" s="1"/>
  <c r="P28" i="18"/>
  <c r="C5" i="20" s="1"/>
  <c r="O64" i="18"/>
  <c r="P64" i="18" s="1"/>
  <c r="I118" i="18"/>
  <c r="I119" i="18" s="1"/>
  <c r="J118" i="18"/>
  <c r="J119" i="18" s="1"/>
  <c r="H118" i="18"/>
  <c r="H119" i="18" s="1"/>
  <c r="M118" i="18"/>
  <c r="M119" i="18" s="1"/>
  <c r="G113" i="18"/>
  <c r="O113" i="18" s="1"/>
  <c r="P113" i="18" s="1"/>
  <c r="G114" i="18"/>
  <c r="O114" i="18" s="1"/>
  <c r="P114" i="18" s="1"/>
  <c r="G115" i="18"/>
  <c r="O115" i="18" s="1"/>
  <c r="P115" i="18" s="1"/>
  <c r="G116" i="18"/>
  <c r="O116" i="18" s="1"/>
  <c r="P116" i="18" s="1"/>
  <c r="G109" i="18"/>
  <c r="O109" i="18" s="1"/>
  <c r="P109" i="18" s="1"/>
  <c r="G117" i="18"/>
  <c r="O117" i="18" s="1"/>
  <c r="P117" i="18" s="1"/>
  <c r="G110" i="18"/>
  <c r="O110" i="18" s="1"/>
  <c r="P110" i="18" s="1"/>
  <c r="G111" i="18"/>
  <c r="O111" i="18" s="1"/>
  <c r="P111" i="18" s="1"/>
  <c r="G108" i="18"/>
  <c r="G112" i="18"/>
  <c r="O112" i="18" s="1"/>
  <c r="P112" i="18" s="1"/>
  <c r="H70" i="18"/>
  <c r="H71" i="18" s="1"/>
  <c r="O60" i="18"/>
  <c r="J70" i="18"/>
  <c r="J71" i="18" s="1"/>
  <c r="O65" i="18"/>
  <c r="P65" i="18" s="1"/>
  <c r="O63" i="18"/>
  <c r="P63" i="18" s="1"/>
  <c r="O68" i="18"/>
  <c r="P68" i="18" s="1"/>
  <c r="O69" i="18"/>
  <c r="P69" i="18" s="1"/>
  <c r="L70" i="18"/>
  <c r="L71" i="18" s="1"/>
  <c r="M70" i="18"/>
  <c r="M71" i="18" s="1"/>
  <c r="D5" i="20" l="1"/>
  <c r="B11" i="23"/>
  <c r="C37" i="25"/>
  <c r="G9" i="20"/>
  <c r="C28" i="22"/>
  <c r="C11" i="20"/>
  <c r="B33" i="22"/>
  <c r="B52" i="22" s="1"/>
  <c r="C42" i="22"/>
  <c r="C36" i="22"/>
  <c r="D42" i="22"/>
  <c r="C45" i="22"/>
  <c r="C39" i="22"/>
  <c r="D28" i="22"/>
  <c r="G118" i="18"/>
  <c r="G119" i="18" s="1"/>
  <c r="O108" i="18"/>
  <c r="P60" i="18"/>
  <c r="P70" i="18" s="1"/>
  <c r="O70" i="18"/>
  <c r="O71" i="18" s="1"/>
  <c r="C6" i="20" s="1"/>
  <c r="D12" i="20" l="1"/>
  <c r="E5" i="20"/>
  <c r="C11" i="23"/>
  <c r="D17" i="39" s="1"/>
  <c r="G11" i="20"/>
  <c r="E11" i="20"/>
  <c r="D6" i="20"/>
  <c r="B10" i="23"/>
  <c r="C51" i="22"/>
  <c r="C12" i="20"/>
  <c r="E42" i="22"/>
  <c r="C33" i="22"/>
  <c r="C48" i="22"/>
  <c r="D39" i="22"/>
  <c r="C56" i="22"/>
  <c r="D45" i="22"/>
  <c r="E45" i="22"/>
  <c r="E28" i="22"/>
  <c r="P108" i="18"/>
  <c r="P118" i="18" s="1"/>
  <c r="O118" i="18"/>
  <c r="O119" i="18" s="1"/>
  <c r="C7" i="20" s="1"/>
  <c r="F5" i="20" l="1"/>
  <c r="D11" i="23"/>
  <c r="E17" i="39" s="1"/>
  <c r="B12" i="23"/>
  <c r="D7" i="20"/>
  <c r="F11" i="20"/>
  <c r="D11" i="20"/>
  <c r="C52" i="22"/>
  <c r="E6" i="20"/>
  <c r="C10" i="23"/>
  <c r="D16" i="39" s="1"/>
  <c r="D36" i="22"/>
  <c r="D51" i="22"/>
  <c r="D33" i="22"/>
  <c r="G12" i="20"/>
  <c r="F12" i="20"/>
  <c r="F42" i="22"/>
  <c r="G42" i="22"/>
  <c r="D48" i="22"/>
  <c r="E12" i="20"/>
  <c r="E36" i="22"/>
  <c r="D56" i="22"/>
  <c r="G45" i="22"/>
  <c r="F45" i="22"/>
  <c r="E39" i="22"/>
  <c r="F28" i="22"/>
  <c r="G28" i="22"/>
  <c r="G5" i="20" l="1"/>
  <c r="F11" i="23" s="1"/>
  <c r="G17" i="39" s="1"/>
  <c r="E11" i="23"/>
  <c r="F17" i="39" s="1"/>
  <c r="E7" i="20"/>
  <c r="C12" i="23"/>
  <c r="D18" i="39" s="1"/>
  <c r="D52" i="22"/>
  <c r="F6" i="20"/>
  <c r="D10" i="23"/>
  <c r="E16" i="39" s="1"/>
  <c r="E51" i="22"/>
  <c r="E33" i="22"/>
  <c r="E48" i="22"/>
  <c r="G36" i="22"/>
  <c r="F36" i="22"/>
  <c r="E56" i="22"/>
  <c r="G39" i="22"/>
  <c r="F39" i="22"/>
  <c r="F7" i="20" l="1"/>
  <c r="D12" i="23"/>
  <c r="E18" i="39" s="1"/>
  <c r="G6" i="20"/>
  <c r="F10" i="23" s="1"/>
  <c r="G16" i="39" s="1"/>
  <c r="E10" i="23"/>
  <c r="F16" i="39" s="1"/>
  <c r="E52" i="22"/>
  <c r="G48" i="22"/>
  <c r="F48" i="22"/>
  <c r="G33" i="22"/>
  <c r="F33" i="22"/>
  <c r="G51" i="22"/>
  <c r="F51" i="22"/>
  <c r="G56" i="22"/>
  <c r="F56" i="22"/>
  <c r="G52" i="22" l="1"/>
  <c r="E12" i="23"/>
  <c r="F18" i="39" s="1"/>
  <c r="G7" i="20"/>
  <c r="F12" i="23" s="1"/>
  <c r="G18" i="39" s="1"/>
  <c r="F52" i="22"/>
  <c r="E7" i="2" l="1"/>
  <c r="C29" i="19" l="1"/>
  <c r="C6" i="24"/>
  <c r="D40" i="39" s="1"/>
  <c r="C3" i="23"/>
  <c r="D9" i="39" s="1"/>
  <c r="E16" i="25"/>
  <c r="E74" i="39" s="1"/>
  <c r="H279" i="36"/>
  <c r="D3" i="20"/>
  <c r="L39" i="36"/>
  <c r="H7" i="36"/>
  <c r="E7" i="22"/>
  <c r="D20" i="22" s="1"/>
  <c r="I257" i="36"/>
  <c r="H366" i="36"/>
  <c r="H371" i="36" s="1"/>
  <c r="H376" i="36" s="1"/>
  <c r="H381" i="36" s="1"/>
  <c r="H386" i="36" s="1"/>
  <c r="H391" i="36" s="1"/>
  <c r="H396" i="36" s="1"/>
  <c r="H401" i="36" s="1"/>
  <c r="H406" i="36" s="1"/>
  <c r="F301" i="36"/>
  <c r="I21" i="36"/>
  <c r="H35" i="36"/>
  <c r="G17" i="33"/>
  <c r="F8" i="33"/>
  <c r="C8" i="33"/>
  <c r="I146" i="18"/>
  <c r="F7" i="2"/>
  <c r="D23" i="25"/>
  <c r="C30" i="19" l="1"/>
  <c r="F16" i="25"/>
  <c r="F74" i="39" s="1"/>
  <c r="D3" i="23"/>
  <c r="E9" i="39" s="1"/>
  <c r="D6" i="24"/>
  <c r="E40" i="39" s="1"/>
  <c r="E3" i="20"/>
  <c r="O39" i="36"/>
  <c r="J7" i="36"/>
  <c r="F7" i="22"/>
  <c r="E20" i="22" s="1"/>
  <c r="J257" i="36"/>
  <c r="I35" i="36"/>
  <c r="I366" i="36"/>
  <c r="I371" i="36" s="1"/>
  <c r="I376" i="36" s="1"/>
  <c r="I381" i="36" s="1"/>
  <c r="I386" i="36" s="1"/>
  <c r="I391" i="36" s="1"/>
  <c r="I396" i="36" s="1"/>
  <c r="I401" i="36" s="1"/>
  <c r="I406" i="36" s="1"/>
  <c r="F323" i="36"/>
  <c r="H301" i="36"/>
  <c r="I279" i="36"/>
  <c r="L21" i="36"/>
  <c r="K17" i="33"/>
  <c r="F9" i="33"/>
  <c r="C9" i="33"/>
  <c r="H415" i="36"/>
  <c r="H411" i="36"/>
  <c r="J146" i="18"/>
  <c r="G7" i="2"/>
  <c r="C31" i="19" l="1"/>
  <c r="G16" i="25"/>
  <c r="G74" i="39" s="1"/>
  <c r="E3" i="23"/>
  <c r="F9" i="39" s="1"/>
  <c r="E6" i="24"/>
  <c r="F40" i="39" s="1"/>
  <c r="I411" i="36"/>
  <c r="I415" i="36"/>
  <c r="H7" i="2"/>
  <c r="G7" i="22"/>
  <c r="F20" i="22" s="1"/>
  <c r="K257" i="36"/>
  <c r="J35" i="36"/>
  <c r="L7" i="36"/>
  <c r="J366" i="36"/>
  <c r="J371" i="36" s="1"/>
  <c r="J376" i="36" s="1"/>
  <c r="J381" i="36" s="1"/>
  <c r="J386" i="36" s="1"/>
  <c r="J391" i="36" s="1"/>
  <c r="J396" i="36" s="1"/>
  <c r="J401" i="36" s="1"/>
  <c r="J406" i="36" s="1"/>
  <c r="H323" i="36"/>
  <c r="I301" i="36"/>
  <c r="O21" i="36"/>
  <c r="J279" i="36"/>
  <c r="F3" i="20"/>
  <c r="R39" i="36"/>
  <c r="O17" i="33"/>
  <c r="F10" i="33"/>
  <c r="C10" i="33"/>
  <c r="K146" i="18"/>
  <c r="L146" i="18" l="1"/>
  <c r="C32" i="19"/>
  <c r="F6" i="24"/>
  <c r="G40" i="39" s="1"/>
  <c r="H16" i="25"/>
  <c r="H74" i="39" s="1"/>
  <c r="F3" i="23"/>
  <c r="G9" i="39" s="1"/>
  <c r="K366" i="36"/>
  <c r="K371" i="36" s="1"/>
  <c r="K376" i="36" s="1"/>
  <c r="K381" i="36" s="1"/>
  <c r="K386" i="36" s="1"/>
  <c r="K391" i="36" s="1"/>
  <c r="K396" i="36" s="1"/>
  <c r="K401" i="36" s="1"/>
  <c r="K406" i="36" s="1"/>
  <c r="I323" i="36"/>
  <c r="J301" i="36"/>
  <c r="R21" i="36"/>
  <c r="K279" i="36"/>
  <c r="U39" i="36"/>
  <c r="G3" i="20"/>
  <c r="H7" i="22"/>
  <c r="G20" i="22" s="1"/>
  <c r="L257" i="36"/>
  <c r="K35" i="36"/>
  <c r="N7" i="36"/>
  <c r="S17" i="33"/>
  <c r="F11" i="33"/>
  <c r="C11" i="33"/>
  <c r="J415" i="36"/>
  <c r="J411" i="36"/>
  <c r="C32" i="25"/>
  <c r="B34" i="24"/>
  <c r="C65" i="39" s="1"/>
  <c r="K415" i="36" l="1"/>
  <c r="K411" i="36"/>
  <c r="D32" i="25"/>
  <c r="C34" i="24"/>
  <c r="D65" i="39" s="1"/>
  <c r="C16" i="24"/>
  <c r="D48" i="39" s="1"/>
  <c r="D34" i="24" l="1"/>
  <c r="E65" i="39" s="1"/>
  <c r="E32" i="25"/>
  <c r="D16" i="24"/>
  <c r="E48" i="39" s="1"/>
  <c r="C30" i="2"/>
  <c r="F12" i="22" l="1"/>
  <c r="E24" i="22" s="1"/>
  <c r="D5" i="23"/>
  <c r="E11" i="39" s="1"/>
  <c r="E15" i="39" s="1"/>
  <c r="D14" i="23"/>
  <c r="D13" i="23"/>
  <c r="E19" i="39" s="1"/>
  <c r="E16" i="24"/>
  <c r="F48" i="39" s="1"/>
  <c r="F32" i="25"/>
  <c r="E34" i="24"/>
  <c r="F65" i="39" s="1"/>
  <c r="C31" i="2"/>
  <c r="D11" i="24" l="1"/>
  <c r="E20" i="39"/>
  <c r="E44" i="39" s="1"/>
  <c r="G12" i="22"/>
  <c r="F24" i="22" s="1"/>
  <c r="E5" i="23"/>
  <c r="F11" i="39" s="1"/>
  <c r="F15" i="39" s="1"/>
  <c r="E13" i="23"/>
  <c r="F19" i="39" s="1"/>
  <c r="E14" i="23"/>
  <c r="C14" i="23"/>
  <c r="E12" i="22"/>
  <c r="C5" i="23"/>
  <c r="D11" i="39" s="1"/>
  <c r="D15" i="39" s="1"/>
  <c r="C13" i="23"/>
  <c r="D19" i="39" s="1"/>
  <c r="F16" i="24"/>
  <c r="G48" i="39" s="1"/>
  <c r="G32" i="25"/>
  <c r="F34" i="24"/>
  <c r="G65" i="39" s="1"/>
  <c r="D12" i="22"/>
  <c r="B13" i="23"/>
  <c r="C19" i="39" s="1"/>
  <c r="B14" i="23"/>
  <c r="C11" i="24" l="1"/>
  <c r="D20" i="39"/>
  <c r="D44" i="39" s="1"/>
  <c r="E11" i="24"/>
  <c r="F20" i="39"/>
  <c r="F44" i="39" s="1"/>
  <c r="B11" i="24"/>
  <c r="C20" i="39"/>
  <c r="B16" i="23"/>
  <c r="E22" i="39"/>
  <c r="G13" i="22"/>
  <c r="E18" i="24" s="1"/>
  <c r="F50" i="39" s="1"/>
  <c r="G23" i="22"/>
  <c r="E17" i="19"/>
  <c r="F13" i="22"/>
  <c r="D18" i="24" s="1"/>
  <c r="E50" i="39" s="1"/>
  <c r="D24" i="22"/>
  <c r="E14" i="19"/>
  <c r="C24" i="22"/>
  <c r="D13" i="22"/>
  <c r="B18" i="24" s="1"/>
  <c r="E13" i="22"/>
  <c r="C18" i="24" s="1"/>
  <c r="D50" i="39" s="1"/>
  <c r="F22" i="39" l="1"/>
  <c r="D22" i="39"/>
  <c r="C44" i="39"/>
  <c r="C22" i="39"/>
  <c r="E41" i="39"/>
  <c r="C50" i="39"/>
  <c r="F16" i="22"/>
  <c r="D19" i="24" s="1"/>
  <c r="E51" i="39" s="1"/>
  <c r="H12" i="22"/>
  <c r="F5" i="23"/>
  <c r="G11" i="39" s="1"/>
  <c r="G15" i="39" s="1"/>
  <c r="F13" i="23"/>
  <c r="G19" i="39" s="1"/>
  <c r="F14" i="23"/>
  <c r="E19" i="19"/>
  <c r="E21" i="19" s="1"/>
  <c r="C47" i="25" s="1"/>
  <c r="D16" i="22"/>
  <c r="B19" i="24" s="1"/>
  <c r="C51" i="39" s="1"/>
  <c r="C9" i="22"/>
  <c r="B23" i="22" s="1"/>
  <c r="D9" i="23"/>
  <c r="D16" i="23" s="1"/>
  <c r="E35" i="25" s="1"/>
  <c r="C9" i="23"/>
  <c r="C16" i="23" s="1"/>
  <c r="D35" i="25" s="1"/>
  <c r="G61" i="22"/>
  <c r="G63" i="22" s="1"/>
  <c r="G33" i="25" s="1"/>
  <c r="F61" i="22"/>
  <c r="H10" i="22"/>
  <c r="F17" i="24" s="1"/>
  <c r="G49" i="39" s="1"/>
  <c r="F23" i="22"/>
  <c r="E61" i="22"/>
  <c r="C23" i="22"/>
  <c r="E10" i="22"/>
  <c r="C17" i="24" s="1"/>
  <c r="D49" i="39" s="1"/>
  <c r="D23" i="22"/>
  <c r="F10" i="22"/>
  <c r="D17" i="24" s="1"/>
  <c r="E49" i="39" s="1"/>
  <c r="E23" i="22"/>
  <c r="G10" i="22"/>
  <c r="E17" i="24" s="1"/>
  <c r="F49" i="39" s="1"/>
  <c r="D61" i="22"/>
  <c r="E52" i="39" l="1"/>
  <c r="E63" i="39" s="1"/>
  <c r="F41" i="39"/>
  <c r="D41" i="39"/>
  <c r="F11" i="24"/>
  <c r="G20" i="39"/>
  <c r="G44" i="39" s="1"/>
  <c r="C41" i="39"/>
  <c r="C46" i="39" s="1"/>
  <c r="C35" i="25"/>
  <c r="G24" i="22"/>
  <c r="H13" i="22"/>
  <c r="F18" i="24" s="1"/>
  <c r="G50" i="39" s="1"/>
  <c r="C61" i="22"/>
  <c r="E16" i="22"/>
  <c r="C19" i="24" s="1"/>
  <c r="D10" i="22"/>
  <c r="B17" i="24" s="1"/>
  <c r="F9" i="23"/>
  <c r="F16" i="23" s="1"/>
  <c r="G35" i="25" s="1"/>
  <c r="E9" i="23"/>
  <c r="E16" i="23" s="1"/>
  <c r="F35" i="25" s="1"/>
  <c r="G16" i="22"/>
  <c r="E19" i="24" s="1"/>
  <c r="H11" i="25"/>
  <c r="H16" i="22"/>
  <c r="F19" i="24" s="1"/>
  <c r="G51" i="39" s="1"/>
  <c r="C8" i="24"/>
  <c r="D20" i="24"/>
  <c r="D31" i="24" s="1"/>
  <c r="G27" i="19"/>
  <c r="B64" i="22"/>
  <c r="D8" i="24"/>
  <c r="G52" i="39" l="1"/>
  <c r="G63" i="39" s="1"/>
  <c r="E20" i="24"/>
  <c r="E31" i="24" s="1"/>
  <c r="F51" i="39"/>
  <c r="F52" i="39" s="1"/>
  <c r="F63" i="39" s="1"/>
  <c r="C20" i="24"/>
  <c r="C31" i="24" s="1"/>
  <c r="D51" i="39"/>
  <c r="D52" i="39" s="1"/>
  <c r="D63" i="39" s="1"/>
  <c r="C17" i="25"/>
  <c r="C45" i="25" s="1"/>
  <c r="C77" i="39"/>
  <c r="C49" i="39"/>
  <c r="C52" i="39" s="1"/>
  <c r="C63" i="39" s="1"/>
  <c r="B20" i="24"/>
  <c r="B31" i="24" s="1"/>
  <c r="G22" i="39"/>
  <c r="F20" i="24"/>
  <c r="F31" i="24" s="1"/>
  <c r="B8" i="24"/>
  <c r="B13" i="24" s="1"/>
  <c r="F8" i="24"/>
  <c r="E8" i="24"/>
  <c r="E29" i="19"/>
  <c r="F28" i="19"/>
  <c r="E30" i="19"/>
  <c r="E28" i="19"/>
  <c r="G28" i="19" s="1"/>
  <c r="E31" i="19"/>
  <c r="E32" i="19"/>
  <c r="G41" i="39" l="1"/>
  <c r="D47" i="25"/>
  <c r="D46" i="25"/>
  <c r="D36" i="24"/>
  <c r="E67" i="39" s="1"/>
  <c r="C37" i="24"/>
  <c r="D68" i="39" s="1"/>
  <c r="F29" i="19"/>
  <c r="C18" i="23" s="1"/>
  <c r="D24" i="39" s="1"/>
  <c r="G29" i="19"/>
  <c r="C64" i="22"/>
  <c r="D28" i="19"/>
  <c r="C10" i="20" s="1"/>
  <c r="C13" i="20" s="1"/>
  <c r="G31" i="37" s="1"/>
  <c r="O26" i="37" s="1"/>
  <c r="B37" i="24"/>
  <c r="C68" i="39" s="1"/>
  <c r="C36" i="24"/>
  <c r="D67" i="39" s="1"/>
  <c r="B18" i="23"/>
  <c r="B36" i="24"/>
  <c r="C67" i="39" s="1"/>
  <c r="B19" i="23"/>
  <c r="C19" i="23" l="1"/>
  <c r="C25" i="39"/>
  <c r="B20" i="23"/>
  <c r="B27" i="23" s="1"/>
  <c r="C24" i="39"/>
  <c r="O28" i="37"/>
  <c r="O29" i="37" s="1"/>
  <c r="P26" i="37"/>
  <c r="B50" i="25"/>
  <c r="C14" i="20"/>
  <c r="D29" i="19"/>
  <c r="D10" i="20" s="1"/>
  <c r="D13" i="20" s="1"/>
  <c r="D14" i="20" s="1"/>
  <c r="F30" i="19"/>
  <c r="D64" i="22"/>
  <c r="G30" i="19"/>
  <c r="C20" i="23"/>
  <c r="C27" i="23" s="1"/>
  <c r="C29" i="23" s="1"/>
  <c r="B28" i="23" l="1"/>
  <c r="B29" i="23"/>
  <c r="B30" i="23"/>
  <c r="C26" i="39"/>
  <c r="C33" i="39" s="1"/>
  <c r="D19" i="23"/>
  <c r="D25" i="39"/>
  <c r="D26" i="39" s="1"/>
  <c r="D33" i="39" s="1"/>
  <c r="Q26" i="37"/>
  <c r="Q28" i="37" s="1"/>
  <c r="Q29" i="37" s="1"/>
  <c r="P28" i="37"/>
  <c r="P29" i="37" s="1"/>
  <c r="E64" i="22"/>
  <c r="G31" i="19"/>
  <c r="G32" i="19" s="1"/>
  <c r="F31" i="19"/>
  <c r="C30" i="23"/>
  <c r="C28" i="23"/>
  <c r="D30" i="19"/>
  <c r="E10" i="20" s="1"/>
  <c r="E13" i="20" s="1"/>
  <c r="E14" i="20" s="1"/>
  <c r="D18" i="23"/>
  <c r="B31" i="23" l="1"/>
  <c r="B36" i="23" s="1"/>
  <c r="C69" i="39" s="1"/>
  <c r="C71" i="39" s="1"/>
  <c r="D75" i="39" s="1"/>
  <c r="D34" i="39"/>
  <c r="E45" i="39" s="1"/>
  <c r="E46" i="39" s="1"/>
  <c r="D35" i="39"/>
  <c r="D36" i="39"/>
  <c r="E19" i="23"/>
  <c r="E25" i="39"/>
  <c r="D20" i="23"/>
  <c r="D27" i="23" s="1"/>
  <c r="D29" i="23" s="1"/>
  <c r="E24" i="39"/>
  <c r="C36" i="39"/>
  <c r="C35" i="39"/>
  <c r="C34" i="39"/>
  <c r="D45" i="39" s="1"/>
  <c r="D46" i="39" s="1"/>
  <c r="C68" i="22"/>
  <c r="D68" i="22"/>
  <c r="B62" i="22"/>
  <c r="B63" i="22" s="1"/>
  <c r="B65" i="22" s="1"/>
  <c r="B74" i="22" s="1"/>
  <c r="C12" i="24"/>
  <c r="C13" i="24" s="1"/>
  <c r="C62" i="22"/>
  <c r="C63" i="22" s="1"/>
  <c r="D12" i="24"/>
  <c r="D13" i="24" s="1"/>
  <c r="D31" i="19"/>
  <c r="F10" i="20" s="1"/>
  <c r="F13" i="20" s="1"/>
  <c r="F14" i="20" s="1"/>
  <c r="E18" i="23"/>
  <c r="F64" i="22"/>
  <c r="G64" i="22"/>
  <c r="G65" i="22" s="1"/>
  <c r="F32" i="19"/>
  <c r="C37" i="39" l="1"/>
  <c r="E20" i="23"/>
  <c r="E27" i="23" s="1"/>
  <c r="E29" i="23" s="1"/>
  <c r="F24" i="39"/>
  <c r="F19" i="23"/>
  <c r="G25" i="39" s="1"/>
  <c r="F25" i="39"/>
  <c r="D28" i="23"/>
  <c r="E68" i="22" s="1"/>
  <c r="D30" i="23"/>
  <c r="E26" i="39"/>
  <c r="E33" i="39" s="1"/>
  <c r="D37" i="39"/>
  <c r="B22" i="22"/>
  <c r="B25" i="22" s="1"/>
  <c r="B57" i="22" s="1"/>
  <c r="C65" i="22"/>
  <c r="C31" i="23"/>
  <c r="D32" i="19"/>
  <c r="G10" i="20" s="1"/>
  <c r="G13" i="20" s="1"/>
  <c r="G14" i="20" s="1"/>
  <c r="F18" i="23"/>
  <c r="E30" i="23" l="1"/>
  <c r="D62" i="22"/>
  <c r="D63" i="22" s="1"/>
  <c r="D65" i="22" s="1"/>
  <c r="E28" i="23"/>
  <c r="F68" i="22" s="1"/>
  <c r="E12" i="24"/>
  <c r="E13" i="24" s="1"/>
  <c r="D31" i="23"/>
  <c r="E70" i="22" s="1"/>
  <c r="F20" i="23"/>
  <c r="F27" i="23" s="1"/>
  <c r="F29" i="23" s="1"/>
  <c r="G24" i="39"/>
  <c r="G26" i="39" s="1"/>
  <c r="G33" i="39" s="1"/>
  <c r="E34" i="39"/>
  <c r="F45" i="39" s="1"/>
  <c r="F46" i="39" s="1"/>
  <c r="E35" i="39"/>
  <c r="E36" i="39"/>
  <c r="F26" i="39"/>
  <c r="F33" i="39" s="1"/>
  <c r="B43" i="24"/>
  <c r="D76" i="39" s="1"/>
  <c r="D77" i="39" s="1"/>
  <c r="C38" i="25"/>
  <c r="B76" i="22"/>
  <c r="C34" i="25"/>
  <c r="C70" i="22"/>
  <c r="C72" i="22" s="1"/>
  <c r="C36" i="25"/>
  <c r="E36" i="25"/>
  <c r="C36" i="23"/>
  <c r="D36" i="25"/>
  <c r="C35" i="23"/>
  <c r="D69" i="22" s="1"/>
  <c r="D70" i="22"/>
  <c r="E31" i="23" l="1"/>
  <c r="E36" i="23" s="1"/>
  <c r="F28" i="23"/>
  <c r="F62" i="22" s="1"/>
  <c r="F63" i="22" s="1"/>
  <c r="F65" i="22" s="1"/>
  <c r="F12" i="24"/>
  <c r="F13" i="24" s="1"/>
  <c r="E62" i="22"/>
  <c r="E63" i="22" s="1"/>
  <c r="E65" i="22" s="1"/>
  <c r="D36" i="23"/>
  <c r="E69" i="39" s="1"/>
  <c r="E71" i="39" s="1"/>
  <c r="F75" i="39" s="1"/>
  <c r="F30" i="23"/>
  <c r="F35" i="39"/>
  <c r="F34" i="39"/>
  <c r="G45" i="39" s="1"/>
  <c r="G46" i="39" s="1"/>
  <c r="F36" i="39"/>
  <c r="E37" i="39"/>
  <c r="G35" i="39"/>
  <c r="G36" i="39"/>
  <c r="G34" i="39"/>
  <c r="E35" i="23"/>
  <c r="F69" i="22" s="1"/>
  <c r="D35" i="23"/>
  <c r="E69" i="22" s="1"/>
  <c r="E72" i="22" s="1"/>
  <c r="D69" i="39"/>
  <c r="D71" i="39" s="1"/>
  <c r="E75" i="39" s="1"/>
  <c r="G68" i="22"/>
  <c r="C38" i="24"/>
  <c r="C40" i="24" s="1"/>
  <c r="C42" i="24" s="1"/>
  <c r="C74" i="22"/>
  <c r="C22" i="22" s="1"/>
  <c r="D37" i="25"/>
  <c r="F36" i="25"/>
  <c r="B38" i="24"/>
  <c r="B40" i="24" s="1"/>
  <c r="B42" i="24" s="1"/>
  <c r="B44" i="24" s="1"/>
  <c r="D72" i="22"/>
  <c r="F70" i="22" l="1"/>
  <c r="F72" i="22" s="1"/>
  <c r="G37" i="25" s="1"/>
  <c r="D38" i="24"/>
  <c r="D40" i="24" s="1"/>
  <c r="D42" i="24" s="1"/>
  <c r="G37" i="39"/>
  <c r="F37" i="39"/>
  <c r="F35" i="23"/>
  <c r="G69" i="22" s="1"/>
  <c r="F69" i="39"/>
  <c r="F71" i="39" s="1"/>
  <c r="G75" i="39" s="1"/>
  <c r="F31" i="23"/>
  <c r="F36" i="23" s="1"/>
  <c r="D17" i="25"/>
  <c r="C25" i="22"/>
  <c r="C43" i="24"/>
  <c r="G36" i="25"/>
  <c r="D74" i="22"/>
  <c r="D22" i="22" s="1"/>
  <c r="D25" i="22" s="1"/>
  <c r="E37" i="25"/>
  <c r="E74" i="22"/>
  <c r="E22" i="22" s="1"/>
  <c r="E25" i="22" s="1"/>
  <c r="F37" i="25"/>
  <c r="E38" i="24"/>
  <c r="E40" i="24" s="1"/>
  <c r="E42" i="24" s="1"/>
  <c r="F74" i="22" l="1"/>
  <c r="F22" i="22" s="1"/>
  <c r="F43" i="24" s="1"/>
  <c r="H76" i="39" s="1"/>
  <c r="G70" i="22"/>
  <c r="G72" i="22" s="1"/>
  <c r="G74" i="22" s="1"/>
  <c r="G22" i="22" s="1"/>
  <c r="G25" i="22" s="1"/>
  <c r="G57" i="22" s="1"/>
  <c r="G76" i="22" s="1"/>
  <c r="F38" i="24"/>
  <c r="F40" i="24" s="1"/>
  <c r="F42" i="24" s="1"/>
  <c r="G69" i="39"/>
  <c r="G71" i="39" s="1"/>
  <c r="H75" i="39" s="1"/>
  <c r="C44" i="24"/>
  <c r="E17" i="25" s="1"/>
  <c r="E76" i="39"/>
  <c r="E77" i="39" s="1"/>
  <c r="C57" i="22"/>
  <c r="C33" i="25"/>
  <c r="D43" i="24"/>
  <c r="E57" i="22"/>
  <c r="E33" i="25"/>
  <c r="E43" i="24"/>
  <c r="D57" i="22"/>
  <c r="D33" i="25"/>
  <c r="H77" i="39" l="1"/>
  <c r="F25" i="22"/>
  <c r="F57" i="22" s="1"/>
  <c r="G34" i="25" s="1"/>
  <c r="F44" i="24"/>
  <c r="H17" i="25" s="1"/>
  <c r="D44" i="24"/>
  <c r="F17" i="25" s="1"/>
  <c r="F76" i="39"/>
  <c r="F77" i="39" s="1"/>
  <c r="E44" i="24"/>
  <c r="G17" i="25" s="1"/>
  <c r="G76" i="39"/>
  <c r="G77" i="39" s="1"/>
  <c r="F33" i="25"/>
  <c r="C76" i="22"/>
  <c r="D34" i="25"/>
  <c r="D38" i="25"/>
  <c r="D76" i="22"/>
  <c r="E38" i="25"/>
  <c r="E34" i="25"/>
  <c r="E76" i="22"/>
  <c r="F34" i="25"/>
  <c r="F38" i="25"/>
  <c r="E20" i="25" l="1"/>
  <c r="B23" i="25" s="1"/>
  <c r="C39" i="25"/>
  <c r="G38" i="25"/>
  <c r="F76" i="22"/>
  <c r="E19" i="25"/>
  <c r="C79" i="39"/>
  <c r="B29" i="25" l="1"/>
  <c r="B2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8" authorId="0" shapeId="0" xr:uid="{B274CE82-2AD5-49A5-A6E6-9A9E18639525}">
      <text>
        <r>
          <rPr>
            <b/>
            <sz val="9"/>
            <color indexed="81"/>
            <rFont val="Tahoma"/>
            <family val="2"/>
          </rPr>
          <t xml:space="preserve">dw0001la CI5:
%Inflación 
Vaciación Anual IPC 
</t>
        </r>
        <r>
          <rPr>
            <sz val="9"/>
            <color indexed="81"/>
            <rFont val="Tahoma"/>
            <family val="2"/>
          </rPr>
          <t xml:space="preserve">Fuentes: </t>
        </r>
        <r>
          <rPr>
            <b/>
            <sz val="9"/>
            <color indexed="81"/>
            <rFont val="Tahoma"/>
            <family val="2"/>
          </rPr>
          <t xml:space="preserve">
-Banco de la Republica 
-Departamento Administrativo Nacional de Estadística (DANE)
</t>
        </r>
      </text>
    </comment>
    <comment ref="B10" authorId="0" shapeId="0" xr:uid="{1DEF227A-8D2F-4DD6-AC77-F2D3187C5E9F}">
      <text>
        <r>
          <rPr>
            <b/>
            <sz val="9"/>
            <color indexed="81"/>
            <rFont val="Tahoma"/>
            <family val="2"/>
          </rPr>
          <t>dw0001la CI5:</t>
        </r>
        <r>
          <rPr>
            <sz val="9"/>
            <color indexed="81"/>
            <rFont val="Tahoma"/>
            <family val="2"/>
          </rPr>
          <t xml:space="preserve">
%Variación Preicio Producto 
%Variación anual 
</t>
        </r>
        <r>
          <rPr>
            <b/>
            <sz val="9"/>
            <color indexed="81"/>
            <rFont val="Tahoma"/>
            <family val="2"/>
          </rPr>
          <t xml:space="preserve">Índice de precios del productor (IPP)
</t>
        </r>
        <r>
          <rPr>
            <sz val="9"/>
            <color indexed="81"/>
            <rFont val="Tahoma"/>
            <family val="2"/>
          </rPr>
          <t xml:space="preserve">Fuentes: </t>
        </r>
        <r>
          <rPr>
            <b/>
            <sz val="9"/>
            <color indexed="81"/>
            <rFont val="Tahoma"/>
            <family val="2"/>
          </rPr>
          <t xml:space="preserve">
-Banco de la Republica 
-Departamento Administrativo Nacional de Estadística (DANE)</t>
        </r>
      </text>
    </comment>
    <comment ref="B11" authorId="0" shapeId="0" xr:uid="{2AF98E3B-BEAC-4A54-A05C-CEE9A100F876}">
      <text>
        <r>
          <rPr>
            <b/>
            <sz val="9"/>
            <color indexed="81"/>
            <rFont val="Tahoma"/>
            <family val="2"/>
          </rPr>
          <t>dw0001la CI5:
Tasa DTF
Tasa Anual Trimestre Anticipado</t>
        </r>
        <r>
          <rPr>
            <sz val="9"/>
            <color indexed="81"/>
            <rFont val="Tahoma"/>
            <family val="2"/>
          </rPr>
          <t xml:space="preserve"> 
Fuente: 
</t>
        </r>
        <r>
          <rPr>
            <b/>
            <sz val="9"/>
            <color indexed="81"/>
            <rFont val="Tahoma"/>
            <family val="2"/>
          </rPr>
          <t>Grupo AVAL 
Banco de la República</t>
        </r>
      </text>
    </comment>
    <comment ref="H18" authorId="0" shapeId="0" xr:uid="{F60F87D4-EB10-44B5-A10E-AB515D609CE1}">
      <text>
        <r>
          <rPr>
            <b/>
            <sz val="9"/>
            <color indexed="81"/>
            <rFont val="Tahoma"/>
            <family val="2"/>
          </rPr>
          <t>dw0001la CI5:</t>
        </r>
        <r>
          <rPr>
            <sz val="9"/>
            <color indexed="81"/>
            <rFont val="Tahoma"/>
            <family val="2"/>
          </rPr>
          <t xml:space="preserve">
Esta es la tasa mínima que usted como emprendedor espera obtener al invertir en este plan de negocio.
Sea justo y realista en su determinación, revise la rentabilidad promedio de las empresas del sector, también tenga en cuenta que usted debe aspirar como mínimo a ganar rentabilidades por encima de las que ofrezcan las inversiones de bajo o cero riesgo, en nuestro caso puede tomar como punto de partida las tasas de los CDT.  A esta tasa le puede sumar la tasa de inflación promedio para los próximos 5 años, estos indicadores los puede consultar en la Página del Banco de la República o En la de estudios económicos de Bancolombia, por último puede sumar un porcentaje adicional debido al riesgo implícito en el tipo de actividad económica que usted como emprendedor piensa desarrollar. (tasa de riesgo)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D12" authorId="0" shapeId="0" xr:uid="{DA541CEF-3CE6-449F-93D1-89DF7EAA5231}">
      <text>
        <r>
          <rPr>
            <b/>
            <sz val="9"/>
            <color indexed="81"/>
            <rFont val="Tahoma"/>
            <family val="2"/>
          </rPr>
          <t>Usuario:</t>
        </r>
        <r>
          <rPr>
            <sz val="9"/>
            <color indexed="81"/>
            <rFont val="Tahoma"/>
            <family val="2"/>
          </rPr>
          <t xml:space="preserve">
Se diligencian los datos del primer año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101" authorId="0" shapeId="0" xr:uid="{F6E09AD5-20E4-4848-B94C-93D5BAC23631}">
      <text>
        <r>
          <rPr>
            <b/>
            <sz val="9"/>
            <color indexed="81"/>
            <rFont val="Tahoma"/>
            <family val="2"/>
          </rPr>
          <t>dw0001la CI5:</t>
        </r>
        <r>
          <rPr>
            <sz val="9"/>
            <color indexed="81"/>
            <rFont val="Tahoma"/>
            <family val="2"/>
          </rPr>
          <t xml:space="preserve">
En este cuadro debe incluir la información del personal de producción cuyo sueldo es fijo cada mes, es decir que indiferentemente de que se produzca o no se le debe pagar. En el caso de que todos los cargos por mano de obra sean 100% variables, este cuadro se debe dejar sin diligenciar, completamente vacio.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D7" authorId="0" shapeId="0" xr:uid="{FBB05360-8330-45E3-BB42-CACDB01D5B78}">
      <text>
        <r>
          <rPr>
            <b/>
            <sz val="9"/>
            <color indexed="81"/>
            <rFont val="Tahoma"/>
            <family val="2"/>
          </rPr>
          <t>dw0001la CI5:</t>
        </r>
        <r>
          <rPr>
            <sz val="9"/>
            <color indexed="81"/>
            <rFont val="Tahoma"/>
            <family val="2"/>
          </rPr>
          <t xml:space="preserve">
Viene del cuadro de Costos Vs Ingresos, e Inversión en Infraestructura, vuelva a la hoja donde diligenció los datos de Infraestructura.</t>
        </r>
      </text>
    </comment>
    <comment ref="D8" authorId="0" shapeId="0" xr:uid="{E2F0F37B-BC24-4C81-BE87-D005AD68BC54}">
      <text>
        <r>
          <rPr>
            <b/>
            <sz val="9"/>
            <color indexed="81"/>
            <rFont val="Tahoma"/>
            <family val="2"/>
          </rPr>
          <t>dw0001la CI5:</t>
        </r>
        <r>
          <rPr>
            <sz val="9"/>
            <color indexed="81"/>
            <rFont val="Tahoma"/>
            <family val="2"/>
          </rPr>
          <t xml:space="preserve">
Viene de la hoja de infraestructura</t>
        </r>
      </text>
    </comment>
    <comment ref="D11" authorId="0" shapeId="0" xr:uid="{5C15FC64-87D0-4614-B209-8422D39A2FA2}">
      <text>
        <r>
          <rPr>
            <b/>
            <sz val="9"/>
            <color indexed="81"/>
            <rFont val="Tahoma"/>
            <family val="2"/>
          </rPr>
          <t>dw0001la CI5:</t>
        </r>
        <r>
          <rPr>
            <sz val="9"/>
            <color indexed="81"/>
            <rFont val="Tahoma"/>
            <family val="2"/>
          </rPr>
          <t xml:space="preserve">
Este valor debe ser el resultado de la política de Capital de Trabajo, es decir, deben calcular cuanto meses de efectivo  requieren para cubrir sus necesidades de compra de materia prima, mano de obra y CIF, hasta que se recuperen las primeras ventas. Luego el negocio debe ser autosuficiente por si mismo.</t>
        </r>
      </text>
    </comment>
    <comment ref="E20" authorId="0" shapeId="0" xr:uid="{783DDB41-AD91-43E9-8922-18486299FAE8}">
      <text>
        <r>
          <rPr>
            <b/>
            <sz val="9"/>
            <color indexed="81"/>
            <rFont val="Tahoma"/>
            <family val="2"/>
          </rPr>
          <t>dw0001la CI5:</t>
        </r>
        <r>
          <rPr>
            <sz val="9"/>
            <color indexed="81"/>
            <rFont val="Tahoma"/>
            <family val="2"/>
          </rPr>
          <t xml:space="preserve">
En esta casilla debe incluir el monto que será aportado por parte de los socios para la puesta en marcha del Emprendimiento 
</t>
        </r>
      </text>
    </comment>
    <comment ref="D24" authorId="0" shapeId="0" xr:uid="{4FA430B2-A8AE-43CA-8D3B-6110C168E484}">
      <text>
        <r>
          <rPr>
            <b/>
            <sz val="9"/>
            <color indexed="81"/>
            <rFont val="Tahoma"/>
            <family val="2"/>
          </rPr>
          <t>dw0001la CI5:</t>
        </r>
        <r>
          <rPr>
            <sz val="9"/>
            <color indexed="81"/>
            <rFont val="Tahoma"/>
            <family val="2"/>
          </rPr>
          <t xml:space="preserve">
Digite la tasa efectiva mensual que se cobrará por el crédito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B4" authorId="0" shapeId="0" xr:uid="{9731BACA-AC68-4424-9C56-8F9A90EB2E53}">
      <text>
        <r>
          <rPr>
            <b/>
            <sz val="9"/>
            <color indexed="81"/>
            <rFont val="Tahoma"/>
            <family val="2"/>
          </rPr>
          <t>dw0001la CI5:</t>
        </r>
        <r>
          <rPr>
            <sz val="9"/>
            <color indexed="81"/>
            <rFont val="Tahoma"/>
            <family val="2"/>
          </rPr>
          <t xml:space="preserve">
En este cuadro no se debe diligenciar ningún dato, es solo para control de la coherencia de las cifras digitadas en los cuadros anteriores.</t>
        </r>
      </text>
    </comment>
    <comment ref="B7" authorId="0" shapeId="0" xr:uid="{246490D5-954A-4EEB-8B07-E67F727734E5}">
      <text>
        <r>
          <rPr>
            <b/>
            <sz val="9"/>
            <color indexed="81"/>
            <rFont val="Tahoma"/>
            <family val="2"/>
          </rPr>
          <t>dw0001la CI5:</t>
        </r>
        <r>
          <rPr>
            <sz val="9"/>
            <color indexed="81"/>
            <rFont val="Tahoma"/>
            <family val="2"/>
          </rPr>
          <t xml:space="preserve">
Este total viene del cálculo de los salarios del personal del área de producción cuyo sueldo no está en función de las unidades producidas, es decir que cuya remuneración tiene un valor fijo mensual.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dw0001la CI5</author>
  </authors>
  <commentList>
    <comment ref="C9" authorId="0" shapeId="0" xr:uid="{9CC2BC54-2ABF-4732-9CCC-877B34AAA1B3}">
      <text>
        <r>
          <rPr>
            <b/>
            <sz val="9"/>
            <color indexed="81"/>
            <rFont val="Tahoma"/>
            <family val="2"/>
          </rPr>
          <t>dw0001la CI5:</t>
        </r>
        <r>
          <rPr>
            <sz val="9"/>
            <color indexed="81"/>
            <rFont val="Tahoma"/>
            <family val="2"/>
          </rPr>
          <t xml:space="preserve">
Este es el valor mínimo que se debe invertir en materia prima e insumos, para poner en funcionamieto la empresa, usted definió ese mínimo en el cuadro del calculo de necesidades de financiación.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A39" authorId="0" shapeId="0" xr:uid="{0ADA490C-F32C-4D61-B993-FD8FD2D63490}">
      <text>
        <r>
          <rPr>
            <b/>
            <sz val="9"/>
            <color indexed="81"/>
            <rFont val="Tahoma"/>
            <family val="2"/>
          </rPr>
          <t>Usuario:</t>
        </r>
        <r>
          <rPr>
            <sz val="9"/>
            <color indexed="81"/>
            <rFont val="Tahoma"/>
            <family val="2"/>
          </rPr>
          <t xml:space="preserve">
Si se considera por parte de los emprendedores adicionar capital adicional aportado por los socios en cualquiera de los años, ingresar el valor en estas casillas.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dw0001la CI5</author>
    <author>Usuario</author>
  </authors>
  <commentList>
    <comment ref="H9" authorId="0" shapeId="0" xr:uid="{A7C0221C-F0F4-4C3B-B784-2F94EC7C2F30}">
      <text>
        <r>
          <rPr>
            <b/>
            <sz val="9"/>
            <color indexed="81"/>
            <rFont val="Tahoma"/>
            <family val="2"/>
          </rPr>
          <t>dw0001la CI5:</t>
        </r>
        <r>
          <rPr>
            <sz val="9"/>
            <color indexed="81"/>
            <rFont val="Tahoma"/>
            <family val="2"/>
          </rPr>
          <t xml:space="preserve">
Recuerde que este dato se diligenció en la hoja de bases.
No olvide que la definición de esta tasa depende las expectativas de los emprendedores. Tenga en cuenta los datos claves sugeridos para su determinación que se pueden revisar en la hoja de bases para la simulación.</t>
        </r>
      </text>
    </comment>
    <comment ref="H11" authorId="0" shapeId="0" xr:uid="{1F946824-D483-4E9C-8990-41322EE4E42C}">
      <text>
        <r>
          <rPr>
            <b/>
            <sz val="9"/>
            <color indexed="81"/>
            <rFont val="Tahoma"/>
            <family val="2"/>
          </rPr>
          <t>dw0001la CI5:</t>
        </r>
        <r>
          <rPr>
            <sz val="9"/>
            <color indexed="81"/>
            <rFont val="Tahoma"/>
            <family val="2"/>
          </rPr>
          <t xml:space="preserve">
Este valor está en la hoja de Necesidades de Financiación. 
Y se obtiene de la suma de las inversiones necesarias en activos + el capital de trabajo para colocar en marcha el emprendimiento.</t>
        </r>
      </text>
    </comment>
    <comment ref="C19" authorId="1" shapeId="0" xr:uid="{C1DF0528-F0AE-4DEC-9BE6-1BFF789C0D6D}">
      <text>
        <r>
          <rPr>
            <b/>
            <sz val="9"/>
            <color indexed="81"/>
            <rFont val="Tahoma"/>
            <family val="2"/>
          </rPr>
          <t xml:space="preserve">Usuario:
</t>
        </r>
        <r>
          <rPr>
            <sz val="9"/>
            <color indexed="81"/>
            <rFont val="Tahoma"/>
            <family val="2"/>
          </rPr>
          <t>El Valor Presente Neto trae a valor presente los ingresos menos los egresos.</t>
        </r>
      </text>
    </comment>
    <comment ref="C20" authorId="1" shapeId="0" xr:uid="{204DF2B3-90FC-46F4-8121-BDF20D38435A}">
      <text>
        <r>
          <rPr>
            <b/>
            <sz val="9"/>
            <color indexed="81"/>
            <rFont val="Tahoma"/>
            <family val="2"/>
          </rPr>
          <t>Usuario:</t>
        </r>
        <r>
          <rPr>
            <sz val="9"/>
            <color indexed="81"/>
            <rFont val="Tahoma"/>
            <family val="2"/>
          </rPr>
          <t xml:space="preserve">
La Tasa Interna de Retorno, es la tasa de rentabilidad máxima.</t>
        </r>
      </text>
    </comment>
    <comment ref="H23" authorId="1" shapeId="0" xr:uid="{24B95EDF-EE7E-47E5-AFA2-9B93FB7AA874}">
      <text>
        <r>
          <rPr>
            <b/>
            <sz val="9"/>
            <color indexed="81"/>
            <rFont val="Tahoma"/>
            <family val="2"/>
          </rPr>
          <t>Usuario:</t>
        </r>
        <r>
          <rPr>
            <sz val="9"/>
            <color indexed="81"/>
            <rFont val="Tahoma"/>
            <family val="2"/>
          </rPr>
          <t xml:space="preserve">
Vale la pena invertir en el proyecto ya que se obtendra un beneficio mayor.</t>
        </r>
      </text>
    </comment>
    <comment ref="E46" authorId="0" shapeId="0" xr:uid="{37053DBA-AA17-4B98-BAE4-E970AE2A60F0}">
      <text>
        <r>
          <rPr>
            <b/>
            <sz val="9"/>
            <color indexed="81"/>
            <rFont val="Tahoma"/>
            <family val="2"/>
          </rPr>
          <t>dw0001la CI5:</t>
        </r>
        <r>
          <rPr>
            <sz val="9"/>
            <color indexed="81"/>
            <rFont val="Tahoma"/>
            <family val="2"/>
          </rPr>
          <t xml:space="preserve">
Esta es la tas mínima de rendimiento establecida por los emprendedores.</t>
        </r>
      </text>
    </comment>
    <comment ref="E47" authorId="0" shapeId="0" xr:uid="{7B2BC41A-89B4-4BAD-BAF5-18F9998748C1}">
      <text>
        <r>
          <rPr>
            <b/>
            <sz val="9"/>
            <color indexed="81"/>
            <rFont val="Tahoma"/>
            <family val="2"/>
          </rPr>
          <t>dw0001la CI5:</t>
        </r>
        <r>
          <rPr>
            <sz val="9"/>
            <color indexed="81"/>
            <rFont val="Tahoma"/>
            <family val="2"/>
          </rPr>
          <t xml:space="preserve">
Esta es la tasa de interés del crédito solcitada a la entidad financiera.</t>
        </r>
      </text>
    </comment>
    <comment ref="B50" authorId="0" shapeId="0" xr:uid="{AC30ECDE-AFE5-46ED-990A-F96D28DBB5DB}">
      <text>
        <r>
          <rPr>
            <b/>
            <sz val="9"/>
            <color indexed="81"/>
            <rFont val="Tahoma"/>
            <family val="2"/>
          </rPr>
          <t>dw0001la CI5:</t>
        </r>
        <r>
          <rPr>
            <sz val="9"/>
            <color indexed="81"/>
            <rFont val="Tahoma"/>
            <family val="2"/>
          </rPr>
          <t xml:space="preserve">
La tasa de descuento  WACC  es el costo que se paga por los fondos invertidos del emprendimeinto; representa una medida de la rentabilidad mínima que se exigirá al proyecto , según su riesgo , de manera tal que el retorno esperado permita cubrir la totalidad de la inversión inicial, los egresos de la operación, los intereses pagados y la rentabilidad que el inversionista le exige a su propio capital invertido ( costo de capital propio), también se considera el efecto de los impuestos sobre dicho capital.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3E5AEF38-98FC-48F9-969C-A90889E8888E}">
      <text>
        <r>
          <rPr>
            <b/>
            <sz val="9"/>
            <color indexed="81"/>
            <rFont val="Tahoma"/>
            <family val="2"/>
          </rPr>
          <t>Usuario:</t>
        </r>
        <r>
          <rPr>
            <sz val="9"/>
            <color indexed="81"/>
            <rFont val="Tahoma"/>
            <family val="2"/>
          </rPr>
          <t xml:space="preserve">
</t>
        </r>
        <r>
          <rPr>
            <b/>
            <sz val="9"/>
            <color indexed="81"/>
            <rFont val="Tahoma"/>
            <family val="2"/>
          </rPr>
          <t>Este dato se puede modificar una vez se realicen las tablas del análisis de sensibilidad por cada año.</t>
        </r>
        <r>
          <rPr>
            <sz val="9"/>
            <color indexed="81"/>
            <rFont val="Tahoma"/>
            <family val="2"/>
          </rPr>
          <t xml:space="preserve">
Si se modifica es para la comprobación de datos en las tablas respectivas colocando el mismo porcentaje (variación) que tienen las tablas.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<sst xmlns="http://schemas.openxmlformats.org/spreadsheetml/2006/main" count="1914" uniqueCount="1201">
  <si>
    <t>PRESTACIONES SOCIALES</t>
  </si>
  <si>
    <t xml:space="preserve">Cesantías </t>
  </si>
  <si>
    <t xml:space="preserve">Prima de servicios </t>
  </si>
  <si>
    <t xml:space="preserve">Vacaciones </t>
  </si>
  <si>
    <t xml:space="preserve">Intereses sobre cesantías </t>
  </si>
  <si>
    <t xml:space="preserve">SUBTOTAL PRESTACIONES </t>
  </si>
  <si>
    <t xml:space="preserve">APORTES PARAFISCALES </t>
  </si>
  <si>
    <t>SENA</t>
  </si>
  <si>
    <t xml:space="preserve">CAJA DE COMPESACIÓN </t>
  </si>
  <si>
    <t xml:space="preserve">ICBF </t>
  </si>
  <si>
    <t xml:space="preserve">SUBTOTAL PARAFISCALES </t>
  </si>
  <si>
    <t xml:space="preserve">Pensión </t>
  </si>
  <si>
    <t xml:space="preserve">Salud </t>
  </si>
  <si>
    <t xml:space="preserve">Riesgo profesional </t>
  </si>
  <si>
    <t xml:space="preserve">SUBTOTAL SEGURIDAD </t>
  </si>
  <si>
    <t xml:space="preserve">TOTAL CARGA PRESTACIONAL </t>
  </si>
  <si>
    <t xml:space="preserve">Variables Macroeconomicas </t>
  </si>
  <si>
    <t>IPP</t>
  </si>
  <si>
    <t>DTF T.A.</t>
  </si>
  <si>
    <t xml:space="preserve">CARGA PRESTACIONAL MENSUAL </t>
  </si>
  <si>
    <t>IMPUESTO DE INDUSTRIA Y COMERCIO</t>
  </si>
  <si>
    <t xml:space="preserve">IMPUESTO DE RENTA Y COMPLEMENTARIOS </t>
  </si>
  <si>
    <t xml:space="preserve">TASA DE RENDIMIENTO ESPERADA POR LOS EMPRENDEDORES </t>
  </si>
  <si>
    <t>DEUDA</t>
  </si>
  <si>
    <t>Período de gracia de la deuda</t>
  </si>
  <si>
    <t>Plazo total a la deuda de un año</t>
  </si>
  <si>
    <t>Puntos por encima del DTF</t>
  </si>
  <si>
    <t>POR MIL</t>
  </si>
  <si>
    <t xml:space="preserve">VIDA ÚTIL DE ACTIVOS DEPRECIABLES Y/O AMORTIZABLES </t>
  </si>
  <si>
    <t>Construcciones y edificaciones</t>
  </si>
  <si>
    <t>Maquinaria y equipo de operación</t>
  </si>
  <si>
    <t xml:space="preserve">Muebles y enseres </t>
  </si>
  <si>
    <t xml:space="preserve">Equipo de transporte </t>
  </si>
  <si>
    <t xml:space="preserve">Equipo de oficina </t>
  </si>
  <si>
    <t xml:space="preserve">Depreciación </t>
  </si>
  <si>
    <t xml:space="preserve">Activos diferidos </t>
  </si>
  <si>
    <t xml:space="preserve">Amortización </t>
  </si>
  <si>
    <t>IVA</t>
  </si>
  <si>
    <t xml:space="preserve">TOTAL IMPUESTO DE IVA </t>
  </si>
  <si>
    <t xml:space="preserve">TOTAL VENTAS MÁS IVA </t>
  </si>
  <si>
    <t xml:space="preserve">UNIDAD DE MEDIDA </t>
  </si>
  <si>
    <t xml:space="preserve"> </t>
  </si>
  <si>
    <t xml:space="preserve">MANO DE OBRA DIRECTA </t>
  </si>
  <si>
    <t xml:space="preserve">MATERIA PRIMA E INSUMOS </t>
  </si>
  <si>
    <t xml:space="preserve">MANO DE OBRA </t>
  </si>
  <si>
    <t xml:space="preserve">TOTAL MATERIA PRIMA E INSUMOS </t>
  </si>
  <si>
    <t xml:space="preserve">TOTAL MANO DE OBRA </t>
  </si>
  <si>
    <t xml:space="preserve">TOTAL COSTOS DE PRODUCCIÓN </t>
  </si>
  <si>
    <t>AÑO 1</t>
  </si>
  <si>
    <t>AÑO 2</t>
  </si>
  <si>
    <t>AÑO 3</t>
  </si>
  <si>
    <t>AÑO 4</t>
  </si>
  <si>
    <t>AÑO 5</t>
  </si>
  <si>
    <t xml:space="preserve">COSTOS UNITARIOS VARIABLES </t>
  </si>
  <si>
    <t xml:space="preserve">TOTAL </t>
  </si>
  <si>
    <t xml:space="preserve">INGRESOS POR LÍNEA DE PRODUCTOS O SERVICIOS E INGRESO VS  COSTO TOTALES CONSOLIDADOS </t>
  </si>
  <si>
    <t xml:space="preserve">MARGEN DE CONTRIBUCIÓN TOTAL </t>
  </si>
  <si>
    <t>PRECIO DE VENTA UNITARIOS VS COSTOS DE POBLACIÓN  UNITARIO POR LÍNEA DE PRODUCCIÓN</t>
  </si>
  <si>
    <t xml:space="preserve">AÑOS </t>
  </si>
  <si>
    <t>AÑO 0</t>
  </si>
  <si>
    <t xml:space="preserve">TERRENOS </t>
  </si>
  <si>
    <t xml:space="preserve">INVERSIÓN EN INFRAESTRUCTURA </t>
  </si>
  <si>
    <t xml:space="preserve">VIDA ÚTIL </t>
  </si>
  <si>
    <t xml:space="preserve">SUBTOTAL MAQUINARIA Y EQUIPO </t>
  </si>
  <si>
    <t xml:space="preserve">SUBTOTAL EQUIPO Y TRANSPORTE </t>
  </si>
  <si>
    <t xml:space="preserve">EQUIPO DE OFICINA </t>
  </si>
  <si>
    <t xml:space="preserve">SEMOVIENTES </t>
  </si>
  <si>
    <t xml:space="preserve">SUBTOTAL SEMOVIENTES </t>
  </si>
  <si>
    <t xml:space="preserve">TOTAL AMORTIZACIÓN </t>
  </si>
  <si>
    <t xml:space="preserve">ACTIVOS DIFERIDOS </t>
  </si>
  <si>
    <t>CARGOS VINCULADOS POR MEDIO DE CONTRATO DE NÓMINA (PLANTA)</t>
  </si>
  <si>
    <t xml:space="preserve">ITEM </t>
  </si>
  <si>
    <t xml:space="preserve">CARGO </t>
  </si>
  <si>
    <t xml:space="preserve">BÁSICO </t>
  </si>
  <si>
    <t xml:space="preserve">SUBSIDIO DE TRANSPORTE </t>
  </si>
  <si>
    <t>TOTAL DEVENG</t>
  </si>
  <si>
    <t xml:space="preserve">Aportes parafiscales </t>
  </si>
  <si>
    <t>Salud</t>
  </si>
  <si>
    <t xml:space="preserve">Mensual </t>
  </si>
  <si>
    <t xml:space="preserve">Anual </t>
  </si>
  <si>
    <t>Anual</t>
  </si>
  <si>
    <t xml:space="preserve">CARGOS VINCULADOS POR MEDIO DE CONTRATO DE PRESTACIÓN DE SERVICIOS, HONORARIOS </t>
  </si>
  <si>
    <t xml:space="preserve">ANUAL </t>
  </si>
  <si>
    <t xml:space="preserve">Mensual  </t>
  </si>
  <si>
    <t>CARGOS VINCULADOS POR MEDIO DE CONTRATO DE PRESTACIÓN DE SERVICIO, HONORARIOS</t>
  </si>
  <si>
    <t xml:space="preserve">Información </t>
  </si>
  <si>
    <t xml:space="preserve">COSTO O GASTO </t>
  </si>
  <si>
    <t xml:space="preserve">VALOR MENSUAL </t>
  </si>
  <si>
    <t xml:space="preserve">VALOR ANUAL </t>
  </si>
  <si>
    <t xml:space="preserve">TOTAL COSTOS Y GASTOS FIJOS </t>
  </si>
  <si>
    <t xml:space="preserve">ESTRATEGIA </t>
  </si>
  <si>
    <t xml:space="preserve">Estrategia de Productos /Servicios </t>
  </si>
  <si>
    <t xml:space="preserve">Estrategia de Servicio </t>
  </si>
  <si>
    <t xml:space="preserve">Estrategia de Distribución </t>
  </si>
  <si>
    <t xml:space="preserve">Estrategia de comunicación </t>
  </si>
  <si>
    <t xml:space="preserve">TOTAL DE LA INVERSIÓN </t>
  </si>
  <si>
    <t xml:space="preserve">MONTO DE LA INVERSIÓN EN ACTIVOS  </t>
  </si>
  <si>
    <t xml:space="preserve">GASTOS DE PUESTA DE MARCHA </t>
  </si>
  <si>
    <t xml:space="preserve">MESES REQUERIDOS </t>
  </si>
  <si>
    <t xml:space="preserve">CAPITAL REQUERIDO </t>
  </si>
  <si>
    <t xml:space="preserve">Valor anual </t>
  </si>
  <si>
    <t xml:space="preserve">MATERIA PRIMA </t>
  </si>
  <si>
    <t xml:space="preserve">COSTOS INDIRECTOS DE FABRICACIÓN </t>
  </si>
  <si>
    <t xml:space="preserve">TOTAL REQUERIMIENTO DE CAPITAL PARA EL PLAN DE NEGOCIO  </t>
  </si>
  <si>
    <t xml:space="preserve">MONTO APARTADO POR LOS EMPRENDEDORES </t>
  </si>
  <si>
    <t xml:space="preserve">TOTAL MONTO DEL CRÉDITO A SOLICITAR </t>
  </si>
  <si>
    <t xml:space="preserve">Tasas de interés </t>
  </si>
  <si>
    <t xml:space="preserve">CUOTA A PAGAR </t>
  </si>
  <si>
    <t xml:space="preserve">ABONO A CAPITAL </t>
  </si>
  <si>
    <t>INTERESES</t>
  </si>
  <si>
    <t xml:space="preserve">SALDO DE LA DEUDA </t>
  </si>
  <si>
    <t xml:space="preserve">PERIODO </t>
  </si>
  <si>
    <t>(-) Total nómina del administrativa</t>
  </si>
  <si>
    <t xml:space="preserve">(-) Total nómina del área de ventas </t>
  </si>
  <si>
    <t xml:space="preserve">(-) Total nómina del área de producción </t>
  </si>
  <si>
    <t xml:space="preserve">(-) Presupuesto de la Mezcla de mercadeo </t>
  </si>
  <si>
    <t>(-) Costos Fijos</t>
  </si>
  <si>
    <t xml:space="preserve">(-) Servicios de la Deuda </t>
  </si>
  <si>
    <t xml:space="preserve">(-) Depreciaciones </t>
  </si>
  <si>
    <t xml:space="preserve">(-) Amortizaciones </t>
  </si>
  <si>
    <t xml:space="preserve">COSTOS TOTALES </t>
  </si>
  <si>
    <t xml:space="preserve">UAI </t>
  </si>
  <si>
    <t xml:space="preserve">PRECIO DE VENTA </t>
  </si>
  <si>
    <t xml:space="preserve">COSTOS DE PRODUCCIÓN </t>
  </si>
  <si>
    <t xml:space="preserve">MARGEN DE CONTRIBUCIÓN UNITARIO </t>
  </si>
  <si>
    <t xml:space="preserve">TOTAL VENTAS </t>
  </si>
  <si>
    <t xml:space="preserve">MARGEN DE CONTRIBUCIÓN PROMEDIO PONDERADO </t>
  </si>
  <si>
    <t xml:space="preserve">PARTICIPACIÓN % EN VENTAS </t>
  </si>
  <si>
    <t xml:space="preserve">CANTIDAD A VENDER POR PRODUCTO PARA PUNTO DE EQUILIBRIO </t>
  </si>
  <si>
    <t xml:space="preserve">UNIDADES CALCULADAS PARA EL GRÁFICO </t>
  </si>
  <si>
    <t xml:space="preserve">DATOS GRÁFICO </t>
  </si>
  <si>
    <t xml:space="preserve">PUNTO DE EQUILIBRIO </t>
  </si>
  <si>
    <t xml:space="preserve">DATOS REQUERIDOS PARA AJUSTES DEL BALANCE  </t>
  </si>
  <si>
    <t xml:space="preserve">Inventario Materia Prima Rotación </t>
  </si>
  <si>
    <t xml:space="preserve">Inventario Materia Prima  </t>
  </si>
  <si>
    <t xml:space="preserve">variación de Materia Prima </t>
  </si>
  <si>
    <t xml:space="preserve">Rotación Cartera Clientes </t>
  </si>
  <si>
    <t xml:space="preserve">Cartera Clientes </t>
  </si>
  <si>
    <t>Cartera Clientes (Var.)</t>
  </si>
  <si>
    <t xml:space="preserve">Cuentas Por Pagar Proveedores </t>
  </si>
  <si>
    <t xml:space="preserve">Cuantas Por Pagar Proveedores </t>
  </si>
  <si>
    <t>Cuentas Por Pagar Proveedores (Var.)</t>
  </si>
  <si>
    <t>días compras</t>
  </si>
  <si>
    <t>$</t>
  </si>
  <si>
    <t>días</t>
  </si>
  <si>
    <t xml:space="preserve">días </t>
  </si>
  <si>
    <t xml:space="preserve">$ </t>
  </si>
  <si>
    <t xml:space="preserve">BALANCE GENERAL </t>
  </si>
  <si>
    <t xml:space="preserve">ACTIVO CORRIENTE </t>
  </si>
  <si>
    <t xml:space="preserve">Efectivo </t>
  </si>
  <si>
    <t xml:space="preserve">Inventario Materia Prima </t>
  </si>
  <si>
    <t xml:space="preserve">Cuentas por cobrar </t>
  </si>
  <si>
    <t xml:space="preserve">TOTAL ACTIVO CORRRIENTE </t>
  </si>
  <si>
    <t xml:space="preserve">Gastos anticipados </t>
  </si>
  <si>
    <t>Amortización acumulada</t>
  </si>
  <si>
    <t>Total Activo Corriente (NO REALIZABLE)</t>
  </si>
  <si>
    <t>ACTIVO FIJO</t>
  </si>
  <si>
    <t xml:space="preserve">Terrenos </t>
  </si>
  <si>
    <t xml:space="preserve">Construcciones y Edificios </t>
  </si>
  <si>
    <t xml:space="preserve">Depreciación Acumulada </t>
  </si>
  <si>
    <t xml:space="preserve">Depreciación Acumulada Planta </t>
  </si>
  <si>
    <t xml:space="preserve">Construccion y Edificios Neto </t>
  </si>
  <si>
    <t xml:space="preserve">Maquinaria y Equipo de Operación </t>
  </si>
  <si>
    <t>Depreciación Acumulada</t>
  </si>
  <si>
    <t>Maquinaria y Equipo de Operación Neto</t>
  </si>
  <si>
    <t xml:space="preserve">Muebles y Enseres </t>
  </si>
  <si>
    <t>Muebles y Enseres Neto</t>
  </si>
  <si>
    <t xml:space="preserve">Equipo de Transporte </t>
  </si>
  <si>
    <t xml:space="preserve">Equipo de Transporte Neto </t>
  </si>
  <si>
    <t xml:space="preserve">Equipo de Oficina </t>
  </si>
  <si>
    <t>Equipo de Oficina Neto</t>
  </si>
  <si>
    <t xml:space="preserve">Semovientes pie de cría </t>
  </si>
  <si>
    <t xml:space="preserve">Agotamiento Acumulada </t>
  </si>
  <si>
    <t xml:space="preserve">Cultivos Permanentes </t>
  </si>
  <si>
    <t xml:space="preserve">Total Activos Fijos: </t>
  </si>
  <si>
    <t xml:space="preserve">AMORTIZACIÓN DE DIFERIDOS </t>
  </si>
  <si>
    <t xml:space="preserve">ACTIVO </t>
  </si>
  <si>
    <t xml:space="preserve">PASIVOS </t>
  </si>
  <si>
    <t>Impuestos Por Pagar</t>
  </si>
  <si>
    <t xml:space="preserve">TOTAL PASIVO CORRIENTE </t>
  </si>
  <si>
    <t>Obligaciones Financieras</t>
  </si>
  <si>
    <t xml:space="preserve">PASIVO </t>
  </si>
  <si>
    <t xml:space="preserve">PATRIMONIO </t>
  </si>
  <si>
    <t>Capital Social</t>
  </si>
  <si>
    <t xml:space="preserve">Reserva Legal Acumulada </t>
  </si>
  <si>
    <t>Utilidades Retenidas</t>
  </si>
  <si>
    <t xml:space="preserve">Utilidades del Ejercicio </t>
  </si>
  <si>
    <t xml:space="preserve">Revalorización patrimonio </t>
  </si>
  <si>
    <t xml:space="preserve">TOTAL PATRIMONIO </t>
  </si>
  <si>
    <t xml:space="preserve">TOTAL PASIVO + PATRIMONIO </t>
  </si>
  <si>
    <t>CUADRE</t>
  </si>
  <si>
    <t xml:space="preserve">ESTADO DE RESULTADOS </t>
  </si>
  <si>
    <t xml:space="preserve">Ventas </t>
  </si>
  <si>
    <t xml:space="preserve">Devoluciones y rebajas en ventas </t>
  </si>
  <si>
    <t xml:space="preserve">Materia Prima, Mano de Obra </t>
  </si>
  <si>
    <t xml:space="preserve">Agotamiento </t>
  </si>
  <si>
    <t xml:space="preserve">Utilidad Bruta </t>
  </si>
  <si>
    <t xml:space="preserve">Gasto de Ventas </t>
  </si>
  <si>
    <t xml:space="preserve">Gastos de Administración </t>
  </si>
  <si>
    <t xml:space="preserve">Gastos de Producción </t>
  </si>
  <si>
    <t xml:space="preserve">Industria y Comercio </t>
  </si>
  <si>
    <t>Provisiones</t>
  </si>
  <si>
    <t>Utilidad Operativa</t>
  </si>
  <si>
    <t xml:space="preserve">Intereses </t>
  </si>
  <si>
    <t>Servicio de la deuda</t>
  </si>
  <si>
    <t xml:space="preserve">Otros ingresos y egresos </t>
  </si>
  <si>
    <t xml:space="preserve">Utilidad antes de impuestos </t>
  </si>
  <si>
    <t xml:space="preserve">Impuesto de renta </t>
  </si>
  <si>
    <t>Reserva legal</t>
  </si>
  <si>
    <t xml:space="preserve">Reserva voluntaria </t>
  </si>
  <si>
    <t>Utilidad Distribuible</t>
  </si>
  <si>
    <t xml:space="preserve">IMPUESTOS </t>
  </si>
  <si>
    <t>RESERVA LEGAL</t>
  </si>
  <si>
    <t xml:space="preserve">RESERVA VOLUNTARIA </t>
  </si>
  <si>
    <t xml:space="preserve">DEVOLUCIONES EN VENTAS </t>
  </si>
  <si>
    <t>PROVISIONES</t>
  </si>
  <si>
    <t>DIVIDENDOS</t>
  </si>
  <si>
    <t xml:space="preserve">FLUJO DE CAJA </t>
  </si>
  <si>
    <t xml:space="preserve">Flujo de Caja Operativo </t>
  </si>
  <si>
    <t>Utilidad Operacional</t>
  </si>
  <si>
    <t>Depreciaciones</t>
  </si>
  <si>
    <t xml:space="preserve">Amortización y agotamiento </t>
  </si>
  <si>
    <t xml:space="preserve">Impuestos </t>
  </si>
  <si>
    <t xml:space="preserve">Neto Flujo de Caja Operativo </t>
  </si>
  <si>
    <t xml:space="preserve">Flujo de Caja de Inversión </t>
  </si>
  <si>
    <t xml:space="preserve">Periodo </t>
  </si>
  <si>
    <t xml:space="preserve">Variación Inventario Materias Primas e Insumos  </t>
  </si>
  <si>
    <t xml:space="preserve">Variación en Cuentas por Cobrar </t>
  </si>
  <si>
    <t xml:space="preserve">Variación en Cuentas por Pagar Proveedores </t>
  </si>
  <si>
    <t xml:space="preserve">Variación del Capital del Trabajo </t>
  </si>
  <si>
    <t xml:space="preserve">Inversión en Terrenos </t>
  </si>
  <si>
    <t xml:space="preserve">Inversión en Construcciones </t>
  </si>
  <si>
    <t>Inversión en Maquinaria y Equipo</t>
  </si>
  <si>
    <t xml:space="preserve">Inversion en Muebles </t>
  </si>
  <si>
    <t xml:space="preserve">Imversion en Equipo de Transporte </t>
  </si>
  <si>
    <t xml:space="preserve">Inversión en Equipos de Oficina </t>
  </si>
  <si>
    <t>Inversión en Semovimientes</t>
  </si>
  <si>
    <t xml:space="preserve">Inversión Cultivos Permanentes </t>
  </si>
  <si>
    <t xml:space="preserve">Inversión en Activos Diferidos </t>
  </si>
  <si>
    <t xml:space="preserve">INVERSIÓN ACTIVOS </t>
  </si>
  <si>
    <t xml:space="preserve">Neto Flujo de Caja de Inversión </t>
  </si>
  <si>
    <t xml:space="preserve">Flujo de Caja Financiamiento </t>
  </si>
  <si>
    <t>Periodo</t>
  </si>
  <si>
    <t xml:space="preserve">Desembolsos Pasivo Largo Plazo </t>
  </si>
  <si>
    <t xml:space="preserve">Amortizaciones Pasivos Largo Plazo </t>
  </si>
  <si>
    <t xml:space="preserve">Intereses Pagados </t>
  </si>
  <si>
    <t>Dividendos Pagados</t>
  </si>
  <si>
    <t xml:space="preserve">CAPITAL ADICIONAL APORTADO POR LOS SOCIOS </t>
  </si>
  <si>
    <t xml:space="preserve">Neto Flujo de Caja Financiamiento </t>
  </si>
  <si>
    <t xml:space="preserve">Saldo anterior </t>
  </si>
  <si>
    <t xml:space="preserve">Saldo Neto del periódo </t>
  </si>
  <si>
    <t>VALOR DE LA INVERSIÓN INICIAL DEL PLAN DE NEGOCIO</t>
  </si>
  <si>
    <t xml:space="preserve">FLUJO DE CAJA PARA LA EVALUACIÓN DEL PLAN DE NEGOCIO </t>
  </si>
  <si>
    <t xml:space="preserve">Flujo de Caja Neto </t>
  </si>
  <si>
    <t>VALOR PRESENTE NETO:</t>
  </si>
  <si>
    <t>TASA INTERNA DE RETORNO:</t>
  </si>
  <si>
    <t xml:space="preserve">SI TIR </t>
  </si>
  <si>
    <t>MAYOR QUE &gt;</t>
  </si>
  <si>
    <t>MENOR QUE &lt;</t>
  </si>
  <si>
    <t>IGUAL QUE =</t>
  </si>
  <si>
    <t xml:space="preserve">(=) VALOR PRESENTE NETO IGUAL A CERO </t>
  </si>
  <si>
    <t xml:space="preserve">(=) VALOR PRESENTE NETO NEGATIVO </t>
  </si>
  <si>
    <t>(=) VALOR PRESENTE NETO POSITIVO</t>
  </si>
  <si>
    <t xml:space="preserve">PERIÓDO </t>
  </si>
  <si>
    <t xml:space="preserve">Liquidez - Razón Corriente </t>
  </si>
  <si>
    <t xml:space="preserve">Rentabilidad Operacional </t>
  </si>
  <si>
    <t xml:space="preserve">Rentabilidad Neta </t>
  </si>
  <si>
    <t xml:space="preserve">Rentabilidad Patrimonio </t>
  </si>
  <si>
    <t xml:space="preserve">Rentabilidad del Activo </t>
  </si>
  <si>
    <t xml:space="preserve">PERIÓDO DE RECUPERACIÓN DE LA INVERSIÓN </t>
  </si>
  <si>
    <t>CÁLCULO DEL WACC</t>
  </si>
  <si>
    <t xml:space="preserve">Índice de inflación </t>
  </si>
  <si>
    <t xml:space="preserve">Índice de Devaluación </t>
  </si>
  <si>
    <t xml:space="preserve">TOTAL INVERSIÓN </t>
  </si>
  <si>
    <t xml:space="preserve">PORCENTAJE DE PARTICIPACIÓN </t>
  </si>
  <si>
    <t xml:space="preserve">COSTO DE CAPITAL </t>
  </si>
  <si>
    <t xml:space="preserve">APORTE DE LOS SOCIOS </t>
  </si>
  <si>
    <t xml:space="preserve">FINANCIADO POR DEUDA </t>
  </si>
  <si>
    <t xml:space="preserve">COSTO PROMEDIO PONDERADO DE CAPITAL </t>
  </si>
  <si>
    <t>WACC</t>
  </si>
  <si>
    <t xml:space="preserve">Semovientes </t>
  </si>
  <si>
    <t xml:space="preserve">Cultivos </t>
  </si>
  <si>
    <t xml:space="preserve">SEGURIDAD SOCIAL </t>
  </si>
  <si>
    <t>-</t>
  </si>
  <si>
    <t xml:space="preserve">Agotameinto </t>
  </si>
  <si>
    <t xml:space="preserve">GASTOS PUESTA EN MARCHA ( GASTOS PAGADOS POR ANTICIPADO ) -  RENOVACIÓN ANUAL  </t>
  </si>
  <si>
    <t xml:space="preserve">SUBTOTAL ACTIVOS DIFERIDOS </t>
  </si>
  <si>
    <t xml:space="preserve">TOTAL INVERSIONES ANUALES EN ACTIVOS </t>
  </si>
  <si>
    <t>TOTAL DEVENG.</t>
  </si>
  <si>
    <t xml:space="preserve">Nombre del Emprendimiento </t>
  </si>
  <si>
    <t>DEPRECIACIÓN DE MUEBLES Y ENSERES MÉTODO LÍNEA RECTA</t>
  </si>
  <si>
    <t>Edificaciones</t>
  </si>
  <si>
    <t>Depreciación acumulada</t>
  </si>
  <si>
    <t>Maquinaria y equipo</t>
  </si>
  <si>
    <t>Muebles y enseres</t>
  </si>
  <si>
    <t>Equipo de transporte</t>
  </si>
  <si>
    <t>Equipo de oficina</t>
  </si>
  <si>
    <t>SUBTOTAL DEPRECIACIÓN</t>
  </si>
  <si>
    <t>Semovientes</t>
  </si>
  <si>
    <t>Cultivos permanentes</t>
  </si>
  <si>
    <t>Agotamiento acumulado</t>
  </si>
  <si>
    <t>Gastos puesta en marcha</t>
  </si>
  <si>
    <t>Amortización de Diferidos</t>
  </si>
  <si>
    <t>Amortización acumulada de Diferidos</t>
  </si>
  <si>
    <t xml:space="preserve">DATO PARA EL BALANCE </t>
  </si>
  <si>
    <t>DEPRECIACIÓN ACUMULADA</t>
  </si>
  <si>
    <t>DEPRECIACIÓN DEL PERIÓDO</t>
  </si>
  <si>
    <t>AMORTIZACIÓN ACUMULADA</t>
  </si>
  <si>
    <t>AMORTIZACIÓN DEL PERIÓDO</t>
  </si>
  <si>
    <t xml:space="preserve">EQUIPO DE TRANSPORTE </t>
  </si>
  <si>
    <t xml:space="preserve">CULTIVOS PERMANENTES </t>
  </si>
  <si>
    <t>Cultivos Permanentes Neto</t>
  </si>
  <si>
    <t xml:space="preserve">Armotización Gastos </t>
  </si>
  <si>
    <t xml:space="preserve">Otros ingresos </t>
  </si>
  <si>
    <t>Revalorización de Patrimonio</t>
  </si>
  <si>
    <t xml:space="preserve">Ajuste Activos no Monetarios </t>
  </si>
  <si>
    <t xml:space="preserve">Ajuste Depreciación Acumulada </t>
  </si>
  <si>
    <t xml:space="preserve">Ajuste Amortización Acumulada </t>
  </si>
  <si>
    <t xml:space="preserve">Ajuste Agotamiento Acumulada </t>
  </si>
  <si>
    <t xml:space="preserve">TOTAL CORRECIÓN MONETARIA </t>
  </si>
  <si>
    <t>Neto Periodo</t>
  </si>
  <si>
    <t xml:space="preserve">Nivel de Endeudamiento Total </t>
  </si>
  <si>
    <t>En el cuadro que se presenta a continuación debes diligenciar la información relacionada con la inversión necesaria en infraestructura, activos no tangibles, agotables, etc., que serán necesarios para poner en funcionamiento el plan de negocio.</t>
  </si>
  <si>
    <t>,</t>
  </si>
  <si>
    <t>TASA MÍNIMA DE RENDIMIENTO ESPERADA POR LOS EMPRENDEDORES</t>
  </si>
  <si>
    <t xml:space="preserve">AGOTAMIENTO Y AMORTIZACIÓN </t>
  </si>
  <si>
    <t>Digite el nombre de su emprendimiento</t>
  </si>
  <si>
    <t xml:space="preserve">PROYECCIÓN DE VENTAS DEL PLAN DE NEGOCIO </t>
  </si>
  <si>
    <t xml:space="preserve">NOMBRE DEL PRODUCTO O SERVICIO </t>
  </si>
  <si>
    <t xml:space="preserve">CÓDIGO DEL PRODUCTO O SERVICIO </t>
  </si>
  <si>
    <t xml:space="preserve">Porcentaje de crecimiento de ventas </t>
  </si>
  <si>
    <t>No aplica</t>
  </si>
  <si>
    <t xml:space="preserve">AJUSTE DE PRECIOS POR MEDIO DE LA INFLACIÓN </t>
  </si>
  <si>
    <r>
      <t>PRECIO DE VENTA</t>
    </r>
    <r>
      <rPr>
        <u/>
        <sz val="12"/>
        <color theme="1"/>
        <rFont val="Times New Roman"/>
        <family val="1"/>
      </rPr>
      <t xml:space="preserve"> AÑO 1</t>
    </r>
  </si>
  <si>
    <r>
      <t xml:space="preserve">UNIDADES PRODUCIDAS </t>
    </r>
    <r>
      <rPr>
        <u/>
        <sz val="12"/>
        <color theme="1"/>
        <rFont val="Times New Roman"/>
        <family val="1"/>
      </rPr>
      <t>AÑO 1</t>
    </r>
  </si>
  <si>
    <r>
      <t xml:space="preserve">UNIDADES PRODUCIDAS </t>
    </r>
    <r>
      <rPr>
        <u/>
        <sz val="12"/>
        <color theme="1"/>
        <rFont val="Times New Roman"/>
        <family val="1"/>
      </rPr>
      <t>AÑO 2</t>
    </r>
  </si>
  <si>
    <r>
      <t xml:space="preserve">PRECIO DE VENTA </t>
    </r>
    <r>
      <rPr>
        <u/>
        <sz val="12"/>
        <color theme="1"/>
        <rFont val="Times New Roman"/>
        <family val="1"/>
      </rPr>
      <t>AÑO 2</t>
    </r>
  </si>
  <si>
    <r>
      <t xml:space="preserve">UNIDADES PRODUCIDAS </t>
    </r>
    <r>
      <rPr>
        <u/>
        <sz val="12"/>
        <color theme="1"/>
        <rFont val="Times New Roman"/>
        <family val="1"/>
      </rPr>
      <t>AÑO 3</t>
    </r>
  </si>
  <si>
    <r>
      <t>PRECIO DE VENTA</t>
    </r>
    <r>
      <rPr>
        <u/>
        <sz val="12"/>
        <color theme="1"/>
        <rFont val="Times New Roman"/>
        <family val="1"/>
      </rPr>
      <t xml:space="preserve"> AÑO 3</t>
    </r>
  </si>
  <si>
    <r>
      <t xml:space="preserve">UNIDADES PRODUCIDAS </t>
    </r>
    <r>
      <rPr>
        <u/>
        <sz val="12"/>
        <color theme="1"/>
        <rFont val="Times New Roman"/>
        <family val="1"/>
      </rPr>
      <t>AÑO 4</t>
    </r>
  </si>
  <si>
    <r>
      <t xml:space="preserve">PRECIO DE VENTA </t>
    </r>
    <r>
      <rPr>
        <u/>
        <sz val="12"/>
        <color theme="1"/>
        <rFont val="Times New Roman"/>
        <family val="1"/>
      </rPr>
      <t>AÑO 4</t>
    </r>
  </si>
  <si>
    <r>
      <t xml:space="preserve">UNIDADES PRODUCIDAS </t>
    </r>
    <r>
      <rPr>
        <u/>
        <sz val="12"/>
        <color theme="1"/>
        <rFont val="Times New Roman"/>
        <family val="1"/>
      </rPr>
      <t>AÑO 5</t>
    </r>
  </si>
  <si>
    <r>
      <t xml:space="preserve">PRECIO DE VENTA </t>
    </r>
    <r>
      <rPr>
        <u/>
        <sz val="12"/>
        <color theme="1"/>
        <rFont val="Times New Roman"/>
        <family val="1"/>
      </rPr>
      <t>AÑO 5</t>
    </r>
  </si>
  <si>
    <r>
      <t xml:space="preserve">VENTA ANUAL </t>
    </r>
    <r>
      <rPr>
        <u/>
        <sz val="12"/>
        <color theme="1"/>
        <rFont val="Times New Roman"/>
        <family val="1"/>
      </rPr>
      <t>AÑO 1</t>
    </r>
  </si>
  <si>
    <r>
      <t xml:space="preserve">VENTA ANUAL </t>
    </r>
    <r>
      <rPr>
        <u/>
        <sz val="12"/>
        <color theme="1"/>
        <rFont val="Times New Roman"/>
        <family val="1"/>
      </rPr>
      <t>AÑO 2</t>
    </r>
  </si>
  <si>
    <r>
      <t xml:space="preserve">VENTA ANUAL </t>
    </r>
    <r>
      <rPr>
        <u/>
        <sz val="12"/>
        <color theme="1"/>
        <rFont val="Times New Roman"/>
        <family val="1"/>
      </rPr>
      <t>AÑO 3</t>
    </r>
  </si>
  <si>
    <r>
      <t xml:space="preserve">VENTA ANUAL </t>
    </r>
    <r>
      <rPr>
        <u/>
        <sz val="12"/>
        <color theme="1"/>
        <rFont val="Times New Roman"/>
        <family val="1"/>
      </rPr>
      <t>AÑO 4</t>
    </r>
  </si>
  <si>
    <r>
      <t xml:space="preserve">VENTA ANUAL </t>
    </r>
    <r>
      <rPr>
        <u/>
        <sz val="12"/>
        <color theme="1"/>
        <rFont val="Times New Roman"/>
        <family val="1"/>
      </rPr>
      <t>AÑO 5</t>
    </r>
  </si>
  <si>
    <t>TOTAL VENTAS ANUALES</t>
  </si>
  <si>
    <t xml:space="preserve">Seleccionar producto o servicio </t>
  </si>
  <si>
    <t>CAMBIO PORCENTUAL EN UNIDADES VENDIDAS AÑO 3</t>
  </si>
  <si>
    <t>CAMBIO PORCENTUAL EN UNIDADES VENDIDAS AÑO 4</t>
  </si>
  <si>
    <t>CAMBIO PORCENTUAL EN UNIDADES VENDIDAS AÑO 5</t>
  </si>
  <si>
    <t xml:space="preserve">AÑO </t>
  </si>
  <si>
    <r>
      <t xml:space="preserve">CAMBIO PORCENTUAL EN UNIDADES VENDIDAS </t>
    </r>
    <r>
      <rPr>
        <u/>
        <sz val="12"/>
        <color theme="1"/>
        <rFont val="Times New Roman"/>
        <family val="1"/>
      </rPr>
      <t>AÑO 2</t>
    </r>
  </si>
  <si>
    <t xml:space="preserve">CÓDIGO </t>
  </si>
  <si>
    <t>TOTAL COSTOS ANUALES</t>
  </si>
  <si>
    <t>MARGEN DE CONTRIBUCIÓN TOTAL</t>
  </si>
  <si>
    <t xml:space="preserve">Producto y/o servicio </t>
  </si>
  <si>
    <t>Ingresos totales año 1</t>
  </si>
  <si>
    <t xml:space="preserve">Ingresos totales año 2 </t>
  </si>
  <si>
    <t xml:space="preserve">Ingresos totales año 3 </t>
  </si>
  <si>
    <t>Ingresos totales año 4</t>
  </si>
  <si>
    <t>Ingresos totales año 5</t>
  </si>
  <si>
    <t>Precio de venta unitario año 1</t>
  </si>
  <si>
    <t>(-) Costo de producción unitario año 1</t>
  </si>
  <si>
    <t>Margen de contribución unitario año 1</t>
  </si>
  <si>
    <t>Precio de venta unitario año 2</t>
  </si>
  <si>
    <t>(-) Costo de producción unitario año 2</t>
  </si>
  <si>
    <t>Margen de contribución unitario año 2</t>
  </si>
  <si>
    <t>Precio de venta unitario año 3</t>
  </si>
  <si>
    <t>(-) Costo de producción unitario año 3</t>
  </si>
  <si>
    <t>Margen de contribución unitario año 3</t>
  </si>
  <si>
    <t>Precio de venta unitario año 4</t>
  </si>
  <si>
    <t>(-) Costo de producción unitario año 4</t>
  </si>
  <si>
    <t>Margen de contribución unitario año 4</t>
  </si>
  <si>
    <t>Precio de venta unitario año 5</t>
  </si>
  <si>
    <t>(-) Costo de producción unitario año 5</t>
  </si>
  <si>
    <t>Margen de contribución unitario año 5</t>
  </si>
  <si>
    <t xml:space="preserve">Inversión  </t>
  </si>
  <si>
    <t xml:space="preserve">Construcciones y edificaciones </t>
  </si>
  <si>
    <t>Año 0 (Momento de la inversión inicial)</t>
  </si>
  <si>
    <t>Cantidad</t>
  </si>
  <si>
    <t xml:space="preserve">Valor unitario </t>
  </si>
  <si>
    <t>Valor total</t>
  </si>
  <si>
    <t>SUBTOTAL CONSTRUCCIONES Y EDIFICACIONES</t>
  </si>
  <si>
    <t xml:space="preserve">Maquinaria y equipo </t>
  </si>
  <si>
    <t xml:space="preserve">Vida útil </t>
  </si>
  <si>
    <t>SUBTOTAL MUEBLES Y ENSERES</t>
  </si>
  <si>
    <t xml:space="preserve">Equipo y transporte </t>
  </si>
  <si>
    <t>SUBTOTAL EQUIPO DE OFICINA</t>
  </si>
  <si>
    <t xml:space="preserve">TOTAL INVERSIÓN EN ACTIVOS DEPRECIABLES  </t>
  </si>
  <si>
    <t>ACTIVO DEPRECIABLE</t>
  </si>
  <si>
    <t xml:space="preserve">Inversión </t>
  </si>
  <si>
    <t>Vida útil</t>
  </si>
  <si>
    <t xml:space="preserve">Cultivos permanentes </t>
  </si>
  <si>
    <t>SUBTOTAL CULTIVOS PERMANENTES</t>
  </si>
  <si>
    <t xml:space="preserve">SUBTOTAL </t>
  </si>
  <si>
    <t xml:space="preserve">Franquicia </t>
  </si>
  <si>
    <t xml:space="preserve">Patentes </t>
  </si>
  <si>
    <t xml:space="preserve">Derecho de uso de marcas </t>
  </si>
  <si>
    <t xml:space="preserve">TOTAL ACTIVOS DIFERIDOS </t>
  </si>
  <si>
    <t xml:space="preserve">NÓMINA ADMINISTRATIVA </t>
  </si>
  <si>
    <t xml:space="preserve">NÓMINA ÁREA DE VENTAS </t>
  </si>
  <si>
    <t xml:space="preserve">NÓMINA ÁREA DE PRODUCCIÓN </t>
  </si>
  <si>
    <t xml:space="preserve">COSTOS Y GASTOS FIJOS </t>
  </si>
  <si>
    <t xml:space="preserve">PRESUPUESTO DE LA MEZCLA DE MERCADEO </t>
  </si>
  <si>
    <t xml:space="preserve">PRODUCTO Y/O SERVICIO </t>
  </si>
  <si>
    <t xml:space="preserve">PARTICIPACIÓN PORCENTUAL DE LAS VENTAS </t>
  </si>
  <si>
    <t xml:space="preserve">MARGEN PONDERADO </t>
  </si>
  <si>
    <t>PUNTO DE EQUILIBRIO EN UNIDADES</t>
  </si>
  <si>
    <t xml:space="preserve">MARGEN DE CONTRIBUCIÓN PROMEDIO </t>
  </si>
  <si>
    <t>Unidades vendidas</t>
  </si>
  <si>
    <t xml:space="preserve">Ingresos totales </t>
  </si>
  <si>
    <t>Costos fijos totales</t>
  </si>
  <si>
    <t>Costos variables totales</t>
  </si>
  <si>
    <t xml:space="preserve">Costo total </t>
  </si>
  <si>
    <t>UTILIDAD</t>
  </si>
  <si>
    <t>TOTAL UNIDADES</t>
  </si>
  <si>
    <t>ÚNICAMENTE las celdas blancas son modificables</t>
  </si>
  <si>
    <t>Equipo</t>
  </si>
  <si>
    <t xml:space="preserve">COMPRA DE ACTIVOS AÑO 0 </t>
  </si>
  <si>
    <t xml:space="preserve">VALOR EN LIBROS </t>
  </si>
  <si>
    <t xml:space="preserve">COMPRAS ACTIVO AÑO 1 </t>
  </si>
  <si>
    <t xml:space="preserve">Equipo </t>
  </si>
  <si>
    <t xml:space="preserve">Valor en libros </t>
  </si>
  <si>
    <t xml:space="preserve">COMPRAS ACTIVO AÑO 2 </t>
  </si>
  <si>
    <t xml:space="preserve">COMPRAS ACTIVO AÑO 3 </t>
  </si>
  <si>
    <t>COMPRAS ACTIVO AÑO 4</t>
  </si>
  <si>
    <t xml:space="preserve">CONSTRUCCIONES Y EDIFICACIONES </t>
  </si>
  <si>
    <t xml:space="preserve">MAQUINARIA Y EQUIPO </t>
  </si>
  <si>
    <t>MUEBLES Y ENSERES</t>
  </si>
  <si>
    <t xml:space="preserve">GASTOS PUESTOS EN MARCHA </t>
  </si>
  <si>
    <t xml:space="preserve">TOTAL DEPRECIACIÓN </t>
  </si>
  <si>
    <t xml:space="preserve">AGOTAMIENTO </t>
  </si>
  <si>
    <t>PLAN DE NEGOCIO</t>
  </si>
  <si>
    <t xml:space="preserve">COSTOS VARIABLES GENERALES DEL PRODUCTO Y/O SERVICIO </t>
  </si>
  <si>
    <t xml:space="preserve">CÓDIGO DEL PRODUCTO Y/O SERVICIO </t>
  </si>
  <si>
    <t xml:space="preserve">NOMBRE DEL PRODUCTO Y/O SERVICIO </t>
  </si>
  <si>
    <t xml:space="preserve">CANTIDADES A UTILIZAR </t>
  </si>
  <si>
    <t xml:space="preserve">COSTO UNITARIO PARA EL AÑO 1 </t>
  </si>
  <si>
    <t xml:space="preserve">PROYECCIÓN DE VENTAS </t>
  </si>
  <si>
    <t>Columna1</t>
  </si>
  <si>
    <t xml:space="preserve">COSTO UNITARIO </t>
  </si>
  <si>
    <t xml:space="preserve">COSTO TOTAL ANUAL </t>
  </si>
  <si>
    <t xml:space="preserve">AÑO 3 </t>
  </si>
  <si>
    <t xml:space="preserve">AÑO 4 </t>
  </si>
  <si>
    <t xml:space="preserve">AÑO 5 </t>
  </si>
  <si>
    <t>COSTO POR UNIDAD DE PRODUCTO (2)</t>
  </si>
  <si>
    <t>COSTO POR UNIDAD DE PRODUCTO (1)</t>
  </si>
  <si>
    <r>
      <t xml:space="preserve">UNIDADES PRODUCIDAS </t>
    </r>
    <r>
      <rPr>
        <u/>
        <sz val="12"/>
        <rFont val="Times New Roman"/>
        <family val="1"/>
      </rPr>
      <t xml:space="preserve">AÑO 1 </t>
    </r>
  </si>
  <si>
    <r>
      <t xml:space="preserve">CAMBIO PORCENTUAL EN UNIDADES VENDIDAS </t>
    </r>
    <r>
      <rPr>
        <b/>
        <u/>
        <sz val="12"/>
        <rFont val="Times New Roman"/>
        <family val="1"/>
      </rPr>
      <t>AÑO 2</t>
    </r>
  </si>
  <si>
    <r>
      <t xml:space="preserve">CAMBIO PORCENTUAL EN UNIDADES VENDIDAS </t>
    </r>
    <r>
      <rPr>
        <b/>
        <u/>
        <sz val="12"/>
        <rFont val="Times New Roman"/>
        <family val="1"/>
      </rPr>
      <t>AÑO 3</t>
    </r>
  </si>
  <si>
    <r>
      <t xml:space="preserve">CAMBIO PORCENTUAL EN UNIDADES VENDIDAS </t>
    </r>
    <r>
      <rPr>
        <b/>
        <u/>
        <sz val="12"/>
        <rFont val="Times New Roman"/>
        <family val="1"/>
      </rPr>
      <t>AÑO 4</t>
    </r>
  </si>
  <si>
    <r>
      <t xml:space="preserve">CAMBIO PORCENTUAL EN UNIDADES VENDIDAS </t>
    </r>
    <r>
      <rPr>
        <b/>
        <u/>
        <sz val="12"/>
        <rFont val="Times New Roman"/>
        <family val="1"/>
      </rPr>
      <t>AÑO 5</t>
    </r>
  </si>
  <si>
    <t>COSTO POR UNIDAD DE PRODUCTO (3)</t>
  </si>
  <si>
    <t xml:space="preserve">COSTO POR UNIDAD DE PRODUCTO (4) </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</si>
  <si>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</si>
  <si>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 xml:space="preserve">AÑO 2 </t>
    </r>
    <r>
      <rPr>
        <sz val="12"/>
        <color theme="7" tint="0.39997558519241921"/>
        <rFont val="Times New Roman"/>
        <family val="1"/>
      </rPr>
      <t>2</t>
    </r>
  </si>
  <si>
    <r>
      <t xml:space="preserve">CAMBIO PORCENTUAL EN UNIDADES VENDIDAS </t>
    </r>
    <r>
      <rPr>
        <u/>
        <sz val="12"/>
        <rFont val="Times New Roman"/>
        <family val="1"/>
      </rPr>
      <t xml:space="preserve">AÑO 3 </t>
    </r>
    <r>
      <rPr>
        <sz val="12"/>
        <color theme="7" tint="0.39997558519241921"/>
        <rFont val="Times New Roman"/>
        <family val="1"/>
      </rPr>
      <t>2</t>
    </r>
  </si>
  <si>
    <r>
      <t xml:space="preserve">CAMBIO PORCENTUAL EN UNIDADES VENDIDAS </t>
    </r>
    <r>
      <rPr>
        <u/>
        <sz val="12"/>
        <rFont val="Times New Roman"/>
        <family val="1"/>
      </rPr>
      <t xml:space="preserve">AÑO 4 </t>
    </r>
    <r>
      <rPr>
        <sz val="12"/>
        <color theme="7" tint="0.39997558519241921"/>
        <rFont val="Times New Roman"/>
        <family val="1"/>
      </rPr>
      <t>2</t>
    </r>
  </si>
  <si>
    <r>
      <t xml:space="preserve">CAMBIO PORCENTUAL EN UNIDADES VENDIDAS </t>
    </r>
    <r>
      <rPr>
        <u/>
        <sz val="12"/>
        <rFont val="Times New Roman"/>
        <family val="1"/>
      </rPr>
      <t xml:space="preserve">AÑO 5 </t>
    </r>
    <r>
      <rPr>
        <sz val="12"/>
        <color theme="7" tint="0.39997558519241921"/>
        <rFont val="Times New Roman"/>
        <family val="1"/>
      </rPr>
      <t>2</t>
    </r>
  </si>
  <si>
    <r>
      <t xml:space="preserve">AÑO 1 </t>
    </r>
    <r>
      <rPr>
        <sz val="12"/>
        <color theme="7" tint="0.39997558519241921"/>
        <rFont val="Times New Roman"/>
        <family val="1"/>
      </rPr>
      <t>2</t>
    </r>
  </si>
  <si>
    <r>
      <t xml:space="preserve">AÑO 3 </t>
    </r>
    <r>
      <rPr>
        <sz val="12"/>
        <color theme="7" tint="0.39997558519241921"/>
        <rFont val="Times New Roman"/>
        <family val="1"/>
      </rPr>
      <t>2</t>
    </r>
  </si>
  <si>
    <r>
      <t xml:space="preserve">AÑO 4 </t>
    </r>
    <r>
      <rPr>
        <sz val="12"/>
        <color theme="7" tint="0.39997558519241921"/>
        <rFont val="Times New Roman"/>
        <family val="1"/>
      </rPr>
      <t>2</t>
    </r>
  </si>
  <si>
    <r>
      <t xml:space="preserve">AÑO 5 </t>
    </r>
    <r>
      <rPr>
        <sz val="12"/>
        <color theme="7" tint="0.39997558519241921"/>
        <rFont val="Times New Roman"/>
        <family val="1"/>
      </rPr>
      <t>2</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</si>
  <si>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</si>
  <si>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 xml:space="preserve">AÑO </t>
    </r>
    <r>
      <rPr>
        <sz val="12"/>
        <rFont val="Times New Roman"/>
        <family val="1"/>
      </rPr>
      <t xml:space="preserve">1 </t>
    </r>
    <r>
      <rPr>
        <sz val="12"/>
        <color theme="8" tint="0.39997558519241921"/>
        <rFont val="Times New Roman"/>
        <family val="1"/>
      </rPr>
      <t>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</si>
  <si>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</si>
  <si>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</si>
  <si>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</si>
  <si>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3</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</si>
  <si>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</si>
  <si>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3</t>
    </r>
  </si>
  <si>
    <r>
      <t xml:space="preserve">AÑO 1 </t>
    </r>
    <r>
      <rPr>
        <sz val="12"/>
        <color theme="8" tint="0.39997558519241921"/>
        <rFont val="Times New Roman"/>
        <family val="1"/>
      </rPr>
      <t>3</t>
    </r>
  </si>
  <si>
    <r>
      <t xml:space="preserve">AÑO 2 </t>
    </r>
    <r>
      <rPr>
        <sz val="12"/>
        <color theme="8" tint="0.39997558519241921"/>
        <rFont val="Times New Roman"/>
        <family val="1"/>
      </rPr>
      <t>3</t>
    </r>
  </si>
  <si>
    <r>
      <t xml:space="preserve">AÑO 5 </t>
    </r>
    <r>
      <rPr>
        <sz val="12"/>
        <color theme="8" tint="0.39997558519241921"/>
        <rFont val="Times New Roman"/>
        <family val="1"/>
      </rPr>
      <t>3</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</si>
  <si>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</si>
  <si>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</si>
  <si>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</si>
  <si>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</si>
  <si>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</si>
  <si>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</si>
  <si>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</si>
  <si>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</si>
  <si>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</si>
  <si>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</si>
  <si>
    <r>
      <t xml:space="preserve">AÑO 1 </t>
    </r>
    <r>
      <rPr>
        <sz val="12"/>
        <color theme="7" tint="0.39997558519241921"/>
        <rFont val="Times New Roman"/>
        <family val="1"/>
      </rPr>
      <t>4</t>
    </r>
  </si>
  <si>
    <r>
      <t xml:space="preserve">AÑO 2 </t>
    </r>
    <r>
      <rPr>
        <sz val="12"/>
        <color theme="7" tint="0.39997558519241921"/>
        <rFont val="Times New Roman"/>
        <family val="1"/>
      </rPr>
      <t>4</t>
    </r>
  </si>
  <si>
    <r>
      <t xml:space="preserve">AÑO 3 </t>
    </r>
    <r>
      <rPr>
        <sz val="12"/>
        <color theme="7" tint="0.39997558519241921"/>
        <rFont val="Times New Roman"/>
        <family val="1"/>
      </rPr>
      <t>4</t>
    </r>
  </si>
  <si>
    <r>
      <t xml:space="preserve">AÑO 5 </t>
    </r>
    <r>
      <rPr>
        <sz val="12"/>
        <color theme="7" tint="0.39997558519241921"/>
        <rFont val="Times New Roman"/>
        <family val="1"/>
      </rPr>
      <t>4</t>
    </r>
  </si>
  <si>
    <t>COSTO POR UNIDAD DE PRODUCTO (5)</t>
  </si>
  <si>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</si>
  <si>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</si>
  <si>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</si>
  <si>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</si>
  <si>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</si>
  <si>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5</t>
    </r>
  </si>
  <si>
    <r>
      <t xml:space="preserve">CANTIDADES A UTILIZAR </t>
    </r>
    <r>
      <rPr>
        <u/>
        <sz val="12"/>
        <rFont val="Times New Roman"/>
        <family val="1"/>
      </rPr>
      <t>AÑO 5</t>
    </r>
    <r>
      <rPr>
        <sz val="12"/>
        <color theme="8" tint="0.39997558519241921"/>
        <rFont val="Times New Roman"/>
        <family val="1"/>
      </rPr>
      <t xml:space="preserve"> 5</t>
    </r>
  </si>
  <si>
    <r>
      <t xml:space="preserve">AÑO 2 </t>
    </r>
    <r>
      <rPr>
        <sz val="12"/>
        <color theme="8" tint="0.39997558519241921"/>
        <rFont val="Times New Roman"/>
        <family val="1"/>
      </rPr>
      <t>5</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</si>
  <si>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</si>
  <si>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5</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</si>
  <si>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5</t>
    </r>
  </si>
  <si>
    <r>
      <t xml:space="preserve">AÑO 1 </t>
    </r>
    <r>
      <rPr>
        <sz val="12"/>
        <color theme="8" tint="0.39997558519241921"/>
        <rFont val="Times New Roman"/>
        <family val="1"/>
      </rPr>
      <t>5</t>
    </r>
  </si>
  <si>
    <r>
      <t xml:space="preserve">AÑO 4 </t>
    </r>
    <r>
      <rPr>
        <sz val="12"/>
        <color theme="8" tint="0.39997558519241921"/>
        <rFont val="Times New Roman"/>
        <family val="1"/>
      </rPr>
      <t>5</t>
    </r>
  </si>
  <si>
    <r>
      <t xml:space="preserve">AÑO 5 </t>
    </r>
    <r>
      <rPr>
        <sz val="12"/>
        <color theme="8" tint="0.39997558519241921"/>
        <rFont val="Times New Roman"/>
        <family val="1"/>
      </rPr>
      <t>5</t>
    </r>
  </si>
  <si>
    <t>COSTO POR UNIDAD DE PRODUCTO (6)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</si>
  <si>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</si>
  <si>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</si>
  <si>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6</t>
    </r>
  </si>
  <si>
    <r>
      <t>CAMBIO PORCENTUAL EN UNIDADES VENDIDAS</t>
    </r>
    <r>
      <rPr>
        <u/>
        <sz val="12"/>
        <rFont val="Times New Roman"/>
        <family val="1"/>
      </rPr>
      <t xml:space="preserve"> AÑO 3</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</si>
  <si>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</si>
  <si>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</si>
  <si>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6</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</si>
  <si>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</si>
  <si>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</si>
  <si>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6</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</si>
  <si>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6</t>
    </r>
  </si>
  <si>
    <r>
      <t xml:space="preserve">AÑO 1 </t>
    </r>
    <r>
      <rPr>
        <sz val="12"/>
        <color theme="7" tint="0.39997558519241921"/>
        <rFont val="Times New Roman"/>
        <family val="1"/>
      </rPr>
      <t>6</t>
    </r>
  </si>
  <si>
    <r>
      <t xml:space="preserve">AÑO 2 </t>
    </r>
    <r>
      <rPr>
        <sz val="12"/>
        <color theme="7" tint="0.39997558519241921"/>
        <rFont val="Times New Roman"/>
        <family val="1"/>
      </rPr>
      <t>6</t>
    </r>
  </si>
  <si>
    <r>
      <t xml:space="preserve">AÑO 3 </t>
    </r>
    <r>
      <rPr>
        <sz val="12"/>
        <color theme="7" tint="0.39997558519241921"/>
        <rFont val="Times New Roman"/>
        <family val="1"/>
      </rPr>
      <t>6</t>
    </r>
  </si>
  <si>
    <r>
      <t xml:space="preserve">AÑO 4 </t>
    </r>
    <r>
      <rPr>
        <sz val="12"/>
        <color theme="7" tint="0.39997558519241921"/>
        <rFont val="Times New Roman"/>
        <family val="1"/>
      </rPr>
      <t>6</t>
    </r>
  </si>
  <si>
    <r>
      <t xml:space="preserve">AÑO 5 </t>
    </r>
    <r>
      <rPr>
        <sz val="12"/>
        <color theme="7" tint="0.39997558519241921"/>
        <rFont val="Times New Roman"/>
        <family val="1"/>
      </rPr>
      <t>6</t>
    </r>
  </si>
  <si>
    <t>COSTO POR UNIDAD DE PRODUCTO (7)</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</si>
  <si>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</si>
  <si>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</si>
  <si>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</si>
  <si>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7</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</si>
  <si>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</si>
  <si>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</si>
  <si>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7</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</si>
  <si>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7</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</si>
  <si>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</si>
  <si>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</si>
  <si>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</si>
  <si>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7</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</si>
  <si>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7</t>
    </r>
  </si>
  <si>
    <r>
      <t xml:space="preserve">AÑO 1 </t>
    </r>
    <r>
      <rPr>
        <sz val="12"/>
        <color theme="8" tint="0.39997558519241921"/>
        <rFont val="Times New Roman"/>
        <family val="1"/>
      </rPr>
      <t>7</t>
    </r>
  </si>
  <si>
    <r>
      <t xml:space="preserve">AÑO 2 </t>
    </r>
    <r>
      <rPr>
        <sz val="12"/>
        <color theme="8" tint="0.39997558519241921"/>
        <rFont val="Times New Roman"/>
        <family val="1"/>
      </rPr>
      <t>7</t>
    </r>
  </si>
  <si>
    <r>
      <t xml:space="preserve">AÑO 3 </t>
    </r>
    <r>
      <rPr>
        <sz val="12"/>
        <color theme="8" tint="0.39997558519241921"/>
        <rFont val="Times New Roman"/>
        <family val="1"/>
      </rPr>
      <t>7</t>
    </r>
  </si>
  <si>
    <r>
      <t xml:space="preserve">AÑO 5 </t>
    </r>
    <r>
      <rPr>
        <sz val="12"/>
        <color theme="8" tint="0.39997558519241921"/>
        <rFont val="Times New Roman"/>
        <family val="1"/>
      </rPr>
      <t>7</t>
    </r>
  </si>
  <si>
    <t>COSTO POR UNIDAD DE PRODUCTO (8)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</si>
  <si>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</si>
  <si>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8</t>
    </r>
  </si>
  <si>
    <r>
      <t>CAMBIO PORCENTUAL EN UNIDADES VENDIDAS</t>
    </r>
    <r>
      <rPr>
        <u/>
        <sz val="12"/>
        <rFont val="Times New Roman"/>
        <family val="1"/>
      </rPr>
      <t xml:space="preserve"> AÑO 2</t>
    </r>
    <r>
      <rPr>
        <sz val="12"/>
        <color theme="7" tint="0.39997558519241921"/>
        <rFont val="Times New Roman"/>
        <family val="1"/>
      </rPr>
      <t xml:space="preserve"> 8</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</si>
  <si>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</si>
  <si>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</si>
  <si>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</si>
  <si>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8</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</si>
  <si>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</si>
  <si>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</si>
  <si>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</si>
  <si>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</si>
  <si>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8</t>
    </r>
  </si>
  <si>
    <r>
      <t xml:space="preserve">AÑO 1 </t>
    </r>
    <r>
      <rPr>
        <sz val="12"/>
        <color theme="7" tint="0.39997558519241921"/>
        <rFont val="Times New Roman"/>
        <family val="1"/>
      </rPr>
      <t>8</t>
    </r>
  </si>
  <si>
    <r>
      <t xml:space="preserve">AÑO 2 </t>
    </r>
    <r>
      <rPr>
        <sz val="12"/>
        <color theme="7" tint="0.39997558519241921"/>
        <rFont val="Times New Roman"/>
        <family val="1"/>
      </rPr>
      <t>8</t>
    </r>
  </si>
  <si>
    <r>
      <t xml:space="preserve">AÑO 3 </t>
    </r>
    <r>
      <rPr>
        <sz val="12"/>
        <color theme="7" tint="0.39997558519241921"/>
        <rFont val="Times New Roman"/>
        <family val="1"/>
      </rPr>
      <t>8</t>
    </r>
  </si>
  <si>
    <r>
      <t xml:space="preserve">AÑO 4 </t>
    </r>
    <r>
      <rPr>
        <sz val="12"/>
        <color theme="7" tint="0.39997558519241921"/>
        <rFont val="Times New Roman"/>
        <family val="1"/>
      </rPr>
      <t>8</t>
    </r>
  </si>
  <si>
    <r>
      <t xml:space="preserve">AÑO 5 </t>
    </r>
    <r>
      <rPr>
        <sz val="12"/>
        <color theme="7" tint="0.39997558519241921"/>
        <rFont val="Times New Roman"/>
        <family val="1"/>
      </rPr>
      <t>8</t>
    </r>
  </si>
  <si>
    <t>COSTO POR UNIDAD DE PRODUCTO (9)</t>
  </si>
  <si>
    <t>COSTO UNITARIO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</si>
  <si>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</si>
  <si>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</si>
  <si>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</si>
  <si>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</si>
  <si>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</si>
  <si>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</si>
  <si>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9</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</si>
  <si>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</si>
  <si>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</si>
  <si>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</si>
  <si>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9</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</si>
  <si>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9</t>
    </r>
  </si>
  <si>
    <r>
      <t xml:space="preserve">AÑO 1 </t>
    </r>
    <r>
      <rPr>
        <sz val="12"/>
        <color theme="8" tint="0.39997558519241921"/>
        <rFont val="Times New Roman"/>
        <family val="1"/>
      </rPr>
      <t>9</t>
    </r>
  </si>
  <si>
    <r>
      <t xml:space="preserve">AÑO 3 </t>
    </r>
    <r>
      <rPr>
        <sz val="12"/>
        <color theme="8" tint="0.39997558519241921"/>
        <rFont val="Times New Roman"/>
        <family val="1"/>
      </rPr>
      <t>9</t>
    </r>
  </si>
  <si>
    <t>COSTO POR UNIDAD DE PRODUCTO (10)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</si>
  <si>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</si>
  <si>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</si>
  <si>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10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</si>
  <si>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</si>
  <si>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10</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</si>
  <si>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</si>
  <si>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</si>
  <si>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</si>
  <si>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</si>
  <si>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</si>
  <si>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AÑO 1 </t>
    </r>
    <r>
      <rPr>
        <sz val="12"/>
        <color theme="7" tint="0.39997558519241921"/>
        <rFont val="Times New Roman"/>
        <family val="1"/>
      </rPr>
      <t xml:space="preserve">10 </t>
    </r>
  </si>
  <si>
    <r>
      <t xml:space="preserve">AÑO 4 </t>
    </r>
    <r>
      <rPr>
        <sz val="12"/>
        <color theme="7" tint="0.39997558519241921"/>
        <rFont val="Times New Roman"/>
        <family val="1"/>
      </rPr>
      <t xml:space="preserve">10 </t>
    </r>
  </si>
  <si>
    <r>
      <t xml:space="preserve">AÑO 5 </t>
    </r>
    <r>
      <rPr>
        <sz val="12"/>
        <color theme="7" tint="0.39997558519241921"/>
        <rFont val="Times New Roman"/>
        <family val="1"/>
      </rPr>
      <t xml:space="preserve">10 </t>
    </r>
  </si>
  <si>
    <t>COSTO POR UNIDAD DE PRODUCTO (11)</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</si>
  <si>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</si>
  <si>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11 </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</si>
  <si>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</si>
  <si>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11</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</si>
  <si>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 xml:space="preserve">11 </t>
    </r>
  </si>
  <si>
    <t>COSTO POR UNIDAD DE PRODUCTO (12)</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</si>
  <si>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</si>
  <si>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</si>
  <si>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</si>
  <si>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</si>
  <si>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12</t>
    </r>
  </si>
  <si>
    <t>COSTO POR UNIDAD DE PRODUCTO (13)</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</si>
  <si>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</si>
  <si>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</si>
  <si>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</si>
  <si>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13</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</si>
  <si>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13</t>
    </r>
  </si>
  <si>
    <t>COSTO POR UNIDAD DE PRODUCTO (14)</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</si>
  <si>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</si>
  <si>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</si>
  <si>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</si>
  <si>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14</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</si>
  <si>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14</t>
    </r>
  </si>
  <si>
    <t>COSTO POR UNIDAD DE PRODUCTO (15)</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</si>
  <si>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</si>
  <si>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</si>
  <si>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 xml:space="preserve">AÑO </t>
    </r>
    <r>
      <rPr>
        <sz val="12"/>
        <rFont val="Times New Roman"/>
        <family val="1"/>
      </rPr>
      <t xml:space="preserve">3 </t>
    </r>
    <r>
      <rPr>
        <sz val="12"/>
        <color theme="8" tint="0.39997558519241921"/>
        <rFont val="Times New Roman"/>
        <family val="1"/>
      </rPr>
      <t>15</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</si>
  <si>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15</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</si>
  <si>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15</t>
    </r>
  </si>
  <si>
    <t>COSTO POR UNIDAD DE PRODUCTO (16)</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</si>
  <si>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</si>
  <si>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</si>
  <si>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 xml:space="preserve">AÑO 3 </t>
    </r>
    <r>
      <rPr>
        <sz val="12"/>
        <color theme="7" tint="0.39997558519241921"/>
        <rFont val="Times New Roman"/>
        <family val="1"/>
      </rPr>
      <t>16</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</si>
  <si>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16</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</si>
  <si>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16</t>
    </r>
  </si>
  <si>
    <t>COSTO POR UNIDAD DE PRODUCTO (17)</t>
  </si>
  <si>
    <t>COSTO TOTAL ANUAL</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</si>
  <si>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</si>
  <si>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</si>
  <si>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17</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</si>
  <si>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17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</si>
  <si>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17</t>
    </r>
  </si>
  <si>
    <t>COSTO POR UNIDAD DE PRODUCTO (18)</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</si>
  <si>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</si>
  <si>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</si>
  <si>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18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</si>
  <si>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18</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</si>
  <si>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18 </t>
    </r>
  </si>
  <si>
    <t>COSTO POR UNIDAD DE PRODUCTO (19)</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</si>
  <si>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</si>
  <si>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19</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</si>
  <si>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19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</si>
  <si>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19</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</si>
  <si>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 xml:space="preserve">19 </t>
    </r>
  </si>
  <si>
    <t>COSTO POR UNIDAD DE PRODUCTO (20)</t>
  </si>
  <si>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</si>
  <si>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</si>
  <si>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20 </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</si>
  <si>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20</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</si>
  <si>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20 </t>
    </r>
  </si>
  <si>
    <t>CANTIDADES A UTILIZAR</t>
  </si>
  <si>
    <t>COSTO INDIRECTO</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</si>
  <si>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</si>
  <si>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</si>
  <si>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</si>
  <si>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</si>
  <si>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</si>
  <si>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</si>
  <si>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1</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</si>
  <si>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</si>
  <si>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</si>
  <si>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</si>
  <si>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</si>
  <si>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</si>
  <si>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1</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</si>
  <si>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</si>
  <si>
    <r>
      <t xml:space="preserve">AÑO 1 </t>
    </r>
    <r>
      <rPr>
        <sz val="12"/>
        <color theme="8" tint="0.39997558519241921"/>
        <rFont val="Times New Roman"/>
        <family val="1"/>
      </rPr>
      <t>1</t>
    </r>
  </si>
  <si>
    <r>
      <t xml:space="preserve">AÑO 2 </t>
    </r>
    <r>
      <rPr>
        <sz val="12"/>
        <color theme="8" tint="0.39997558519241921"/>
        <rFont val="Times New Roman"/>
        <family val="1"/>
      </rPr>
      <t>1</t>
    </r>
  </si>
  <si>
    <r>
      <t xml:space="preserve">AÑO 3 </t>
    </r>
    <r>
      <rPr>
        <sz val="12"/>
        <color theme="8" tint="0.39997558519241921"/>
        <rFont val="Times New Roman"/>
        <family val="1"/>
      </rPr>
      <t>1</t>
    </r>
  </si>
  <si>
    <r>
      <t xml:space="preserve">AÑO 4 </t>
    </r>
    <r>
      <rPr>
        <sz val="12"/>
        <color theme="8" tint="0.39997558519241921"/>
        <rFont val="Times New Roman"/>
        <family val="1"/>
      </rPr>
      <t>1</t>
    </r>
  </si>
  <si>
    <r>
      <t xml:space="preserve">AÑO 5 </t>
    </r>
    <r>
      <rPr>
        <sz val="12"/>
        <color theme="8" tint="0.39997558519241921"/>
        <rFont val="Times New Roman"/>
        <family val="1"/>
      </rPr>
      <t>1</t>
    </r>
  </si>
  <si>
    <t xml:space="preserve">COSTO POR UNIDAD DE PRODUCTO (2) </t>
  </si>
  <si>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</si>
  <si>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</si>
  <si>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</si>
  <si>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</si>
  <si>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CANTIDADES A UTILIZAR EN EL </t>
    </r>
    <r>
      <rPr>
        <u/>
        <sz val="12"/>
        <rFont val="Times New Roman"/>
        <family val="1"/>
      </rPr>
      <t xml:space="preserve">AÑO </t>
    </r>
    <r>
      <rPr>
        <sz val="12"/>
        <rFont val="Times New Roman"/>
        <family val="1"/>
      </rPr>
      <t xml:space="preserve">3 </t>
    </r>
    <r>
      <rPr>
        <sz val="12"/>
        <color theme="7" tint="0.39997558519241921"/>
        <rFont val="Times New Roman"/>
        <family val="1"/>
      </rPr>
      <t>2</t>
    </r>
  </si>
  <si>
    <r>
      <t xml:space="preserve">CAMBIO PORCENTUAL EN UNIDADES VENDIDAS </t>
    </r>
    <r>
      <rPr>
        <u/>
        <sz val="12"/>
        <rFont val="Times New Roman"/>
        <family val="1"/>
      </rPr>
      <t>AÑO 4</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</si>
  <si>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2</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</si>
  <si>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</si>
  <si>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</si>
  <si>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</si>
  <si>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</si>
  <si>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</si>
  <si>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2 </t>
    </r>
  </si>
  <si>
    <r>
      <t>AÑO 2</t>
    </r>
    <r>
      <rPr>
        <sz val="12"/>
        <color theme="7" tint="0.39997558519241921"/>
        <rFont val="Times New Roman"/>
        <family val="1"/>
      </rPr>
      <t xml:space="preserve"> 2</t>
    </r>
  </si>
  <si>
    <r>
      <t>AÑO 1</t>
    </r>
    <r>
      <rPr>
        <sz val="12"/>
        <color theme="7" tint="0.39997558519241921"/>
        <rFont val="Times New Roman"/>
        <family val="1"/>
      </rPr>
      <t xml:space="preserve"> 2</t>
    </r>
  </si>
  <si>
    <r>
      <t xml:space="preserve">CANTIDADES A UTILIZAR EN EL </t>
    </r>
    <r>
      <rPr>
        <u/>
        <sz val="12"/>
        <rFont val="Times New Roman"/>
        <family val="1"/>
      </rPr>
      <t>AÑO 1</t>
    </r>
    <r>
      <rPr>
        <sz val="12"/>
        <rFont val="Times New Roman"/>
        <family val="1"/>
      </rPr>
      <t xml:space="preserve"> </t>
    </r>
    <r>
      <rPr>
        <sz val="12"/>
        <color theme="8" tint="0.39997558519241921"/>
        <rFont val="Times New Roman"/>
        <family val="1"/>
      </rPr>
      <t>3</t>
    </r>
  </si>
  <si>
    <r>
      <t>CAMBIO PORCENTUAL EN UNIDADES VENDIDAS</t>
    </r>
    <r>
      <rPr>
        <u/>
        <sz val="12"/>
        <rFont val="Times New Roman"/>
        <family val="1"/>
      </rPr>
      <t xml:space="preserve"> AÑO 2</t>
    </r>
    <r>
      <rPr>
        <sz val="12"/>
        <color theme="8" tint="0.39997558519241921"/>
        <rFont val="Times New Roman"/>
        <family val="1"/>
      </rPr>
      <t xml:space="preserve"> 3</t>
    </r>
  </si>
  <si>
    <r>
      <t xml:space="preserve">CANTIDADES A UTILIZAR EN EL </t>
    </r>
    <r>
      <rPr>
        <u/>
        <sz val="12"/>
        <rFont val="Times New Roman"/>
        <family val="1"/>
      </rPr>
      <t>AÑO 2</t>
    </r>
    <r>
      <rPr>
        <sz val="12"/>
        <color theme="8" tint="0.39997558519241921"/>
        <rFont val="Times New Roman"/>
        <family val="1"/>
      </rPr>
      <t xml:space="preserve"> 3</t>
    </r>
  </si>
  <si>
    <r>
      <t xml:space="preserve">CAMBIO PORCENTUAL EN UNIDADES VENDIDAS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</si>
  <si>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3</t>
    </r>
    <r>
      <rPr>
        <sz val="12"/>
        <color theme="8" tint="0.39997558519241921"/>
        <rFont val="Times New Roman"/>
        <family val="1"/>
      </rPr>
      <t xml:space="preserve"> 3</t>
    </r>
  </si>
  <si>
    <r>
      <t xml:space="preserve">CANTIDADES A UTILIZAR EN EL </t>
    </r>
    <r>
      <rPr>
        <u/>
        <sz val="12"/>
        <rFont val="Times New Roman"/>
        <family val="1"/>
      </rPr>
      <t>AÑO 4</t>
    </r>
    <r>
      <rPr>
        <sz val="12"/>
        <color theme="8" tint="0.39997558519241921"/>
        <rFont val="Times New Roman"/>
        <family val="1"/>
      </rPr>
      <t xml:space="preserve"> 3</t>
    </r>
  </si>
  <si>
    <r>
      <t xml:space="preserve">CAMBIO PORCENTUAL EN UNIDADES VENDIDAS </t>
    </r>
    <r>
      <rPr>
        <u/>
        <sz val="12"/>
        <rFont val="Times New Roman"/>
        <family val="1"/>
      </rPr>
      <t>AÑO 5</t>
    </r>
    <r>
      <rPr>
        <sz val="12"/>
        <color theme="8" tint="0.39997558519241921"/>
        <rFont val="Times New Roman"/>
        <family val="1"/>
      </rPr>
      <t xml:space="preserve"> 3</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</si>
  <si>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</si>
  <si>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2</t>
    </r>
    <r>
      <rPr>
        <sz val="12"/>
        <color theme="8" tint="0.39997558519241921"/>
        <rFont val="Times New Roman"/>
        <family val="1"/>
      </rPr>
      <t xml:space="preserve"> 3</t>
    </r>
  </si>
  <si>
    <r>
      <t xml:space="preserve">COSTO UNITARIO </t>
    </r>
    <r>
      <rPr>
        <u/>
        <sz val="12"/>
        <rFont val="Times New Roman"/>
        <family val="1"/>
      </rPr>
      <t>AÑO 3</t>
    </r>
    <r>
      <rPr>
        <sz val="12"/>
        <color theme="8" tint="0.39997558519241921"/>
        <rFont val="Times New Roman"/>
        <family val="1"/>
      </rPr>
      <t xml:space="preserve"> 3</t>
    </r>
  </si>
  <si>
    <r>
      <t>COSTO UNITARIO</t>
    </r>
    <r>
      <rPr>
        <u/>
        <sz val="12"/>
        <rFont val="Times New Roman"/>
        <family val="1"/>
      </rPr>
      <t xml:space="preserve"> AÑO 4</t>
    </r>
    <r>
      <rPr>
        <sz val="12"/>
        <rFont val="Times New Roman"/>
        <family val="1"/>
      </rPr>
      <t xml:space="preserve"> </t>
    </r>
    <r>
      <rPr>
        <sz val="12"/>
        <color theme="8" tint="0.39997558519241921"/>
        <rFont val="Times New Roman"/>
        <family val="1"/>
      </rPr>
      <t>3</t>
    </r>
  </si>
  <si>
    <r>
      <t>AÑO 1</t>
    </r>
    <r>
      <rPr>
        <sz val="12"/>
        <color theme="8" tint="0.39997558519241921"/>
        <rFont val="Times New Roman"/>
        <family val="1"/>
      </rPr>
      <t xml:space="preserve"> 3</t>
    </r>
  </si>
  <si>
    <r>
      <t>AÑO 2</t>
    </r>
    <r>
      <rPr>
        <sz val="12"/>
        <color theme="8" tint="0.39997558519241921"/>
        <rFont val="Times New Roman"/>
        <family val="1"/>
      </rPr>
      <t xml:space="preserve"> 3</t>
    </r>
  </si>
  <si>
    <r>
      <t>AÑO 3</t>
    </r>
    <r>
      <rPr>
        <sz val="12"/>
        <color theme="8" tint="0.39997558519241921"/>
        <rFont val="Times New Roman"/>
        <family val="1"/>
      </rPr>
      <t xml:space="preserve"> 3</t>
    </r>
  </si>
  <si>
    <r>
      <t>AÑO 4</t>
    </r>
    <r>
      <rPr>
        <sz val="12"/>
        <color theme="8" tint="0.39997558519241921"/>
        <rFont val="Times New Roman"/>
        <family val="1"/>
      </rPr>
      <t xml:space="preserve"> 3</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</si>
  <si>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</si>
  <si>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3</t>
    </r>
    <r>
      <rPr>
        <sz val="12"/>
        <color theme="7" tint="0.39997558519241921"/>
        <rFont val="Times New Roman"/>
        <family val="1"/>
      </rPr>
      <t xml:space="preserve"> 4</t>
    </r>
  </si>
  <si>
    <r>
      <t xml:space="preserve">CAMBIO PORCENTUAL EN UNIDADES VENDIDAS </t>
    </r>
    <r>
      <rPr>
        <u/>
        <sz val="12"/>
        <rFont val="Times New Roman"/>
        <family val="1"/>
      </rPr>
      <t>AÑO 4</t>
    </r>
    <r>
      <rPr>
        <sz val="12"/>
        <color theme="7" tint="0.39997558519241921"/>
        <rFont val="Times New Roman"/>
        <family val="1"/>
      </rPr>
      <t xml:space="preserve"> 4</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</si>
  <si>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</si>
  <si>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 xml:space="preserve">4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</si>
  <si>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 xml:space="preserve">4 </t>
    </r>
  </si>
  <si>
    <r>
      <t xml:space="preserve">AÑO 4 </t>
    </r>
    <r>
      <rPr>
        <sz val="12"/>
        <color theme="7" tint="0.39997558519241921"/>
        <rFont val="Times New Roman"/>
        <family val="1"/>
      </rPr>
      <t xml:space="preserve">4 </t>
    </r>
  </si>
  <si>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5</t>
    </r>
  </si>
  <si>
    <r>
      <t xml:space="preserve">CAMBIO PORCENTUAL EN UNIDADES VENDIDAS </t>
    </r>
    <r>
      <rPr>
        <u/>
        <sz val="12"/>
        <rFont val="Times New Roman"/>
        <family val="1"/>
      </rPr>
      <t>AÑO 3</t>
    </r>
    <r>
      <rPr>
        <sz val="12"/>
        <color theme="8" tint="0.39997558519241921"/>
        <rFont val="Times New Roman"/>
        <family val="1"/>
      </rPr>
      <t xml:space="preserve"> 5</t>
    </r>
  </si>
  <si>
    <r>
      <t xml:space="preserve">CANTIDADES A UTILIZAR EN EL </t>
    </r>
    <r>
      <rPr>
        <u/>
        <sz val="12"/>
        <rFont val="Times New Roman"/>
        <family val="1"/>
      </rPr>
      <t>AÑO 3</t>
    </r>
    <r>
      <rPr>
        <sz val="12"/>
        <color theme="8" tint="0.39997558519241921"/>
        <rFont val="Times New Roman"/>
        <family val="1"/>
      </rPr>
      <t xml:space="preserve"> 5 </t>
    </r>
  </si>
  <si>
    <r>
      <t>CAMBIO PORCENTUAL EN UNIDADES VENDIDAS</t>
    </r>
    <r>
      <rPr>
        <u/>
        <sz val="12"/>
        <rFont val="Times New Roman"/>
        <family val="1"/>
      </rPr>
      <t xml:space="preserve"> AÑO 4</t>
    </r>
    <r>
      <rPr>
        <sz val="12"/>
        <rFont val="Times New Roman"/>
        <family val="1"/>
      </rPr>
      <t xml:space="preserve"> </t>
    </r>
    <r>
      <rPr>
        <sz val="12"/>
        <color theme="8" tint="0.39997558519241921"/>
        <rFont val="Times New Roman"/>
        <family val="1"/>
      </rPr>
      <t>5</t>
    </r>
  </si>
  <si>
    <r>
      <t xml:space="preserve">CANTIDADES A UTILIZAR EN EL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</si>
  <si>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2</t>
    </r>
    <r>
      <rPr>
        <sz val="12"/>
        <color theme="8" tint="0.39997558519241921"/>
        <rFont val="Times New Roman"/>
        <family val="1"/>
      </rPr>
      <t xml:space="preserve"> 5</t>
    </r>
  </si>
  <si>
    <r>
      <t xml:space="preserve">COSTO UNITARIO </t>
    </r>
    <r>
      <rPr>
        <u/>
        <sz val="12"/>
        <rFont val="Times New Roman"/>
        <family val="1"/>
      </rPr>
      <t xml:space="preserve">AÑO 3 </t>
    </r>
    <r>
      <rPr>
        <sz val="12"/>
        <color theme="8" tint="0.39997558519241921"/>
        <rFont val="Times New Roman"/>
        <family val="1"/>
      </rPr>
      <t>5</t>
    </r>
  </si>
  <si>
    <r>
      <t xml:space="preserve">COSTO UNITARIO </t>
    </r>
    <r>
      <rPr>
        <u/>
        <sz val="12"/>
        <rFont val="Times New Roman"/>
        <family val="1"/>
      </rPr>
      <t>AÑO 4</t>
    </r>
    <r>
      <rPr>
        <sz val="12"/>
        <color theme="8" tint="0.39997558519241921"/>
        <rFont val="Times New Roman"/>
        <family val="1"/>
      </rPr>
      <t xml:space="preserve"> 5</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</si>
  <si>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</si>
  <si>
    <r>
      <t>AÑO 3</t>
    </r>
    <r>
      <rPr>
        <sz val="12"/>
        <color theme="8" tint="0.39997558519241921"/>
        <rFont val="Times New Roman"/>
        <family val="1"/>
      </rPr>
      <t xml:space="preserve"> 5</t>
    </r>
  </si>
  <si>
    <r>
      <t>AÑO 5</t>
    </r>
    <r>
      <rPr>
        <sz val="12"/>
        <color theme="8" tint="0.39997558519241921"/>
        <rFont val="Times New Roman"/>
        <family val="1"/>
      </rPr>
      <t xml:space="preserve"> 5</t>
    </r>
  </si>
  <si>
    <t xml:space="preserve">COSTO POR UNIDAD DE PRODUCTO (3) </t>
  </si>
  <si>
    <r>
      <t xml:space="preserve">COSTO UNITARIO </t>
    </r>
    <r>
      <rPr>
        <u/>
        <sz val="12"/>
        <rFont val="Times New Roman"/>
        <family val="1"/>
      </rPr>
      <t>AÑO 5</t>
    </r>
    <r>
      <rPr>
        <sz val="12"/>
        <rFont val="Times New Roman"/>
        <family val="1"/>
      </rPr>
      <t xml:space="preserve"> </t>
    </r>
    <r>
      <rPr>
        <u/>
        <sz val="12"/>
        <color theme="8" tint="0.39997558519241921"/>
        <rFont val="Times New Roman"/>
        <family val="1"/>
      </rPr>
      <t>3</t>
    </r>
  </si>
  <si>
    <t>COSTO POR UNIDAD DE PRODUCTO (4)</t>
  </si>
  <si>
    <t xml:space="preserve">COSTO POR UNIDAD DE PRODUCTO (5) </t>
  </si>
  <si>
    <r>
      <t xml:space="preserve">UNIDADES PRODUCIDAS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</si>
  <si>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6</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</si>
  <si>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</si>
  <si>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</si>
  <si>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2</t>
    </r>
    <r>
      <rPr>
        <sz val="12"/>
        <rFont val="Times New Roman"/>
        <family val="1"/>
      </rPr>
      <t xml:space="preserve"> </t>
    </r>
    <r>
      <rPr>
        <sz val="12"/>
        <color theme="7" tint="0.39997558519241921"/>
        <rFont val="Times New Roman"/>
        <family val="1"/>
      </rPr>
      <t>6</t>
    </r>
  </si>
  <si>
    <r>
      <t>COSTO UNITARIO</t>
    </r>
    <r>
      <rPr>
        <u/>
        <sz val="12"/>
        <rFont val="Times New Roman"/>
        <family val="1"/>
      </rPr>
      <t xml:space="preserve"> AÑO 4</t>
    </r>
    <r>
      <rPr>
        <sz val="12"/>
        <rFont val="Times New Roman"/>
        <family val="1"/>
      </rPr>
      <t xml:space="preserve"> </t>
    </r>
    <r>
      <rPr>
        <sz val="12"/>
        <color theme="7" tint="0.39997558519241921"/>
        <rFont val="Times New Roman"/>
        <family val="1"/>
      </rPr>
      <t>6</t>
    </r>
  </si>
  <si>
    <r>
      <t xml:space="preserve">CANTIDADES A UTILIZAR EN EL </t>
    </r>
    <r>
      <rPr>
        <u/>
        <sz val="12"/>
        <rFont val="Times New Roman"/>
        <family val="1"/>
      </rPr>
      <t>AÑO 1</t>
    </r>
    <r>
      <rPr>
        <sz val="12"/>
        <color theme="8" tint="0.39997558519241921"/>
        <rFont val="Times New Roman"/>
        <family val="1"/>
      </rPr>
      <t xml:space="preserve"> 7</t>
    </r>
  </si>
  <si>
    <r>
      <t xml:space="preserve">CAMBIO PORCENTUAL EN UNIDADES VENDIDAS </t>
    </r>
    <r>
      <rPr>
        <u/>
        <sz val="12"/>
        <rFont val="Times New Roman"/>
        <family val="1"/>
      </rPr>
      <t>AÑO 3</t>
    </r>
    <r>
      <rPr>
        <sz val="12"/>
        <color theme="8" tint="0.39997558519241921"/>
        <rFont val="Times New Roman"/>
        <family val="1"/>
      </rPr>
      <t xml:space="preserve"> 7</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</si>
  <si>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7</t>
    </r>
  </si>
  <si>
    <r>
      <t>AÑO 2</t>
    </r>
    <r>
      <rPr>
        <sz val="12"/>
        <color theme="8" tint="0.39997558519241921"/>
        <rFont val="Times New Roman"/>
        <family val="1"/>
      </rPr>
      <t xml:space="preserve"> 7</t>
    </r>
  </si>
  <si>
    <r>
      <t xml:space="preserve">AÑO 4 </t>
    </r>
    <r>
      <rPr>
        <sz val="12"/>
        <color theme="8" tint="0.39997558519241921"/>
        <rFont val="Times New Roman"/>
        <family val="1"/>
      </rPr>
      <t>7</t>
    </r>
  </si>
  <si>
    <r>
      <t>AÑO 5</t>
    </r>
    <r>
      <rPr>
        <sz val="12"/>
        <color theme="8" tint="0.39997558519241921"/>
        <rFont val="Times New Roman"/>
        <family val="1"/>
      </rPr>
      <t xml:space="preserve"> 7</t>
    </r>
  </si>
  <si>
    <r>
      <t xml:space="preserve">CAMBIO PORCENTUAL EN UNIDADES VENDIDAS </t>
    </r>
    <r>
      <rPr>
        <u/>
        <sz val="12"/>
        <rFont val="Times New Roman"/>
        <family val="1"/>
      </rPr>
      <t>AÑO 2</t>
    </r>
    <r>
      <rPr>
        <sz val="12"/>
        <color theme="7" tint="0.39997558519241921"/>
        <rFont val="Times New Roman"/>
        <family val="1"/>
      </rPr>
      <t xml:space="preserve"> 8</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</si>
  <si>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8</t>
    </r>
  </si>
  <si>
    <r>
      <t xml:space="preserve">COSTO UNITARIO </t>
    </r>
    <r>
      <rPr>
        <u/>
        <sz val="12"/>
        <rFont val="Times New Roman"/>
        <family val="1"/>
      </rPr>
      <t>AÑO 5</t>
    </r>
    <r>
      <rPr>
        <sz val="12"/>
        <color theme="7" tint="0.39997558519241921"/>
        <rFont val="Times New Roman"/>
        <family val="1"/>
      </rPr>
      <t xml:space="preserve"> 8</t>
    </r>
  </si>
  <si>
    <r>
      <t>AÑO 1</t>
    </r>
    <r>
      <rPr>
        <sz val="12"/>
        <color theme="7" tint="0.39997558519241921"/>
        <rFont val="Times New Roman"/>
        <family val="1"/>
      </rPr>
      <t xml:space="preserve"> 8</t>
    </r>
  </si>
  <si>
    <r>
      <t>UNIDADES PRODUCIDAS</t>
    </r>
    <r>
      <rPr>
        <u/>
        <sz val="12"/>
        <rFont val="Times New Roman"/>
        <family val="1"/>
      </rPr>
      <t xml:space="preserve"> AÑO 1</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</si>
  <si>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2</t>
    </r>
    <r>
      <rPr>
        <sz val="12"/>
        <color theme="8" tint="0.39997558519241921"/>
        <rFont val="Times New Roman"/>
        <family val="1"/>
      </rPr>
      <t xml:space="preserve"> 9</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</si>
  <si>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9</t>
    </r>
  </si>
  <si>
    <r>
      <t xml:space="preserve">CANTIDADES A UTILIZAR EN EL </t>
    </r>
    <r>
      <rPr>
        <u/>
        <sz val="12"/>
        <rFont val="Times New Roman"/>
        <family val="1"/>
      </rPr>
      <t>AÑO 4</t>
    </r>
    <r>
      <rPr>
        <sz val="12"/>
        <rFont val="Times New Roman"/>
        <family val="1"/>
      </rPr>
      <t xml:space="preserve"> </t>
    </r>
    <r>
      <rPr>
        <sz val="12"/>
        <color theme="8" tint="0.39997558519241921"/>
        <rFont val="Times New Roman"/>
        <family val="1"/>
      </rPr>
      <t>9</t>
    </r>
  </si>
  <si>
    <r>
      <t>AÑO 2</t>
    </r>
    <r>
      <rPr>
        <sz val="12"/>
        <color theme="8" tint="0.39997558519241921"/>
        <rFont val="Times New Roman"/>
        <family val="1"/>
      </rPr>
      <t xml:space="preserve"> 9</t>
    </r>
  </si>
  <si>
    <r>
      <t xml:space="preserve">AÑO 4 </t>
    </r>
    <r>
      <rPr>
        <sz val="12"/>
        <color theme="8" tint="0.39997558519241921"/>
        <rFont val="Times New Roman"/>
        <family val="1"/>
      </rPr>
      <t>9</t>
    </r>
  </si>
  <si>
    <r>
      <t xml:space="preserve">AÑO 5 </t>
    </r>
    <r>
      <rPr>
        <sz val="12"/>
        <color theme="8" tint="0.39997558519241921"/>
        <rFont val="Times New Roman"/>
        <family val="1"/>
      </rPr>
      <t>9</t>
    </r>
  </si>
  <si>
    <r>
      <t xml:space="preserve">CAMBIO PORCENTUAL EN UNIDADES VENDIDAS </t>
    </r>
    <r>
      <rPr>
        <u/>
        <sz val="12"/>
        <rFont val="Times New Roman"/>
        <family val="1"/>
      </rPr>
      <t>AÑO 2</t>
    </r>
    <r>
      <rPr>
        <sz val="12"/>
        <rFont val="Times New Roman"/>
        <family val="1"/>
      </rPr>
      <t xml:space="preserve"> </t>
    </r>
    <r>
      <rPr>
        <sz val="12"/>
        <color theme="7" tint="0.39997558519241921"/>
        <rFont val="Times New Roman"/>
        <family val="1"/>
      </rPr>
      <t>10</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</si>
  <si>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10</t>
    </r>
  </si>
  <si>
    <r>
      <t>CAMBIO PORCENTUAL EN UNIDADES VENDIDAS</t>
    </r>
    <r>
      <rPr>
        <u/>
        <sz val="12"/>
        <rFont val="Times New Roman"/>
        <family val="1"/>
      </rPr>
      <t xml:space="preserve"> AÑO 4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</si>
  <si>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10</t>
    </r>
  </si>
  <si>
    <r>
      <t>CANTIDADES A UTILIZAR</t>
    </r>
    <r>
      <rPr>
        <u/>
        <sz val="12"/>
        <rFont val="Times New Roman"/>
        <family val="1"/>
      </rPr>
      <t xml:space="preserve"> AÑO 5</t>
    </r>
    <r>
      <rPr>
        <sz val="12"/>
        <rFont val="Times New Roman"/>
        <family val="1"/>
      </rPr>
      <t xml:space="preserve"> </t>
    </r>
    <r>
      <rPr>
        <sz val="12"/>
        <color theme="7" tint="0.39997558519241921"/>
        <rFont val="Times New Roman"/>
        <family val="1"/>
      </rPr>
      <t>10</t>
    </r>
  </si>
  <si>
    <r>
      <t xml:space="preserve">COSTO UNITARIO </t>
    </r>
    <r>
      <rPr>
        <u/>
        <sz val="12"/>
        <rFont val="Times New Roman"/>
        <family val="1"/>
      </rPr>
      <t>AÑO 2</t>
    </r>
    <r>
      <rPr>
        <sz val="12"/>
        <color theme="7" tint="0.39997558519241921"/>
        <rFont val="Times New Roman"/>
        <family val="1"/>
      </rPr>
      <t xml:space="preserve"> 10</t>
    </r>
  </si>
  <si>
    <r>
      <t xml:space="preserve">COSTO UNITARIO </t>
    </r>
    <r>
      <rPr>
        <u/>
        <sz val="12"/>
        <rFont val="Times New Roman"/>
        <family val="1"/>
      </rPr>
      <t xml:space="preserve">AÑO 3 </t>
    </r>
    <r>
      <rPr>
        <sz val="12"/>
        <color theme="7" tint="0.39997558519241921"/>
        <rFont val="Times New Roman"/>
        <family val="1"/>
      </rPr>
      <t>10</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</si>
  <si>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10</t>
    </r>
  </si>
  <si>
    <r>
      <t xml:space="preserve">AÑO 1 </t>
    </r>
    <r>
      <rPr>
        <sz val="12"/>
        <color theme="7" tint="0.39997558519241921"/>
        <rFont val="Times New Roman"/>
        <family val="1"/>
      </rPr>
      <t>10</t>
    </r>
  </si>
  <si>
    <r>
      <t xml:space="preserve">AÑO 2 </t>
    </r>
    <r>
      <rPr>
        <sz val="12"/>
        <color theme="7" tint="0.39997558519241921"/>
        <rFont val="Times New Roman"/>
        <family val="1"/>
      </rPr>
      <t>10</t>
    </r>
  </si>
  <si>
    <r>
      <t xml:space="preserve">AÑO 3 </t>
    </r>
    <r>
      <rPr>
        <sz val="12"/>
        <color theme="7" tint="0.39997558519241921"/>
        <rFont val="Times New Roman"/>
        <family val="1"/>
      </rPr>
      <t>10</t>
    </r>
  </si>
  <si>
    <r>
      <t xml:space="preserve">AÑO 4 </t>
    </r>
    <r>
      <rPr>
        <sz val="12"/>
        <color theme="7" tint="0.39997558519241921"/>
        <rFont val="Times New Roman"/>
        <family val="1"/>
      </rPr>
      <t>10</t>
    </r>
  </si>
  <si>
    <r>
      <t>AÑO 5</t>
    </r>
    <r>
      <rPr>
        <sz val="12"/>
        <color theme="7" tint="0.39997558519241921"/>
        <rFont val="Times New Roman"/>
        <family val="1"/>
      </rPr>
      <t xml:space="preserve"> 10</t>
    </r>
  </si>
  <si>
    <t xml:space="preserve">COSTO POR UNIDAD DE PRODUCTO (6) </t>
  </si>
  <si>
    <t xml:space="preserve">COSTO POR UNIDAD DE PRODUCTO (7) </t>
  </si>
  <si>
    <t xml:space="preserve">COSTO POR UNIDAD DE PRODUCTO (8) </t>
  </si>
  <si>
    <t xml:space="preserve">COSTO POR UNIDAD DE PRODUCTO (9) </t>
  </si>
  <si>
    <t xml:space="preserve">COSTO POR UNIDAD DE PRODUCTO (10) </t>
  </si>
  <si>
    <r>
      <t xml:space="preserve">UNIDADES PRODUCIDAS </t>
    </r>
    <r>
      <rPr>
        <u/>
        <sz val="12"/>
        <rFont val="Times New Roman"/>
        <family val="1"/>
      </rPr>
      <t>AÑO 1</t>
    </r>
    <r>
      <rPr>
        <sz val="12"/>
        <rFont val="Times New Roman"/>
        <family val="1"/>
      </rPr>
      <t xml:space="preserve"> </t>
    </r>
    <r>
      <rPr>
        <sz val="12"/>
        <color theme="8" tint="0.39997558519241921"/>
        <rFont val="Times New Roman"/>
        <family val="1"/>
      </rPr>
      <t xml:space="preserve">1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</si>
  <si>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</si>
  <si>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1</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</si>
  <si>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 xml:space="preserve">1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</si>
  <si>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</si>
  <si>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 xml:space="preserve">1 </t>
    </r>
  </si>
  <si>
    <r>
      <t xml:space="preserve">CAMBIO PORCENTUAL EN UNIDADES VENDIDAS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</si>
  <si>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</si>
  <si>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</si>
  <si>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</si>
  <si>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 xml:space="preserve">1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</si>
  <si>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1</t>
    </r>
    <r>
      <rPr>
        <sz val="12"/>
        <rFont val="Times New Roman"/>
        <family val="1"/>
      </rPr>
      <t xml:space="preserve"> </t>
    </r>
  </si>
  <si>
    <r>
      <t xml:space="preserve">AÑO 2 </t>
    </r>
    <r>
      <rPr>
        <sz val="12"/>
        <color theme="8" tint="0.39997558519241921"/>
        <rFont val="Times New Roman"/>
        <family val="1"/>
      </rPr>
      <t xml:space="preserve">1 </t>
    </r>
  </si>
  <si>
    <r>
      <t xml:space="preserve">AÑO 3 </t>
    </r>
    <r>
      <rPr>
        <sz val="12"/>
        <color theme="8" tint="0.39997558519241921"/>
        <rFont val="Times New Roman"/>
        <family val="1"/>
      </rPr>
      <t>1</t>
    </r>
    <r>
      <rPr>
        <sz val="12"/>
        <rFont val="Times New Roman"/>
        <family val="1"/>
      </rPr>
      <t xml:space="preserve"> </t>
    </r>
  </si>
  <si>
    <r>
      <t xml:space="preserve">AÑO 4 </t>
    </r>
    <r>
      <rPr>
        <sz val="12"/>
        <color theme="8" tint="0.39997558519241921"/>
        <rFont val="Times New Roman"/>
        <family val="1"/>
      </rPr>
      <t xml:space="preserve">1 </t>
    </r>
  </si>
  <si>
    <r>
      <t xml:space="preserve">AÑO 5 </t>
    </r>
    <r>
      <rPr>
        <sz val="12"/>
        <color theme="8" tint="0.39997558519241921"/>
        <rFont val="Times New Roman"/>
        <family val="1"/>
      </rPr>
      <t xml:space="preserve">1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</si>
  <si>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 xml:space="preserve">2 </t>
    </r>
  </si>
  <si>
    <r>
      <t xml:space="preserve">CAMBIO PORCENTUAL EN UNIDADES VENDIDAS </t>
    </r>
    <r>
      <rPr>
        <u/>
        <sz val="12"/>
        <rFont val="Times New Roman"/>
        <family val="1"/>
      </rPr>
      <t>AÑO 2</t>
    </r>
    <r>
      <rPr>
        <sz val="12"/>
        <color theme="7" tint="0.39997558519241921"/>
        <rFont val="Times New Roman"/>
        <family val="1"/>
      </rPr>
      <t xml:space="preserve"> 2</t>
    </r>
    <r>
      <rPr>
        <sz val="12"/>
        <rFont val="Times New Roman"/>
        <family val="1"/>
      </rPr>
      <t xml:space="preserve"> </t>
    </r>
  </si>
  <si>
    <r>
      <t xml:space="preserve">CANTIDADES A UTILIZAR EN EL </t>
    </r>
    <r>
      <rPr>
        <u/>
        <sz val="12"/>
        <rFont val="Times New Roman"/>
        <family val="1"/>
      </rPr>
      <t>AÑO 2</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</si>
  <si>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</si>
  <si>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EN EL </t>
    </r>
    <r>
      <rPr>
        <u/>
        <sz val="12"/>
        <rFont val="Times New Roman"/>
        <family val="1"/>
      </rPr>
      <t>AÑO 3</t>
    </r>
    <r>
      <rPr>
        <sz val="12"/>
        <rFont val="Times New Roman"/>
        <family val="1"/>
      </rPr>
      <t xml:space="preserve"> </t>
    </r>
    <r>
      <rPr>
        <sz val="12"/>
        <color theme="7" tint="0.39997558519241921"/>
        <rFont val="Times New Roman"/>
        <family val="1"/>
      </rPr>
      <t>2</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</si>
  <si>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</si>
  <si>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3</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</si>
  <si>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</si>
  <si>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2</t>
    </r>
    <r>
      <rPr>
        <sz val="12"/>
        <rFont val="Times New Roman"/>
        <family val="1"/>
      </rPr>
      <t xml:space="preserve"> </t>
    </r>
  </si>
  <si>
    <r>
      <t xml:space="preserve">AÑO 2 </t>
    </r>
    <r>
      <rPr>
        <sz val="12"/>
        <color theme="7" tint="0.39997558519241921"/>
        <rFont val="Times New Roman"/>
        <family val="1"/>
      </rPr>
      <t xml:space="preserve">2 </t>
    </r>
  </si>
  <si>
    <r>
      <t xml:space="preserve">AÑO 3 </t>
    </r>
    <r>
      <rPr>
        <sz val="12"/>
        <color theme="7" tint="0.39997558519241921"/>
        <rFont val="Times New Roman"/>
        <family val="1"/>
      </rPr>
      <t>2</t>
    </r>
    <r>
      <rPr>
        <sz val="12"/>
        <rFont val="Times New Roman"/>
        <family val="1"/>
      </rPr>
      <t xml:space="preserve"> </t>
    </r>
  </si>
  <si>
    <r>
      <t xml:space="preserve">AÑO 4 </t>
    </r>
    <r>
      <rPr>
        <sz val="12"/>
        <color theme="7" tint="0.39997558519241921"/>
        <rFont val="Times New Roman"/>
        <family val="1"/>
      </rPr>
      <t>2</t>
    </r>
    <r>
      <rPr>
        <sz val="12"/>
        <rFont val="Times New Roman"/>
        <family val="1"/>
      </rPr>
      <t xml:space="preserve"> </t>
    </r>
  </si>
  <si>
    <r>
      <t xml:space="preserve">AÑO 5 </t>
    </r>
    <r>
      <rPr>
        <sz val="12"/>
        <color theme="7" tint="0.39997558519241921"/>
        <rFont val="Times New Roman"/>
        <family val="1"/>
      </rPr>
      <t xml:space="preserve">2 </t>
    </r>
  </si>
  <si>
    <r>
      <t xml:space="preserve">CANTIDADES A UTILIZAR </t>
    </r>
    <r>
      <rPr>
        <u/>
        <sz val="12"/>
        <rFont val="Times New Roman"/>
        <family val="1"/>
      </rPr>
      <t>AÑO 5</t>
    </r>
    <r>
      <rPr>
        <sz val="12"/>
        <rFont val="Times New Roman"/>
        <family val="1"/>
      </rPr>
      <t xml:space="preserve"> </t>
    </r>
    <r>
      <rPr>
        <sz val="12"/>
        <color theme="8" tint="0.39997558519241921"/>
        <rFont val="Times New Roman"/>
        <family val="1"/>
      </rPr>
      <t>3</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</si>
  <si>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</si>
  <si>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3</t>
    </r>
    <r>
      <rPr>
        <sz val="12"/>
        <rFont val="Times New Roman"/>
        <family val="1"/>
      </rPr>
      <t xml:space="preserve"> </t>
    </r>
    <r>
      <rPr>
        <sz val="12"/>
        <color theme="8" tint="0.39997558519241921"/>
        <rFont val="Times New Roman"/>
        <family val="1"/>
      </rPr>
      <t xml:space="preserve">3 </t>
    </r>
  </si>
  <si>
    <r>
      <t xml:space="preserve">COSTO UNITARIO </t>
    </r>
    <r>
      <rPr>
        <u/>
        <sz val="12"/>
        <rFont val="Times New Roman"/>
        <family val="1"/>
      </rPr>
      <t>AÑO 4</t>
    </r>
    <r>
      <rPr>
        <sz val="12"/>
        <rFont val="Times New Roman"/>
        <family val="1"/>
      </rPr>
      <t xml:space="preserve"> </t>
    </r>
    <r>
      <rPr>
        <sz val="12"/>
        <color theme="8" tint="0.39997558519241921"/>
        <rFont val="Times New Roman"/>
        <family val="1"/>
      </rPr>
      <t>3</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</si>
  <si>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 xml:space="preserve">3 </t>
    </r>
  </si>
  <si>
    <r>
      <t xml:space="preserve">AÑO 3 </t>
    </r>
    <r>
      <rPr>
        <sz val="12"/>
        <color theme="8" tint="0.39997558519241921"/>
        <rFont val="Times New Roman"/>
        <family val="1"/>
      </rPr>
      <t>3</t>
    </r>
    <r>
      <rPr>
        <sz val="12"/>
        <rFont val="Times New Roman"/>
        <family val="1"/>
      </rPr>
      <t xml:space="preserve"> </t>
    </r>
  </si>
  <si>
    <r>
      <t xml:space="preserve">AÑO 4 </t>
    </r>
    <r>
      <rPr>
        <sz val="12"/>
        <color theme="8" tint="0.39997558519241921"/>
        <rFont val="Times New Roman"/>
        <family val="1"/>
      </rPr>
      <t xml:space="preserve">3 </t>
    </r>
  </si>
  <si>
    <r>
      <t xml:space="preserve">AÑO 5 </t>
    </r>
    <r>
      <rPr>
        <sz val="12"/>
        <color theme="8" tint="0.39997558519241921"/>
        <rFont val="Times New Roman"/>
        <family val="1"/>
      </rPr>
      <t>3</t>
    </r>
    <r>
      <rPr>
        <sz val="12"/>
        <rFont val="Times New Roman"/>
        <family val="1"/>
      </rPr>
      <t xml:space="preserve"> </t>
    </r>
  </si>
  <si>
    <r>
      <t>UNIDADES PRODUCIDAS</t>
    </r>
    <r>
      <rPr>
        <u/>
        <sz val="12"/>
        <rFont val="Times New Roman"/>
        <family val="1"/>
      </rPr>
      <t xml:space="preserve"> AÑO 1</t>
    </r>
    <r>
      <rPr>
        <sz val="12"/>
        <rFont val="Times New Roman"/>
        <family val="1"/>
      </rPr>
      <t xml:space="preserve"> </t>
    </r>
    <r>
      <rPr>
        <sz val="12"/>
        <color theme="7" tint="0.39997558519241921"/>
        <rFont val="Times New Roman"/>
        <family val="1"/>
      </rPr>
      <t>4</t>
    </r>
  </si>
  <si>
    <r>
      <t xml:space="preserve">CANTIDADES A UTILIZAR EN EL </t>
    </r>
    <r>
      <rPr>
        <u/>
        <sz val="12"/>
        <rFont val="Times New Roman"/>
        <family val="1"/>
      </rPr>
      <t>AÑO 2</t>
    </r>
    <r>
      <rPr>
        <sz val="12"/>
        <color theme="7" tint="0.39997558519241921"/>
        <rFont val="Times New Roman"/>
        <family val="1"/>
      </rPr>
      <t xml:space="preserve"> 4</t>
    </r>
  </si>
  <si>
    <r>
      <t xml:space="preserve">CANTIDADES A UTILIZAR EN EL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</si>
  <si>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CAMBIO PORCENTUAL EN UNIDADES VENDIDAS </t>
    </r>
    <r>
      <rPr>
        <u/>
        <sz val="12"/>
        <rFont val="Times New Roman"/>
        <family val="1"/>
      </rPr>
      <t>AÑO 4</t>
    </r>
    <r>
      <rPr>
        <sz val="12"/>
        <color theme="7" tint="0.39997558519241921"/>
        <rFont val="Times New Roman"/>
        <family val="1"/>
      </rPr>
      <t xml:space="preserve"> 4 </t>
    </r>
  </si>
  <si>
    <r>
      <t xml:space="preserve">CANTIDADES A UTILIZAR EN EL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</si>
  <si>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CAMBIO PORCENTUAL EN UNIDADES VENDIDAS </t>
    </r>
    <r>
      <rPr>
        <u/>
        <sz val="12"/>
        <rFont val="Times New Roman"/>
        <family val="1"/>
      </rPr>
      <t>AÑO 5</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</si>
  <si>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2</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</si>
  <si>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3</t>
    </r>
    <r>
      <rPr>
        <sz val="12"/>
        <color theme="7" tint="0.39997558519241921"/>
        <rFont val="Times New Roman"/>
        <family val="1"/>
      </rPr>
      <t xml:space="preserve"> 4</t>
    </r>
    <r>
      <rPr>
        <sz val="12"/>
        <rFont val="Times New Roman"/>
        <family val="1"/>
      </rPr>
      <t xml:space="preserve"> </t>
    </r>
  </si>
  <si>
    <r>
      <t xml:space="preserve">COSTO UNITARIO </t>
    </r>
    <r>
      <rPr>
        <u/>
        <sz val="12"/>
        <rFont val="Times New Roman"/>
        <family val="1"/>
      </rPr>
      <t>AÑO 4</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</si>
  <si>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7" tint="0.39997558519241921"/>
        <rFont val="Times New Roman"/>
        <family val="1"/>
      </rPr>
      <t>4</t>
    </r>
    <r>
      <rPr>
        <sz val="12"/>
        <rFont val="Times New Roman"/>
        <family val="1"/>
      </rPr>
      <t xml:space="preserve"> </t>
    </r>
  </si>
  <si>
    <r>
      <t xml:space="preserve">AÑO 1 </t>
    </r>
    <r>
      <rPr>
        <sz val="12"/>
        <color theme="7" tint="0.39997558519241921"/>
        <rFont val="Times New Roman"/>
        <family val="1"/>
      </rPr>
      <t>4</t>
    </r>
    <r>
      <rPr>
        <sz val="12"/>
        <rFont val="Times New Roman"/>
        <family val="1"/>
      </rPr>
      <t xml:space="preserve"> </t>
    </r>
  </si>
  <si>
    <r>
      <t xml:space="preserve">AÑO 2 </t>
    </r>
    <r>
      <rPr>
        <sz val="12"/>
        <color theme="7" tint="0.39997558519241921"/>
        <rFont val="Times New Roman"/>
        <family val="1"/>
      </rPr>
      <t>4</t>
    </r>
    <r>
      <rPr>
        <sz val="12"/>
        <rFont val="Times New Roman"/>
        <family val="1"/>
      </rPr>
      <t xml:space="preserve"> </t>
    </r>
  </si>
  <si>
    <r>
      <t xml:space="preserve">AÑO 3 </t>
    </r>
    <r>
      <rPr>
        <sz val="12"/>
        <color theme="7" tint="0.39997558519241921"/>
        <rFont val="Times New Roman"/>
        <family val="1"/>
      </rPr>
      <t>4</t>
    </r>
    <r>
      <rPr>
        <sz val="12"/>
        <rFont val="Times New Roman"/>
        <family val="1"/>
      </rPr>
      <t xml:space="preserve"> </t>
    </r>
  </si>
  <si>
    <r>
      <t xml:space="preserve">AÑO 5 </t>
    </r>
    <r>
      <rPr>
        <sz val="12"/>
        <color theme="7" tint="0.39997558519241921"/>
        <rFont val="Times New Roman"/>
        <family val="1"/>
      </rPr>
      <t xml:space="preserve">4 </t>
    </r>
  </si>
  <si>
    <r>
      <t xml:space="preserve">CAMBIO PORCENTUAL EN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5 </t>
    </r>
  </si>
  <si>
    <r>
      <t xml:space="preserve">CAMBIO PORCENTUAL EN UNIDADES VENDIDAS </t>
    </r>
    <r>
      <rPr>
        <u/>
        <sz val="12"/>
        <rFont val="Times New Roman"/>
        <family val="1"/>
      </rPr>
      <t xml:space="preserve">AÑO </t>
    </r>
    <r>
      <rPr>
        <sz val="12"/>
        <rFont val="Times New Roman"/>
        <family val="1"/>
      </rPr>
      <t>3</t>
    </r>
    <r>
      <rPr>
        <sz val="12"/>
        <color theme="8" tint="0.39997558519241921"/>
        <rFont val="Times New Roman"/>
        <family val="1"/>
      </rPr>
      <t xml:space="preserve"> 5</t>
    </r>
    <r>
      <rPr>
        <sz val="12"/>
        <rFont val="Times New Roman"/>
        <family val="1"/>
      </rPr>
      <t xml:space="preserve"> </t>
    </r>
  </si>
  <si>
    <r>
      <t xml:space="preserve">CANTIDADES A UTILIZAR EN EL </t>
    </r>
    <r>
      <rPr>
        <u/>
        <sz val="12"/>
        <rFont val="Times New Roman"/>
        <family val="1"/>
      </rPr>
      <t>AÑO 3</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</si>
  <si>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CAMBIO PORCENTUAL EN UNIDADES VENDIDAS </t>
    </r>
    <r>
      <rPr>
        <u/>
        <sz val="12"/>
        <rFont val="Times New Roman"/>
        <family val="1"/>
      </rPr>
      <t>AÑO 4</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</si>
  <si>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CANTIDADES A UTILIZAR EN EL </t>
    </r>
    <r>
      <rPr>
        <u/>
        <sz val="12"/>
        <rFont val="Times New Roman"/>
        <family val="1"/>
      </rPr>
      <t xml:space="preserve">AÑO 4 </t>
    </r>
    <r>
      <rPr>
        <sz val="12"/>
        <color theme="8" tint="0.39997558519241921"/>
        <rFont val="Times New Roman"/>
        <family val="1"/>
      </rPr>
      <t>5</t>
    </r>
    <r>
      <rPr>
        <sz val="12"/>
        <rFont val="Times New Roman"/>
        <family val="1"/>
      </rPr>
      <t xml:space="preserve"> </t>
    </r>
  </si>
  <si>
    <r>
      <t xml:space="preserve">CANTIDADES A UTILIZAR </t>
    </r>
    <r>
      <rPr>
        <u/>
        <sz val="12"/>
        <rFont val="Times New Roman"/>
        <family val="1"/>
      </rPr>
      <t xml:space="preserve">AÑO </t>
    </r>
    <r>
      <rPr>
        <sz val="12"/>
        <rFont val="Times New Roman"/>
        <family val="1"/>
      </rPr>
      <t>5</t>
    </r>
    <r>
      <rPr>
        <sz val="12"/>
        <color theme="8" tint="0.39997558519241921"/>
        <rFont val="Times New Roman"/>
        <family val="1"/>
      </rPr>
      <t xml:space="preserve"> 5</t>
    </r>
    <r>
      <rPr>
        <sz val="12"/>
        <rFont val="Times New Roman"/>
        <family val="1"/>
      </rPr>
      <t xml:space="preserve"> </t>
    </r>
  </si>
  <si>
    <r>
      <t xml:space="preserve">COSTO UNITARIO </t>
    </r>
    <r>
      <rPr>
        <u/>
        <sz val="12"/>
        <rFont val="Times New Roman"/>
        <family val="1"/>
      </rPr>
      <t>AÑO 5</t>
    </r>
    <r>
      <rPr>
        <sz val="12"/>
        <rFont val="Times New Roman"/>
        <family val="1"/>
      </rPr>
      <t xml:space="preserve"> </t>
    </r>
    <r>
      <rPr>
        <sz val="12"/>
        <color theme="8" tint="0.39997558519241921"/>
        <rFont val="Times New Roman"/>
        <family val="1"/>
      </rPr>
      <t>5</t>
    </r>
    <r>
      <rPr>
        <sz val="12"/>
        <rFont val="Times New Roman"/>
        <family val="1"/>
      </rPr>
      <t xml:space="preserve"> </t>
    </r>
  </si>
  <si>
    <r>
      <t xml:space="preserve">AÑO 3 </t>
    </r>
    <r>
      <rPr>
        <sz val="12"/>
        <color theme="8" tint="0.39997558519241921"/>
        <rFont val="Times New Roman"/>
        <family val="1"/>
      </rPr>
      <t>5</t>
    </r>
  </si>
  <si>
    <r>
      <t xml:space="preserve">CANTIDADES A UTILIZAR EN EL </t>
    </r>
    <r>
      <rPr>
        <u/>
        <sz val="12"/>
        <rFont val="Times New Roman"/>
        <family val="1"/>
      </rPr>
      <t>AÑO 1</t>
    </r>
    <r>
      <rPr>
        <sz val="12"/>
        <color theme="7" tint="0.39997558519241921"/>
        <rFont val="Times New Roman"/>
        <family val="1"/>
      </rPr>
      <t xml:space="preserve"> 6</t>
    </r>
  </si>
  <si>
    <r>
      <t xml:space="preserve">CANTIDADES A UTILIZAR EN EL </t>
    </r>
    <r>
      <rPr>
        <u/>
        <sz val="12"/>
        <rFont val="Times New Roman"/>
        <family val="1"/>
      </rPr>
      <t>AÑO 3</t>
    </r>
    <r>
      <rPr>
        <sz val="12"/>
        <color theme="7" tint="0.39997558519241921"/>
        <rFont val="Times New Roman"/>
        <family val="1"/>
      </rPr>
      <t xml:space="preserve"> 6</t>
    </r>
  </si>
  <si>
    <r>
      <t xml:space="preserve">CANTIDADES A UTILIZAR </t>
    </r>
    <r>
      <rPr>
        <u/>
        <sz val="12"/>
        <rFont val="Times New Roman"/>
        <family val="1"/>
      </rPr>
      <t>AÑO 5</t>
    </r>
    <r>
      <rPr>
        <sz val="12"/>
        <color theme="7" tint="0.39997558519241921"/>
        <rFont val="Times New Roman"/>
        <family val="1"/>
      </rPr>
      <t xml:space="preserve"> 6</t>
    </r>
  </si>
  <si>
    <r>
      <t xml:space="preserve">COSTO UNITARIO </t>
    </r>
    <r>
      <rPr>
        <u/>
        <sz val="12"/>
        <rFont val="Times New Roman"/>
        <family val="1"/>
      </rPr>
      <t>AÑO 4</t>
    </r>
    <r>
      <rPr>
        <sz val="12"/>
        <color theme="7" tint="0.39997558519241921"/>
        <rFont val="Times New Roman"/>
        <family val="1"/>
      </rPr>
      <t xml:space="preserve"> 6</t>
    </r>
  </si>
  <si>
    <r>
      <t>AÑO 1</t>
    </r>
    <r>
      <rPr>
        <sz val="12"/>
        <color theme="7" tint="0.39997558519241921"/>
        <rFont val="Times New Roman"/>
        <family val="1"/>
      </rPr>
      <t xml:space="preserve"> 6</t>
    </r>
  </si>
  <si>
    <r>
      <t>AÑO 3</t>
    </r>
    <r>
      <rPr>
        <sz val="12"/>
        <color theme="7" tint="0.39997558519241921"/>
        <rFont val="Times New Roman"/>
        <family val="1"/>
      </rPr>
      <t xml:space="preserve"> 6</t>
    </r>
  </si>
  <si>
    <r>
      <t xml:space="preserve">CAMBIO PORCENTUAL EN UNIDADES VENDIDAS </t>
    </r>
    <r>
      <rPr>
        <u/>
        <sz val="12"/>
        <rFont val="Times New Roman"/>
        <family val="1"/>
      </rPr>
      <t>AÑO 3</t>
    </r>
    <r>
      <rPr>
        <sz val="12"/>
        <rFont val="Times New Roman"/>
        <family val="1"/>
      </rPr>
      <t xml:space="preserve"> </t>
    </r>
    <r>
      <rPr>
        <sz val="12"/>
        <color theme="8" tint="0.39997558519241921"/>
        <rFont val="Times New Roman"/>
        <family val="1"/>
      </rPr>
      <t>7</t>
    </r>
  </si>
  <si>
    <r>
      <t xml:space="preserve">CANTIDADES A UTILIZAR EN EL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</si>
  <si>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3</t>
    </r>
    <r>
      <rPr>
        <sz val="12"/>
        <color theme="8" tint="0.39997558519241921"/>
        <rFont val="Times New Roman"/>
        <family val="1"/>
      </rPr>
      <t xml:space="preserve"> 7</t>
    </r>
  </si>
  <si>
    <r>
      <t xml:space="preserve">COSTO UNITARIO </t>
    </r>
    <r>
      <rPr>
        <u/>
        <sz val="12"/>
        <rFont val="Times New Roman"/>
        <family val="1"/>
      </rPr>
      <t>AÑO 4</t>
    </r>
    <r>
      <rPr>
        <sz val="12"/>
        <color theme="8" tint="0.39997558519241921"/>
        <rFont val="Times New Roman"/>
        <family val="1"/>
      </rPr>
      <t xml:space="preserve"> 7</t>
    </r>
  </si>
  <si>
    <r>
      <t>AÑO 1</t>
    </r>
    <r>
      <rPr>
        <sz val="12"/>
        <color theme="8" tint="0.39997558519241921"/>
        <rFont val="Times New Roman"/>
        <family val="1"/>
      </rPr>
      <t xml:space="preserve"> 7</t>
    </r>
  </si>
  <si>
    <r>
      <t xml:space="preserve">CANTIDADES A UTILIZAR EN EL </t>
    </r>
    <r>
      <rPr>
        <u/>
        <sz val="12"/>
        <rFont val="Times New Roman"/>
        <family val="1"/>
      </rPr>
      <t>AÑO 1</t>
    </r>
    <r>
      <rPr>
        <sz val="12"/>
        <color theme="7" tint="0.39997558519241921"/>
        <rFont val="Times New Roman"/>
        <family val="1"/>
      </rPr>
      <t xml:space="preserve"> 8</t>
    </r>
  </si>
  <si>
    <r>
      <t xml:space="preserve">CAMBIO PORCENTUAL EN UNIDADES VENDIDAS </t>
    </r>
    <r>
      <rPr>
        <u/>
        <sz val="12"/>
        <rFont val="Times New Roman"/>
        <family val="1"/>
      </rPr>
      <t xml:space="preserve">AÑO </t>
    </r>
    <r>
      <rPr>
        <sz val="12"/>
        <rFont val="Times New Roman"/>
        <family val="1"/>
      </rPr>
      <t xml:space="preserve">2 </t>
    </r>
    <r>
      <rPr>
        <sz val="12"/>
        <color theme="7" tint="0.39997558519241921"/>
        <rFont val="Times New Roman"/>
        <family val="1"/>
      </rPr>
      <t>8</t>
    </r>
  </si>
  <si>
    <r>
      <t xml:space="preserve">CAMBIO PORCENTUAL EN UNIDADES VENDIDAS </t>
    </r>
    <r>
      <rPr>
        <u/>
        <sz val="12"/>
        <rFont val="Times New Roman"/>
        <family val="1"/>
      </rPr>
      <t>AÑO 3</t>
    </r>
    <r>
      <rPr>
        <sz val="12"/>
        <color theme="7" tint="0.39997558519241921"/>
        <rFont val="Times New Roman"/>
        <family val="1"/>
      </rPr>
      <t xml:space="preserve"> 8</t>
    </r>
  </si>
  <si>
    <r>
      <t>CAMBIO PORCENTUAL EN UNIDADES VENDIDAS</t>
    </r>
    <r>
      <rPr>
        <u/>
        <sz val="12"/>
        <rFont val="Times New Roman"/>
        <family val="1"/>
      </rPr>
      <t xml:space="preserve"> AÑO 5 </t>
    </r>
    <r>
      <rPr>
        <sz val="12"/>
        <color theme="7" tint="0.39997558519241921"/>
        <rFont val="Times New Roman"/>
        <family val="1"/>
      </rPr>
      <t>8</t>
    </r>
  </si>
  <si>
    <r>
      <t>AÑO 5</t>
    </r>
    <r>
      <rPr>
        <sz val="12"/>
        <color theme="7" tint="0.39997558519241921"/>
        <rFont val="Times New Roman"/>
        <family val="1"/>
      </rPr>
      <t xml:space="preserve"> 8</t>
    </r>
  </si>
  <si>
    <r>
      <t xml:space="preserve">CAMBIO PORCENTUAL UNIDADES VENDIDAS </t>
    </r>
    <r>
      <rPr>
        <u/>
        <sz val="12"/>
        <rFont val="Times New Roman"/>
        <family val="1"/>
      </rPr>
      <t>AÑO 2</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</si>
  <si>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2</t>
    </r>
    <r>
      <rPr>
        <sz val="12"/>
        <rFont val="Times New Roman"/>
        <family val="1"/>
      </rPr>
      <t xml:space="preserve"> </t>
    </r>
    <r>
      <rPr>
        <sz val="12"/>
        <color theme="8" tint="0.39997558519241921"/>
        <rFont val="Times New Roman"/>
        <family val="1"/>
      </rPr>
      <t xml:space="preserve">9 </t>
    </r>
  </si>
  <si>
    <r>
      <t>CAMBIO PORCENTUAL EN UNIDADES VENDIDAS</t>
    </r>
    <r>
      <rPr>
        <u/>
        <sz val="12"/>
        <rFont val="Times New Roman"/>
        <family val="1"/>
      </rPr>
      <t xml:space="preserve"> AÑO 3</t>
    </r>
    <r>
      <rPr>
        <sz val="12"/>
        <rFont val="Times New Roman"/>
        <family val="1"/>
      </rPr>
      <t xml:space="preserve"> </t>
    </r>
    <r>
      <rPr>
        <sz val="12"/>
        <color theme="8" tint="0.39997558519241921"/>
        <rFont val="Times New Roman"/>
        <family val="1"/>
      </rPr>
      <t xml:space="preserve">9 </t>
    </r>
  </si>
  <si>
    <r>
      <t xml:space="preserve">CANTIDADES A UTILIZAR EN EL </t>
    </r>
    <r>
      <rPr>
        <u/>
        <sz val="12"/>
        <rFont val="Times New Roman"/>
        <family val="1"/>
      </rPr>
      <t>AÑO 3</t>
    </r>
    <r>
      <rPr>
        <sz val="12"/>
        <color theme="8" tint="0.39997558519241921"/>
        <rFont val="Times New Roman"/>
        <family val="1"/>
      </rPr>
      <t xml:space="preserve"> 9 </t>
    </r>
  </si>
  <si>
    <r>
      <t xml:space="preserve">CANTIDADES A UTILIZAR </t>
    </r>
    <r>
      <rPr>
        <u/>
        <sz val="12"/>
        <rFont val="Times New Roman"/>
        <family val="1"/>
      </rPr>
      <t>AÑO 5</t>
    </r>
    <r>
      <rPr>
        <sz val="12"/>
        <color theme="8" tint="0.39997558519241921"/>
        <rFont val="Times New Roman"/>
        <family val="1"/>
      </rPr>
      <t xml:space="preserve"> 9</t>
    </r>
  </si>
  <si>
    <r>
      <t xml:space="preserve">COSTO UNITARIO </t>
    </r>
    <r>
      <rPr>
        <u/>
        <sz val="12"/>
        <rFont val="Times New Roman"/>
        <family val="1"/>
      </rPr>
      <t>AÑO 2</t>
    </r>
    <r>
      <rPr>
        <sz val="12"/>
        <color theme="8" tint="0.39997558519241921"/>
        <rFont val="Times New Roman"/>
        <family val="1"/>
      </rPr>
      <t xml:space="preserve"> 9</t>
    </r>
  </si>
  <si>
    <r>
      <t xml:space="preserve">COSTO UNITARIO </t>
    </r>
    <r>
      <rPr>
        <u/>
        <sz val="12"/>
        <rFont val="Times New Roman"/>
        <family val="1"/>
      </rPr>
      <t xml:space="preserve">AÑO 3 </t>
    </r>
    <r>
      <rPr>
        <sz val="12"/>
        <color theme="8" tint="0.39997558519241921"/>
        <rFont val="Times New Roman"/>
        <family val="1"/>
      </rPr>
      <t>9</t>
    </r>
  </si>
  <si>
    <r>
      <t xml:space="preserve">COSTO UNITARIO </t>
    </r>
    <r>
      <rPr>
        <u/>
        <sz val="12"/>
        <rFont val="Times New Roman"/>
        <family val="1"/>
      </rPr>
      <t>AÑO 4</t>
    </r>
    <r>
      <rPr>
        <sz val="12"/>
        <color theme="8" tint="0.39997558519241921"/>
        <rFont val="Times New Roman"/>
        <family val="1"/>
      </rPr>
      <t xml:space="preserve"> 9</t>
    </r>
  </si>
  <si>
    <r>
      <t xml:space="preserve">AÑO 1 </t>
    </r>
    <r>
      <rPr>
        <sz val="12"/>
        <color theme="8" tint="0.39997558519241921"/>
        <rFont val="Times New Roman"/>
        <family val="1"/>
      </rPr>
      <t>9</t>
    </r>
    <r>
      <rPr>
        <sz val="12"/>
        <rFont val="Times New Roman"/>
        <family val="1"/>
      </rPr>
      <t xml:space="preserve"> </t>
    </r>
  </si>
  <si>
    <r>
      <t xml:space="preserve">AÑO 2 </t>
    </r>
    <r>
      <rPr>
        <sz val="12"/>
        <color theme="8" tint="0.39997558519241921"/>
        <rFont val="Times New Roman"/>
        <family val="1"/>
      </rPr>
      <t xml:space="preserve">9 </t>
    </r>
  </si>
  <si>
    <r>
      <t xml:space="preserve">UNIDADES PRODUCIDAS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</si>
  <si>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CANTIDADES A UTILIZAR EN EL </t>
    </r>
    <r>
      <rPr>
        <u/>
        <sz val="12"/>
        <rFont val="Times New Roman"/>
        <family val="1"/>
      </rPr>
      <t>AÑO 1</t>
    </r>
    <r>
      <rPr>
        <sz val="12"/>
        <rFont val="Times New Roman"/>
        <family val="1"/>
      </rPr>
      <t xml:space="preserve"> </t>
    </r>
    <r>
      <rPr>
        <sz val="12"/>
        <color theme="7" tint="0.39997558519241921"/>
        <rFont val="Times New Roman"/>
        <family val="1"/>
      </rPr>
      <t>10</t>
    </r>
    <r>
      <rPr>
        <sz val="12"/>
        <rFont val="Times New Roman"/>
        <family val="1"/>
      </rPr>
      <t xml:space="preserve"> </t>
    </r>
  </si>
  <si>
    <r>
      <t xml:space="preserve">CAMBIO PORCENTUAL EN UNIDADES VENDIDAS </t>
    </r>
    <r>
      <rPr>
        <u/>
        <sz val="12"/>
        <rFont val="Times New Roman"/>
        <family val="1"/>
      </rPr>
      <t>AÑO 3</t>
    </r>
    <r>
      <rPr>
        <sz val="12"/>
        <rFont val="Times New Roman"/>
        <family val="1"/>
      </rPr>
      <t xml:space="preserve"> </t>
    </r>
    <r>
      <rPr>
        <sz val="12"/>
        <color theme="7" tint="0.39997558519241921"/>
        <rFont val="Times New Roman"/>
        <family val="1"/>
      </rPr>
      <t xml:space="preserve">10 </t>
    </r>
  </si>
  <si>
    <r>
      <t xml:space="preserve">CAMBIO PORCENTUAL EN UNIDADES VENDIDAS </t>
    </r>
    <r>
      <rPr>
        <u/>
        <sz val="12"/>
        <rFont val="Times New Roman"/>
        <family val="1"/>
      </rPr>
      <t xml:space="preserve">AÑO 4 </t>
    </r>
    <r>
      <rPr>
        <sz val="12"/>
        <color theme="7" tint="0.39997558519241921"/>
        <rFont val="Times New Roman"/>
        <family val="1"/>
      </rPr>
      <t xml:space="preserve">10 </t>
    </r>
  </si>
  <si>
    <r>
      <t xml:space="preserve">CAMBIO PORCENTUAL EN UNIDADES VENDIDAS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</si>
  <si>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CANTIDADES A UTILIZAR </t>
    </r>
    <r>
      <rPr>
        <u/>
        <sz val="12"/>
        <rFont val="Times New Roman"/>
        <family val="1"/>
      </rPr>
      <t>AÑO 5</t>
    </r>
    <r>
      <rPr>
        <sz val="12"/>
        <rFont val="Times New Roman"/>
        <family val="1"/>
      </rPr>
      <t xml:space="preserve"> </t>
    </r>
    <r>
      <rPr>
        <sz val="12"/>
        <color theme="7" tint="0.39997558519241921"/>
        <rFont val="Times New Roman"/>
        <family val="1"/>
      </rPr>
      <t xml:space="preserve">10 </t>
    </r>
  </si>
  <si>
    <r>
      <t xml:space="preserve">COSTO UNITARIO </t>
    </r>
    <r>
      <rPr>
        <u/>
        <sz val="12"/>
        <rFont val="Times New Roman"/>
        <family val="1"/>
      </rPr>
      <t>AÑO 2</t>
    </r>
    <r>
      <rPr>
        <sz val="12"/>
        <color theme="7" tint="0.39997558519241921"/>
        <rFont val="Times New Roman"/>
        <family val="1"/>
      </rPr>
      <t xml:space="preserve"> 10 </t>
    </r>
  </si>
  <si>
    <r>
      <t>COSTO UNITARIO</t>
    </r>
    <r>
      <rPr>
        <u/>
        <sz val="12"/>
        <rFont val="Times New Roman"/>
        <family val="1"/>
      </rPr>
      <t xml:space="preserve"> AÑO 3</t>
    </r>
    <r>
      <rPr>
        <sz val="12"/>
        <rFont val="Times New Roman"/>
        <family val="1"/>
      </rPr>
      <t xml:space="preserve"> </t>
    </r>
    <r>
      <rPr>
        <sz val="12"/>
        <color theme="7" tint="0.39997558519241921"/>
        <rFont val="Times New Roman"/>
        <family val="1"/>
      </rPr>
      <t xml:space="preserve">10 </t>
    </r>
  </si>
  <si>
    <r>
      <t xml:space="preserve">AÑO 2 </t>
    </r>
    <r>
      <rPr>
        <sz val="12"/>
        <color theme="7" tint="0.39997558519241921"/>
        <rFont val="Times New Roman"/>
        <family val="1"/>
      </rPr>
      <t xml:space="preserve">10 </t>
    </r>
  </si>
  <si>
    <r>
      <t xml:space="preserve">AÑO 3 </t>
    </r>
    <r>
      <rPr>
        <sz val="12"/>
        <color theme="7" tint="0.39997558519241921"/>
        <rFont val="Times New Roman"/>
        <family val="1"/>
      </rPr>
      <t xml:space="preserve">10 </t>
    </r>
  </si>
  <si>
    <t xml:space="preserve">AÑO 1 </t>
  </si>
  <si>
    <t xml:space="preserve">AÑO 2 </t>
  </si>
  <si>
    <t>TOTAL COSTOS INDIRECTOS</t>
  </si>
  <si>
    <r>
      <t xml:space="preserve">AÑO 1 </t>
    </r>
    <r>
      <rPr>
        <sz val="12"/>
        <color rgb="FF007D8A"/>
        <rFont val="Times New Roman"/>
        <family val="1"/>
      </rPr>
      <t>2</t>
    </r>
  </si>
  <si>
    <r>
      <t xml:space="preserve">AÑO 2 </t>
    </r>
    <r>
      <rPr>
        <sz val="12"/>
        <color rgb="FF007D8A"/>
        <rFont val="Times New Roman"/>
        <family val="1"/>
      </rPr>
      <t>2</t>
    </r>
  </si>
  <si>
    <r>
      <t xml:space="preserve">AÑO 3 </t>
    </r>
    <r>
      <rPr>
        <sz val="12"/>
        <color rgb="FF007D8A"/>
        <rFont val="Times New Roman"/>
        <family val="1"/>
      </rPr>
      <t>2</t>
    </r>
  </si>
  <si>
    <r>
      <t xml:space="preserve">AÑO 4 </t>
    </r>
    <r>
      <rPr>
        <sz val="12"/>
        <color rgb="FF007D8A"/>
        <rFont val="Times New Roman"/>
        <family val="1"/>
      </rPr>
      <t>2</t>
    </r>
  </si>
  <si>
    <r>
      <t xml:space="preserve">AÑO 5 </t>
    </r>
    <r>
      <rPr>
        <sz val="12"/>
        <color rgb="FF007D8A"/>
        <rFont val="Times New Roman"/>
        <family val="1"/>
      </rPr>
      <t>2</t>
    </r>
  </si>
  <si>
    <r>
      <t xml:space="preserve">AÑO 1 </t>
    </r>
    <r>
      <rPr>
        <sz val="12"/>
        <color rgb="FF007D8A"/>
        <rFont val="Times New Roman"/>
        <family val="1"/>
      </rPr>
      <t>3</t>
    </r>
  </si>
  <si>
    <r>
      <t xml:space="preserve">AÑO 2 </t>
    </r>
    <r>
      <rPr>
        <sz val="12"/>
        <color rgb="FF007D8A"/>
        <rFont val="Times New Roman"/>
        <family val="1"/>
      </rPr>
      <t>3</t>
    </r>
  </si>
  <si>
    <r>
      <t>AÑO 3</t>
    </r>
    <r>
      <rPr>
        <sz val="12"/>
        <color rgb="FF007D8A"/>
        <rFont val="Times New Roman"/>
        <family val="1"/>
      </rPr>
      <t xml:space="preserve"> 3</t>
    </r>
  </si>
  <si>
    <r>
      <t xml:space="preserve">AÑO 4 </t>
    </r>
    <r>
      <rPr>
        <sz val="12"/>
        <color rgb="FF007D8A"/>
        <rFont val="Times New Roman"/>
        <family val="1"/>
      </rPr>
      <t>3</t>
    </r>
    <r>
      <rPr>
        <sz val="12"/>
        <color theme="0"/>
        <rFont val="Times New Roman"/>
        <family val="1"/>
      </rPr>
      <t xml:space="preserve"> </t>
    </r>
  </si>
  <si>
    <t>SUBTOTAL</t>
  </si>
  <si>
    <r>
      <t xml:space="preserve">AÑO 1 </t>
    </r>
    <r>
      <rPr>
        <b/>
        <sz val="12"/>
        <color theme="6" tint="0.39997558519241921"/>
        <rFont val="Times New Roman"/>
        <family val="1"/>
      </rPr>
      <t>21</t>
    </r>
  </si>
  <si>
    <r>
      <t xml:space="preserve">AÑO 2 </t>
    </r>
    <r>
      <rPr>
        <b/>
        <sz val="12"/>
        <color theme="6" tint="0.39997558519241921"/>
        <rFont val="Times New Roman"/>
        <family val="1"/>
      </rPr>
      <t>21</t>
    </r>
  </si>
  <si>
    <r>
      <t xml:space="preserve">AÑO 3 </t>
    </r>
    <r>
      <rPr>
        <b/>
        <sz val="12"/>
        <color theme="6" tint="0.39997558519241921"/>
        <rFont val="Times New Roman"/>
        <family val="1"/>
      </rPr>
      <t>21</t>
    </r>
  </si>
  <si>
    <r>
      <t xml:space="preserve">AÑO 4 </t>
    </r>
    <r>
      <rPr>
        <b/>
        <sz val="12"/>
        <color theme="6" tint="0.39997558519241921"/>
        <rFont val="Times New Roman"/>
        <family val="1"/>
      </rPr>
      <t>21</t>
    </r>
  </si>
  <si>
    <r>
      <t>AÑO 5</t>
    </r>
    <r>
      <rPr>
        <b/>
        <sz val="12"/>
        <color theme="6" tint="0.39997558519241921"/>
        <rFont val="Times New Roman"/>
        <family val="1"/>
      </rPr>
      <t xml:space="preserve"> 21</t>
    </r>
  </si>
  <si>
    <r>
      <t xml:space="preserve">AÑO 1 </t>
    </r>
    <r>
      <rPr>
        <sz val="12"/>
        <color theme="6" tint="0.39997558519241921"/>
        <rFont val="Times New Roman"/>
        <family val="1"/>
      </rPr>
      <t>11</t>
    </r>
  </si>
  <si>
    <r>
      <t xml:space="preserve">AÑO 2 </t>
    </r>
    <r>
      <rPr>
        <sz val="12"/>
        <color theme="6" tint="0.39997558519241921"/>
        <rFont val="Times New Roman"/>
        <family val="1"/>
      </rPr>
      <t>11</t>
    </r>
  </si>
  <si>
    <r>
      <t xml:space="preserve">AÑO 3 </t>
    </r>
    <r>
      <rPr>
        <sz val="12"/>
        <color theme="6" tint="0.39997558519241921"/>
        <rFont val="Times New Roman"/>
        <family val="1"/>
      </rPr>
      <t>11</t>
    </r>
  </si>
  <si>
    <r>
      <t xml:space="preserve">AÑO 5 </t>
    </r>
    <r>
      <rPr>
        <sz val="12"/>
        <color theme="6" tint="0.39997558519241921"/>
        <rFont val="Times New Roman"/>
        <family val="1"/>
      </rPr>
      <t>11</t>
    </r>
  </si>
  <si>
    <r>
      <t xml:space="preserve">AÑO 4 </t>
    </r>
    <r>
      <rPr>
        <b/>
        <sz val="12"/>
        <color theme="6" tint="0.39997558519241921"/>
        <rFont val="Times New Roman"/>
        <family val="1"/>
      </rPr>
      <t xml:space="preserve">11 </t>
    </r>
  </si>
  <si>
    <r>
      <t xml:space="preserve">AÑO 1 </t>
    </r>
    <r>
      <rPr>
        <b/>
        <sz val="12"/>
        <color theme="6" tint="0.39997558519241921"/>
        <rFont val="Times New Roman"/>
        <family val="1"/>
      </rPr>
      <t>11</t>
    </r>
  </si>
  <si>
    <r>
      <t>AÑO 2</t>
    </r>
    <r>
      <rPr>
        <b/>
        <sz val="12"/>
        <color theme="6" tint="0.39997558519241921"/>
        <rFont val="Times New Roman"/>
        <family val="1"/>
      </rPr>
      <t xml:space="preserve"> 11</t>
    </r>
  </si>
  <si>
    <r>
      <t xml:space="preserve">AÑO 3 </t>
    </r>
    <r>
      <rPr>
        <b/>
        <sz val="12"/>
        <color theme="6" tint="0.39997558519241921"/>
        <rFont val="Times New Roman"/>
        <family val="1"/>
      </rPr>
      <t>11</t>
    </r>
  </si>
  <si>
    <r>
      <t xml:space="preserve">AÑO 5 </t>
    </r>
    <r>
      <rPr>
        <b/>
        <sz val="12"/>
        <color theme="6" tint="0.39997558519241921"/>
        <rFont val="Times New Roman"/>
        <family val="1"/>
      </rPr>
      <t xml:space="preserve">11 </t>
    </r>
  </si>
  <si>
    <r>
      <t xml:space="preserve">AÑO 5 </t>
    </r>
    <r>
      <rPr>
        <sz val="12"/>
        <color rgb="FF007D8A"/>
        <rFont val="Times New Roman"/>
        <family val="1"/>
      </rPr>
      <t>3</t>
    </r>
  </si>
  <si>
    <r>
      <t>AÑO 1</t>
    </r>
    <r>
      <rPr>
        <sz val="12"/>
        <color rgb="FF007D8A"/>
        <rFont val="Times New Roman"/>
        <family val="1"/>
      </rPr>
      <t xml:space="preserve"> 4</t>
    </r>
  </si>
  <si>
    <r>
      <t xml:space="preserve">AÑO 2 </t>
    </r>
    <r>
      <rPr>
        <sz val="12"/>
        <color rgb="FF007D8A"/>
        <rFont val="Times New Roman"/>
        <family val="1"/>
      </rPr>
      <t>4</t>
    </r>
  </si>
  <si>
    <r>
      <t xml:space="preserve">AÑO 3 </t>
    </r>
    <r>
      <rPr>
        <sz val="12"/>
        <color rgb="FF007D8A"/>
        <rFont val="Times New Roman"/>
        <family val="1"/>
      </rPr>
      <t>4</t>
    </r>
  </si>
  <si>
    <r>
      <t xml:space="preserve">AÑO 4 </t>
    </r>
    <r>
      <rPr>
        <sz val="12"/>
        <color rgb="FF007D8A"/>
        <rFont val="Times New Roman"/>
        <family val="1"/>
      </rPr>
      <t xml:space="preserve">4 </t>
    </r>
  </si>
  <si>
    <r>
      <t xml:space="preserve">AÑO 5 </t>
    </r>
    <r>
      <rPr>
        <sz val="12"/>
        <color rgb="FF007D8A"/>
        <rFont val="Times New Roman"/>
        <family val="1"/>
      </rPr>
      <t>4</t>
    </r>
  </si>
  <si>
    <r>
      <rPr>
        <i/>
        <sz val="12"/>
        <rFont val="Times New Roman"/>
        <family val="1"/>
      </rPr>
      <t xml:space="preserve">CANTIDADES A UTILIZAR EN EL </t>
    </r>
    <r>
      <rPr>
        <i/>
        <u/>
        <sz val="12"/>
        <rFont val="Times New Roman"/>
        <family val="1"/>
      </rPr>
      <t>AÑO 1</t>
    </r>
  </si>
  <si>
    <r>
      <rPr>
        <i/>
        <sz val="12"/>
        <rFont val="Times New Roman"/>
        <family val="1"/>
      </rPr>
      <t xml:space="preserve">CANTIDADES A UTILIZAR EN EL </t>
    </r>
    <r>
      <rPr>
        <i/>
        <u/>
        <sz val="12"/>
        <rFont val="Times New Roman"/>
        <family val="1"/>
      </rPr>
      <t>AÑO 2</t>
    </r>
  </si>
  <si>
    <r>
      <rPr>
        <i/>
        <sz val="12"/>
        <rFont val="Times New Roman"/>
        <family val="1"/>
      </rPr>
      <t xml:space="preserve">CANTIDADES A UTILIZAR EN EL </t>
    </r>
    <r>
      <rPr>
        <i/>
        <u/>
        <sz val="12"/>
        <rFont val="Times New Roman"/>
        <family val="1"/>
      </rPr>
      <t>AÑO 3</t>
    </r>
  </si>
  <si>
    <r>
      <rPr>
        <i/>
        <sz val="12"/>
        <rFont val="Times New Roman"/>
        <family val="1"/>
      </rPr>
      <t xml:space="preserve">CANTIDADES A UTILIZAR EN EL </t>
    </r>
    <r>
      <rPr>
        <i/>
        <u/>
        <sz val="12"/>
        <rFont val="Times New Roman"/>
        <family val="1"/>
      </rPr>
      <t>AÑO 4</t>
    </r>
  </si>
  <si>
    <r>
      <rPr>
        <i/>
        <sz val="12"/>
        <rFont val="Times New Roman"/>
        <family val="1"/>
      </rPr>
      <t xml:space="preserve">CANTIDADES A UTILIZAR EN EL </t>
    </r>
    <r>
      <rPr>
        <i/>
        <u/>
        <sz val="12"/>
        <rFont val="Times New Roman"/>
        <family val="1"/>
      </rPr>
      <t>AÑO 5</t>
    </r>
  </si>
  <si>
    <r>
      <t xml:space="preserve">COSTO UNITARIO </t>
    </r>
    <r>
      <rPr>
        <i/>
        <u/>
        <sz val="12"/>
        <rFont val="Times New Roman"/>
        <family val="1"/>
      </rPr>
      <t>AÑO 2</t>
    </r>
  </si>
  <si>
    <r>
      <t xml:space="preserve">COSTO UNITARIO </t>
    </r>
    <r>
      <rPr>
        <i/>
        <u/>
        <sz val="12"/>
        <rFont val="Times New Roman"/>
        <family val="1"/>
      </rPr>
      <t>AÑO 3</t>
    </r>
  </si>
  <si>
    <r>
      <t xml:space="preserve">COSTO UNITARIO </t>
    </r>
    <r>
      <rPr>
        <i/>
        <u/>
        <sz val="12"/>
        <rFont val="Times New Roman"/>
        <family val="1"/>
      </rPr>
      <t>AÑO 4</t>
    </r>
  </si>
  <si>
    <r>
      <t xml:space="preserve">COSTO UNITARIO </t>
    </r>
    <r>
      <rPr>
        <i/>
        <u/>
        <sz val="12"/>
        <rFont val="Times New Roman"/>
        <family val="1"/>
      </rPr>
      <t>AÑO 5</t>
    </r>
  </si>
  <si>
    <r>
      <rPr>
        <i/>
        <sz val="12"/>
        <rFont val="Times New Roman"/>
        <family val="1"/>
      </rPr>
      <t>CANTIDADES A UTILIZAR EN EL</t>
    </r>
    <r>
      <rPr>
        <i/>
        <u/>
        <sz val="12"/>
        <rFont val="Times New Roman"/>
        <family val="1"/>
      </rPr>
      <t xml:space="preserve"> AÑO 1 </t>
    </r>
    <r>
      <rPr>
        <i/>
        <sz val="12"/>
        <color theme="7" tint="0.39997558519241921"/>
        <rFont val="Times New Roman"/>
        <family val="1"/>
      </rPr>
      <t>2</t>
    </r>
  </si>
  <si>
    <r>
      <rPr>
        <i/>
        <sz val="12"/>
        <rFont val="Times New Roman"/>
        <family val="1"/>
      </rPr>
      <t xml:space="preserve">CANTIDADES A UTILIZAR </t>
    </r>
    <r>
      <rPr>
        <i/>
        <u/>
        <sz val="12"/>
        <rFont val="Times New Roman"/>
        <family val="1"/>
      </rPr>
      <t xml:space="preserve">AÑO 5 </t>
    </r>
    <r>
      <rPr>
        <i/>
        <u/>
        <sz val="12"/>
        <color theme="7" tint="0.39997558519241921"/>
        <rFont val="Times New Roman"/>
        <family val="1"/>
      </rPr>
      <t>2</t>
    </r>
  </si>
  <si>
    <r>
      <t xml:space="preserve">CANTIDADES A UTILIZAR </t>
    </r>
    <r>
      <rPr>
        <i/>
        <u/>
        <sz val="12"/>
        <rFont val="Times New Roman"/>
        <family val="1"/>
      </rPr>
      <t xml:space="preserve"> AÑO 4 </t>
    </r>
    <r>
      <rPr>
        <i/>
        <sz val="12"/>
        <color theme="7" tint="0.39997558519241921"/>
        <rFont val="Times New Roman"/>
        <family val="1"/>
      </rPr>
      <t>2</t>
    </r>
  </si>
  <si>
    <r>
      <t xml:space="preserve">CANTIDADES A UTILIZAR  </t>
    </r>
    <r>
      <rPr>
        <i/>
        <u/>
        <sz val="12"/>
        <rFont val="Times New Roman"/>
        <family val="1"/>
      </rPr>
      <t xml:space="preserve">AÑO 3 </t>
    </r>
    <r>
      <rPr>
        <i/>
        <sz val="12"/>
        <color theme="7" tint="0.39997558519241921"/>
        <rFont val="Times New Roman"/>
        <family val="1"/>
      </rPr>
      <t>2</t>
    </r>
  </si>
  <si>
    <r>
      <t xml:space="preserve">CANTIDADES A UTILIZAR  </t>
    </r>
    <r>
      <rPr>
        <i/>
        <u/>
        <sz val="12"/>
        <rFont val="Times New Roman"/>
        <family val="1"/>
      </rPr>
      <t xml:space="preserve">AÑO 2 </t>
    </r>
    <r>
      <rPr>
        <i/>
        <sz val="12"/>
        <color theme="7" tint="0.39997558519241921"/>
        <rFont val="Times New Roman"/>
        <family val="1"/>
      </rPr>
      <t>2</t>
    </r>
  </si>
  <si>
    <r>
      <t xml:space="preserve">COSTO UNITARIO </t>
    </r>
    <r>
      <rPr>
        <i/>
        <u/>
        <sz val="12"/>
        <rFont val="Times New Roman"/>
        <family val="1"/>
      </rPr>
      <t>AÑO 2</t>
    </r>
    <r>
      <rPr>
        <i/>
        <u/>
        <sz val="12"/>
        <color theme="7" tint="0.39997558519241921"/>
        <rFont val="Times New Roman"/>
        <family val="1"/>
      </rPr>
      <t xml:space="preserve"> </t>
    </r>
    <r>
      <rPr>
        <i/>
        <sz val="12"/>
        <color theme="7" tint="0.39997558519241921"/>
        <rFont val="Times New Roman"/>
        <family val="1"/>
      </rPr>
      <t>2</t>
    </r>
  </si>
  <si>
    <r>
      <t xml:space="preserve">COSTO UNITARIO </t>
    </r>
    <r>
      <rPr>
        <i/>
        <u/>
        <sz val="12"/>
        <rFont val="Times New Roman"/>
        <family val="1"/>
      </rPr>
      <t xml:space="preserve">AÑO 3 </t>
    </r>
    <r>
      <rPr>
        <i/>
        <sz val="12"/>
        <color theme="7" tint="0.39997558519241921"/>
        <rFont val="Times New Roman"/>
        <family val="1"/>
      </rPr>
      <t>2</t>
    </r>
  </si>
  <si>
    <r>
      <t xml:space="preserve">COSTO UNITARIO </t>
    </r>
    <r>
      <rPr>
        <i/>
        <u/>
        <sz val="12"/>
        <rFont val="Times New Roman"/>
        <family val="1"/>
      </rPr>
      <t xml:space="preserve">AÑO 4 </t>
    </r>
    <r>
      <rPr>
        <i/>
        <sz val="12"/>
        <color theme="7" tint="0.39997558519241921"/>
        <rFont val="Times New Roman"/>
        <family val="1"/>
      </rPr>
      <t>2</t>
    </r>
  </si>
  <si>
    <r>
      <t xml:space="preserve">COSTO UNITARIO </t>
    </r>
    <r>
      <rPr>
        <i/>
        <u/>
        <sz val="12"/>
        <rFont val="Times New Roman"/>
        <family val="1"/>
      </rPr>
      <t xml:space="preserve">AÑO 5 </t>
    </r>
    <r>
      <rPr>
        <i/>
        <sz val="12"/>
        <color theme="7" tint="0.39997558519241921"/>
        <rFont val="Times New Roman"/>
        <family val="1"/>
      </rPr>
      <t>2</t>
    </r>
  </si>
  <si>
    <r>
      <t xml:space="preserve">AÑO 1 </t>
    </r>
    <r>
      <rPr>
        <i/>
        <sz val="12"/>
        <color theme="7" tint="0.39997558519241921"/>
        <rFont val="Times New Roman"/>
        <family val="1"/>
      </rPr>
      <t>2</t>
    </r>
  </si>
  <si>
    <r>
      <t xml:space="preserve">AÑO 2 </t>
    </r>
    <r>
      <rPr>
        <i/>
        <sz val="12"/>
        <color theme="7" tint="0.39997558519241921"/>
        <rFont val="Times New Roman"/>
        <family val="1"/>
      </rPr>
      <t>2</t>
    </r>
  </si>
  <si>
    <r>
      <t xml:space="preserve">AÑO 3 </t>
    </r>
    <r>
      <rPr>
        <i/>
        <sz val="12"/>
        <color theme="7" tint="0.39997558519241921"/>
        <rFont val="Times New Roman"/>
        <family val="1"/>
      </rPr>
      <t>2</t>
    </r>
  </si>
  <si>
    <r>
      <t xml:space="preserve">AÑO 4 </t>
    </r>
    <r>
      <rPr>
        <i/>
        <sz val="12"/>
        <color theme="7" tint="0.39997558519241921"/>
        <rFont val="Times New Roman"/>
        <family val="1"/>
      </rPr>
      <t>2</t>
    </r>
  </si>
  <si>
    <r>
      <t xml:space="preserve">AÑO 5 </t>
    </r>
    <r>
      <rPr>
        <i/>
        <sz val="12"/>
        <color theme="7" tint="0.39997558519241921"/>
        <rFont val="Times New Roman"/>
        <family val="1"/>
      </rPr>
      <t>2</t>
    </r>
  </si>
  <si>
    <r>
      <t xml:space="preserve">CANTIDADES A UTILIZAR  </t>
    </r>
    <r>
      <rPr>
        <i/>
        <u/>
        <sz val="12"/>
        <rFont val="Times New Roman"/>
        <family val="1"/>
      </rPr>
      <t xml:space="preserve">AÑO </t>
    </r>
    <r>
      <rPr>
        <i/>
        <sz val="12"/>
        <rFont val="Times New Roman"/>
        <family val="1"/>
      </rPr>
      <t xml:space="preserve">1 </t>
    </r>
    <r>
      <rPr>
        <i/>
        <sz val="12"/>
        <color theme="8" tint="0.39997558519241921"/>
        <rFont val="Times New Roman"/>
        <family val="1"/>
      </rPr>
      <t>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</si>
  <si>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</si>
  <si>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</si>
  <si>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3</t>
    </r>
  </si>
  <si>
    <r>
      <t xml:space="preserve">CANTIDADES A UTILIZAR </t>
    </r>
    <r>
      <rPr>
        <i/>
        <u/>
        <sz val="12"/>
        <rFont val="Times New Roman"/>
        <family val="1"/>
      </rPr>
      <t xml:space="preserve">AÑO 5 </t>
    </r>
    <r>
      <rPr>
        <i/>
        <sz val="12"/>
        <color theme="8" tint="0.39997558519241921"/>
        <rFont val="Times New Roman"/>
        <family val="1"/>
      </rPr>
      <t>3</t>
    </r>
  </si>
  <si>
    <r>
      <t xml:space="preserve">COSTO UNITARIO </t>
    </r>
    <r>
      <rPr>
        <i/>
        <u/>
        <sz val="12"/>
        <rFont val="Times New Roman"/>
        <family val="1"/>
      </rPr>
      <t xml:space="preserve">AÑO 2 </t>
    </r>
    <r>
      <rPr>
        <i/>
        <sz val="12"/>
        <color theme="8" tint="0.39997558519241921"/>
        <rFont val="Times New Roman"/>
        <family val="1"/>
      </rPr>
      <t>3</t>
    </r>
  </si>
  <si>
    <r>
      <t>COSTO UNITARIO</t>
    </r>
    <r>
      <rPr>
        <i/>
        <u/>
        <sz val="12"/>
        <rFont val="Times New Roman"/>
        <family val="1"/>
      </rPr>
      <t xml:space="preserve"> AÑO 3</t>
    </r>
    <r>
      <rPr>
        <i/>
        <sz val="12"/>
        <rFont val="Times New Roman"/>
        <family val="1"/>
      </rPr>
      <t xml:space="preserve"> </t>
    </r>
    <r>
      <rPr>
        <i/>
        <sz val="12"/>
        <color theme="8" tint="0.39997558519241921"/>
        <rFont val="Times New Roman"/>
        <family val="1"/>
      </rPr>
      <t>3</t>
    </r>
  </si>
  <si>
    <r>
      <t xml:space="preserve">COSTO UNITARIO </t>
    </r>
    <r>
      <rPr>
        <i/>
        <u/>
        <sz val="12"/>
        <rFont val="Times New Roman"/>
        <family val="1"/>
      </rPr>
      <t xml:space="preserve">AÑO 4 </t>
    </r>
    <r>
      <rPr>
        <i/>
        <sz val="12"/>
        <color theme="8" tint="0.39997558519241921"/>
        <rFont val="Times New Roman"/>
        <family val="1"/>
      </rPr>
      <t>3</t>
    </r>
  </si>
  <si>
    <r>
      <t xml:space="preserve"> COSTO UNITARIO </t>
    </r>
    <r>
      <rPr>
        <i/>
        <u/>
        <sz val="12"/>
        <rFont val="Times New Roman"/>
        <family val="1"/>
      </rPr>
      <t xml:space="preserve">AÑO 5 </t>
    </r>
    <r>
      <rPr>
        <i/>
        <sz val="12"/>
        <color theme="8" tint="0.39997558519241921"/>
        <rFont val="Times New Roman"/>
        <family val="1"/>
      </rPr>
      <t>3</t>
    </r>
  </si>
  <si>
    <r>
      <t xml:space="preserve">AÑO 1 </t>
    </r>
    <r>
      <rPr>
        <i/>
        <sz val="12"/>
        <color theme="8" tint="0.39997558519241921"/>
        <rFont val="Times New Roman"/>
        <family val="1"/>
      </rPr>
      <t>3</t>
    </r>
  </si>
  <si>
    <r>
      <t xml:space="preserve">AÑO 2 </t>
    </r>
    <r>
      <rPr>
        <i/>
        <sz val="12"/>
        <color theme="8" tint="0.39997558519241921"/>
        <rFont val="Times New Roman"/>
        <family val="1"/>
      </rPr>
      <t>3</t>
    </r>
  </si>
  <si>
    <r>
      <t xml:space="preserve">AÑO 3 </t>
    </r>
    <r>
      <rPr>
        <i/>
        <sz val="12"/>
        <color theme="8" tint="0.39997558519241921"/>
        <rFont val="Times New Roman"/>
        <family val="1"/>
      </rPr>
      <t>3</t>
    </r>
  </si>
  <si>
    <r>
      <t xml:space="preserve">AÑO 4 </t>
    </r>
    <r>
      <rPr>
        <i/>
        <sz val="12"/>
        <color theme="8" tint="0.39997558519241921"/>
        <rFont val="Times New Roman"/>
        <family val="1"/>
      </rPr>
      <t>3</t>
    </r>
  </si>
  <si>
    <r>
      <t xml:space="preserve">AÑO 5 </t>
    </r>
    <r>
      <rPr>
        <i/>
        <sz val="12"/>
        <color theme="8" tint="0.39997558519241921"/>
        <rFont val="Times New Roman"/>
        <family val="1"/>
      </rPr>
      <t>3</t>
    </r>
  </si>
  <si>
    <r>
      <t xml:space="preserve">CANTIDADES A UTILIZAR </t>
    </r>
    <r>
      <rPr>
        <i/>
        <u/>
        <sz val="12"/>
        <rFont val="Times New Roman"/>
        <family val="1"/>
      </rPr>
      <t xml:space="preserve"> AÑO 1</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</si>
  <si>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</si>
  <si>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 xml:space="preserve">AÑO 3 </t>
    </r>
    <r>
      <rPr>
        <i/>
        <sz val="12"/>
        <color theme="7" tint="0.39997558519241921"/>
        <rFont val="Times New Roman"/>
        <family val="1"/>
      </rPr>
      <t>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</si>
  <si>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</si>
  <si>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</si>
  <si>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</si>
  <si>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</si>
  <si>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4</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</si>
  <si>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4</t>
    </r>
  </si>
  <si>
    <r>
      <t xml:space="preserve">AÑO 1 </t>
    </r>
    <r>
      <rPr>
        <i/>
        <sz val="12"/>
        <color theme="7" tint="0.39997558519241921"/>
        <rFont val="Times New Roman"/>
        <family val="1"/>
      </rPr>
      <t>4</t>
    </r>
  </si>
  <si>
    <r>
      <t xml:space="preserve">AÑO 2 </t>
    </r>
    <r>
      <rPr>
        <i/>
        <sz val="12"/>
        <color theme="7" tint="0.39997558519241921"/>
        <rFont val="Times New Roman"/>
        <family val="1"/>
      </rPr>
      <t>4</t>
    </r>
  </si>
  <si>
    <r>
      <t xml:space="preserve">AÑO 3 </t>
    </r>
    <r>
      <rPr>
        <i/>
        <sz val="12"/>
        <color theme="7" tint="0.39997558519241921"/>
        <rFont val="Times New Roman"/>
        <family val="1"/>
      </rPr>
      <t>4</t>
    </r>
  </si>
  <si>
    <r>
      <t xml:space="preserve">AÑO 4 </t>
    </r>
    <r>
      <rPr>
        <i/>
        <sz val="12"/>
        <color theme="7" tint="0.39997558519241921"/>
        <rFont val="Times New Roman"/>
        <family val="1"/>
      </rPr>
      <t>4</t>
    </r>
  </si>
  <si>
    <r>
      <t xml:space="preserve">AÑO 5 </t>
    </r>
    <r>
      <rPr>
        <i/>
        <sz val="12"/>
        <color theme="7" tint="0.39997558519241921"/>
        <rFont val="Times New Roman"/>
        <family val="1"/>
      </rPr>
      <t>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</si>
  <si>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</si>
  <si>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</si>
  <si>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</si>
  <si>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</si>
  <si>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CANTIDADES A UTILIZAR </t>
    </r>
    <r>
      <rPr>
        <i/>
        <u/>
        <sz val="12"/>
        <rFont val="Times New Roman"/>
        <family val="1"/>
      </rPr>
      <t>AÑO 5</t>
    </r>
    <r>
      <rPr>
        <i/>
        <sz val="12"/>
        <color theme="8" tint="0.39997558519241921"/>
        <rFont val="Times New Roman"/>
        <family val="1"/>
      </rPr>
      <t xml:space="preserve"> 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</si>
  <si>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</si>
  <si>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</si>
  <si>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</si>
  <si>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5 </t>
    </r>
  </si>
  <si>
    <r>
      <t xml:space="preserve">AÑO 1 </t>
    </r>
    <r>
      <rPr>
        <i/>
        <sz val="12"/>
        <color theme="8" tint="0.39997558519241921"/>
        <rFont val="Times New Roman"/>
        <family val="1"/>
      </rPr>
      <t>5</t>
    </r>
  </si>
  <si>
    <r>
      <t xml:space="preserve">AÑO 2 </t>
    </r>
    <r>
      <rPr>
        <i/>
        <sz val="12"/>
        <color theme="8" tint="0.39997558519241921"/>
        <rFont val="Times New Roman"/>
        <family val="1"/>
      </rPr>
      <t>5</t>
    </r>
  </si>
  <si>
    <r>
      <t xml:space="preserve">AÑO 3 </t>
    </r>
    <r>
      <rPr>
        <i/>
        <sz val="12"/>
        <color theme="8" tint="0.39997558519241921"/>
        <rFont val="Times New Roman"/>
        <family val="1"/>
      </rPr>
      <t>5</t>
    </r>
    <r>
      <rPr>
        <i/>
        <sz val="12"/>
        <rFont val="Times New Roman"/>
        <family val="1"/>
      </rPr>
      <t xml:space="preserve"> </t>
    </r>
  </si>
  <si>
    <r>
      <t xml:space="preserve">AÑO 4 </t>
    </r>
    <r>
      <rPr>
        <i/>
        <sz val="12"/>
        <color theme="8" tint="0.39997558519241921"/>
        <rFont val="Times New Roman"/>
        <family val="1"/>
      </rPr>
      <t>5</t>
    </r>
  </si>
  <si>
    <r>
      <t xml:space="preserve">AÑO 5 </t>
    </r>
    <r>
      <rPr>
        <i/>
        <sz val="12"/>
        <color theme="8" tint="0.39997558519241921"/>
        <rFont val="Times New Roman"/>
        <family val="1"/>
      </rPr>
      <t>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</si>
  <si>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</si>
  <si>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 xml:space="preserve"> AÑO 2</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</si>
  <si>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6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</si>
  <si>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</si>
  <si>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</si>
  <si>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</si>
  <si>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</si>
  <si>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6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</si>
  <si>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6</t>
    </r>
  </si>
  <si>
    <r>
      <t xml:space="preserve">AÑO 1 </t>
    </r>
    <r>
      <rPr>
        <i/>
        <sz val="12"/>
        <color theme="7" tint="0.39997558519241921"/>
        <rFont val="Times New Roman"/>
        <family val="1"/>
      </rPr>
      <t>6</t>
    </r>
  </si>
  <si>
    <r>
      <t xml:space="preserve">AÑO 2 </t>
    </r>
    <r>
      <rPr>
        <i/>
        <sz val="12"/>
        <color theme="7" tint="0.39997558519241921"/>
        <rFont val="Times New Roman"/>
        <family val="1"/>
      </rPr>
      <t>6</t>
    </r>
  </si>
  <si>
    <r>
      <t xml:space="preserve">AÑO 3 </t>
    </r>
    <r>
      <rPr>
        <i/>
        <sz val="12"/>
        <color theme="7" tint="0.39997558519241921"/>
        <rFont val="Times New Roman"/>
        <family val="1"/>
      </rPr>
      <t>6</t>
    </r>
  </si>
  <si>
    <r>
      <t xml:space="preserve">AÑO 4 </t>
    </r>
    <r>
      <rPr>
        <i/>
        <sz val="12"/>
        <color theme="7" tint="0.39997558519241921"/>
        <rFont val="Times New Roman"/>
        <family val="1"/>
      </rPr>
      <t>6</t>
    </r>
  </si>
  <si>
    <r>
      <t xml:space="preserve">AÑO 5 </t>
    </r>
    <r>
      <rPr>
        <i/>
        <sz val="12"/>
        <color theme="7" tint="0.39997558519241921"/>
        <rFont val="Times New Roman"/>
        <family val="1"/>
      </rPr>
      <t>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</si>
  <si>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</si>
  <si>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</si>
  <si>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7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</si>
  <si>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</si>
  <si>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</si>
  <si>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</si>
  <si>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</si>
  <si>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</si>
  <si>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7</t>
    </r>
  </si>
  <si>
    <r>
      <t xml:space="preserve">AÑO 1 </t>
    </r>
    <r>
      <rPr>
        <i/>
        <sz val="12"/>
        <color theme="8" tint="0.39997558519241921"/>
        <rFont val="Times New Roman"/>
        <family val="1"/>
      </rPr>
      <t>7</t>
    </r>
  </si>
  <si>
    <r>
      <t xml:space="preserve">AÑO 2 </t>
    </r>
    <r>
      <rPr>
        <i/>
        <sz val="12"/>
        <color theme="8" tint="0.39997558519241921"/>
        <rFont val="Times New Roman"/>
        <family val="1"/>
      </rPr>
      <t>7</t>
    </r>
  </si>
  <si>
    <r>
      <t xml:space="preserve">AÑO 3 </t>
    </r>
    <r>
      <rPr>
        <i/>
        <sz val="12"/>
        <color theme="8" tint="0.39997558519241921"/>
        <rFont val="Times New Roman"/>
        <family val="1"/>
      </rPr>
      <t>7</t>
    </r>
  </si>
  <si>
    <r>
      <t xml:space="preserve">AÑO 4 </t>
    </r>
    <r>
      <rPr>
        <i/>
        <sz val="12"/>
        <color theme="8" tint="0.39997558519241921"/>
        <rFont val="Times New Roman"/>
        <family val="1"/>
      </rPr>
      <t xml:space="preserve">7 </t>
    </r>
  </si>
  <si>
    <r>
      <t xml:space="preserve">AÑO 5 </t>
    </r>
    <r>
      <rPr>
        <i/>
        <sz val="12"/>
        <color theme="8" tint="0.39997558519241921"/>
        <rFont val="Times New Roman"/>
        <family val="1"/>
      </rPr>
      <t>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</si>
  <si>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</si>
  <si>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</si>
  <si>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</si>
  <si>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8</t>
    </r>
  </si>
  <si>
    <r>
      <t>CANTIDADES A UTILIZAR</t>
    </r>
    <r>
      <rPr>
        <i/>
        <u/>
        <sz val="12"/>
        <rFont val="Times New Roman"/>
        <family val="1"/>
      </rPr>
      <t xml:space="preserve"> AÑO 5</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</si>
  <si>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</si>
  <si>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</si>
  <si>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8</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</si>
  <si>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8</t>
    </r>
  </si>
  <si>
    <r>
      <t xml:space="preserve">AÑO 1 </t>
    </r>
    <r>
      <rPr>
        <i/>
        <sz val="12"/>
        <color theme="7" tint="0.39997558519241921"/>
        <rFont val="Times New Roman"/>
        <family val="1"/>
      </rPr>
      <t>8</t>
    </r>
  </si>
  <si>
    <r>
      <t xml:space="preserve">AÑO 2 </t>
    </r>
    <r>
      <rPr>
        <i/>
        <sz val="12"/>
        <color theme="7" tint="0.39997558519241921"/>
        <rFont val="Times New Roman"/>
        <family val="1"/>
      </rPr>
      <t>8</t>
    </r>
  </si>
  <si>
    <r>
      <t xml:space="preserve">AÑO 3 </t>
    </r>
    <r>
      <rPr>
        <i/>
        <sz val="12"/>
        <color theme="7" tint="0.39997558519241921"/>
        <rFont val="Times New Roman"/>
        <family val="1"/>
      </rPr>
      <t>8</t>
    </r>
  </si>
  <si>
    <r>
      <t xml:space="preserve">AÑO 4 </t>
    </r>
    <r>
      <rPr>
        <i/>
        <sz val="12"/>
        <color theme="7" tint="0.39997558519241921"/>
        <rFont val="Times New Roman"/>
        <family val="1"/>
      </rPr>
      <t>8</t>
    </r>
  </si>
  <si>
    <r>
      <t xml:space="preserve">AÑO 5 </t>
    </r>
    <r>
      <rPr>
        <i/>
        <sz val="12"/>
        <color theme="7" tint="0.39997558519241921"/>
        <rFont val="Times New Roman"/>
        <family val="1"/>
      </rPr>
      <t>8</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</si>
  <si>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</si>
  <si>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</si>
  <si>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</si>
  <si>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</si>
  <si>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</si>
  <si>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</si>
  <si>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</si>
  <si>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9</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</si>
  <si>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9</t>
    </r>
  </si>
  <si>
    <r>
      <t xml:space="preserve">AÑO 1 </t>
    </r>
    <r>
      <rPr>
        <i/>
        <sz val="12"/>
        <color theme="8" tint="0.39997558519241921"/>
        <rFont val="Times New Roman"/>
        <family val="1"/>
      </rPr>
      <t>9</t>
    </r>
  </si>
  <si>
    <r>
      <t>AÑO 2</t>
    </r>
    <r>
      <rPr>
        <i/>
        <sz val="12"/>
        <color theme="8" tint="0.39997558519241921"/>
        <rFont val="Times New Roman"/>
        <family val="1"/>
      </rPr>
      <t xml:space="preserve"> 9 </t>
    </r>
  </si>
  <si>
    <r>
      <t xml:space="preserve">AÑO 3 </t>
    </r>
    <r>
      <rPr>
        <i/>
        <sz val="12"/>
        <color theme="8" tint="0.39997558519241921"/>
        <rFont val="Times New Roman"/>
        <family val="1"/>
      </rPr>
      <t>9</t>
    </r>
  </si>
  <si>
    <r>
      <t xml:space="preserve">AÑO 4 </t>
    </r>
    <r>
      <rPr>
        <i/>
        <sz val="12"/>
        <color theme="8" tint="0.39997558519241921"/>
        <rFont val="Times New Roman"/>
        <family val="1"/>
      </rPr>
      <t xml:space="preserve">9 </t>
    </r>
  </si>
  <si>
    <r>
      <t xml:space="preserve">AÑO 5 </t>
    </r>
    <r>
      <rPr>
        <i/>
        <sz val="12"/>
        <color theme="8" tint="0.39997558519241921"/>
        <rFont val="Times New Roman"/>
        <family val="1"/>
      </rPr>
      <t xml:space="preserve">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</si>
  <si>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</si>
  <si>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10</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</si>
  <si>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</si>
  <si>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10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</si>
  <si>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</si>
  <si>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2</t>
    </r>
    <r>
      <rPr>
        <i/>
        <sz val="12"/>
        <color theme="7" tint="0.39997558519241921"/>
        <rFont val="Times New Roman"/>
        <family val="1"/>
      </rPr>
      <t xml:space="preserve"> 10</t>
    </r>
    <r>
      <rPr>
        <i/>
        <sz val="12"/>
        <rFont val="Times New Roman"/>
        <family val="1"/>
      </rPr>
      <t xml:space="preserve">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</si>
  <si>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</si>
  <si>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10</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</si>
  <si>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10 </t>
    </r>
  </si>
  <si>
    <r>
      <t xml:space="preserve">AÑO 1 </t>
    </r>
    <r>
      <rPr>
        <i/>
        <sz val="12"/>
        <color theme="7" tint="0.39997558519241921"/>
        <rFont val="Times New Roman"/>
        <family val="1"/>
      </rPr>
      <t xml:space="preserve">10 </t>
    </r>
  </si>
  <si>
    <r>
      <t xml:space="preserve">AÑO 2 </t>
    </r>
    <r>
      <rPr>
        <i/>
        <sz val="12"/>
        <color theme="7" tint="0.39997558519241921"/>
        <rFont val="Times New Roman"/>
        <family val="1"/>
      </rPr>
      <t>10</t>
    </r>
    <r>
      <rPr>
        <i/>
        <sz val="12"/>
        <rFont val="Times New Roman"/>
        <family val="1"/>
      </rPr>
      <t xml:space="preserve"> </t>
    </r>
  </si>
  <si>
    <r>
      <t xml:space="preserve">AÑO 3 </t>
    </r>
    <r>
      <rPr>
        <i/>
        <sz val="12"/>
        <color theme="7" tint="0.39997558519241921"/>
        <rFont val="Times New Roman"/>
        <family val="1"/>
      </rPr>
      <t>10</t>
    </r>
    <r>
      <rPr>
        <i/>
        <sz val="12"/>
        <rFont val="Times New Roman"/>
        <family val="1"/>
      </rPr>
      <t xml:space="preserve"> </t>
    </r>
  </si>
  <si>
    <r>
      <t xml:space="preserve">AÑO 4 </t>
    </r>
    <r>
      <rPr>
        <i/>
        <sz val="12"/>
        <color theme="7" tint="0.39997558519241921"/>
        <rFont val="Times New Roman"/>
        <family val="1"/>
      </rPr>
      <t xml:space="preserve">10 </t>
    </r>
  </si>
  <si>
    <r>
      <t xml:space="preserve">AÑO 5 </t>
    </r>
    <r>
      <rPr>
        <i/>
        <sz val="12"/>
        <color theme="7" tint="0.39997558519241921"/>
        <rFont val="Times New Roman"/>
        <family val="1"/>
      </rPr>
      <t xml:space="preserve">10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</si>
  <si>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11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</si>
  <si>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11</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</si>
  <si>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</si>
  <si>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11</t>
    </r>
  </si>
  <si>
    <r>
      <t xml:space="preserve">CANTIDADES A UTILIZAR </t>
    </r>
    <r>
      <rPr>
        <i/>
        <u/>
        <sz val="12"/>
        <rFont val="Times New Roman"/>
        <family val="1"/>
      </rPr>
      <t xml:space="preserve">AÑO 5 </t>
    </r>
    <r>
      <rPr>
        <i/>
        <sz val="12"/>
        <color theme="8" tint="0.39997558519241921"/>
        <rFont val="Times New Roman"/>
        <family val="1"/>
      </rPr>
      <t>11</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</si>
  <si>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11</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</si>
  <si>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</si>
  <si>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 xml:space="preserve">11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</si>
  <si>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11 </t>
    </r>
  </si>
  <si>
    <r>
      <t>AÑO 1</t>
    </r>
    <r>
      <rPr>
        <i/>
        <sz val="12"/>
        <color theme="8" tint="0.39997558519241921"/>
        <rFont val="Times New Roman"/>
        <family val="1"/>
      </rPr>
      <t xml:space="preserve"> 11 </t>
    </r>
  </si>
  <si>
    <r>
      <t xml:space="preserve">AÑO 2 </t>
    </r>
    <r>
      <rPr>
        <i/>
        <sz val="12"/>
        <color theme="8" tint="0.39997558519241921"/>
        <rFont val="Times New Roman"/>
        <family val="1"/>
      </rPr>
      <t xml:space="preserve">11 </t>
    </r>
  </si>
  <si>
    <r>
      <t xml:space="preserve">AÑO 3 </t>
    </r>
    <r>
      <rPr>
        <i/>
        <sz val="12"/>
        <color theme="8" tint="0.39997558519241921"/>
        <rFont val="Times New Roman"/>
        <family val="1"/>
      </rPr>
      <t>11</t>
    </r>
  </si>
  <si>
    <r>
      <t xml:space="preserve">AÑO 4 </t>
    </r>
    <r>
      <rPr>
        <i/>
        <sz val="12"/>
        <color theme="8" tint="0.39997558519241921"/>
        <rFont val="Times New Roman"/>
        <family val="1"/>
      </rPr>
      <t>11</t>
    </r>
    <r>
      <rPr>
        <i/>
        <sz val="12"/>
        <rFont val="Times New Roman"/>
        <family val="1"/>
      </rPr>
      <t xml:space="preserve"> </t>
    </r>
  </si>
  <si>
    <r>
      <t xml:space="preserve">AÑO 5 </t>
    </r>
    <r>
      <rPr>
        <i/>
        <sz val="12"/>
        <color theme="8" tint="0.39997558519241921"/>
        <rFont val="Times New Roman"/>
        <family val="1"/>
      </rPr>
      <t xml:space="preserve">11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</si>
  <si>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</si>
  <si>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</si>
  <si>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</si>
  <si>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</si>
  <si>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</si>
  <si>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</si>
  <si>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</si>
  <si>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12</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</si>
  <si>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12</t>
    </r>
  </si>
  <si>
    <r>
      <t xml:space="preserve">AÑO 1 </t>
    </r>
    <r>
      <rPr>
        <i/>
        <sz val="12"/>
        <color theme="7" tint="0.39997558519241921"/>
        <rFont val="Times New Roman"/>
        <family val="1"/>
      </rPr>
      <t>12</t>
    </r>
  </si>
  <si>
    <r>
      <t xml:space="preserve">AÑO 2 </t>
    </r>
    <r>
      <rPr>
        <i/>
        <sz val="12"/>
        <color theme="7" tint="0.39997558519241921"/>
        <rFont val="Times New Roman"/>
        <family val="1"/>
      </rPr>
      <t>12</t>
    </r>
  </si>
  <si>
    <r>
      <t xml:space="preserve">AÑO 3 </t>
    </r>
    <r>
      <rPr>
        <i/>
        <sz val="12"/>
        <color theme="7" tint="0.39997558519241921"/>
        <rFont val="Times New Roman"/>
        <family val="1"/>
      </rPr>
      <t>12</t>
    </r>
  </si>
  <si>
    <r>
      <t xml:space="preserve">AÑO 4 </t>
    </r>
    <r>
      <rPr>
        <i/>
        <sz val="12"/>
        <color theme="7" tint="0.39997558519241921"/>
        <rFont val="Times New Roman"/>
        <family val="1"/>
      </rPr>
      <t>12</t>
    </r>
  </si>
  <si>
    <r>
      <t xml:space="preserve">AÑO 5 </t>
    </r>
    <r>
      <rPr>
        <i/>
        <sz val="12"/>
        <color theme="7" tint="0.39997558519241921"/>
        <rFont val="Times New Roman"/>
        <family val="1"/>
      </rPr>
      <t>12</t>
    </r>
  </si>
  <si>
    <r>
      <t xml:space="preserve">CANTIDADES A UTILIZAR  </t>
    </r>
    <r>
      <rPr>
        <b/>
        <i/>
        <u/>
        <sz val="12"/>
        <rFont val="Times New Roman"/>
        <family val="1"/>
      </rPr>
      <t>AÑO 1</t>
    </r>
    <r>
      <rPr>
        <b/>
        <i/>
        <sz val="12"/>
        <rFont val="Times New Roman"/>
        <family val="1"/>
      </rPr>
      <t xml:space="preserve"> </t>
    </r>
    <r>
      <rPr>
        <b/>
        <i/>
        <sz val="12"/>
        <color theme="8" tint="0.39997558519241921"/>
        <rFont val="Times New Roman"/>
        <family val="1"/>
      </rPr>
      <t>13</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</si>
  <si>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</si>
  <si>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</si>
  <si>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</si>
  <si>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</si>
  <si>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</si>
  <si>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</si>
  <si>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13</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</si>
  <si>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13</t>
    </r>
  </si>
  <si>
    <r>
      <t xml:space="preserve">AÑO 1 </t>
    </r>
    <r>
      <rPr>
        <i/>
        <sz val="12"/>
        <color theme="8" tint="0.39997558519241921"/>
        <rFont val="Times New Roman"/>
        <family val="1"/>
      </rPr>
      <t>13</t>
    </r>
  </si>
  <si>
    <r>
      <t xml:space="preserve">AÑO 2 </t>
    </r>
    <r>
      <rPr>
        <i/>
        <sz val="12"/>
        <color theme="8" tint="0.39997558519241921"/>
        <rFont val="Times New Roman"/>
        <family val="1"/>
      </rPr>
      <t>13</t>
    </r>
  </si>
  <si>
    <r>
      <t xml:space="preserve">AÑO 3 </t>
    </r>
    <r>
      <rPr>
        <i/>
        <sz val="12"/>
        <color theme="8" tint="0.39997558519241921"/>
        <rFont val="Times New Roman"/>
        <family val="1"/>
      </rPr>
      <t>13</t>
    </r>
  </si>
  <si>
    <r>
      <t xml:space="preserve">AÑO 4 </t>
    </r>
    <r>
      <rPr>
        <i/>
        <sz val="12"/>
        <color theme="8" tint="0.39997558519241921"/>
        <rFont val="Times New Roman"/>
        <family val="1"/>
      </rPr>
      <t>13</t>
    </r>
  </si>
  <si>
    <r>
      <t xml:space="preserve">AÑO 5 </t>
    </r>
    <r>
      <rPr>
        <i/>
        <sz val="12"/>
        <color theme="8" tint="0.39997558519241921"/>
        <rFont val="Times New Roman"/>
        <family val="1"/>
      </rPr>
      <t>13</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</si>
  <si>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</si>
  <si>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</si>
  <si>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 xml:space="preserve">AÑO </t>
    </r>
    <r>
      <rPr>
        <i/>
        <sz val="12"/>
        <rFont val="Times New Roman"/>
        <family val="1"/>
      </rPr>
      <t xml:space="preserve">3 </t>
    </r>
    <r>
      <rPr>
        <i/>
        <sz val="12"/>
        <color theme="7" tint="0.39997558519241921"/>
        <rFont val="Times New Roman"/>
        <family val="1"/>
      </rPr>
      <t>14</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</si>
  <si>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</si>
  <si>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</si>
  <si>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</si>
  <si>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</si>
  <si>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14</t>
    </r>
  </si>
  <si>
    <r>
      <t xml:space="preserve">COSTO UNITARIO </t>
    </r>
    <r>
      <rPr>
        <i/>
        <u/>
        <sz val="12"/>
        <rFont val="Times New Roman"/>
        <family val="1"/>
      </rPr>
      <t xml:space="preserve">AÑO 5 </t>
    </r>
    <r>
      <rPr>
        <i/>
        <sz val="12"/>
        <color theme="7" tint="0.39997558519241921"/>
        <rFont val="Times New Roman"/>
        <family val="1"/>
      </rPr>
      <t>14</t>
    </r>
  </si>
  <si>
    <r>
      <t xml:space="preserve">AÑO 1 </t>
    </r>
    <r>
      <rPr>
        <i/>
        <sz val="12"/>
        <color theme="7" tint="0.39997558519241921"/>
        <rFont val="Times New Roman"/>
        <family val="1"/>
      </rPr>
      <t>14</t>
    </r>
  </si>
  <si>
    <r>
      <t xml:space="preserve">AÑO 2 </t>
    </r>
    <r>
      <rPr>
        <i/>
        <sz val="12"/>
        <color theme="7" tint="0.39997558519241921"/>
        <rFont val="Times New Roman"/>
        <family val="1"/>
      </rPr>
      <t>14</t>
    </r>
  </si>
  <si>
    <r>
      <t>AÑO 3</t>
    </r>
    <r>
      <rPr>
        <i/>
        <sz val="12"/>
        <color theme="7" tint="0.39997558519241921"/>
        <rFont val="Times New Roman"/>
        <family val="1"/>
      </rPr>
      <t xml:space="preserve"> 14</t>
    </r>
  </si>
  <si>
    <r>
      <t xml:space="preserve">AÑO 4 </t>
    </r>
    <r>
      <rPr>
        <i/>
        <sz val="12"/>
        <color theme="7" tint="0.39997558519241921"/>
        <rFont val="Times New Roman"/>
        <family val="1"/>
      </rPr>
      <t>14</t>
    </r>
  </si>
  <si>
    <r>
      <t xml:space="preserve">AÑO 5 </t>
    </r>
    <r>
      <rPr>
        <i/>
        <sz val="12"/>
        <color theme="7" tint="0.39997558519241921"/>
        <rFont val="Times New Roman"/>
        <family val="1"/>
      </rPr>
      <t>14</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</si>
  <si>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</si>
  <si>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</si>
  <si>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</si>
  <si>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</si>
  <si>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</si>
  <si>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</si>
  <si>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</si>
  <si>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15</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</si>
  <si>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15</t>
    </r>
  </si>
  <si>
    <r>
      <t xml:space="preserve">AÑO 1 </t>
    </r>
    <r>
      <rPr>
        <i/>
        <sz val="12"/>
        <color theme="8" tint="0.39997558519241921"/>
        <rFont val="Times New Roman"/>
        <family val="1"/>
      </rPr>
      <t>15</t>
    </r>
  </si>
  <si>
    <r>
      <t xml:space="preserve">AÑO 2 </t>
    </r>
    <r>
      <rPr>
        <i/>
        <sz val="12"/>
        <color theme="8" tint="0.39997558519241921"/>
        <rFont val="Times New Roman"/>
        <family val="1"/>
      </rPr>
      <t>15</t>
    </r>
  </si>
  <si>
    <r>
      <t xml:space="preserve">AÑO 3 </t>
    </r>
    <r>
      <rPr>
        <i/>
        <sz val="12"/>
        <color theme="8" tint="0.39997558519241921"/>
        <rFont val="Times New Roman"/>
        <family val="1"/>
      </rPr>
      <t>15</t>
    </r>
  </si>
  <si>
    <r>
      <t xml:space="preserve">AÑO 4 </t>
    </r>
    <r>
      <rPr>
        <i/>
        <sz val="12"/>
        <color theme="8" tint="0.39997558519241921"/>
        <rFont val="Times New Roman"/>
        <family val="1"/>
      </rPr>
      <t>15</t>
    </r>
  </si>
  <si>
    <r>
      <t xml:space="preserve">AÑO 5 </t>
    </r>
    <r>
      <rPr>
        <i/>
        <sz val="12"/>
        <color theme="8" tint="0.39997558519241921"/>
        <rFont val="Times New Roman"/>
        <family val="1"/>
      </rPr>
      <t>15</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</si>
  <si>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</si>
  <si>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</si>
  <si>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</si>
  <si>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</si>
  <si>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</si>
  <si>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</si>
  <si>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</si>
  <si>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16</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</si>
  <si>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16</t>
    </r>
  </si>
  <si>
    <r>
      <t xml:space="preserve">AÑO 1 </t>
    </r>
    <r>
      <rPr>
        <i/>
        <sz val="12"/>
        <color theme="7" tint="0.39997558519241921"/>
        <rFont val="Times New Roman"/>
        <family val="1"/>
      </rPr>
      <t>16</t>
    </r>
  </si>
  <si>
    <r>
      <t xml:space="preserve">AÑO 2 </t>
    </r>
    <r>
      <rPr>
        <i/>
        <sz val="12"/>
        <color theme="7" tint="0.39997558519241921"/>
        <rFont val="Times New Roman"/>
        <family val="1"/>
      </rPr>
      <t>16</t>
    </r>
  </si>
  <si>
    <r>
      <t xml:space="preserve">AÑO 3 </t>
    </r>
    <r>
      <rPr>
        <i/>
        <sz val="12"/>
        <color theme="7" tint="0.39997558519241921"/>
        <rFont val="Times New Roman"/>
        <family val="1"/>
      </rPr>
      <t>16</t>
    </r>
  </si>
  <si>
    <r>
      <t xml:space="preserve">AÑO 4 </t>
    </r>
    <r>
      <rPr>
        <i/>
        <sz val="12"/>
        <color theme="7" tint="0.39997558519241921"/>
        <rFont val="Times New Roman"/>
        <family val="1"/>
      </rPr>
      <t>16</t>
    </r>
  </si>
  <si>
    <r>
      <t xml:space="preserve">AÑO 5 </t>
    </r>
    <r>
      <rPr>
        <i/>
        <sz val="12"/>
        <color theme="7" tint="0.39997558519241921"/>
        <rFont val="Times New Roman"/>
        <family val="1"/>
      </rPr>
      <t>16</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</si>
  <si>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</si>
  <si>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</si>
  <si>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3</t>
    </r>
    <r>
      <rPr>
        <i/>
        <sz val="12"/>
        <color theme="8" tint="0.39997558519241921"/>
        <rFont val="Times New Roman"/>
        <family val="1"/>
      </rPr>
      <t xml:space="preserve"> 17</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</si>
  <si>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</si>
  <si>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</si>
  <si>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2</t>
    </r>
    <r>
      <rPr>
        <i/>
        <sz val="12"/>
        <color theme="8" tint="0.39997558519241921"/>
        <rFont val="Times New Roman"/>
        <family val="1"/>
      </rPr>
      <t xml:space="preserve"> 17</t>
    </r>
  </si>
  <si>
    <r>
      <t xml:space="preserve">COSTO UNITARIO </t>
    </r>
    <r>
      <rPr>
        <i/>
        <u/>
        <sz val="12"/>
        <rFont val="Times New Roman"/>
        <family val="1"/>
      </rPr>
      <t>AÑO 3</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</si>
  <si>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4</t>
    </r>
    <r>
      <rPr>
        <i/>
        <sz val="12"/>
        <rFont val="Times New Roman"/>
        <family val="1"/>
      </rPr>
      <t xml:space="preserve"> </t>
    </r>
    <r>
      <rPr>
        <i/>
        <sz val="12"/>
        <color theme="8" tint="0.39997558519241921"/>
        <rFont val="Times New Roman"/>
        <family val="1"/>
      </rPr>
      <t>17</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</si>
  <si>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17</t>
    </r>
  </si>
  <si>
    <r>
      <t xml:space="preserve">AÑO 1 </t>
    </r>
    <r>
      <rPr>
        <i/>
        <sz val="12"/>
        <color theme="8" tint="0.39997558519241921"/>
        <rFont val="Times New Roman"/>
        <family val="1"/>
      </rPr>
      <t>17</t>
    </r>
  </si>
  <si>
    <r>
      <t xml:space="preserve">AÑO 2 </t>
    </r>
    <r>
      <rPr>
        <i/>
        <sz val="12"/>
        <color theme="8" tint="0.39997558519241921"/>
        <rFont val="Times New Roman"/>
        <family val="1"/>
      </rPr>
      <t>17</t>
    </r>
  </si>
  <si>
    <r>
      <t xml:space="preserve">AÑO 3 </t>
    </r>
    <r>
      <rPr>
        <i/>
        <sz val="12"/>
        <color theme="8" tint="0.39997558519241921"/>
        <rFont val="Times New Roman"/>
        <family val="1"/>
      </rPr>
      <t>17</t>
    </r>
  </si>
  <si>
    <r>
      <t xml:space="preserve">AÑO 4 </t>
    </r>
    <r>
      <rPr>
        <i/>
        <sz val="12"/>
        <color theme="8" tint="0.39997558519241921"/>
        <rFont val="Times New Roman"/>
        <family val="1"/>
      </rPr>
      <t>17</t>
    </r>
  </si>
  <si>
    <r>
      <t xml:space="preserve">AÑO 5 </t>
    </r>
    <r>
      <rPr>
        <i/>
        <sz val="12"/>
        <color theme="8" tint="0.39997558519241921"/>
        <rFont val="Times New Roman"/>
        <family val="1"/>
      </rPr>
      <t>17</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</si>
  <si>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</si>
  <si>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</si>
  <si>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18</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</si>
  <si>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18</t>
    </r>
    <r>
      <rPr>
        <i/>
        <sz val="12"/>
        <rFont val="Times New Roman"/>
        <family val="1"/>
      </rPr>
      <t xml:space="preserve">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</si>
  <si>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</si>
  <si>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18</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</si>
  <si>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</si>
  <si>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18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</si>
  <si>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18 </t>
    </r>
  </si>
  <si>
    <r>
      <t xml:space="preserve">AÑO 1 </t>
    </r>
    <r>
      <rPr>
        <i/>
        <sz val="12"/>
        <color theme="7" tint="0.39997558519241921"/>
        <rFont val="Times New Roman"/>
        <family val="1"/>
      </rPr>
      <t xml:space="preserve">18 </t>
    </r>
  </si>
  <si>
    <r>
      <t xml:space="preserve">AÑO 2 </t>
    </r>
    <r>
      <rPr>
        <i/>
        <sz val="12"/>
        <color theme="7" tint="0.39997558519241921"/>
        <rFont val="Times New Roman"/>
        <family val="1"/>
      </rPr>
      <t xml:space="preserve">18 </t>
    </r>
  </si>
  <si>
    <r>
      <t xml:space="preserve">AÑO 3 </t>
    </r>
    <r>
      <rPr>
        <i/>
        <sz val="12"/>
        <color theme="7" tint="0.39997558519241921"/>
        <rFont val="Times New Roman"/>
        <family val="1"/>
      </rPr>
      <t xml:space="preserve">18 </t>
    </r>
  </si>
  <si>
    <r>
      <t xml:space="preserve">AÑO 4 </t>
    </r>
    <r>
      <rPr>
        <i/>
        <sz val="12"/>
        <color theme="7" tint="0.39997558519241921"/>
        <rFont val="Times New Roman"/>
        <family val="1"/>
      </rPr>
      <t>18</t>
    </r>
    <r>
      <rPr>
        <i/>
        <sz val="12"/>
        <rFont val="Times New Roman"/>
        <family val="1"/>
      </rPr>
      <t xml:space="preserve"> </t>
    </r>
  </si>
  <si>
    <r>
      <t xml:space="preserve">AÑO 5 </t>
    </r>
    <r>
      <rPr>
        <i/>
        <sz val="12"/>
        <color theme="7" tint="0.39997558519241921"/>
        <rFont val="Times New Roman"/>
        <family val="1"/>
      </rPr>
      <t xml:space="preserve">18 </t>
    </r>
  </si>
  <si>
    <r>
      <t xml:space="preserve">CANTIDADES A UTILIZAR  </t>
    </r>
    <r>
      <rPr>
        <i/>
        <u/>
        <sz val="12"/>
        <rFont val="Times New Roman"/>
        <family val="1"/>
      </rPr>
      <t>AÑO 1</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</si>
  <si>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2</t>
    </r>
    <r>
      <rPr>
        <i/>
        <sz val="12"/>
        <rFont val="Times New Roman"/>
        <family val="1"/>
      </rPr>
      <t xml:space="preserve"> </t>
    </r>
    <r>
      <rPr>
        <i/>
        <sz val="12"/>
        <color theme="8" tint="0.39997558519241921"/>
        <rFont val="Times New Roman"/>
        <family val="1"/>
      </rPr>
      <t>19</t>
    </r>
    <r>
      <rPr>
        <i/>
        <sz val="12"/>
        <rFont val="Times New Roman"/>
        <family val="1"/>
      </rPr>
      <t xml:space="preserve"> </t>
    </r>
  </si>
  <si>
    <r>
      <t xml:space="preserve">CANTIDADES A UTILIZAR  </t>
    </r>
    <r>
      <rPr>
        <i/>
        <u/>
        <sz val="12"/>
        <rFont val="Times New Roman"/>
        <family val="1"/>
      </rPr>
      <t>AÑO 3</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</si>
  <si>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4</t>
    </r>
    <r>
      <rPr>
        <i/>
        <sz val="12"/>
        <rFont val="Times New Roman"/>
        <family val="1"/>
      </rPr>
      <t xml:space="preserve"> </t>
    </r>
    <r>
      <rPr>
        <i/>
        <sz val="12"/>
        <color theme="8" tint="0.39997558519241921"/>
        <rFont val="Times New Roman"/>
        <family val="1"/>
      </rPr>
      <t xml:space="preserve">19 </t>
    </r>
  </si>
  <si>
    <r>
      <t xml:space="preserve">CANTIDADES A UTILIZAR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</si>
  <si>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2</t>
    </r>
    <r>
      <rPr>
        <i/>
        <sz val="12"/>
        <rFont val="Times New Roman"/>
        <family val="1"/>
      </rPr>
      <t xml:space="preserve"> </t>
    </r>
    <r>
      <rPr>
        <i/>
        <sz val="12"/>
        <color theme="8" tint="0.39997558519241921"/>
        <rFont val="Times New Roman"/>
        <family val="1"/>
      </rPr>
      <t xml:space="preserve">19 </t>
    </r>
  </si>
  <si>
    <r>
      <t xml:space="preserve">COSTO UNITARIO </t>
    </r>
    <r>
      <rPr>
        <i/>
        <u/>
        <sz val="12"/>
        <rFont val="Times New Roman"/>
        <family val="1"/>
      </rPr>
      <t>AÑO 3</t>
    </r>
    <r>
      <rPr>
        <i/>
        <sz val="12"/>
        <color theme="8" tint="0.39997558519241921"/>
        <rFont val="Times New Roman"/>
        <family val="1"/>
      </rPr>
      <t xml:space="preserve"> 19 </t>
    </r>
  </si>
  <si>
    <r>
      <t xml:space="preserve">COSTO UNITARIO </t>
    </r>
    <r>
      <rPr>
        <i/>
        <u/>
        <sz val="12"/>
        <rFont val="Times New Roman"/>
        <family val="1"/>
      </rPr>
      <t>AÑO 4</t>
    </r>
    <r>
      <rPr>
        <i/>
        <sz val="12"/>
        <color theme="8" tint="0.39997558519241921"/>
        <rFont val="Times New Roman"/>
        <family val="1"/>
      </rPr>
      <t xml:space="preserve"> 19</t>
    </r>
    <r>
      <rPr>
        <i/>
        <sz val="12"/>
        <rFont val="Times New Roman"/>
        <family val="1"/>
      </rPr>
      <t xml:space="preserve"> </t>
    </r>
  </si>
  <si>
    <r>
      <t xml:space="preserve">COSTO UNITARIO </t>
    </r>
    <r>
      <rPr>
        <i/>
        <u/>
        <sz val="12"/>
        <rFont val="Times New Roman"/>
        <family val="1"/>
      </rPr>
      <t>AÑO 5</t>
    </r>
    <r>
      <rPr>
        <i/>
        <sz val="12"/>
        <rFont val="Times New Roman"/>
        <family val="1"/>
      </rPr>
      <t xml:space="preserve"> </t>
    </r>
    <r>
      <rPr>
        <i/>
        <sz val="12"/>
        <color theme="8" tint="0.39997558519241921"/>
        <rFont val="Times New Roman"/>
        <family val="1"/>
      </rPr>
      <t xml:space="preserve">19 </t>
    </r>
  </si>
  <si>
    <r>
      <t xml:space="preserve">AÑO 1 </t>
    </r>
    <r>
      <rPr>
        <i/>
        <sz val="12"/>
        <color theme="8" tint="0.39997558519241921"/>
        <rFont val="Times New Roman"/>
        <family val="1"/>
      </rPr>
      <t xml:space="preserve">19 </t>
    </r>
  </si>
  <si>
    <r>
      <t>AÑO 2</t>
    </r>
    <r>
      <rPr>
        <i/>
        <sz val="12"/>
        <color theme="8" tint="0.39997558519241921"/>
        <rFont val="Times New Roman"/>
        <family val="1"/>
      </rPr>
      <t xml:space="preserve"> 19 </t>
    </r>
  </si>
  <si>
    <r>
      <t xml:space="preserve">AÑO 3 </t>
    </r>
    <r>
      <rPr>
        <i/>
        <sz val="12"/>
        <color theme="8" tint="0.39997558519241921"/>
        <rFont val="Times New Roman"/>
        <family val="1"/>
      </rPr>
      <t xml:space="preserve">19 </t>
    </r>
  </si>
  <si>
    <r>
      <t xml:space="preserve">AÑO 4 </t>
    </r>
    <r>
      <rPr>
        <i/>
        <sz val="12"/>
        <color theme="8" tint="0.39997558519241921"/>
        <rFont val="Times New Roman"/>
        <family val="1"/>
      </rPr>
      <t>19</t>
    </r>
    <r>
      <rPr>
        <i/>
        <sz val="12"/>
        <rFont val="Times New Roman"/>
        <family val="1"/>
      </rPr>
      <t xml:space="preserve"> </t>
    </r>
  </si>
  <si>
    <r>
      <t xml:space="preserve">AÑO 5 </t>
    </r>
    <r>
      <rPr>
        <i/>
        <sz val="12"/>
        <color theme="8" tint="0.39997558519241921"/>
        <rFont val="Times New Roman"/>
        <family val="1"/>
      </rPr>
      <t xml:space="preserve">19 </t>
    </r>
  </si>
  <si>
    <r>
      <t xml:space="preserve">CANTIDADES A UTILIZAR </t>
    </r>
    <r>
      <rPr>
        <i/>
        <u/>
        <sz val="12"/>
        <rFont val="Times New Roman"/>
        <family val="1"/>
      </rPr>
      <t>AÑO 1</t>
    </r>
    <r>
      <rPr>
        <i/>
        <sz val="12"/>
        <rFont val="Times New Roman"/>
        <family val="1"/>
      </rPr>
      <t xml:space="preserve"> </t>
    </r>
    <r>
      <rPr>
        <i/>
        <sz val="12"/>
        <color theme="7" tint="0.39997558519241921"/>
        <rFont val="Times New Roman"/>
        <family val="1"/>
      </rPr>
      <t>20</t>
    </r>
  </si>
  <si>
    <r>
      <t xml:space="preserve">CANTIDADES A UTILIZAR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</si>
  <si>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</si>
  <si>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</si>
  <si>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CANTIDADES A UTILIZAR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</si>
  <si>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2</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</si>
  <si>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3</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</si>
  <si>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4</t>
    </r>
    <r>
      <rPr>
        <i/>
        <sz val="12"/>
        <rFont val="Times New Roman"/>
        <family val="1"/>
      </rPr>
      <t xml:space="preserve"> </t>
    </r>
    <r>
      <rPr>
        <i/>
        <sz val="12"/>
        <color theme="7" tint="0.39997558519241921"/>
        <rFont val="Times New Roman"/>
        <family val="1"/>
      </rPr>
      <t xml:space="preserve">20 </t>
    </r>
  </si>
  <si>
    <r>
      <t xml:space="preserve">COSTO UNITARIO </t>
    </r>
    <r>
      <rPr>
        <i/>
        <u/>
        <sz val="12"/>
        <rFont val="Times New Roman"/>
        <family val="1"/>
      </rPr>
      <t>AÑO 5</t>
    </r>
    <r>
      <rPr>
        <i/>
        <sz val="12"/>
        <rFont val="Times New Roman"/>
        <family val="1"/>
      </rPr>
      <t xml:space="preserve"> </t>
    </r>
    <r>
      <rPr>
        <i/>
        <sz val="12"/>
        <color theme="7" tint="0.39997558519241921"/>
        <rFont val="Times New Roman"/>
        <family val="1"/>
      </rPr>
      <t xml:space="preserve">20 </t>
    </r>
  </si>
  <si>
    <r>
      <t xml:space="preserve">AÑO 1 </t>
    </r>
    <r>
      <rPr>
        <i/>
        <sz val="12"/>
        <color theme="7" tint="0.39997558519241921"/>
        <rFont val="Times New Roman"/>
        <family val="1"/>
      </rPr>
      <t xml:space="preserve">20 </t>
    </r>
  </si>
  <si>
    <r>
      <t xml:space="preserve">AÑO 2 </t>
    </r>
    <r>
      <rPr>
        <i/>
        <sz val="12"/>
        <color theme="7" tint="0.39997558519241921"/>
        <rFont val="Times New Roman"/>
        <family val="1"/>
      </rPr>
      <t xml:space="preserve">20 </t>
    </r>
  </si>
  <si>
    <r>
      <t xml:space="preserve">AÑO 3 </t>
    </r>
    <r>
      <rPr>
        <i/>
        <sz val="12"/>
        <color theme="7" tint="0.39997558519241921"/>
        <rFont val="Times New Roman"/>
        <family val="1"/>
      </rPr>
      <t xml:space="preserve">20 </t>
    </r>
  </si>
  <si>
    <r>
      <t xml:space="preserve">AÑO 4 </t>
    </r>
    <r>
      <rPr>
        <i/>
        <sz val="12"/>
        <color theme="7" tint="0.39997558519241921"/>
        <rFont val="Times New Roman"/>
        <family val="1"/>
      </rPr>
      <t xml:space="preserve">20 </t>
    </r>
  </si>
  <si>
    <r>
      <t xml:space="preserve">AÑO 5 </t>
    </r>
    <r>
      <rPr>
        <i/>
        <sz val="12"/>
        <color theme="7" tint="0.39997558519241921"/>
        <rFont val="Times New Roman"/>
        <family val="1"/>
      </rPr>
      <t xml:space="preserve">20 </t>
    </r>
  </si>
  <si>
    <t xml:space="preserve">Utilidad Operativa </t>
  </si>
  <si>
    <t xml:space="preserve">Utilidad Antes de Impuestos </t>
  </si>
  <si>
    <t xml:space="preserve">Utilidad Distribuible </t>
  </si>
  <si>
    <t xml:space="preserve">VPN </t>
  </si>
  <si>
    <t xml:space="preserve">FLUJO DE CAJA OPERATIVO </t>
  </si>
  <si>
    <t xml:space="preserve">FLUJO DE CAJA NETO </t>
  </si>
  <si>
    <t xml:space="preserve">Flujo de caja neto </t>
  </si>
  <si>
    <t xml:space="preserve">FLUJO DE CAJA DE INVERSIÓN </t>
  </si>
  <si>
    <t xml:space="preserve">  Variación del Capital del Trabajo </t>
  </si>
  <si>
    <t xml:space="preserve">FLUJO DE CAJA FINANCIAMIENTO </t>
  </si>
  <si>
    <t xml:space="preserve">Valor Presento Neto </t>
  </si>
  <si>
    <t xml:space="preserve">ANÁLISIS DE SENSIBILIDAD AÑO 1 </t>
  </si>
  <si>
    <t xml:space="preserve">ESCENARIO PESIMISTA </t>
  </si>
  <si>
    <t xml:space="preserve">ESCENARIO OPTIMISTA </t>
  </si>
  <si>
    <t xml:space="preserve">Variación del incremento de ventas </t>
  </si>
  <si>
    <t xml:space="preserve">ESCENARIO ACTUAL </t>
  </si>
  <si>
    <t>ANÁLISIS DE SENSIBILIDAD</t>
  </si>
  <si>
    <t xml:space="preserve">TASA DE EMPRENDIMIENTO ESPERADA POR LOS EMPRENDEDORES </t>
  </si>
  <si>
    <t>VIABLE</t>
  </si>
  <si>
    <t>INVIABLE</t>
  </si>
  <si>
    <t>INDIFERENCIA FINANCIERA</t>
  </si>
  <si>
    <t xml:space="preserve">Precio de venta año 1 </t>
  </si>
  <si>
    <t xml:space="preserve">Precio de venta año 2 </t>
  </si>
  <si>
    <t xml:space="preserve">Precio de venta año 3 </t>
  </si>
  <si>
    <t xml:space="preserve">Precio de venta año 4 </t>
  </si>
  <si>
    <t>Precio de venta año 5</t>
  </si>
  <si>
    <t>INGRESOS TOTALES</t>
  </si>
  <si>
    <t xml:space="preserve">Variación en el incremento de ventas </t>
  </si>
  <si>
    <t>ANÁLISIS DE SENSIBILIDAD AÑO 2</t>
  </si>
  <si>
    <t>ANÁLISIS DE SENSIBILIDAD AÑO 3</t>
  </si>
  <si>
    <t>ANÁLISIS DE SENSIBILIDAD AÑO 4</t>
  </si>
  <si>
    <t>ANÁLISIS DE SENSIBILIDAD AÑO 5</t>
  </si>
  <si>
    <t>TASA DE EMPRENDIMIENTO ESPERADA POR LOS EMPRENDEDORES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</si>
</sst>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 #,##0;[Red]\-&quot;$&quot;\ #,##0"/>
    <numFmt numFmtId="8" formatCode="&quot;$&quot;\ #,##0.00;[Red]\-&quot;$&quot;\ #,##0.00"/>
    <numFmt numFmtId="44" formatCode="_-&quot;$&quot;\ * #,##0.00_-;\-&quot;$&quot;\ * #,##0.00_-;_-&quot;$&quot;\ * &quot;-&quot;??_-;_-@_-"/>
    <numFmt numFmtId="43" formatCode="_-* #,##0.00_-;\-* #,##0.00_-;_-* &quot;-&quot;??_-;_-@_-"/>
    <numFmt numFmtId="164" formatCode="_-&quot;$&quot;\ * #,##0.0_-;\-&quot;$&quot;\ * #,##0.0_-;_-&quot;$&quot;\ * &quot;-&quot;??_-;_-@_-"/>
    <numFmt numFmtId="165" formatCode="_-&quot;$&quot;\ * #,##0_-;\-&quot;$&quot;\ * #,##0_-;_-&quot;$&quot;\ * &quot;-&quot;??_-;_-@_-"/>
    <numFmt numFmtId="166" formatCode="_-&quot;$&quot;\ * #,##0.0_-;\-&quot;$&quot;\ * #,##0.0_-;_-&quot;$&quot;\ * &quot;-&quot;?_-;_-@_-"/>
    <numFmt numFmtId="167" formatCode="_ &quot;$&quot;\ * #,##0_ ;_ &quot;$&quot;\ * \-#,##0_ ;_ &quot;$&quot;\ * &quot;-&quot;??_ ;_ @_ "/>
    <numFmt numFmtId="168" formatCode="_-* #,##0.000_-;\-* #,##0.000_-;_-* &quot;-&quot;??_-;_-@_-"/>
    <numFmt numFmtId="169" formatCode="0.0%"/>
    <numFmt numFmtId="170" formatCode="0.00000"/>
  </numFmts>
  <fonts count="65" x14ac:knownFonts="1">
    <font>
      <sz val="11"/>
      <color theme="1"/>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0"/>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9"/>
      <color indexed="81"/>
      <name val="Tahoma"/>
      <family val="2"/>
    </font>
    <font>
      <b/>
      <sz val="9"/>
      <color indexed="81"/>
      <name val="Tahoma"/>
      <family val="2"/>
    </font>
    <font>
      <sz val="11"/>
      <name val="Calibri"/>
      <family val="2"/>
      <scheme val="minor"/>
    </font>
    <font>
      <b/>
      <sz val="12"/>
      <color theme="1"/>
      <name val="Times New Roman"/>
      <family val="1"/>
    </font>
    <font>
      <sz val="12"/>
      <color theme="1"/>
      <name val="Times New Roman"/>
      <family val="1"/>
    </font>
    <font>
      <b/>
      <sz val="12"/>
      <color theme="0"/>
      <name val="Times New Roman"/>
      <family val="1"/>
    </font>
    <font>
      <b/>
      <sz val="12"/>
      <color rgb="FFFA7D00"/>
      <name val="Times New Roman"/>
      <family val="1"/>
    </font>
    <font>
      <b/>
      <sz val="12"/>
      <color theme="4"/>
      <name val="Times New Roman"/>
      <family val="1"/>
    </font>
    <font>
      <b/>
      <sz val="12"/>
      <name val="Times New Roman"/>
      <family val="1"/>
    </font>
    <font>
      <sz val="8"/>
      <name val="Calibri"/>
      <family val="2"/>
      <scheme val="minor"/>
    </font>
    <font>
      <sz val="11"/>
      <color rgb="FF000000"/>
      <name val="Calibri"/>
      <family val="2"/>
    </font>
    <font>
      <u/>
      <sz val="12"/>
      <color theme="1"/>
      <name val="Times New Roman"/>
      <family val="1"/>
    </font>
    <font>
      <sz val="12"/>
      <color theme="0"/>
      <name val="Times New Roman"/>
      <family val="1"/>
    </font>
    <font>
      <sz val="12"/>
      <color rgb="FF000000"/>
      <name val="Times New Roman"/>
      <family val="1"/>
    </font>
    <font>
      <sz val="12"/>
      <name val="Times New Roman"/>
      <family val="1"/>
    </font>
    <font>
      <sz val="28"/>
      <color theme="1"/>
      <name val="Agency FB"/>
      <family val="2"/>
    </font>
    <font>
      <sz val="20"/>
      <color theme="1"/>
      <name val="Calibri"/>
      <family val="2"/>
      <scheme val="minor"/>
    </font>
    <font>
      <sz val="8"/>
      <color theme="1"/>
      <name val="Times New Roman"/>
      <family val="1"/>
    </font>
    <font>
      <b/>
      <sz val="8"/>
      <color theme="1"/>
      <name val="Times New Roman"/>
      <family val="1"/>
    </font>
    <font>
      <sz val="26"/>
      <color theme="1"/>
      <name val="Times New Roman"/>
      <family val="1"/>
    </font>
    <font>
      <sz val="11"/>
      <color theme="1"/>
      <name val="Times New Roman"/>
      <family val="1"/>
    </font>
    <font>
      <sz val="28"/>
      <color theme="1"/>
      <name val="Times New Roman"/>
      <family val="1"/>
    </font>
    <font>
      <b/>
      <sz val="11"/>
      <color theme="1"/>
      <name val="Times New Roman"/>
      <family val="1"/>
    </font>
    <font>
      <b/>
      <sz val="11"/>
      <color theme="0"/>
      <name val="Times New Roman"/>
      <family val="1"/>
    </font>
    <font>
      <sz val="11"/>
      <color theme="0"/>
      <name val="Times New Roman"/>
      <family val="1"/>
    </font>
    <font>
      <b/>
      <sz val="11"/>
      <name val="Times New Roman"/>
      <family val="1"/>
    </font>
    <font>
      <sz val="11"/>
      <color rgb="FF002060"/>
      <name val="Times New Roman"/>
      <family val="1"/>
    </font>
    <font>
      <b/>
      <sz val="14"/>
      <color theme="1"/>
      <name val="Times New Roman"/>
      <family val="1"/>
    </font>
    <font>
      <b/>
      <sz val="14"/>
      <name val="Times New Roman"/>
      <family val="1"/>
    </font>
    <font>
      <b/>
      <sz val="11"/>
      <color rgb="FF002060"/>
      <name val="Times New Roman"/>
      <family val="1"/>
    </font>
    <font>
      <sz val="9"/>
      <color rgb="FF002060"/>
      <name val="Times New Roman"/>
      <family val="1"/>
    </font>
    <font>
      <sz val="10"/>
      <name val="Times New Roman"/>
      <family val="1"/>
    </font>
    <font>
      <b/>
      <sz val="14"/>
      <color theme="0"/>
      <name val="Times New Roman"/>
      <family val="1"/>
    </font>
    <font>
      <sz val="11"/>
      <name val="Times New Roman"/>
      <family val="1"/>
    </font>
    <font>
      <b/>
      <sz val="9"/>
      <color theme="1"/>
      <name val="Times New Roman"/>
      <family val="1"/>
    </font>
    <font>
      <b/>
      <sz val="10"/>
      <color theme="1"/>
      <name val="Times New Roman"/>
      <family val="1"/>
    </font>
    <font>
      <b/>
      <sz val="18"/>
      <name val="Times New Roman"/>
      <family val="1"/>
    </font>
    <font>
      <u/>
      <sz val="12"/>
      <name val="Times New Roman"/>
      <family val="1"/>
    </font>
    <font>
      <b/>
      <u/>
      <sz val="12"/>
      <name val="Times New Roman"/>
      <family val="1"/>
    </font>
    <font>
      <sz val="12"/>
      <color theme="8" tint="0.39997558519241921"/>
      <name val="Times New Roman"/>
      <family val="1"/>
    </font>
    <font>
      <sz val="12"/>
      <color theme="7" tint="0.39997558519241921"/>
      <name val="Times New Roman"/>
      <family val="1"/>
    </font>
    <font>
      <u/>
      <sz val="12"/>
      <color theme="8" tint="0.39997558519241921"/>
      <name val="Times New Roman"/>
      <family val="1"/>
    </font>
    <font>
      <sz val="12"/>
      <color rgb="FF007D8A"/>
      <name val="Times New Roman"/>
      <family val="1"/>
    </font>
    <font>
      <b/>
      <sz val="12"/>
      <color theme="6" tint="0.39997558519241921"/>
      <name val="Times New Roman"/>
      <family val="1"/>
    </font>
    <font>
      <sz val="12"/>
      <color theme="6" tint="0.39997558519241921"/>
      <name val="Times New Roman"/>
      <family val="1"/>
    </font>
    <font>
      <b/>
      <i/>
      <sz val="12"/>
      <name val="Times New Roman"/>
      <family val="1"/>
    </font>
    <font>
      <b/>
      <i/>
      <u/>
      <sz val="12"/>
      <name val="Times New Roman"/>
      <family val="1"/>
    </font>
    <font>
      <i/>
      <sz val="12"/>
      <name val="Times New Roman"/>
      <family val="1"/>
    </font>
    <font>
      <i/>
      <u/>
      <sz val="12"/>
      <name val="Times New Roman"/>
      <family val="1"/>
    </font>
    <font>
      <i/>
      <sz val="12"/>
      <color theme="7" tint="0.39997558519241921"/>
      <name val="Times New Roman"/>
      <family val="1"/>
    </font>
    <font>
      <i/>
      <u/>
      <sz val="12"/>
      <color theme="7" tint="0.39997558519241921"/>
      <name val="Times New Roman"/>
      <family val="1"/>
    </font>
    <font>
      <i/>
      <sz val="12"/>
      <color theme="8" tint="0.39997558519241921"/>
      <name val="Times New Roman"/>
      <family val="1"/>
    </font>
    <font>
      <b/>
      <i/>
      <sz val="12"/>
      <color theme="8" tint="0.39997558519241921"/>
      <name val="Times New Roman"/>
      <family val="1"/>
    </font>
    <font>
      <b/>
      <i/>
      <sz val="12"/>
      <color theme="1"/>
      <name val="Times New Roman"/>
      <family val="1"/>
    </font>
    <font>
      <u/>
      <sz val="11"/>
      <color theme="10"/>
      <name val="Calibri"/>
      <family val="2"/>
      <scheme val="minor"/>
    </font>
    <font>
      <sz val="12"/>
      <color rgb="FF002060"/>
      <name val="Times New Roman"/>
      <family val="1"/>
    </font>
    <font>
      <u/>
      <sz val="12"/>
      <color theme="10"/>
      <name val="Times New Roman"/>
      <family val="1"/>
    </font>
  </fonts>
  <fills count="34">
    <fill>
      <patternFill patternType="none"/>
    </fill>
    <fill>
      <patternFill patternType="gray125"/>
    </fill>
    <fill>
      <patternFill patternType="solid">
        <fgColor rgb="FFF2F2F2"/>
      </patternFill>
    </fill>
    <fill>
      <patternFill patternType="solid">
        <fgColor rgb="FFF0F763"/>
        <bgColor indexed="64"/>
      </patternFill>
    </fill>
    <fill>
      <patternFill patternType="solid">
        <fgColor rgb="FFA4E6AC"/>
        <bgColor indexed="64"/>
      </patternFill>
    </fill>
    <fill>
      <patternFill patternType="solid">
        <fgColor theme="3" tint="0.39997558519241921"/>
        <bgColor indexed="64"/>
      </patternFill>
    </fill>
    <fill>
      <patternFill patternType="solid">
        <fgColor rgb="FFE7EE58"/>
        <bgColor indexed="64"/>
      </patternFill>
    </fill>
    <fill>
      <patternFill patternType="solid">
        <fgColor theme="5" tint="0.59999389629810485"/>
        <bgColor indexed="64"/>
      </patternFill>
    </fill>
    <fill>
      <patternFill patternType="solid">
        <fgColor rgb="FFF2F25C"/>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rgb="FF002060"/>
        <bgColor indexed="64"/>
      </patternFill>
    </fill>
    <fill>
      <patternFill patternType="solid">
        <fgColor rgb="FFFFC000"/>
        <bgColor indexed="64"/>
      </patternFill>
    </fill>
    <fill>
      <patternFill patternType="solid">
        <fgColor rgb="FFE0BD66"/>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DAAA00"/>
        <bgColor indexed="64"/>
      </patternFill>
    </fill>
    <fill>
      <patternFill patternType="solid">
        <fgColor rgb="FF00A9E0"/>
        <bgColor indexed="64"/>
      </patternFill>
    </fill>
    <fill>
      <patternFill patternType="solid">
        <fgColor rgb="FF006A8E"/>
        <bgColor indexed="64"/>
      </patternFill>
    </fill>
    <fill>
      <patternFill patternType="solid">
        <fgColor theme="8" tint="0.79998168889431442"/>
        <bgColor indexed="64"/>
      </patternFill>
    </fill>
    <fill>
      <patternFill patternType="solid">
        <fgColor rgb="FF007D8A"/>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8" tint="0.39997558519241921"/>
        <bgColor theme="9"/>
      </patternFill>
    </fill>
    <fill>
      <patternFill patternType="solid">
        <fgColor theme="7" tint="0.59999389629810485"/>
        <bgColor indexed="64"/>
      </patternFill>
    </fill>
    <fill>
      <patternFill patternType="solid">
        <fgColor theme="2" tint="-9.9978637043366805E-2"/>
        <bgColor indexed="64"/>
      </patternFill>
    </fill>
  </fills>
  <borders count="60">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s>
  <cellStyleXfs count="7">
    <xf numFmtId="0" fontId="0" fillId="0" borderId="0"/>
    <xf numFmtId="0" fontId="1" fillId="2" borderId="1" applyNumberFormat="0" applyAlignment="0" applyProtection="0"/>
    <xf numFmtId="0" fontId="2" fillId="0" borderId="2" applyNumberFormat="0" applyFill="0" applyAlignment="0" applyProtection="0"/>
    <xf numFmtId="0" fontId="4" fillId="0" borderId="0"/>
    <xf numFmtId="9" fontId="7" fillId="0" borderId="0" applyFont="0" applyFill="0" applyBorder="0" applyAlignment="0" applyProtection="0"/>
    <xf numFmtId="44" fontId="7" fillId="0" borderId="0" applyFont="0" applyFill="0" applyBorder="0" applyAlignment="0" applyProtection="0"/>
    <xf numFmtId="0" fontId="62" fillId="0" borderId="0" applyNumberFormat="0" applyFill="0" applyBorder="0" applyAlignment="0" applyProtection="0"/>
  </cellStyleXfs>
  <cellXfs count="787">
    <xf numFmtId="0" fontId="0" fillId="0" borderId="0" xfId="0"/>
    <xf numFmtId="0" fontId="3" fillId="0" borderId="0" xfId="0" applyFont="1"/>
    <xf numFmtId="0" fontId="0" fillId="0" borderId="0" xfId="0" applyProtection="1">
      <protection locked="0"/>
    </xf>
    <xf numFmtId="0" fontId="0" fillId="0" borderId="0" xfId="0" applyAlignment="1">
      <alignment horizontal="center"/>
    </xf>
    <xf numFmtId="0" fontId="5" fillId="11" borderId="0" xfId="0" applyFont="1" applyFill="1"/>
    <xf numFmtId="10" fontId="0" fillId="0" borderId="0" xfId="0" applyNumberFormat="1"/>
    <xf numFmtId="0" fontId="0" fillId="0" borderId="3" xfId="0" applyBorder="1" applyProtection="1">
      <protection locked="0"/>
    </xf>
    <xf numFmtId="0" fontId="0" fillId="0" borderId="0" xfId="0" applyProtection="1">
      <protection hidden="1"/>
    </xf>
    <xf numFmtId="0" fontId="5" fillId="11" borderId="0" xfId="0" applyFont="1" applyFill="1" applyProtection="1">
      <protection locked="0"/>
    </xf>
    <xf numFmtId="0" fontId="12" fillId="0" borderId="0" xfId="0" applyFont="1"/>
    <xf numFmtId="0" fontId="12" fillId="0" borderId="0" xfId="0" applyFont="1" applyAlignment="1">
      <alignment horizontal="center"/>
    </xf>
    <xf numFmtId="0" fontId="12" fillId="0" borderId="4" xfId="0" applyFont="1" applyBorder="1" applyAlignment="1">
      <alignment horizontal="center"/>
    </xf>
    <xf numFmtId="0" fontId="11" fillId="0" borderId="0" xfId="0" applyFont="1" applyAlignment="1">
      <alignment horizontal="center"/>
    </xf>
    <xf numFmtId="0" fontId="11" fillId="0" borderId="19" xfId="0" applyFont="1" applyBorder="1" applyAlignment="1">
      <alignment horizontal="center"/>
    </xf>
    <xf numFmtId="0" fontId="12" fillId="0" borderId="0" xfId="0" applyFont="1" applyBorder="1" applyAlignment="1">
      <alignment horizontal="center"/>
    </xf>
    <xf numFmtId="0" fontId="11" fillId="0" borderId="11" xfId="0" applyFont="1" applyBorder="1" applyAlignment="1">
      <alignment horizontal="center"/>
    </xf>
    <xf numFmtId="0" fontId="12" fillId="22" borderId="22" xfId="0" applyFont="1" applyFill="1" applyBorder="1" applyAlignment="1">
      <alignment horizontal="center"/>
    </xf>
    <xf numFmtId="0" fontId="16" fillId="22" borderId="20" xfId="0" applyFont="1" applyFill="1" applyBorder="1" applyAlignment="1">
      <alignment horizontal="center"/>
    </xf>
    <xf numFmtId="0" fontId="13" fillId="23" borderId="29" xfId="2" applyFont="1" applyFill="1" applyBorder="1" applyAlignment="1">
      <alignment horizontal="center"/>
    </xf>
    <xf numFmtId="0" fontId="13" fillId="23" borderId="29" xfId="0" applyFont="1" applyFill="1" applyBorder="1" applyAlignment="1">
      <alignment horizontal="center"/>
    </xf>
    <xf numFmtId="0" fontId="13" fillId="23" borderId="10" xfId="1" applyFont="1" applyFill="1" applyBorder="1" applyAlignment="1">
      <alignment horizontal="center"/>
    </xf>
    <xf numFmtId="0" fontId="13" fillId="23" borderId="11" xfId="0" applyFont="1" applyFill="1" applyBorder="1" applyAlignment="1">
      <alignment horizontal="center"/>
    </xf>
    <xf numFmtId="0" fontId="13" fillId="23" borderId="13" xfId="0" applyFont="1" applyFill="1" applyBorder="1" applyAlignment="1">
      <alignment horizontal="center"/>
    </xf>
    <xf numFmtId="0" fontId="13" fillId="23" borderId="22" xfId="0" applyFont="1" applyFill="1" applyBorder="1" applyAlignment="1">
      <alignment horizontal="center"/>
    </xf>
    <xf numFmtId="0" fontId="11" fillId="24" borderId="3" xfId="0" applyFont="1" applyFill="1" applyBorder="1" applyAlignment="1">
      <alignment horizontal="center"/>
    </xf>
    <xf numFmtId="10" fontId="11" fillId="24" borderId="3" xfId="4" applyNumberFormat="1" applyFont="1" applyFill="1" applyBorder="1" applyAlignment="1" applyProtection="1">
      <alignment horizontal="center"/>
      <protection locked="0"/>
    </xf>
    <xf numFmtId="10" fontId="11" fillId="24" borderId="5" xfId="4" applyNumberFormat="1" applyFont="1" applyFill="1" applyBorder="1" applyAlignment="1" applyProtection="1">
      <alignment horizontal="center"/>
      <protection locked="0"/>
    </xf>
    <xf numFmtId="0" fontId="11" fillId="24" borderId="24" xfId="0" applyFont="1" applyFill="1" applyBorder="1" applyAlignment="1">
      <alignment horizontal="center"/>
    </xf>
    <xf numFmtId="10" fontId="11" fillId="24" borderId="11" xfId="4" applyNumberFormat="1" applyFont="1" applyFill="1" applyBorder="1" applyAlignment="1" applyProtection="1">
      <alignment horizontal="center"/>
      <protection locked="0"/>
    </xf>
    <xf numFmtId="0" fontId="11" fillId="24" borderId="10" xfId="0" applyFont="1" applyFill="1" applyBorder="1" applyAlignment="1">
      <alignment horizontal="center"/>
    </xf>
    <xf numFmtId="0" fontId="14" fillId="24" borderId="25" xfId="1" applyFont="1" applyFill="1" applyBorder="1" applyAlignment="1">
      <alignment horizontal="center"/>
    </xf>
    <xf numFmtId="10" fontId="15" fillId="24" borderId="11" xfId="4" applyNumberFormat="1" applyFont="1" applyFill="1" applyBorder="1" applyAlignment="1">
      <alignment horizontal="center" vertical="center"/>
    </xf>
    <xf numFmtId="0" fontId="14" fillId="24" borderId="10" xfId="1" applyFont="1" applyFill="1" applyBorder="1" applyAlignment="1">
      <alignment horizontal="center"/>
    </xf>
    <xf numFmtId="10" fontId="15" fillId="24" borderId="11" xfId="4" applyNumberFormat="1" applyFont="1" applyFill="1" applyBorder="1" applyAlignment="1">
      <alignment horizontal="center"/>
    </xf>
    <xf numFmtId="9" fontId="11" fillId="24" borderId="11" xfId="0" applyNumberFormat="1" applyFont="1" applyFill="1" applyBorder="1" applyAlignment="1" applyProtection="1">
      <alignment horizontal="center"/>
      <protection locked="0"/>
    </xf>
    <xf numFmtId="10" fontId="11" fillId="24" borderId="11" xfId="0" applyNumberFormat="1" applyFont="1" applyFill="1" applyBorder="1" applyAlignment="1" applyProtection="1">
      <alignment horizontal="center"/>
      <protection locked="0"/>
    </xf>
    <xf numFmtId="0" fontId="15" fillId="24" borderId="11" xfId="0" applyFont="1" applyFill="1" applyBorder="1" applyAlignment="1" applyProtection="1">
      <alignment horizontal="center"/>
      <protection hidden="1"/>
    </xf>
    <xf numFmtId="0" fontId="14" fillId="24" borderId="12" xfId="1" applyFont="1" applyFill="1" applyBorder="1" applyAlignment="1">
      <alignment horizontal="center"/>
    </xf>
    <xf numFmtId="0" fontId="15" fillId="24" borderId="13" xfId="0" applyFont="1" applyFill="1" applyBorder="1" applyAlignment="1" applyProtection="1">
      <alignment horizontal="center"/>
      <protection hidden="1"/>
    </xf>
    <xf numFmtId="10" fontId="11" fillId="24" borderId="29" xfId="0" applyNumberFormat="1" applyFont="1" applyFill="1" applyBorder="1" applyAlignment="1" applyProtection="1">
      <alignment horizontal="center"/>
      <protection locked="0"/>
    </xf>
    <xf numFmtId="43" fontId="11" fillId="24" borderId="11" xfId="0" applyNumberFormat="1" applyFont="1" applyFill="1" applyBorder="1" applyAlignment="1" applyProtection="1">
      <alignment horizontal="center" vertical="center"/>
      <protection locked="0"/>
    </xf>
    <xf numFmtId="43" fontId="11" fillId="24" borderId="11" xfId="0" applyNumberFormat="1" applyFont="1" applyFill="1" applyBorder="1" applyAlignment="1" applyProtection="1">
      <alignment horizontal="center"/>
      <protection locked="0"/>
    </xf>
    <xf numFmtId="9" fontId="11" fillId="24" borderId="13" xfId="0" applyNumberFormat="1" applyFont="1" applyFill="1" applyBorder="1" applyAlignment="1" applyProtection="1">
      <alignment horizontal="center"/>
      <protection locked="0"/>
    </xf>
    <xf numFmtId="0" fontId="11" fillId="24" borderId="3" xfId="0" applyFont="1" applyFill="1" applyBorder="1" applyAlignment="1" applyProtection="1">
      <alignment horizontal="center"/>
      <protection locked="0"/>
    </xf>
    <xf numFmtId="0" fontId="11" fillId="24" borderId="0" xfId="0" applyFont="1" applyFill="1" applyBorder="1" applyAlignment="1">
      <alignment horizontal="center"/>
    </xf>
    <xf numFmtId="0" fontId="11" fillId="24" borderId="12" xfId="0" applyFont="1" applyFill="1" applyBorder="1" applyAlignment="1">
      <alignment horizontal="center"/>
    </xf>
    <xf numFmtId="0" fontId="11" fillId="24" borderId="35" xfId="0" applyFont="1" applyFill="1" applyBorder="1" applyAlignment="1">
      <alignment horizontal="center"/>
    </xf>
    <xf numFmtId="0" fontId="11" fillId="24" borderId="15" xfId="0" applyFont="1" applyFill="1" applyBorder="1" applyAlignment="1" applyProtection="1">
      <alignment horizontal="center"/>
      <protection locked="0"/>
    </xf>
    <xf numFmtId="0" fontId="11" fillId="24" borderId="21" xfId="0" applyFont="1" applyFill="1" applyBorder="1" applyAlignment="1">
      <alignment horizontal="center"/>
    </xf>
    <xf numFmtId="9" fontId="12" fillId="0" borderId="3" xfId="0" applyNumberFormat="1" applyFont="1" applyBorder="1" applyAlignment="1" applyProtection="1">
      <alignment horizontal="center"/>
      <protection locked="0"/>
    </xf>
    <xf numFmtId="0" fontId="0" fillId="0" borderId="0" xfId="0" applyAlignment="1" applyProtection="1">
      <protection locked="0"/>
    </xf>
    <xf numFmtId="0" fontId="12" fillId="0" borderId="0" xfId="0" applyFont="1" applyAlignment="1" applyProtection="1">
      <protection locked="0"/>
    </xf>
    <xf numFmtId="0" fontId="12" fillId="0" borderId="0" xfId="0" applyFont="1" applyAlignment="1" applyProtection="1">
      <alignment horizontal="center"/>
      <protection locked="0"/>
    </xf>
    <xf numFmtId="12" fontId="12" fillId="10" borderId="7" xfId="0" applyNumberFormat="1" applyFont="1" applyFill="1" applyBorder="1" applyAlignment="1" applyProtection="1">
      <alignment horizontal="center"/>
      <protection hidden="1"/>
    </xf>
    <xf numFmtId="0" fontId="12" fillId="10" borderId="3" xfId="0" applyFont="1" applyFill="1" applyBorder="1" applyAlignment="1" applyProtection="1">
      <alignment horizontal="center"/>
      <protection hidden="1"/>
    </xf>
    <xf numFmtId="10" fontId="12" fillId="10" borderId="3" xfId="0" applyNumberFormat="1" applyFont="1" applyFill="1" applyBorder="1" applyAlignment="1" applyProtection="1">
      <alignment horizontal="center"/>
      <protection hidden="1"/>
    </xf>
    <xf numFmtId="8" fontId="12" fillId="10" borderId="0" xfId="0" applyNumberFormat="1" applyFont="1" applyFill="1" applyAlignment="1" applyProtection="1">
      <alignment horizontal="center"/>
      <protection hidden="1"/>
    </xf>
    <xf numFmtId="8" fontId="12" fillId="10" borderId="0" xfId="0" applyNumberFormat="1" applyFont="1" applyFill="1" applyBorder="1" applyAlignment="1" applyProtection="1">
      <alignment horizontal="center"/>
      <protection hidden="1"/>
    </xf>
    <xf numFmtId="0" fontId="12" fillId="10" borderId="0" xfId="0" applyFont="1" applyFill="1" applyProtection="1">
      <protection hidden="1"/>
    </xf>
    <xf numFmtId="0" fontId="12" fillId="15" borderId="3" xfId="0" applyFont="1" applyFill="1" applyBorder="1" applyAlignment="1" applyProtection="1">
      <alignment horizontal="center"/>
    </xf>
    <xf numFmtId="0" fontId="6" fillId="11" borderId="3" xfId="0" applyFont="1" applyFill="1" applyBorder="1" applyAlignment="1" applyProtection="1">
      <alignment horizontal="center"/>
      <protection hidden="1"/>
    </xf>
    <xf numFmtId="0" fontId="12" fillId="21" borderId="16" xfId="0" applyFont="1" applyFill="1" applyBorder="1" applyAlignment="1" applyProtection="1">
      <alignment horizontal="center"/>
    </xf>
    <xf numFmtId="0" fontId="12" fillId="15" borderId="0" xfId="0" applyFont="1" applyFill="1" applyAlignment="1" applyProtection="1">
      <alignment horizontal="center"/>
      <protection locked="0"/>
    </xf>
    <xf numFmtId="0" fontId="12" fillId="0" borderId="0" xfId="0" applyFont="1" applyProtection="1">
      <protection locked="0"/>
    </xf>
    <xf numFmtId="169" fontId="12" fillId="10" borderId="0" xfId="0" applyNumberFormat="1" applyFont="1" applyFill="1" applyAlignment="1" applyProtection="1">
      <alignment horizontal="center"/>
      <protection hidden="1"/>
    </xf>
    <xf numFmtId="10" fontId="12" fillId="10" borderId="0" xfId="0" applyNumberFormat="1" applyFont="1" applyFill="1" applyAlignment="1" applyProtection="1">
      <alignment horizontal="center"/>
      <protection hidden="1"/>
    </xf>
    <xf numFmtId="0" fontId="12" fillId="21" borderId="16" xfId="0" applyFont="1" applyFill="1" applyBorder="1" applyAlignment="1" applyProtection="1">
      <alignment horizontal="center"/>
      <protection hidden="1"/>
    </xf>
    <xf numFmtId="0" fontId="12" fillId="15" borderId="0" xfId="0" applyFont="1" applyFill="1" applyAlignment="1" applyProtection="1">
      <alignment horizontal="center"/>
      <protection hidden="1"/>
    </xf>
    <xf numFmtId="6" fontId="12" fillId="15" borderId="0" xfId="0" applyNumberFormat="1" applyFont="1" applyFill="1" applyAlignment="1" applyProtection="1">
      <alignment horizontal="center"/>
      <protection hidden="1"/>
    </xf>
    <xf numFmtId="0" fontId="12" fillId="0" borderId="0" xfId="0" applyFont="1" applyAlignment="1" applyProtection="1">
      <alignment horizontal="center"/>
    </xf>
    <xf numFmtId="0" fontId="0" fillId="10" borderId="0" xfId="0" applyFill="1" applyProtection="1">
      <protection hidden="1"/>
    </xf>
    <xf numFmtId="0" fontId="12" fillId="0" borderId="3" xfId="0" applyFont="1" applyBorder="1" applyAlignment="1" applyProtection="1">
      <alignment horizontal="center"/>
      <protection locked="0"/>
    </xf>
    <xf numFmtId="0" fontId="12" fillId="26" borderId="0" xfId="0" applyFont="1" applyFill="1" applyAlignment="1" applyProtection="1">
      <alignment horizontal="center"/>
      <protection hidden="1"/>
    </xf>
    <xf numFmtId="6" fontId="12" fillId="26" borderId="0" xfId="0" applyNumberFormat="1" applyFont="1" applyFill="1" applyAlignment="1" applyProtection="1">
      <alignment horizontal="center"/>
      <protection hidden="1"/>
    </xf>
    <xf numFmtId="0" fontId="0" fillId="0" borderId="0" xfId="0" applyFill="1" applyProtection="1">
      <protection locked="0"/>
    </xf>
    <xf numFmtId="6" fontId="22" fillId="26" borderId="0" xfId="0" applyNumberFormat="1" applyFont="1" applyFill="1" applyAlignment="1" applyProtection="1">
      <alignment horizontal="center"/>
      <protection hidden="1"/>
    </xf>
    <xf numFmtId="0" fontId="20" fillId="25" borderId="34" xfId="0" applyFont="1" applyFill="1" applyBorder="1" applyAlignment="1" applyProtection="1">
      <alignment horizontal="center"/>
      <protection locked="0"/>
    </xf>
    <xf numFmtId="0" fontId="20" fillId="25" borderId="34" xfId="0" applyFont="1" applyFill="1" applyBorder="1" applyAlignment="1" applyProtection="1">
      <alignment horizontal="center"/>
    </xf>
    <xf numFmtId="3" fontId="12" fillId="0" borderId="3" xfId="0" applyNumberFormat="1" applyFont="1" applyBorder="1" applyAlignment="1" applyProtection="1">
      <alignment horizontal="center"/>
      <protection locked="0"/>
    </xf>
    <xf numFmtId="6" fontId="12" fillId="0" borderId="3" xfId="0" applyNumberFormat="1" applyFont="1" applyBorder="1" applyAlignment="1" applyProtection="1">
      <alignment horizontal="center"/>
      <protection locked="0"/>
    </xf>
    <xf numFmtId="3" fontId="12" fillId="0" borderId="3" xfId="0" applyNumberFormat="1" applyFont="1" applyBorder="1" applyProtection="1">
      <protection locked="0"/>
    </xf>
    <xf numFmtId="6" fontId="12" fillId="0" borderId="3" xfId="0" applyNumberFormat="1" applyFont="1" applyBorder="1" applyProtection="1">
      <protection locked="0"/>
    </xf>
    <xf numFmtId="0" fontId="12" fillId="0" borderId="6" xfId="0" applyFont="1" applyBorder="1" applyAlignment="1" applyProtection="1">
      <alignment horizontal="center"/>
      <protection locked="0"/>
    </xf>
    <xf numFmtId="3" fontId="12" fillId="0" borderId="6" xfId="0" applyNumberFormat="1" applyFont="1" applyBorder="1" applyAlignment="1" applyProtection="1">
      <alignment horizontal="center"/>
      <protection locked="0"/>
    </xf>
    <xf numFmtId="6" fontId="12" fillId="0" borderId="6" xfId="0" applyNumberFormat="1" applyFont="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center"/>
      <protection locked="0"/>
    </xf>
    <xf numFmtId="6" fontId="12" fillId="0" borderId="0" xfId="0" applyNumberFormat="1" applyFont="1" applyFill="1" applyBorder="1" applyAlignment="1" applyProtection="1">
      <alignment horizontal="center"/>
      <protection locked="0"/>
    </xf>
    <xf numFmtId="0" fontId="0" fillId="0" borderId="0" xfId="0" applyFill="1" applyBorder="1" applyProtection="1">
      <protection locked="0"/>
    </xf>
    <xf numFmtId="12" fontId="12" fillId="21" borderId="3" xfId="0" applyNumberFormat="1" applyFont="1" applyFill="1" applyBorder="1" applyAlignment="1" applyProtection="1">
      <alignment horizontal="center"/>
    </xf>
    <xf numFmtId="0" fontId="12" fillId="26" borderId="3" xfId="0" applyFont="1" applyFill="1" applyBorder="1" applyAlignment="1" applyProtection="1">
      <alignment horizontal="center"/>
    </xf>
    <xf numFmtId="0" fontId="12" fillId="26" borderId="3" xfId="0" applyFont="1" applyFill="1" applyBorder="1" applyAlignment="1" applyProtection="1">
      <alignment horizontal="left"/>
    </xf>
    <xf numFmtId="0" fontId="12" fillId="26" borderId="3" xfId="0" applyFont="1" applyFill="1" applyBorder="1" applyAlignment="1" applyProtection="1">
      <alignment horizontal="center"/>
      <protection hidden="1"/>
    </xf>
    <xf numFmtId="3" fontId="12" fillId="26" borderId="3" xfId="0" applyNumberFormat="1" applyFont="1" applyFill="1" applyBorder="1" applyAlignment="1" applyProtection="1">
      <alignment horizontal="center"/>
      <protection hidden="1"/>
    </xf>
    <xf numFmtId="6" fontId="12" fillId="26" borderId="3" xfId="0" applyNumberFormat="1" applyFont="1" applyFill="1" applyBorder="1" applyAlignment="1" applyProtection="1">
      <alignment horizontal="center"/>
      <protection hidden="1"/>
    </xf>
    <xf numFmtId="6" fontId="12" fillId="7" borderId="3" xfId="0" applyNumberFormat="1" applyFont="1" applyFill="1" applyBorder="1" applyAlignment="1" applyProtection="1">
      <alignment horizontal="center"/>
      <protection hidden="1"/>
    </xf>
    <xf numFmtId="6" fontId="12" fillId="0" borderId="3" xfId="0" applyNumberFormat="1" applyFont="1" applyBorder="1" applyAlignment="1" applyProtection="1">
      <alignment horizontal="center"/>
      <protection hidden="1"/>
    </xf>
    <xf numFmtId="0" fontId="12" fillId="26" borderId="3" xfId="0" applyFont="1" applyFill="1" applyBorder="1" applyProtection="1"/>
    <xf numFmtId="6" fontId="12" fillId="26" borderId="3" xfId="0" applyNumberFormat="1" applyFont="1" applyFill="1" applyBorder="1" applyAlignment="1" applyProtection="1">
      <alignment horizontal="center"/>
    </xf>
    <xf numFmtId="3" fontId="12" fillId="26" borderId="3" xfId="0" applyNumberFormat="1" applyFont="1" applyFill="1" applyBorder="1" applyAlignment="1" applyProtection="1">
      <alignment horizontal="center"/>
    </xf>
    <xf numFmtId="3" fontId="0" fillId="0" borderId="0" xfId="0" applyNumberFormat="1" applyProtection="1">
      <protection locked="0"/>
    </xf>
    <xf numFmtId="0" fontId="12" fillId="26" borderId="7" xfId="0" applyFont="1" applyFill="1" applyBorder="1" applyAlignment="1" applyProtection="1">
      <alignment horizontal="center"/>
    </xf>
    <xf numFmtId="0" fontId="12" fillId="0" borderId="0" xfId="0" applyFont="1" applyProtection="1"/>
    <xf numFmtId="0" fontId="12" fillId="0" borderId="0" xfId="0" applyFont="1" applyProtection="1">
      <protection hidden="1"/>
    </xf>
    <xf numFmtId="0" fontId="12" fillId="0" borderId="3" xfId="0" applyFont="1" applyBorder="1" applyAlignment="1" applyProtection="1">
      <alignment horizontal="center"/>
      <protection hidden="1"/>
    </xf>
    <xf numFmtId="0" fontId="12" fillId="26" borderId="7" xfId="0" applyFont="1" applyFill="1" applyBorder="1" applyAlignment="1" applyProtection="1">
      <alignment horizontal="center" vertical="center"/>
    </xf>
    <xf numFmtId="0" fontId="12" fillId="26" borderId="3" xfId="0" applyFont="1" applyFill="1" applyBorder="1" applyAlignment="1" applyProtection="1">
      <alignment horizontal="center" vertical="center"/>
    </xf>
    <xf numFmtId="0" fontId="12" fillId="26" borderId="3" xfId="0" applyFont="1" applyFill="1" applyBorder="1" applyAlignment="1" applyProtection="1">
      <alignment horizontal="center" vertical="center" wrapText="1"/>
    </xf>
    <xf numFmtId="0" fontId="12" fillId="0" borderId="3" xfId="0" applyFont="1" applyFill="1" applyBorder="1" applyAlignment="1" applyProtection="1">
      <alignment horizontal="center"/>
      <protection hidden="1"/>
    </xf>
    <xf numFmtId="6" fontId="20" fillId="23" borderId="3" xfId="0" applyNumberFormat="1" applyFont="1" applyFill="1" applyBorder="1" applyAlignment="1" applyProtection="1">
      <alignment horizontal="center"/>
      <protection hidden="1"/>
    </xf>
    <xf numFmtId="0" fontId="12" fillId="21" borderId="3" xfId="0" applyFont="1" applyFill="1" applyBorder="1" applyProtection="1">
      <protection hidden="1"/>
    </xf>
    <xf numFmtId="6" fontId="11" fillId="21" borderId="3" xfId="0" applyNumberFormat="1" applyFont="1" applyFill="1" applyBorder="1" applyAlignment="1" applyProtection="1">
      <alignment horizontal="center"/>
      <protection hidden="1"/>
    </xf>
    <xf numFmtId="10" fontId="12" fillId="26" borderId="0" xfId="0" applyNumberFormat="1" applyFont="1" applyFill="1" applyAlignment="1" applyProtection="1">
      <alignment horizontal="center"/>
      <protection hidden="1"/>
    </xf>
    <xf numFmtId="3" fontId="20" fillId="23" borderId="3" xfId="0" applyNumberFormat="1" applyFont="1" applyFill="1" applyBorder="1" applyAlignment="1" applyProtection="1">
      <alignment horizontal="center"/>
      <protection hidden="1"/>
    </xf>
    <xf numFmtId="3" fontId="12" fillId="26" borderId="0" xfId="0" applyNumberFormat="1" applyFont="1" applyFill="1" applyAlignment="1" applyProtection="1">
      <alignment horizontal="center"/>
      <protection hidden="1"/>
    </xf>
    <xf numFmtId="0" fontId="13" fillId="5" borderId="3" xfId="0" applyFont="1" applyFill="1" applyBorder="1" applyAlignment="1" applyProtection="1">
      <alignment horizontal="center"/>
    </xf>
    <xf numFmtId="0" fontId="11" fillId="26" borderId="3" xfId="0" applyFont="1" applyFill="1" applyBorder="1" applyAlignment="1" applyProtection="1">
      <alignment horizontal="center"/>
    </xf>
    <xf numFmtId="0" fontId="25" fillId="0" borderId="3" xfId="0" applyFont="1" applyBorder="1" applyAlignment="1" applyProtection="1">
      <alignment horizontal="center"/>
      <protection hidden="1"/>
    </xf>
    <xf numFmtId="12" fontId="25" fillId="0" borderId="3" xfId="0" applyNumberFormat="1" applyFont="1" applyBorder="1" applyAlignment="1" applyProtection="1">
      <alignment horizontal="center"/>
      <protection hidden="1"/>
    </xf>
    <xf numFmtId="0" fontId="25" fillId="0" borderId="3" xfId="0" applyFont="1" applyBorder="1" applyAlignment="1" applyProtection="1">
      <alignment horizontal="left"/>
      <protection hidden="1"/>
    </xf>
    <xf numFmtId="6" fontId="25" fillId="0" borderId="3" xfId="0" applyNumberFormat="1" applyFont="1" applyBorder="1" applyAlignment="1" applyProtection="1">
      <alignment horizontal="center"/>
      <protection hidden="1"/>
    </xf>
    <xf numFmtId="0" fontId="25" fillId="0" borderId="3" xfId="0" applyFont="1" applyBorder="1" applyProtection="1">
      <protection hidden="1"/>
    </xf>
    <xf numFmtId="0" fontId="26" fillId="0" borderId="3" xfId="0" applyFont="1" applyBorder="1" applyAlignment="1" applyProtection="1">
      <alignment horizontal="center"/>
      <protection hidden="1"/>
    </xf>
    <xf numFmtId="0" fontId="12" fillId="27" borderId="3" xfId="0" applyFont="1" applyFill="1" applyBorder="1" applyAlignment="1" applyProtection="1">
      <alignment horizontal="center"/>
      <protection hidden="1"/>
    </xf>
    <xf numFmtId="0" fontId="13" fillId="25" borderId="4" xfId="0" applyFont="1" applyFill="1" applyBorder="1" applyAlignment="1" applyProtection="1">
      <alignment horizontal="center"/>
      <protection hidden="1"/>
    </xf>
    <xf numFmtId="12" fontId="16" fillId="27" borderId="4" xfId="0" applyNumberFormat="1" applyFont="1" applyFill="1" applyBorder="1" applyAlignment="1" applyProtection="1">
      <protection locked="0"/>
    </xf>
    <xf numFmtId="12" fontId="16" fillId="27" borderId="4" xfId="0" applyNumberFormat="1" applyFont="1" applyFill="1" applyBorder="1" applyAlignment="1" applyProtection="1">
      <alignment horizontal="center"/>
      <protection locked="0"/>
    </xf>
    <xf numFmtId="1" fontId="12" fillId="15" borderId="0" xfId="0" applyNumberFormat="1" applyFont="1" applyFill="1" applyAlignment="1" applyProtection="1">
      <alignment horizontal="center"/>
      <protection hidden="1"/>
    </xf>
    <xf numFmtId="0" fontId="12" fillId="21" borderId="3" xfId="0" applyFont="1" applyFill="1" applyBorder="1" applyAlignment="1" applyProtection="1">
      <alignment horizontal="center"/>
    </xf>
    <xf numFmtId="0" fontId="12" fillId="26" borderId="3" xfId="0" applyFont="1" applyFill="1" applyBorder="1" applyAlignment="1" applyProtection="1">
      <alignment horizontal="center"/>
    </xf>
    <xf numFmtId="0" fontId="0" fillId="0" borderId="0" xfId="0" applyFill="1" applyProtection="1">
      <protection hidden="1"/>
    </xf>
    <xf numFmtId="0" fontId="22" fillId="0" borderId="0" xfId="0" applyFont="1" applyFill="1" applyAlignment="1" applyProtection="1">
      <alignment horizontal="center"/>
      <protection hidden="1"/>
    </xf>
    <xf numFmtId="0" fontId="24" fillId="0" borderId="0" xfId="0" applyFont="1" applyBorder="1" applyAlignment="1" applyProtection="1">
      <alignment horizontal="center"/>
    </xf>
    <xf numFmtId="0" fontId="20" fillId="0" borderId="0" xfId="0" applyFont="1" applyFill="1" applyBorder="1" applyAlignment="1" applyProtection="1">
      <alignment horizontal="center"/>
    </xf>
    <xf numFmtId="6" fontId="20" fillId="0" borderId="0" xfId="0" applyNumberFormat="1" applyFont="1" applyFill="1" applyBorder="1" applyAlignment="1" applyProtection="1">
      <alignment horizontal="center"/>
      <protection hidden="1"/>
    </xf>
    <xf numFmtId="0" fontId="12" fillId="0" borderId="0" xfId="0" applyFont="1" applyBorder="1" applyAlignment="1" applyProtection="1">
      <alignment horizontal="center"/>
      <protection locked="0"/>
    </xf>
    <xf numFmtId="0" fontId="12" fillId="15" borderId="3" xfId="0" applyFont="1" applyFill="1" applyBorder="1" applyAlignment="1" applyProtection="1">
      <alignment horizontal="center"/>
      <protection locked="0"/>
    </xf>
    <xf numFmtId="0" fontId="6" fillId="0" borderId="0" xfId="0" applyFont="1" applyFill="1" applyBorder="1" applyAlignment="1" applyProtection="1">
      <alignment horizontal="center"/>
      <protection hidden="1"/>
    </xf>
    <xf numFmtId="0" fontId="12" fillId="0" borderId="0" xfId="0" applyFont="1" applyFill="1" applyBorder="1" applyAlignment="1" applyProtection="1">
      <alignment horizontal="center"/>
    </xf>
    <xf numFmtId="0" fontId="28" fillId="0" borderId="0" xfId="0" applyFont="1"/>
    <xf numFmtId="0" fontId="30" fillId="0" borderId="3" xfId="0" applyFont="1" applyBorder="1" applyAlignment="1">
      <alignment horizontal="center" vertical="center" wrapText="1"/>
    </xf>
    <xf numFmtId="0" fontId="28" fillId="15" borderId="3" xfId="0" applyFont="1" applyFill="1" applyBorder="1"/>
    <xf numFmtId="0" fontId="28" fillId="15" borderId="3" xfId="0" applyFont="1" applyFill="1" applyBorder="1" applyProtection="1">
      <protection hidden="1"/>
    </xf>
    <xf numFmtId="10" fontId="28" fillId="15" borderId="3" xfId="0" applyNumberFormat="1" applyFont="1" applyFill="1" applyBorder="1" applyAlignment="1" applyProtection="1">
      <alignment horizontal="center" wrapText="1"/>
      <protection hidden="1"/>
    </xf>
    <xf numFmtId="9" fontId="28" fillId="15" borderId="3" xfId="0" applyNumberFormat="1" applyFont="1" applyFill="1" applyBorder="1" applyAlignment="1" applyProtection="1">
      <alignment horizontal="center" wrapText="1"/>
      <protection hidden="1"/>
    </xf>
    <xf numFmtId="0" fontId="28" fillId="15" borderId="3" xfId="0" applyFont="1" applyFill="1" applyBorder="1" applyAlignment="1">
      <alignment horizontal="center"/>
    </xf>
    <xf numFmtId="0" fontId="30" fillId="8" borderId="3" xfId="0" applyFont="1" applyFill="1" applyBorder="1" applyProtection="1">
      <protection locked="0"/>
    </xf>
    <xf numFmtId="3" fontId="30" fillId="8" borderId="3" xfId="0" applyNumberFormat="1" applyFont="1" applyFill="1" applyBorder="1" applyProtection="1">
      <protection locked="0"/>
    </xf>
    <xf numFmtId="3" fontId="28" fillId="15" borderId="3" xfId="0" applyNumberFormat="1" applyFont="1" applyFill="1" applyBorder="1" applyProtection="1">
      <protection hidden="1"/>
    </xf>
    <xf numFmtId="0" fontId="28" fillId="0" borderId="3" xfId="0" applyFont="1" applyBorder="1" applyAlignment="1">
      <alignment horizontal="center"/>
    </xf>
    <xf numFmtId="0" fontId="28" fillId="0" borderId="3" xfId="0" applyFont="1" applyBorder="1"/>
    <xf numFmtId="3" fontId="28" fillId="15" borderId="3" xfId="0" applyNumberFormat="1" applyFont="1" applyFill="1" applyBorder="1" applyAlignment="1" applyProtection="1">
      <alignment horizontal="center"/>
      <protection hidden="1"/>
    </xf>
    <xf numFmtId="0" fontId="30" fillId="0" borderId="20" xfId="0" applyFont="1" applyBorder="1" applyAlignment="1">
      <alignment horizontal="center"/>
    </xf>
    <xf numFmtId="0" fontId="30" fillId="0" borderId="21" xfId="0" applyFont="1" applyBorder="1" applyAlignment="1">
      <alignment horizontal="center"/>
    </xf>
    <xf numFmtId="0" fontId="30" fillId="0" borderId="22" xfId="0" applyFont="1" applyBorder="1" applyAlignment="1">
      <alignment horizontal="center"/>
    </xf>
    <xf numFmtId="0" fontId="28" fillId="15" borderId="24" xfId="0" applyFont="1" applyFill="1" applyBorder="1" applyAlignment="1">
      <alignment horizontal="center"/>
    </xf>
    <xf numFmtId="0" fontId="30" fillId="8" borderId="4" xfId="0" applyFont="1" applyFill="1" applyBorder="1" applyProtection="1">
      <protection locked="0"/>
    </xf>
    <xf numFmtId="3" fontId="30" fillId="8" borderId="4" xfId="0" applyNumberFormat="1" applyFont="1" applyFill="1" applyBorder="1" applyProtection="1">
      <protection locked="0"/>
    </xf>
    <xf numFmtId="3" fontId="28" fillId="15" borderId="26" xfId="0" applyNumberFormat="1" applyFont="1" applyFill="1" applyBorder="1" applyAlignment="1" applyProtection="1">
      <alignment horizontal="center" wrapText="1"/>
      <protection hidden="1"/>
    </xf>
    <xf numFmtId="0" fontId="28" fillId="15" borderId="10" xfId="0" applyFont="1" applyFill="1" applyBorder="1" applyAlignment="1">
      <alignment horizontal="center"/>
    </xf>
    <xf numFmtId="0" fontId="28" fillId="15" borderId="10" xfId="0" applyFont="1" applyFill="1" applyBorder="1"/>
    <xf numFmtId="0" fontId="28" fillId="15" borderId="12" xfId="0" applyFont="1" applyFill="1" applyBorder="1"/>
    <xf numFmtId="0" fontId="30" fillId="0" borderId="0" xfId="0" applyFont="1" applyProtection="1">
      <protection locked="0"/>
    </xf>
    <xf numFmtId="0" fontId="28" fillId="0" borderId="3" xfId="0" applyFont="1" applyBorder="1" applyProtection="1">
      <protection hidden="1"/>
    </xf>
    <xf numFmtId="10" fontId="28" fillId="0" borderId="3" xfId="0" applyNumberFormat="1" applyFont="1" applyBorder="1" applyAlignment="1" applyProtection="1">
      <alignment horizontal="center" wrapText="1"/>
      <protection hidden="1"/>
    </xf>
    <xf numFmtId="9" fontId="28" fillId="0" borderId="3" xfId="0" applyNumberFormat="1" applyFont="1" applyBorder="1" applyAlignment="1" applyProtection="1">
      <alignment horizontal="center" wrapText="1"/>
      <protection hidden="1"/>
    </xf>
    <xf numFmtId="3" fontId="28" fillId="0" borderId="3" xfId="0" applyNumberFormat="1" applyFont="1" applyBorder="1" applyProtection="1">
      <protection hidden="1"/>
    </xf>
    <xf numFmtId="0" fontId="33" fillId="15" borderId="10" xfId="0" applyFont="1" applyFill="1" applyBorder="1" applyAlignment="1">
      <alignment horizontal="center"/>
    </xf>
    <xf numFmtId="3" fontId="28" fillId="15" borderId="11" xfId="0" applyNumberFormat="1" applyFont="1" applyFill="1" applyBorder="1" applyProtection="1">
      <protection hidden="1"/>
    </xf>
    <xf numFmtId="0" fontId="30" fillId="8" borderId="10" xfId="0" applyFont="1" applyFill="1" applyBorder="1" applyProtection="1">
      <protection locked="0"/>
    </xf>
    <xf numFmtId="165" fontId="30" fillId="8" borderId="3" xfId="0" applyNumberFormat="1" applyFont="1" applyFill="1" applyBorder="1" applyProtection="1">
      <protection locked="0"/>
    </xf>
    <xf numFmtId="165" fontId="28" fillId="15" borderId="11" xfId="0" applyNumberFormat="1" applyFont="1" applyFill="1" applyBorder="1" applyProtection="1">
      <protection hidden="1"/>
    </xf>
    <xf numFmtId="0" fontId="28" fillId="6" borderId="10" xfId="0" applyFont="1" applyFill="1" applyBorder="1" applyAlignment="1">
      <alignment horizontal="center" vertical="center" wrapText="1"/>
    </xf>
    <xf numFmtId="3" fontId="28" fillId="0" borderId="3" xfId="0" applyNumberFormat="1" applyFont="1" applyBorder="1" applyProtection="1">
      <protection locked="0"/>
    </xf>
    <xf numFmtId="0" fontId="28" fillId="6" borderId="10" xfId="0" applyFont="1" applyFill="1" applyBorder="1" applyAlignment="1">
      <alignment horizontal="left" vertical="center" indent="1"/>
    </xf>
    <xf numFmtId="0" fontId="28" fillId="6" borderId="10" xfId="0" applyFont="1" applyFill="1" applyBorder="1" applyAlignment="1">
      <alignment horizontal="left" wrapText="1" indent="1"/>
    </xf>
    <xf numFmtId="0" fontId="28" fillId="6" borderId="10" xfId="0" applyFont="1" applyFill="1" applyBorder="1" applyAlignment="1">
      <alignment horizontal="left" indent="1"/>
    </xf>
    <xf numFmtId="0" fontId="30" fillId="6" borderId="12" xfId="0" applyFont="1" applyFill="1" applyBorder="1" applyAlignment="1">
      <alignment horizontal="center" vertical="center"/>
    </xf>
    <xf numFmtId="0" fontId="28" fillId="0" borderId="30" xfId="0" applyFont="1" applyBorder="1"/>
    <xf numFmtId="0" fontId="28" fillId="0" borderId="31" xfId="0" applyFont="1" applyBorder="1"/>
    <xf numFmtId="0" fontId="28" fillId="0" borderId="34" xfId="0" applyFont="1" applyBorder="1"/>
    <xf numFmtId="165" fontId="28" fillId="0" borderId="35" xfId="0" applyNumberFormat="1" applyFont="1" applyBorder="1"/>
    <xf numFmtId="0" fontId="28" fillId="6" borderId="35" xfId="0" applyFont="1" applyFill="1" applyBorder="1" applyProtection="1">
      <protection locked="0"/>
    </xf>
    <xf numFmtId="165" fontId="28" fillId="0" borderId="45" xfId="0" applyNumberFormat="1" applyFont="1" applyBorder="1" applyProtection="1">
      <protection hidden="1"/>
    </xf>
    <xf numFmtId="166" fontId="30" fillId="0" borderId="3" xfId="0" applyNumberFormat="1" applyFont="1" applyBorder="1" applyProtection="1">
      <protection hidden="1"/>
    </xf>
    <xf numFmtId="165" fontId="28" fillId="6" borderId="15" xfId="0" applyNumberFormat="1" applyFont="1" applyFill="1" applyBorder="1" applyProtection="1">
      <protection locked="0"/>
    </xf>
    <xf numFmtId="166" fontId="28" fillId="0" borderId="4" xfId="0" applyNumberFormat="1" applyFont="1" applyBorder="1" applyProtection="1">
      <protection hidden="1"/>
    </xf>
    <xf numFmtId="0" fontId="30" fillId="16" borderId="30" xfId="0" applyFont="1" applyFill="1" applyBorder="1" applyAlignment="1">
      <alignment horizontal="center"/>
    </xf>
    <xf numFmtId="0" fontId="30" fillId="16" borderId="31" xfId="0" applyFont="1" applyFill="1" applyBorder="1" applyAlignment="1">
      <alignment horizontal="center"/>
    </xf>
    <xf numFmtId="0" fontId="30" fillId="16" borderId="32" xfId="0" applyFont="1" applyFill="1" applyBorder="1" applyAlignment="1">
      <alignment horizontal="center"/>
    </xf>
    <xf numFmtId="165" fontId="28" fillId="0" borderId="3" xfId="0" applyNumberFormat="1" applyFont="1" applyBorder="1" applyProtection="1">
      <protection hidden="1"/>
    </xf>
    <xf numFmtId="165" fontId="28" fillId="0" borderId="11" xfId="0" applyNumberFormat="1" applyFont="1" applyBorder="1" applyProtection="1">
      <protection hidden="1"/>
    </xf>
    <xf numFmtId="169" fontId="28" fillId="6" borderId="3" xfId="0" applyNumberFormat="1" applyFont="1" applyFill="1" applyBorder="1" applyAlignment="1" applyProtection="1">
      <alignment horizontal="center"/>
      <protection locked="0"/>
    </xf>
    <xf numFmtId="10" fontId="28" fillId="0" borderId="3" xfId="0" applyNumberFormat="1" applyFont="1" applyBorder="1" applyAlignment="1" applyProtection="1">
      <alignment horizontal="center"/>
      <protection hidden="1"/>
    </xf>
    <xf numFmtId="0" fontId="30" fillId="17" borderId="10" xfId="0" applyFont="1" applyFill="1" applyBorder="1"/>
    <xf numFmtId="0" fontId="33" fillId="15" borderId="34" xfId="0" applyFont="1" applyFill="1" applyBorder="1"/>
    <xf numFmtId="0" fontId="31" fillId="20" borderId="3" xfId="0" applyFont="1" applyFill="1" applyBorder="1"/>
    <xf numFmtId="165" fontId="32" fillId="20" borderId="3" xfId="0" applyNumberFormat="1" applyFont="1" applyFill="1" applyBorder="1" applyProtection="1">
      <protection hidden="1"/>
    </xf>
    <xf numFmtId="0" fontId="31" fillId="23" borderId="3" xfId="0" applyFont="1" applyFill="1" applyBorder="1" applyAlignment="1">
      <alignment horizontal="center"/>
    </xf>
    <xf numFmtId="165" fontId="31" fillId="20" borderId="3" xfId="0" applyNumberFormat="1" applyFont="1" applyFill="1" applyBorder="1" applyProtection="1">
      <protection hidden="1"/>
    </xf>
    <xf numFmtId="165" fontId="28" fillId="20" borderId="3" xfId="0" applyNumberFormat="1" applyFont="1" applyFill="1" applyBorder="1" applyProtection="1">
      <protection hidden="1"/>
    </xf>
    <xf numFmtId="0" fontId="31" fillId="20" borderId="3" xfId="0" applyFont="1" applyFill="1" applyBorder="1" applyProtection="1">
      <protection hidden="1"/>
    </xf>
    <xf numFmtId="165" fontId="30" fillId="20" borderId="3" xfId="0" applyNumberFormat="1" applyFont="1" applyFill="1" applyBorder="1" applyProtection="1">
      <protection hidden="1"/>
    </xf>
    <xf numFmtId="165" fontId="30" fillId="20" borderId="11" xfId="0" applyNumberFormat="1" applyFont="1" applyFill="1" applyBorder="1" applyProtection="1">
      <protection hidden="1"/>
    </xf>
    <xf numFmtId="0" fontId="31" fillId="20" borderId="15" xfId="0" applyFont="1" applyFill="1" applyBorder="1"/>
    <xf numFmtId="165" fontId="30" fillId="20" borderId="15" xfId="0" applyNumberFormat="1" applyFont="1" applyFill="1" applyBorder="1" applyProtection="1">
      <protection hidden="1"/>
    </xf>
    <xf numFmtId="0" fontId="28" fillId="20" borderId="13" xfId="0" applyFont="1" applyFill="1" applyBorder="1" applyProtection="1">
      <protection hidden="1"/>
    </xf>
    <xf numFmtId="0" fontId="31" fillId="23" borderId="8" xfId="0" applyFont="1" applyFill="1" applyBorder="1" applyAlignment="1">
      <alignment horizontal="center"/>
    </xf>
    <xf numFmtId="0" fontId="31" fillId="23" borderId="14" xfId="0" applyFont="1" applyFill="1" applyBorder="1" applyAlignment="1">
      <alignment horizontal="center"/>
    </xf>
    <xf numFmtId="0" fontId="31" fillId="23" borderId="9" xfId="0" applyFont="1" applyFill="1" applyBorder="1" applyAlignment="1">
      <alignment horizontal="center"/>
    </xf>
    <xf numFmtId="165" fontId="31" fillId="20" borderId="11" xfId="0" applyNumberFormat="1" applyFont="1" applyFill="1" applyBorder="1" applyProtection="1">
      <protection hidden="1"/>
    </xf>
    <xf numFmtId="165" fontId="31" fillId="20" borderId="15" xfId="0" applyNumberFormat="1" applyFont="1" applyFill="1" applyBorder="1" applyProtection="1">
      <protection hidden="1"/>
    </xf>
    <xf numFmtId="0" fontId="28" fillId="20" borderId="13" xfId="0" applyNumberFormat="1" applyFont="1" applyFill="1" applyBorder="1" applyProtection="1">
      <protection hidden="1"/>
    </xf>
    <xf numFmtId="12" fontId="31" fillId="23" borderId="14" xfId="0" applyNumberFormat="1" applyFont="1" applyFill="1" applyBorder="1" applyAlignment="1">
      <alignment horizontal="center" wrapText="1"/>
    </xf>
    <xf numFmtId="3" fontId="28" fillId="20" borderId="3" xfId="0" applyNumberFormat="1" applyFont="1" applyFill="1" applyBorder="1" applyProtection="1">
      <protection locked="0"/>
    </xf>
    <xf numFmtId="165" fontId="31" fillId="20" borderId="40" xfId="0" applyNumberFormat="1" applyFont="1" applyFill="1" applyBorder="1" applyProtection="1">
      <protection hidden="1"/>
    </xf>
    <xf numFmtId="165" fontId="31" fillId="20" borderId="13" xfId="0" applyNumberFormat="1" applyFont="1" applyFill="1" applyBorder="1" applyProtection="1">
      <protection hidden="1"/>
    </xf>
    <xf numFmtId="0" fontId="30" fillId="20" borderId="34" xfId="0" applyFont="1" applyFill="1" applyBorder="1"/>
    <xf numFmtId="165" fontId="31" fillId="20" borderId="15" xfId="0" applyNumberFormat="1" applyFont="1" applyFill="1" applyBorder="1"/>
    <xf numFmtId="0" fontId="28" fillId="21" borderId="8" xfId="0" applyFont="1" applyFill="1" applyBorder="1"/>
    <xf numFmtId="0" fontId="28" fillId="21" borderId="12" xfId="0" applyFont="1" applyFill="1" applyBorder="1"/>
    <xf numFmtId="164" fontId="28" fillId="28" borderId="9" xfId="0" applyNumberFormat="1" applyFont="1" applyFill="1" applyBorder="1" applyProtection="1">
      <protection hidden="1"/>
    </xf>
    <xf numFmtId="164" fontId="28" fillId="28" borderId="13" xfId="0" applyNumberFormat="1" applyFont="1" applyFill="1" applyBorder="1" applyProtection="1">
      <protection hidden="1"/>
    </xf>
    <xf numFmtId="0" fontId="28" fillId="28" borderId="31" xfId="0" applyFont="1" applyFill="1" applyBorder="1" applyAlignment="1">
      <alignment horizontal="center"/>
    </xf>
    <xf numFmtId="0" fontId="28" fillId="28" borderId="32" xfId="0" applyFont="1" applyFill="1" applyBorder="1" applyAlignment="1">
      <alignment horizontal="center"/>
    </xf>
    <xf numFmtId="0" fontId="28" fillId="0" borderId="0" xfId="0" applyFont="1" applyAlignment="1">
      <alignment horizontal="center"/>
    </xf>
    <xf numFmtId="0" fontId="33" fillId="28" borderId="10" xfId="0" applyFont="1" applyFill="1" applyBorder="1" applyAlignment="1">
      <alignment horizontal="center" vertical="center" wrapText="1"/>
    </xf>
    <xf numFmtId="12" fontId="33" fillId="28" borderId="10" xfId="0" applyNumberFormat="1" applyFont="1" applyFill="1" applyBorder="1" applyAlignment="1">
      <alignment horizontal="center" vertical="center" wrapText="1"/>
    </xf>
    <xf numFmtId="12" fontId="33" fillId="28" borderId="12" xfId="0" applyNumberFormat="1" applyFont="1" applyFill="1" applyBorder="1" applyAlignment="1">
      <alignment horizontal="center" vertical="center" wrapText="1"/>
    </xf>
    <xf numFmtId="12" fontId="31" fillId="25" borderId="14" xfId="0" applyNumberFormat="1" applyFont="1" applyFill="1" applyBorder="1" applyAlignment="1">
      <alignment horizontal="center" wrapText="1"/>
    </xf>
    <xf numFmtId="12" fontId="31" fillId="25" borderId="9" xfId="0" applyNumberFormat="1" applyFont="1" applyFill="1" applyBorder="1" applyAlignment="1">
      <alignment horizontal="center" wrapText="1"/>
    </xf>
    <xf numFmtId="0" fontId="31" fillId="25" borderId="8" xfId="0" applyFont="1" applyFill="1" applyBorder="1" applyAlignment="1">
      <alignment horizontal="center"/>
    </xf>
    <xf numFmtId="0" fontId="30" fillId="21" borderId="10" xfId="0" applyFont="1" applyFill="1" applyBorder="1"/>
    <xf numFmtId="0" fontId="33" fillId="29" borderId="10" xfId="0" applyFont="1" applyFill="1" applyBorder="1"/>
    <xf numFmtId="0" fontId="30" fillId="17" borderId="24" xfId="0" applyFont="1" applyFill="1" applyBorder="1" applyAlignment="1">
      <alignment horizontal="left" indent="1"/>
    </xf>
    <xf numFmtId="0" fontId="28" fillId="0" borderId="4" xfId="0" applyFont="1" applyBorder="1" applyAlignment="1">
      <alignment horizontal="center"/>
    </xf>
    <xf numFmtId="0" fontId="28" fillId="0" borderId="4" xfId="0" applyFont="1" applyBorder="1"/>
    <xf numFmtId="0" fontId="34" fillId="6" borderId="4" xfId="0" applyFont="1" applyFill="1" applyBorder="1" applyAlignment="1" applyProtection="1">
      <alignment horizontal="center"/>
      <protection locked="0"/>
    </xf>
    <xf numFmtId="0" fontId="34" fillId="6" borderId="26" xfId="0" applyFont="1" applyFill="1" applyBorder="1" applyAlignment="1" applyProtection="1">
      <alignment horizontal="center"/>
      <protection locked="0"/>
    </xf>
    <xf numFmtId="0" fontId="30" fillId="17" borderId="10" xfId="0" applyFont="1" applyFill="1" applyBorder="1" applyAlignment="1">
      <alignment horizontal="left" indent="1"/>
    </xf>
    <xf numFmtId="0" fontId="28" fillId="0" borderId="3" xfId="0" applyFont="1" applyBorder="1" applyAlignment="1">
      <alignment horizontal="center" wrapText="1"/>
    </xf>
    <xf numFmtId="0" fontId="28" fillId="0" borderId="10" xfId="0" applyFont="1" applyBorder="1" applyAlignment="1">
      <alignment horizontal="left" indent="1"/>
    </xf>
    <xf numFmtId="0" fontId="34" fillId="8" borderId="3" xfId="0" applyFont="1" applyFill="1" applyBorder="1" applyAlignment="1" applyProtection="1">
      <alignment horizontal="center"/>
      <protection locked="0"/>
    </xf>
    <xf numFmtId="0" fontId="34" fillId="8" borderId="11" xfId="0" applyFont="1" applyFill="1" applyBorder="1" applyAlignment="1" applyProtection="1">
      <alignment horizontal="center"/>
      <protection locked="0"/>
    </xf>
    <xf numFmtId="0" fontId="28" fillId="0" borderId="3" xfId="0" applyFont="1" applyBorder="1" applyAlignment="1">
      <alignment horizontal="center" vertical="center"/>
    </xf>
    <xf numFmtId="0" fontId="34" fillId="8" borderId="3" xfId="0" applyFont="1" applyFill="1" applyBorder="1" applyAlignment="1" applyProtection="1">
      <alignment horizontal="center" vertical="center"/>
      <protection locked="0"/>
    </xf>
    <xf numFmtId="0" fontId="34" fillId="8" borderId="11" xfId="0" applyFont="1" applyFill="1" applyBorder="1" applyAlignment="1" applyProtection="1">
      <alignment horizontal="center" vertical="center"/>
      <protection locked="0"/>
    </xf>
    <xf numFmtId="0" fontId="30" fillId="17" borderId="12" xfId="0" applyFont="1" applyFill="1" applyBorder="1" applyAlignment="1">
      <alignment horizontal="left" indent="1"/>
    </xf>
    <xf numFmtId="0" fontId="28" fillId="0" borderId="15" xfId="0" applyFont="1" applyBorder="1" applyAlignment="1">
      <alignment horizontal="center"/>
    </xf>
    <xf numFmtId="0" fontId="31" fillId="11" borderId="8" xfId="0" applyFont="1" applyFill="1" applyBorder="1" applyAlignment="1">
      <alignment horizontal="center"/>
    </xf>
    <xf numFmtId="0" fontId="32" fillId="11" borderId="10" xfId="0" applyFont="1" applyFill="1" applyBorder="1"/>
    <xf numFmtId="0" fontId="33" fillId="18" borderId="10" xfId="0" applyFont="1" applyFill="1" applyBorder="1"/>
    <xf numFmtId="165" fontId="33" fillId="18" borderId="3" xfId="0" applyNumberFormat="1" applyFont="1" applyFill="1" applyBorder="1" applyProtection="1">
      <protection hidden="1"/>
    </xf>
    <xf numFmtId="165" fontId="33" fillId="18" borderId="11" xfId="0" applyNumberFormat="1" applyFont="1" applyFill="1" applyBorder="1" applyProtection="1">
      <protection hidden="1"/>
    </xf>
    <xf numFmtId="0" fontId="31" fillId="11" borderId="10" xfId="0" applyFont="1" applyFill="1" applyBorder="1" applyAlignment="1">
      <alignment horizontal="left" indent="1"/>
    </xf>
    <xf numFmtId="165" fontId="32" fillId="11" borderId="3" xfId="0" applyNumberFormat="1" applyFont="1" applyFill="1" applyBorder="1" applyProtection="1">
      <protection hidden="1"/>
    </xf>
    <xf numFmtId="165" fontId="32" fillId="11" borderId="11" xfId="0" applyNumberFormat="1" applyFont="1" applyFill="1" applyBorder="1" applyProtection="1">
      <protection hidden="1"/>
    </xf>
    <xf numFmtId="0" fontId="28" fillId="15" borderId="0" xfId="0" applyFont="1" applyFill="1"/>
    <xf numFmtId="165" fontId="31" fillId="11" borderId="3" xfId="0" applyNumberFormat="1" applyFont="1" applyFill="1" applyBorder="1" applyProtection="1">
      <protection hidden="1"/>
    </xf>
    <xf numFmtId="0" fontId="30" fillId="15" borderId="10" xfId="0" applyFont="1" applyFill="1" applyBorder="1"/>
    <xf numFmtId="165" fontId="28" fillId="15" borderId="3" xfId="0" applyNumberFormat="1" applyFont="1" applyFill="1" applyBorder="1" applyProtection="1">
      <protection hidden="1"/>
    </xf>
    <xf numFmtId="0" fontId="31" fillId="14" borderId="10" xfId="0" applyFont="1" applyFill="1" applyBorder="1"/>
    <xf numFmtId="165" fontId="31" fillId="14" borderId="3" xfId="0" applyNumberFormat="1" applyFont="1" applyFill="1" applyBorder="1" applyProtection="1">
      <protection hidden="1"/>
    </xf>
    <xf numFmtId="0" fontId="31" fillId="11" borderId="10" xfId="0" applyFont="1" applyFill="1" applyBorder="1"/>
    <xf numFmtId="165" fontId="30" fillId="15" borderId="3" xfId="0" applyNumberFormat="1" applyFont="1" applyFill="1" applyBorder="1" applyProtection="1">
      <protection hidden="1"/>
    </xf>
    <xf numFmtId="0" fontId="31" fillId="11" borderId="12" xfId="0" applyFont="1" applyFill="1" applyBorder="1"/>
    <xf numFmtId="165" fontId="31" fillId="11" borderId="15" xfId="0" applyNumberFormat="1" applyFont="1" applyFill="1" applyBorder="1" applyProtection="1">
      <protection hidden="1"/>
    </xf>
    <xf numFmtId="0" fontId="28" fillId="18" borderId="10" xfId="0" applyFont="1" applyFill="1" applyBorder="1"/>
    <xf numFmtId="165" fontId="28" fillId="18" borderId="3" xfId="0" applyNumberFormat="1" applyFont="1" applyFill="1" applyBorder="1" applyProtection="1">
      <protection hidden="1"/>
    </xf>
    <xf numFmtId="0" fontId="30" fillId="18" borderId="10" xfId="0" applyFont="1" applyFill="1" applyBorder="1"/>
    <xf numFmtId="165" fontId="30" fillId="18" borderId="3" xfId="0" applyNumberFormat="1" applyFont="1" applyFill="1" applyBorder="1" applyProtection="1">
      <protection hidden="1"/>
    </xf>
    <xf numFmtId="165" fontId="30" fillId="18" borderId="11" xfId="0" applyNumberFormat="1" applyFont="1" applyFill="1" applyBorder="1" applyProtection="1">
      <protection hidden="1"/>
    </xf>
    <xf numFmtId="0" fontId="28" fillId="0" borderId="10" xfId="0" applyFont="1" applyBorder="1"/>
    <xf numFmtId="0" fontId="28" fillId="0" borderId="11" xfId="0" applyFont="1" applyBorder="1"/>
    <xf numFmtId="0" fontId="37" fillId="13" borderId="0" xfId="0" applyFont="1" applyFill="1"/>
    <xf numFmtId="165" fontId="37" fillId="13" borderId="0" xfId="0" applyNumberFormat="1" applyFont="1" applyFill="1" applyProtection="1">
      <protection hidden="1"/>
    </xf>
    <xf numFmtId="12" fontId="31" fillId="25" borderId="21" xfId="0" applyNumberFormat="1" applyFont="1" applyFill="1" applyBorder="1" applyAlignment="1" applyProtection="1">
      <alignment horizontal="center" vertical="center" wrapText="1"/>
      <protection hidden="1"/>
    </xf>
    <xf numFmtId="0" fontId="30" fillId="10" borderId="10" xfId="0" applyFont="1" applyFill="1" applyBorder="1"/>
    <xf numFmtId="3" fontId="28" fillId="10" borderId="3" xfId="0" applyNumberFormat="1" applyFont="1" applyFill="1" applyBorder="1" applyAlignment="1" applyProtection="1">
      <alignment horizontal="center" vertical="center"/>
      <protection hidden="1"/>
    </xf>
    <xf numFmtId="0" fontId="28" fillId="10" borderId="10" xfId="0" applyFont="1" applyFill="1" applyBorder="1"/>
    <xf numFmtId="3" fontId="28" fillId="10" borderId="11" xfId="0" applyNumberFormat="1" applyFont="1" applyFill="1" applyBorder="1" applyAlignment="1" applyProtection="1">
      <alignment horizontal="center" vertical="center"/>
      <protection hidden="1"/>
    </xf>
    <xf numFmtId="0" fontId="31" fillId="0" borderId="0" xfId="0" applyFont="1" applyFill="1" applyBorder="1"/>
    <xf numFmtId="0" fontId="28" fillId="0" borderId="0" xfId="0" applyFont="1" applyFill="1" applyBorder="1"/>
    <xf numFmtId="0" fontId="34" fillId="10" borderId="10" xfId="0" applyFont="1" applyFill="1" applyBorder="1" applyAlignment="1">
      <alignment horizontal="left" indent="1"/>
    </xf>
    <xf numFmtId="0" fontId="38" fillId="10" borderId="10" xfId="0" applyFont="1" applyFill="1" applyBorder="1"/>
    <xf numFmtId="0" fontId="39" fillId="0" borderId="0" xfId="0" applyFont="1" applyFill="1"/>
    <xf numFmtId="167" fontId="39" fillId="0" borderId="0" xfId="5" applyNumberFormat="1" applyFont="1" applyFill="1"/>
    <xf numFmtId="167" fontId="28" fillId="0" borderId="0" xfId="0" applyNumberFormat="1" applyFont="1" applyFill="1"/>
    <xf numFmtId="0" fontId="40" fillId="23" borderId="8" xfId="0" applyFont="1" applyFill="1" applyBorder="1" applyAlignment="1">
      <alignment horizontal="center" vertical="center" wrapText="1"/>
    </xf>
    <xf numFmtId="0" fontId="30" fillId="19" borderId="10" xfId="0" applyFont="1" applyFill="1" applyBorder="1"/>
    <xf numFmtId="0" fontId="30" fillId="19" borderId="12" xfId="0" applyFont="1" applyFill="1" applyBorder="1" applyAlignment="1">
      <alignment horizontal="center"/>
    </xf>
    <xf numFmtId="9" fontId="28" fillId="21" borderId="9" xfId="0" applyNumberFormat="1" applyFont="1" applyFill="1" applyBorder="1" applyAlignment="1" applyProtection="1">
      <alignment horizontal="center"/>
      <protection locked="0"/>
    </xf>
    <xf numFmtId="9" fontId="28" fillId="21" borderId="11" xfId="0" applyNumberFormat="1" applyFont="1" applyFill="1" applyBorder="1" applyAlignment="1" applyProtection="1">
      <alignment horizontal="center"/>
      <protection locked="0"/>
    </xf>
    <xf numFmtId="0" fontId="31" fillId="11" borderId="8" xfId="0" applyFont="1" applyFill="1" applyBorder="1" applyAlignment="1">
      <alignment horizontal="left"/>
    </xf>
    <xf numFmtId="0" fontId="31" fillId="11" borderId="10" xfId="0" applyFont="1" applyFill="1" applyBorder="1" applyAlignment="1">
      <alignment horizontal="left"/>
    </xf>
    <xf numFmtId="12" fontId="31" fillId="25" borderId="3" xfId="0" applyNumberFormat="1" applyFont="1" applyFill="1" applyBorder="1" applyAlignment="1" applyProtection="1">
      <alignment horizontal="center" vertical="center" wrapText="1"/>
      <protection hidden="1"/>
    </xf>
    <xf numFmtId="12" fontId="31" fillId="25" borderId="14" xfId="0" applyNumberFormat="1" applyFont="1" applyFill="1" applyBorder="1" applyAlignment="1" applyProtection="1">
      <alignment horizontal="center" vertical="center" wrapText="1"/>
      <protection hidden="1"/>
    </xf>
    <xf numFmtId="0" fontId="30" fillId="10" borderId="10" xfId="0" applyFont="1" applyFill="1" applyBorder="1" applyAlignment="1">
      <alignment horizontal="left" indent="1"/>
    </xf>
    <xf numFmtId="0" fontId="30" fillId="18" borderId="12" xfId="0" applyFont="1" applyFill="1" applyBorder="1"/>
    <xf numFmtId="0" fontId="28" fillId="10" borderId="10" xfId="0" applyFont="1" applyFill="1" applyBorder="1" applyAlignment="1">
      <alignment horizontal="left" indent="1"/>
    </xf>
    <xf numFmtId="0" fontId="28" fillId="10" borderId="8" xfId="0" applyFont="1" applyFill="1" applyBorder="1" applyAlignment="1">
      <alignment horizontal="left" indent="1"/>
    </xf>
    <xf numFmtId="0" fontId="28" fillId="18" borderId="12" xfId="0" applyFont="1" applyFill="1" applyBorder="1"/>
    <xf numFmtId="0" fontId="40" fillId="23" borderId="10" xfId="0" applyFont="1" applyFill="1" applyBorder="1" applyAlignment="1">
      <alignment horizontal="center" vertical="center"/>
    </xf>
    <xf numFmtId="12" fontId="40" fillId="25" borderId="3" xfId="0" applyNumberFormat="1" applyFont="1" applyFill="1" applyBorder="1" applyAlignment="1" applyProtection="1">
      <alignment horizontal="center" vertical="center" wrapText="1"/>
      <protection hidden="1"/>
    </xf>
    <xf numFmtId="0" fontId="40" fillId="23" borderId="8" xfId="0" applyFont="1" applyFill="1" applyBorder="1" applyAlignment="1">
      <alignment horizontal="center" vertical="center"/>
    </xf>
    <xf numFmtId="12" fontId="40" fillId="25" borderId="14" xfId="0" applyNumberFormat="1" applyFont="1" applyFill="1" applyBorder="1" applyAlignment="1" applyProtection="1">
      <alignment horizontal="center" vertical="center" wrapText="1"/>
      <protection hidden="1"/>
    </xf>
    <xf numFmtId="0" fontId="28" fillId="0" borderId="0" xfId="0" applyFont="1" applyProtection="1">
      <protection locked="0"/>
    </xf>
    <xf numFmtId="167" fontId="35" fillId="30" borderId="18" xfId="0" applyNumberFormat="1" applyFont="1" applyFill="1" applyBorder="1" applyAlignment="1" applyProtection="1">
      <alignment horizontal="center"/>
      <protection hidden="1"/>
    </xf>
    <xf numFmtId="167" fontId="30" fillId="0" borderId="15" xfId="0" applyNumberFormat="1" applyFont="1" applyBorder="1" applyProtection="1">
      <protection hidden="1"/>
    </xf>
    <xf numFmtId="167" fontId="28" fillId="0" borderId="9" xfId="0" applyNumberFormat="1" applyFont="1" applyBorder="1" applyProtection="1">
      <protection hidden="1"/>
    </xf>
    <xf numFmtId="10" fontId="41" fillId="15" borderId="45" xfId="4" applyNumberFormat="1" applyFont="1" applyFill="1" applyBorder="1" applyProtection="1">
      <protection hidden="1"/>
    </xf>
    <xf numFmtId="9" fontId="28" fillId="0" borderId="0" xfId="0" applyNumberFormat="1" applyFont="1"/>
    <xf numFmtId="12" fontId="30" fillId="0" borderId="14" xfId="0" applyNumberFormat="1" applyFont="1" applyBorder="1" applyAlignment="1">
      <alignment horizontal="center" vertical="center"/>
    </xf>
    <xf numFmtId="0" fontId="28" fillId="0" borderId="0" xfId="0" applyFont="1" applyProtection="1">
      <protection hidden="1"/>
    </xf>
    <xf numFmtId="0" fontId="30" fillId="0" borderId="8" xfId="0" applyFont="1" applyBorder="1" applyAlignment="1" applyProtection="1">
      <alignment horizontal="center" vertical="center" wrapText="1"/>
      <protection hidden="1"/>
    </xf>
    <xf numFmtId="0" fontId="30" fillId="0" borderId="14" xfId="0" applyFont="1" applyBorder="1" applyAlignment="1" applyProtection="1">
      <alignment horizontal="center" vertical="center" wrapText="1"/>
      <protection hidden="1"/>
    </xf>
    <xf numFmtId="0" fontId="30" fillId="0" borderId="9" xfId="0" applyFont="1" applyBorder="1" applyAlignment="1" applyProtection="1">
      <alignment horizontal="center" vertical="center" wrapText="1"/>
      <protection hidden="1"/>
    </xf>
    <xf numFmtId="0" fontId="30" fillId="0" borderId="29" xfId="0" applyFont="1" applyBorder="1" applyAlignment="1" applyProtection="1">
      <alignment horizontal="center" vertical="center" wrapText="1"/>
      <protection hidden="1"/>
    </xf>
    <xf numFmtId="0" fontId="42" fillId="0" borderId="3" xfId="0" applyFont="1" applyBorder="1" applyAlignment="1" applyProtection="1">
      <alignment horizontal="left" vertical="center" wrapText="1"/>
      <protection hidden="1"/>
    </xf>
    <xf numFmtId="0" fontId="42" fillId="0" borderId="15" xfId="0" applyFont="1" applyBorder="1" applyAlignment="1" applyProtection="1">
      <alignment horizontal="left" wrapText="1"/>
      <protection hidden="1"/>
    </xf>
    <xf numFmtId="0" fontId="30" fillId="0" borderId="20" xfId="0" applyFont="1" applyBorder="1"/>
    <xf numFmtId="0" fontId="31" fillId="25" borderId="14" xfId="0" applyFont="1" applyFill="1" applyBorder="1" applyAlignment="1">
      <alignment horizontal="center"/>
    </xf>
    <xf numFmtId="12" fontId="31" fillId="25" borderId="14" xfId="0" applyNumberFormat="1" applyFont="1" applyFill="1" applyBorder="1" applyAlignment="1" applyProtection="1">
      <alignment horizontal="center" wrapText="1"/>
      <protection hidden="1"/>
    </xf>
    <xf numFmtId="168" fontId="33" fillId="28" borderId="3" xfId="4" applyNumberFormat="1" applyFont="1" applyFill="1" applyBorder="1" applyProtection="1">
      <protection hidden="1"/>
    </xf>
    <xf numFmtId="10" fontId="33" fillId="28" borderId="3" xfId="4" applyNumberFormat="1" applyFont="1" applyFill="1" applyBorder="1" applyProtection="1">
      <protection hidden="1"/>
    </xf>
    <xf numFmtId="10" fontId="33" fillId="28" borderId="15" xfId="4" applyNumberFormat="1" applyFont="1" applyFill="1" applyBorder="1" applyProtection="1">
      <protection hidden="1"/>
    </xf>
    <xf numFmtId="10" fontId="30" fillId="28" borderId="22" xfId="0" applyNumberFormat="1" applyFont="1" applyFill="1" applyBorder="1" applyProtection="1">
      <protection hidden="1"/>
    </xf>
    <xf numFmtId="0" fontId="0" fillId="0" borderId="0" xfId="0" applyAlignment="1" applyProtection="1">
      <alignment horizont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16" fillId="31" borderId="3" xfId="0" applyFont="1" applyFill="1" applyBorder="1" applyAlignment="1" applyProtection="1">
      <alignment horizontal="center" vertical="center" wrapText="1"/>
    </xf>
    <xf numFmtId="0" fontId="0" fillId="0" borderId="0" xfId="0" applyAlignment="1" applyProtection="1">
      <alignment vertical="center"/>
      <protection locked="0"/>
    </xf>
    <xf numFmtId="0" fontId="12" fillId="0" borderId="3" xfId="0" applyFont="1" applyBorder="1" applyAlignment="1" applyProtection="1">
      <alignment horizontal="center"/>
    </xf>
    <xf numFmtId="0" fontId="20" fillId="11" borderId="3" xfId="0" applyFont="1" applyFill="1" applyBorder="1" applyAlignment="1" applyProtection="1">
      <alignment horizontal="center"/>
      <protection hidden="1"/>
    </xf>
    <xf numFmtId="0" fontId="12" fillId="15" borderId="50" xfId="0" applyFont="1" applyFill="1" applyBorder="1" applyAlignment="1" applyProtection="1">
      <alignment horizontal="center"/>
      <protection locked="0"/>
    </xf>
    <xf numFmtId="0" fontId="12" fillId="15" borderId="28" xfId="0" applyFont="1" applyFill="1" applyBorder="1" applyAlignment="1" applyProtection="1">
      <alignment horizontal="center"/>
      <protection locked="0"/>
    </xf>
    <xf numFmtId="6" fontId="12" fillId="15" borderId="44" xfId="0" applyNumberFormat="1" applyFont="1" applyFill="1" applyBorder="1" applyAlignment="1" applyProtection="1">
      <alignment horizontal="center"/>
      <protection locked="0"/>
    </xf>
    <xf numFmtId="0" fontId="12" fillId="15" borderId="48" xfId="0" applyFont="1" applyFill="1" applyBorder="1" applyAlignment="1" applyProtection="1">
      <alignment horizontal="center"/>
      <protection locked="0"/>
    </xf>
    <xf numFmtId="0" fontId="12" fillId="15" borderId="0" xfId="0" applyFont="1" applyFill="1" applyBorder="1" applyAlignment="1" applyProtection="1">
      <alignment horizontal="center"/>
      <protection locked="0"/>
    </xf>
    <xf numFmtId="6" fontId="12" fillId="15" borderId="51" xfId="0" applyNumberFormat="1" applyFont="1" applyFill="1" applyBorder="1" applyAlignment="1" applyProtection="1">
      <alignment horizontal="center"/>
      <protection locked="0"/>
    </xf>
    <xf numFmtId="0" fontId="12" fillId="15" borderId="57" xfId="0" applyFont="1" applyFill="1" applyBorder="1" applyAlignment="1" applyProtection="1">
      <alignment horizontal="center"/>
      <protection locked="0"/>
    </xf>
    <xf numFmtId="0" fontId="12" fillId="15" borderId="52" xfId="0" applyFont="1" applyFill="1" applyBorder="1" applyAlignment="1" applyProtection="1">
      <alignment horizontal="center"/>
      <protection locked="0"/>
    </xf>
    <xf numFmtId="6" fontId="12" fillId="15" borderId="47" xfId="0" applyNumberFormat="1" applyFont="1" applyFill="1" applyBorder="1" applyAlignment="1" applyProtection="1">
      <alignment horizontal="center"/>
      <protection locked="0"/>
    </xf>
    <xf numFmtId="0" fontId="0" fillId="0" borderId="0" xfId="0" applyProtection="1"/>
    <xf numFmtId="0" fontId="12" fillId="5" borderId="3" xfId="0" applyFont="1" applyFill="1" applyBorder="1" applyAlignment="1" applyProtection="1">
      <alignment horizontal="center" vertical="center"/>
    </xf>
    <xf numFmtId="8" fontId="12" fillId="26" borderId="0" xfId="0" applyNumberFormat="1" applyFont="1" applyFill="1" applyAlignment="1" applyProtection="1">
      <alignment horizontal="center"/>
      <protection hidden="1"/>
    </xf>
    <xf numFmtId="3" fontId="12" fillId="26" borderId="0" xfId="0" applyNumberFormat="1" applyFont="1" applyFill="1" applyAlignment="1" applyProtection="1">
      <alignment horizontal="center" vertical="center" wrapText="1"/>
      <protection hidden="1"/>
    </xf>
    <xf numFmtId="3" fontId="22" fillId="26" borderId="0" xfId="0" applyNumberFormat="1" applyFont="1" applyFill="1" applyAlignment="1" applyProtection="1">
      <alignment horizontal="center"/>
      <protection hidden="1"/>
    </xf>
    <xf numFmtId="10" fontId="22" fillId="26" borderId="0" xfId="0" applyNumberFormat="1" applyFont="1" applyFill="1" applyAlignment="1" applyProtection="1">
      <alignment horizontal="center"/>
      <protection hidden="1"/>
    </xf>
    <xf numFmtId="8" fontId="22" fillId="26" borderId="0" xfId="0" applyNumberFormat="1" applyFont="1" applyFill="1" applyAlignment="1" applyProtection="1">
      <alignment horizontal="center"/>
      <protection hidden="1"/>
    </xf>
    <xf numFmtId="0" fontId="10" fillId="17" borderId="0" xfId="0" applyFont="1" applyFill="1" applyProtection="1"/>
    <xf numFmtId="0" fontId="16" fillId="9" borderId="0" xfId="0" applyFont="1" applyFill="1" applyBorder="1" applyAlignment="1" applyProtection="1">
      <alignment horizontal="center"/>
    </xf>
    <xf numFmtId="0" fontId="22" fillId="17" borderId="0" xfId="0" applyFont="1" applyFill="1" applyProtection="1"/>
    <xf numFmtId="0" fontId="22" fillId="9" borderId="0" xfId="0" applyFont="1" applyFill="1" applyAlignment="1" applyProtection="1">
      <alignment vertical="center" wrapText="1"/>
    </xf>
    <xf numFmtId="0" fontId="22" fillId="9" borderId="0" xfId="0" applyFont="1" applyFill="1" applyProtection="1"/>
    <xf numFmtId="0" fontId="12" fillId="9" borderId="0" xfId="0" applyFont="1" applyFill="1" applyProtection="1"/>
    <xf numFmtId="0" fontId="22" fillId="17" borderId="41" xfId="0" applyFont="1" applyFill="1" applyBorder="1" applyProtection="1"/>
    <xf numFmtId="0" fontId="22" fillId="17" borderId="3" xfId="0" applyFont="1" applyFill="1" applyBorder="1" applyAlignment="1" applyProtection="1">
      <alignment horizontal="center" vertical="center" wrapText="1"/>
    </xf>
    <xf numFmtId="0" fontId="22" fillId="9" borderId="3" xfId="0" applyFont="1" applyFill="1" applyBorder="1" applyAlignment="1" applyProtection="1">
      <alignment horizontal="center" vertical="center" wrapText="1"/>
    </xf>
    <xf numFmtId="0" fontId="20" fillId="5" borderId="6" xfId="0" applyFont="1" applyFill="1" applyBorder="1" applyAlignment="1" applyProtection="1">
      <alignment horizontal="center"/>
      <protection hidden="1"/>
    </xf>
    <xf numFmtId="0" fontId="12" fillId="26" borderId="0" xfId="0" applyNumberFormat="1" applyFont="1" applyFill="1" applyAlignment="1" applyProtection="1">
      <alignment horizontal="center"/>
      <protection hidden="1"/>
    </xf>
    <xf numFmtId="0" fontId="12" fillId="0" borderId="0" xfId="0" applyFont="1" applyAlignment="1" applyProtection="1">
      <alignment horizontal="center" vertical="center"/>
      <protection locked="0"/>
    </xf>
    <xf numFmtId="0" fontId="12" fillId="15" borderId="3" xfId="0" applyFont="1" applyFill="1" applyBorder="1" applyAlignment="1" applyProtection="1">
      <alignment horizontal="center" vertical="center"/>
      <protection locked="0"/>
    </xf>
    <xf numFmtId="0" fontId="12" fillId="15" borderId="0" xfId="0" applyFont="1" applyFill="1" applyAlignment="1" applyProtection="1">
      <alignment horizontal="center" vertical="center"/>
      <protection locked="0"/>
    </xf>
    <xf numFmtId="0" fontId="12" fillId="26" borderId="0" xfId="0" applyFont="1" applyFill="1" applyAlignment="1" applyProtection="1">
      <alignment horizontal="center"/>
      <protection locked="0"/>
    </xf>
    <xf numFmtId="6" fontId="12" fillId="15" borderId="44" xfId="0" applyNumberFormat="1" applyFont="1" applyFill="1" applyBorder="1" applyAlignment="1" applyProtection="1">
      <alignment horizontal="center" vertical="center"/>
      <protection locked="0"/>
    </xf>
    <xf numFmtId="6" fontId="12" fillId="15" borderId="51" xfId="0" applyNumberFormat="1" applyFont="1" applyFill="1" applyBorder="1" applyAlignment="1" applyProtection="1">
      <alignment horizontal="center" vertical="center"/>
      <protection locked="0"/>
    </xf>
    <xf numFmtId="6" fontId="12" fillId="15" borderId="47" xfId="0" applyNumberFormat="1" applyFont="1" applyFill="1" applyBorder="1" applyAlignment="1" applyProtection="1">
      <alignment horizontal="center" vertical="center"/>
      <protection locked="0"/>
    </xf>
    <xf numFmtId="0" fontId="12" fillId="0" borderId="0" xfId="0" applyFont="1" applyAlignment="1" applyProtection="1">
      <alignment horizontal="center" vertical="center"/>
    </xf>
    <xf numFmtId="0" fontId="12" fillId="26" borderId="3" xfId="0" applyFont="1" applyFill="1" applyBorder="1" applyAlignment="1" applyProtection="1">
      <alignment horizontal="center" vertical="center"/>
      <protection hidden="1"/>
    </xf>
    <xf numFmtId="0" fontId="22" fillId="17" borderId="0" xfId="0" applyFont="1" applyFill="1" applyProtection="1">
      <protection hidden="1"/>
    </xf>
    <xf numFmtId="0" fontId="22" fillId="9" borderId="0" xfId="0" applyFont="1" applyFill="1" applyProtection="1">
      <protection hidden="1"/>
    </xf>
    <xf numFmtId="0" fontId="22" fillId="17" borderId="3" xfId="0" applyFont="1" applyFill="1" applyBorder="1" applyAlignment="1" applyProtection="1">
      <alignment horizontal="center" vertical="center" wrapText="1"/>
      <protection hidden="1"/>
    </xf>
    <xf numFmtId="0" fontId="22" fillId="9" borderId="3" xfId="0" applyFont="1" applyFill="1" applyBorder="1" applyAlignment="1" applyProtection="1">
      <alignment horizontal="center" vertical="center" wrapText="1"/>
      <protection hidden="1"/>
    </xf>
    <xf numFmtId="0" fontId="12" fillId="26" borderId="0" xfId="0" applyFont="1" applyFill="1" applyAlignment="1" applyProtection="1">
      <alignment horizontal="center" vertical="center"/>
      <protection hidden="1"/>
    </xf>
    <xf numFmtId="0" fontId="20" fillId="5" borderId="3" xfId="0" applyFont="1" applyFill="1" applyBorder="1" applyAlignment="1" applyProtection="1">
      <alignment horizontal="center"/>
      <protection hidden="1"/>
    </xf>
    <xf numFmtId="0" fontId="22" fillId="17" borderId="49" xfId="0" applyFont="1" applyFill="1" applyBorder="1" applyProtection="1">
      <protection hidden="1"/>
    </xf>
    <xf numFmtId="0" fontId="22" fillId="17" borderId="0" xfId="0" applyFont="1" applyFill="1" applyAlignment="1" applyProtection="1">
      <alignment vertical="center"/>
      <protection hidden="1"/>
    </xf>
    <xf numFmtId="0" fontId="20" fillId="25" borderId="3" xfId="0" applyFont="1" applyFill="1" applyBorder="1" applyAlignment="1" applyProtection="1">
      <alignment horizontal="center"/>
      <protection hidden="1"/>
    </xf>
    <xf numFmtId="8" fontId="12" fillId="0" borderId="0" xfId="0" applyNumberFormat="1" applyFont="1" applyAlignment="1" applyProtection="1">
      <alignment horizontal="center"/>
      <protection locked="0"/>
    </xf>
    <xf numFmtId="0" fontId="0" fillId="0" borderId="0" xfId="0" applyAlignment="1" applyProtection="1">
      <alignment vertical="center"/>
      <protection hidden="1"/>
    </xf>
    <xf numFmtId="8" fontId="12" fillId="0" borderId="0" xfId="0" applyNumberFormat="1" applyFont="1" applyAlignment="1" applyProtection="1">
      <alignment horizontal="center"/>
      <protection hidden="1"/>
    </xf>
    <xf numFmtId="8" fontId="12" fillId="26" borderId="0" xfId="0" applyNumberFormat="1" applyFont="1" applyFill="1" applyAlignment="1" applyProtection="1">
      <alignment horizontal="center" vertical="center"/>
      <protection hidden="1"/>
    </xf>
    <xf numFmtId="0" fontId="22" fillId="9" borderId="5" xfId="0" applyFont="1" applyFill="1" applyBorder="1" applyAlignment="1" applyProtection="1">
      <alignment horizontal="center" vertical="center" wrapText="1"/>
      <protection hidden="1"/>
    </xf>
    <xf numFmtId="8" fontId="12" fillId="26" borderId="3" xfId="0" applyNumberFormat="1" applyFont="1" applyFill="1" applyBorder="1" applyAlignment="1" applyProtection="1">
      <alignment horizontal="center"/>
      <protection hidden="1"/>
    </xf>
    <xf numFmtId="0" fontId="12" fillId="26" borderId="6" xfId="0" applyFont="1" applyFill="1" applyBorder="1" applyAlignment="1" applyProtection="1">
      <alignment horizontal="center"/>
      <protection hidden="1"/>
    </xf>
    <xf numFmtId="8" fontId="12" fillId="26" borderId="6" xfId="0" applyNumberFormat="1" applyFont="1" applyFill="1" applyBorder="1" applyAlignment="1" applyProtection="1">
      <alignment horizontal="center"/>
      <protection hidden="1"/>
    </xf>
    <xf numFmtId="0" fontId="12" fillId="21" borderId="20" xfId="0" applyFont="1" applyFill="1" applyBorder="1" applyAlignment="1" applyProtection="1">
      <alignment horizontal="center"/>
      <protection hidden="1"/>
    </xf>
    <xf numFmtId="8" fontId="12" fillId="21" borderId="21" xfId="0" applyNumberFormat="1" applyFont="1" applyFill="1" applyBorder="1" applyAlignment="1" applyProtection="1">
      <alignment horizontal="center"/>
      <protection hidden="1"/>
    </xf>
    <xf numFmtId="0" fontId="12" fillId="15" borderId="0" xfId="0" applyFont="1" applyFill="1" applyBorder="1" applyAlignment="1" applyProtection="1">
      <alignment horizontal="center" vertical="center"/>
    </xf>
    <xf numFmtId="0" fontId="12" fillId="0" borderId="0" xfId="0" applyFont="1" applyBorder="1" applyAlignment="1" applyProtection="1">
      <alignment horizontal="center" vertical="center"/>
    </xf>
    <xf numFmtId="0" fontId="20" fillId="25" borderId="0" xfId="0" applyFont="1" applyFill="1" applyAlignment="1" applyProtection="1">
      <alignment horizontal="center" vertical="center"/>
    </xf>
    <xf numFmtId="6" fontId="12" fillId="26" borderId="0" xfId="0" applyNumberFormat="1" applyFont="1" applyFill="1" applyAlignment="1" applyProtection="1">
      <alignment horizontal="center" vertical="center"/>
      <protection hidden="1"/>
    </xf>
    <xf numFmtId="0" fontId="12" fillId="5" borderId="0" xfId="0" applyFont="1" applyFill="1" applyAlignment="1" applyProtection="1">
      <alignment horizontal="center"/>
      <protection locked="0"/>
    </xf>
    <xf numFmtId="165" fontId="28" fillId="29" borderId="3" xfId="0" applyNumberFormat="1" applyFont="1" applyFill="1" applyBorder="1" applyProtection="1">
      <protection hidden="1"/>
    </xf>
    <xf numFmtId="165" fontId="28" fillId="29" borderId="11" xfId="0" applyNumberFormat="1" applyFont="1" applyFill="1" applyBorder="1" applyProtection="1">
      <protection hidden="1"/>
    </xf>
    <xf numFmtId="165" fontId="28" fillId="24" borderId="3" xfId="0" applyNumberFormat="1" applyFont="1" applyFill="1" applyBorder="1" applyProtection="1">
      <protection hidden="1"/>
    </xf>
    <xf numFmtId="165" fontId="28" fillId="24" borderId="11" xfId="0" applyNumberFormat="1" applyFont="1" applyFill="1" applyBorder="1" applyProtection="1">
      <protection hidden="1"/>
    </xf>
    <xf numFmtId="165" fontId="28" fillId="21" borderId="3" xfId="0" applyNumberFormat="1" applyFont="1" applyFill="1" applyBorder="1" applyProtection="1">
      <protection hidden="1"/>
    </xf>
    <xf numFmtId="165" fontId="28" fillId="21" borderId="11" xfId="0" applyNumberFormat="1" applyFont="1" applyFill="1" applyBorder="1" applyProtection="1">
      <protection hidden="1"/>
    </xf>
    <xf numFmtId="165" fontId="33" fillId="15" borderId="35" xfId="0" applyNumberFormat="1" applyFont="1" applyFill="1" applyBorder="1" applyProtection="1">
      <protection hidden="1"/>
    </xf>
    <xf numFmtId="165" fontId="33" fillId="15" borderId="45" xfId="0" applyNumberFormat="1" applyFont="1" applyFill="1" applyBorder="1" applyProtection="1">
      <protection hidden="1"/>
    </xf>
    <xf numFmtId="0" fontId="12" fillId="0" borderId="0" xfId="0" applyFont="1" applyFill="1" applyAlignment="1" applyProtection="1">
      <alignment horizontal="center"/>
    </xf>
    <xf numFmtId="0" fontId="28" fillId="0" borderId="0" xfId="0" applyFont="1" applyFill="1"/>
    <xf numFmtId="6" fontId="28" fillId="15" borderId="3" xfId="0" applyNumberFormat="1" applyFont="1" applyFill="1" applyBorder="1" applyAlignment="1" applyProtection="1">
      <alignment horizontal="center"/>
      <protection hidden="1"/>
    </xf>
    <xf numFmtId="6" fontId="28" fillId="0" borderId="3" xfId="0" applyNumberFormat="1" applyFont="1" applyBorder="1" applyAlignment="1">
      <alignment horizontal="center" wrapText="1"/>
    </xf>
    <xf numFmtId="6" fontId="28"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wrapText="1"/>
      <protection locked="0"/>
    </xf>
    <xf numFmtId="6" fontId="34" fillId="0" borderId="3" xfId="0" applyNumberFormat="1" applyFont="1" applyBorder="1" applyAlignment="1" applyProtection="1">
      <alignment horizontal="center"/>
      <protection hidden="1"/>
    </xf>
    <xf numFmtId="6" fontId="34" fillId="3" borderId="3" xfId="0" applyNumberFormat="1" applyFont="1" applyFill="1" applyBorder="1" applyAlignment="1" applyProtection="1">
      <alignment horizontal="center" vertical="center"/>
      <protection locked="0"/>
    </xf>
    <xf numFmtId="6" fontId="28" fillId="15" borderId="3" xfId="0" applyNumberFormat="1" applyFont="1" applyFill="1" applyBorder="1" applyAlignment="1" applyProtection="1">
      <alignment horizontal="center" vertical="center"/>
      <protection hidden="1"/>
    </xf>
    <xf numFmtId="6" fontId="28" fillId="0" borderId="15" xfId="0" applyNumberFormat="1" applyFont="1" applyBorder="1" applyAlignment="1">
      <alignment horizontal="center" vertical="center"/>
    </xf>
    <xf numFmtId="6" fontId="28" fillId="0" borderId="15" xfId="0" applyNumberFormat="1" applyFont="1" applyBorder="1" applyAlignment="1" applyProtection="1">
      <alignment horizontal="center" vertical="center"/>
      <protection hidden="1"/>
    </xf>
    <xf numFmtId="6" fontId="30" fillId="10" borderId="3" xfId="0" applyNumberFormat="1" applyFont="1" applyFill="1" applyBorder="1" applyAlignment="1" applyProtection="1">
      <alignment horizontal="center"/>
      <protection hidden="1"/>
    </xf>
    <xf numFmtId="6" fontId="30" fillId="18" borderId="15" xfId="0" applyNumberFormat="1" applyFont="1" applyFill="1" applyBorder="1" applyAlignment="1" applyProtection="1">
      <alignment horizontal="center"/>
      <protection hidden="1"/>
    </xf>
    <xf numFmtId="6" fontId="28" fillId="10" borderId="3" xfId="0" applyNumberFormat="1" applyFont="1" applyFill="1" applyBorder="1" applyAlignment="1" applyProtection="1">
      <alignment horizontal="center" vertical="center" wrapText="1"/>
      <protection hidden="1"/>
    </xf>
    <xf numFmtId="6" fontId="28" fillId="18" borderId="15" xfId="0" applyNumberFormat="1" applyFont="1" applyFill="1" applyBorder="1" applyAlignment="1" applyProtection="1">
      <alignment horizontal="center" vertical="center" wrapText="1"/>
      <protection hidden="1"/>
    </xf>
    <xf numFmtId="6" fontId="28" fillId="10" borderId="3" xfId="0" applyNumberFormat="1" applyFont="1" applyFill="1" applyBorder="1" applyAlignment="1" applyProtection="1">
      <alignment horizontal="center" wrapText="1"/>
      <protection hidden="1"/>
    </xf>
    <xf numFmtId="6" fontId="30" fillId="21" borderId="3" xfId="0" applyNumberFormat="1" applyFont="1" applyFill="1" applyBorder="1" applyAlignment="1" applyProtection="1">
      <alignment horizontal="center" wrapText="1"/>
      <protection locked="0"/>
    </xf>
    <xf numFmtId="6" fontId="28" fillId="10" borderId="14" xfId="0" applyNumberFormat="1" applyFont="1" applyFill="1" applyBorder="1" applyAlignment="1" applyProtection="1">
      <alignment horizontal="center" wrapText="1"/>
      <protection hidden="1"/>
    </xf>
    <xf numFmtId="0" fontId="16" fillId="19" borderId="3" xfId="0" applyFont="1" applyFill="1" applyBorder="1" applyAlignment="1" applyProtection="1">
      <alignment horizontal="center" vertical="center"/>
    </xf>
    <xf numFmtId="0" fontId="22" fillId="19" borderId="3" xfId="0" applyFont="1" applyFill="1" applyBorder="1" applyAlignment="1" applyProtection="1">
      <alignment horizontal="center" vertical="center"/>
    </xf>
    <xf numFmtId="0" fontId="55" fillId="17" borderId="3" xfId="0" applyFont="1" applyFill="1" applyBorder="1" applyAlignment="1" applyProtection="1">
      <alignment horizontal="center" vertical="center" wrapText="1"/>
    </xf>
    <xf numFmtId="0" fontId="53" fillId="17" borderId="3" xfId="0" applyFont="1" applyFill="1" applyBorder="1" applyAlignment="1" applyProtection="1">
      <alignment horizontal="center" vertical="center" wrapText="1"/>
    </xf>
    <xf numFmtId="0" fontId="55" fillId="17" borderId="4" xfId="0" applyFont="1" applyFill="1" applyBorder="1" applyAlignment="1" applyProtection="1">
      <alignment horizontal="center" vertical="center"/>
    </xf>
    <xf numFmtId="0" fontId="55" fillId="9" borderId="3" xfId="0" applyFont="1" applyFill="1" applyBorder="1" applyAlignment="1" applyProtection="1">
      <alignment horizontal="center" vertical="center" wrapText="1"/>
    </xf>
    <xf numFmtId="0" fontId="55" fillId="9" borderId="3" xfId="0" applyFont="1" applyFill="1" applyBorder="1" applyAlignment="1" applyProtection="1">
      <alignment horizontal="center" vertical="center"/>
    </xf>
    <xf numFmtId="0" fontId="55" fillId="9" borderId="4" xfId="0" applyFont="1" applyFill="1" applyBorder="1" applyAlignment="1" applyProtection="1">
      <alignment horizontal="center" vertical="center" wrapText="1"/>
    </xf>
    <xf numFmtId="0" fontId="55" fillId="9" borderId="5" xfId="0" applyFont="1" applyFill="1" applyBorder="1" applyAlignment="1" applyProtection="1">
      <alignment horizontal="center" vertical="center" wrapText="1"/>
    </xf>
    <xf numFmtId="165" fontId="28" fillId="0" borderId="35" xfId="0" applyNumberFormat="1" applyFont="1" applyBorder="1" applyAlignment="1">
      <alignment horizontal="center"/>
    </xf>
    <xf numFmtId="8" fontId="12" fillId="0" borderId="0" xfId="0" applyNumberFormat="1" applyFont="1" applyFill="1" applyAlignment="1" applyProtection="1">
      <alignment horizontal="center"/>
      <protection hidden="1"/>
    </xf>
    <xf numFmtId="0" fontId="12" fillId="0" borderId="0" xfId="0" applyFont="1" applyFill="1" applyAlignment="1" applyProtection="1">
      <alignment horizontal="center"/>
      <protection hidden="1"/>
    </xf>
    <xf numFmtId="10" fontId="12" fillId="0" borderId="0" xfId="0" applyNumberFormat="1" applyFont="1" applyFill="1" applyAlignment="1" applyProtection="1">
      <alignment horizontal="center"/>
      <protection hidden="1"/>
    </xf>
    <xf numFmtId="169" fontId="12" fillId="0" borderId="0" xfId="0" applyNumberFormat="1" applyFont="1" applyFill="1" applyAlignment="1" applyProtection="1">
      <alignment horizontal="center"/>
      <protection hidden="1"/>
    </xf>
    <xf numFmtId="0" fontId="12" fillId="15" borderId="3" xfId="0" applyFont="1" applyFill="1" applyBorder="1" applyAlignment="1" applyProtection="1">
      <alignment horizontal="center"/>
      <protection hidden="1"/>
    </xf>
    <xf numFmtId="0" fontId="0" fillId="0" borderId="3" xfId="0" applyBorder="1" applyProtection="1">
      <protection hidden="1"/>
    </xf>
    <xf numFmtId="0" fontId="12" fillId="15" borderId="3" xfId="0" applyFont="1" applyFill="1" applyBorder="1" applyAlignment="1" applyProtection="1">
      <alignment horizontal="center" vertical="center"/>
      <protection hidden="1"/>
    </xf>
    <xf numFmtId="0" fontId="12" fillId="15" borderId="0" xfId="0" applyFont="1" applyFill="1" applyAlignment="1" applyProtection="1">
      <alignment horizontal="center" vertical="center"/>
      <protection hidden="1"/>
    </xf>
    <xf numFmtId="6" fontId="28" fillId="10" borderId="3" xfId="0" applyNumberFormat="1" applyFont="1" applyFill="1" applyBorder="1" applyAlignment="1" applyProtection="1">
      <alignment horizontal="center" vertical="center"/>
      <protection hidden="1"/>
    </xf>
    <xf numFmtId="6" fontId="28" fillId="10" borderId="11" xfId="0" applyNumberFormat="1" applyFont="1" applyFill="1" applyBorder="1" applyAlignment="1" applyProtection="1">
      <alignment horizontal="center" vertical="center"/>
      <protection hidden="1"/>
    </xf>
    <xf numFmtId="6" fontId="34" fillId="10" borderId="3" xfId="0" applyNumberFormat="1" applyFont="1" applyFill="1" applyBorder="1" applyAlignment="1" applyProtection="1">
      <alignment horizontal="center" vertical="center"/>
      <protection hidden="1"/>
    </xf>
    <xf numFmtId="6" fontId="34" fillId="10" borderId="11" xfId="0" applyNumberFormat="1" applyFont="1" applyFill="1" applyBorder="1" applyAlignment="1" applyProtection="1">
      <alignment horizontal="center" vertical="center"/>
      <protection hidden="1"/>
    </xf>
    <xf numFmtId="6" fontId="30" fillId="19" borderId="15" xfId="0" applyNumberFormat="1" applyFont="1" applyFill="1" applyBorder="1" applyAlignment="1" applyProtection="1">
      <alignment horizontal="center"/>
      <protection hidden="1"/>
    </xf>
    <xf numFmtId="6" fontId="30" fillId="19" borderId="3" xfId="0" applyNumberFormat="1" applyFont="1" applyFill="1" applyBorder="1" applyAlignment="1" applyProtection="1">
      <alignment horizontal="center" vertical="center"/>
      <protection hidden="1"/>
    </xf>
    <xf numFmtId="0" fontId="34" fillId="10" borderId="10" xfId="0" applyFont="1" applyFill="1" applyBorder="1" applyAlignment="1">
      <alignment horizontal="left"/>
    </xf>
    <xf numFmtId="9" fontId="28" fillId="12" borderId="13" xfId="0" applyNumberFormat="1" applyFont="1" applyFill="1" applyBorder="1" applyAlignment="1">
      <alignment horizontal="center"/>
    </xf>
    <xf numFmtId="0" fontId="28" fillId="16" borderId="10" xfId="0" applyFont="1" applyFill="1" applyBorder="1"/>
    <xf numFmtId="6" fontId="28" fillId="16" borderId="3" xfId="0" applyNumberFormat="1" applyFont="1" applyFill="1" applyBorder="1" applyAlignment="1" applyProtection="1">
      <alignment horizontal="center" vertical="center" wrapText="1"/>
      <protection hidden="1"/>
    </xf>
    <xf numFmtId="0" fontId="41" fillId="5" borderId="12" xfId="0" applyFont="1" applyFill="1" applyBorder="1"/>
    <xf numFmtId="6" fontId="41" fillId="5" borderId="15" xfId="0" applyNumberFormat="1" applyFont="1" applyFill="1" applyBorder="1" applyAlignment="1" applyProtection="1">
      <alignment horizontal="center" wrapText="1"/>
      <protection hidden="1"/>
    </xf>
    <xf numFmtId="0" fontId="33" fillId="19" borderId="12" xfId="0" applyFont="1" applyFill="1" applyBorder="1"/>
    <xf numFmtId="6" fontId="33" fillId="19" borderId="15" xfId="0" applyNumberFormat="1" applyFont="1" applyFill="1" applyBorder="1" applyAlignment="1" applyProtection="1">
      <alignment horizontal="center" wrapText="1"/>
      <protection hidden="1"/>
    </xf>
    <xf numFmtId="0" fontId="12" fillId="26" borderId="0" xfId="0" applyNumberFormat="1" applyFont="1" applyFill="1" applyAlignment="1" applyProtection="1">
      <alignment horizontal="center" vertical="center"/>
      <protection hidden="1"/>
    </xf>
    <xf numFmtId="9" fontId="28" fillId="32" borderId="3" xfId="0" applyNumberFormat="1" applyFont="1" applyFill="1" applyBorder="1" applyAlignment="1" applyProtection="1">
      <alignment horizontal="center"/>
      <protection locked="0"/>
    </xf>
    <xf numFmtId="8" fontId="28" fillId="26" borderId="3" xfId="0" applyNumberFormat="1" applyFont="1" applyFill="1" applyBorder="1" applyAlignment="1" applyProtection="1">
      <alignment horizontal="center"/>
      <protection locked="0"/>
    </xf>
    <xf numFmtId="0" fontId="20" fillId="5" borderId="3" xfId="0" applyFont="1" applyFill="1" applyBorder="1" applyAlignment="1" applyProtection="1">
      <alignment horizontal="center"/>
      <protection hidden="1"/>
    </xf>
    <xf numFmtId="6" fontId="34" fillId="18" borderId="3" xfId="0" applyNumberFormat="1" applyFont="1" applyFill="1" applyBorder="1" applyAlignment="1" applyProtection="1">
      <alignment horizontal="center" wrapText="1"/>
      <protection hidden="1"/>
    </xf>
    <xf numFmtId="0" fontId="12" fillId="0" borderId="3" xfId="0" applyFont="1" applyFill="1" applyBorder="1" applyAlignment="1" applyProtection="1">
      <alignment horizontal="center"/>
      <protection locked="0"/>
    </xf>
    <xf numFmtId="9" fontId="12" fillId="0" borderId="3" xfId="0" applyNumberFormat="1" applyFont="1" applyFill="1" applyBorder="1" applyAlignment="1" applyProtection="1">
      <alignment horizontal="center"/>
      <protection locked="0"/>
    </xf>
    <xf numFmtId="0" fontId="28" fillId="26" borderId="3" xfId="0" applyFont="1" applyFill="1" applyBorder="1" applyAlignment="1" applyProtection="1">
      <alignment horizontal="center"/>
      <protection locked="0"/>
    </xf>
    <xf numFmtId="8" fontId="28" fillId="26" borderId="3" xfId="5" applyNumberFormat="1" applyFont="1" applyFill="1" applyBorder="1" applyAlignment="1" applyProtection="1">
      <alignment horizontal="center"/>
      <protection locked="0"/>
    </xf>
    <xf numFmtId="0" fontId="12" fillId="0" borderId="3" xfId="0" applyFont="1" applyBorder="1" applyProtection="1">
      <protection locked="0"/>
    </xf>
    <xf numFmtId="0" fontId="12" fillId="32" borderId="3" xfId="0" applyFont="1" applyFill="1" applyBorder="1" applyProtection="1">
      <protection locked="0"/>
    </xf>
    <xf numFmtId="0" fontId="12" fillId="32" borderId="3" xfId="0" applyFont="1" applyFill="1" applyBorder="1" applyAlignment="1" applyProtection="1">
      <alignment horizontal="center"/>
      <protection locked="0"/>
    </xf>
    <xf numFmtId="9" fontId="12" fillId="32" borderId="3" xfId="0" applyNumberFormat="1" applyFont="1" applyFill="1" applyBorder="1" applyAlignment="1" applyProtection="1">
      <alignment horizontal="center"/>
      <protection locked="0"/>
    </xf>
    <xf numFmtId="0" fontId="12" fillId="26" borderId="3" xfId="0" applyFont="1" applyFill="1" applyBorder="1" applyAlignment="1" applyProtection="1">
      <alignment horizontal="center"/>
      <protection locked="0"/>
    </xf>
    <xf numFmtId="6" fontId="12" fillId="26" borderId="3" xfId="0" applyNumberFormat="1" applyFont="1" applyFill="1" applyBorder="1" applyAlignment="1" applyProtection="1">
      <alignment horizontal="center"/>
      <protection locked="0"/>
    </xf>
    <xf numFmtId="8" fontId="12" fillId="26" borderId="3" xfId="0" applyNumberFormat="1" applyFont="1" applyFill="1" applyBorder="1" applyAlignment="1" applyProtection="1">
      <alignment horizontal="center"/>
      <protection locked="0"/>
    </xf>
    <xf numFmtId="8" fontId="12" fillId="0" borderId="3" xfId="0" applyNumberFormat="1" applyFont="1" applyBorder="1" applyProtection="1">
      <protection locked="0"/>
    </xf>
    <xf numFmtId="8" fontId="12" fillId="26" borderId="3" xfId="5" applyNumberFormat="1" applyFont="1" applyFill="1" applyBorder="1" applyAlignment="1" applyProtection="1">
      <alignment horizontal="center"/>
      <protection locked="0"/>
    </xf>
    <xf numFmtId="0" fontId="12" fillId="7" borderId="29" xfId="0" applyFont="1" applyFill="1" applyBorder="1" applyAlignment="1" applyProtection="1">
      <alignment horizontal="center"/>
      <protection locked="0"/>
    </xf>
    <xf numFmtId="8" fontId="12" fillId="0" borderId="3" xfId="5" applyNumberFormat="1" applyFont="1" applyBorder="1" applyAlignment="1" applyProtection="1">
      <alignment horizontal="center"/>
      <protection locked="0"/>
    </xf>
    <xf numFmtId="0" fontId="64" fillId="0" borderId="0" xfId="6" applyFont="1" applyProtection="1">
      <protection locked="0"/>
    </xf>
    <xf numFmtId="8" fontId="28" fillId="0" borderId="3" xfId="0" applyNumberFormat="1" applyFont="1" applyBorder="1" applyAlignment="1" applyProtection="1">
      <alignment horizontal="center"/>
      <protection locked="0"/>
    </xf>
    <xf numFmtId="0" fontId="13" fillId="23" borderId="3" xfId="6"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vertical="center"/>
      <protection locked="0"/>
    </xf>
    <xf numFmtId="0" fontId="11" fillId="26" borderId="10" xfId="0" applyFont="1" applyFill="1" applyBorder="1" applyProtection="1">
      <protection locked="0"/>
    </xf>
    <xf numFmtId="3" fontId="12" fillId="26" borderId="3" xfId="0" applyNumberFormat="1" applyFont="1" applyFill="1" applyBorder="1" applyAlignment="1" applyProtection="1">
      <alignment horizontal="center"/>
      <protection locked="0"/>
    </xf>
    <xf numFmtId="0" fontId="11" fillId="19" borderId="10" xfId="0" applyFont="1" applyFill="1" applyBorder="1" applyProtection="1">
      <protection locked="0"/>
    </xf>
    <xf numFmtId="6" fontId="11" fillId="19" borderId="3" xfId="0" applyNumberFormat="1" applyFont="1" applyFill="1" applyBorder="1" applyAlignment="1" applyProtection="1">
      <alignment horizontal="center"/>
      <protection locked="0"/>
    </xf>
    <xf numFmtId="0" fontId="63" fillId="10" borderId="10" xfId="0" applyFont="1" applyFill="1" applyBorder="1" applyProtection="1">
      <protection locked="0"/>
    </xf>
    <xf numFmtId="0" fontId="12" fillId="26" borderId="10" xfId="0" applyFont="1" applyFill="1" applyBorder="1" applyProtection="1">
      <protection locked="0"/>
    </xf>
    <xf numFmtId="8" fontId="12" fillId="26" borderId="3" xfId="0" applyNumberFormat="1" applyFont="1" applyFill="1" applyBorder="1" applyProtection="1">
      <protection locked="0"/>
    </xf>
    <xf numFmtId="0" fontId="63" fillId="10" borderId="10" xfId="0" applyFont="1" applyFill="1" applyBorder="1" applyAlignment="1" applyProtection="1">
      <alignment horizontal="left" indent="1"/>
      <protection locked="0"/>
    </xf>
    <xf numFmtId="0" fontId="11" fillId="19" borderId="12" xfId="0" applyFont="1" applyFill="1" applyBorder="1" applyAlignment="1" applyProtection="1">
      <alignment horizontal="center"/>
      <protection locked="0"/>
    </xf>
    <xf numFmtId="0" fontId="13" fillId="23" borderId="3" xfId="0" applyFont="1" applyFill="1" applyBorder="1" applyAlignment="1" applyProtection="1">
      <alignment horizontal="center" vertical="center" wrapText="1"/>
      <protection locked="0"/>
    </xf>
    <xf numFmtId="12" fontId="20" fillId="25" borderId="3" xfId="0" applyNumberFormat="1" applyFont="1" applyFill="1" applyBorder="1" applyAlignment="1" applyProtection="1">
      <alignment horizontal="right" vertical="center"/>
      <protection locked="0"/>
    </xf>
    <xf numFmtId="0" fontId="11" fillId="26" borderId="10" xfId="0" applyFont="1" applyFill="1" applyBorder="1" applyAlignment="1" applyProtection="1">
      <alignment horizontal="left" indent="1"/>
      <protection locked="0"/>
    </xf>
    <xf numFmtId="0" fontId="12" fillId="26" borderId="3" xfId="0" applyFont="1" applyFill="1" applyBorder="1" applyProtection="1">
      <protection locked="0"/>
    </xf>
    <xf numFmtId="0" fontId="11" fillId="18" borderId="12" xfId="0" applyFont="1" applyFill="1" applyBorder="1" applyProtection="1">
      <protection locked="0"/>
    </xf>
    <xf numFmtId="6" fontId="12" fillId="18" borderId="3" xfId="0" applyNumberFormat="1" applyFont="1" applyFill="1" applyBorder="1" applyAlignment="1" applyProtection="1">
      <alignment horizontal="center"/>
      <protection locked="0"/>
    </xf>
    <xf numFmtId="0" fontId="20" fillId="23" borderId="3" xfId="0" applyFont="1" applyFill="1" applyBorder="1" applyAlignment="1" applyProtection="1">
      <alignment horizontal="center"/>
      <protection locked="0"/>
    </xf>
    <xf numFmtId="12" fontId="20" fillId="25" borderId="6" xfId="0" applyNumberFormat="1" applyFont="1" applyFill="1" applyBorder="1" applyAlignment="1" applyProtection="1">
      <alignment horizontal="right"/>
      <protection locked="0"/>
    </xf>
    <xf numFmtId="12" fontId="20" fillId="25" borderId="3" xfId="0" applyNumberFormat="1" applyFont="1" applyFill="1" applyBorder="1" applyAlignment="1" applyProtection="1">
      <alignment horizontal="right"/>
      <protection locked="0"/>
    </xf>
    <xf numFmtId="0" fontId="12" fillId="26" borderId="58" xfId="0" applyFont="1" applyFill="1" applyBorder="1" applyAlignment="1" applyProtection="1">
      <alignment horizontal="left" indent="1"/>
      <protection locked="0"/>
    </xf>
    <xf numFmtId="0" fontId="12" fillId="16" borderId="58" xfId="0" applyFont="1" applyFill="1" applyBorder="1" applyProtection="1">
      <protection locked="0"/>
    </xf>
    <xf numFmtId="6" fontId="12" fillId="16" borderId="3" xfId="0" applyNumberFormat="1" applyFont="1" applyFill="1" applyBorder="1" applyAlignment="1" applyProtection="1">
      <alignment horizontal="center"/>
      <protection locked="0"/>
    </xf>
    <xf numFmtId="0" fontId="12" fillId="18" borderId="12" xfId="0" applyFont="1" applyFill="1" applyBorder="1" applyProtection="1">
      <protection locked="0"/>
    </xf>
    <xf numFmtId="6" fontId="12" fillId="18" borderId="59" xfId="0" applyNumberFormat="1" applyFont="1" applyFill="1" applyBorder="1" applyAlignment="1" applyProtection="1">
      <alignment horizontal="center"/>
      <protection locked="0"/>
    </xf>
    <xf numFmtId="0" fontId="12" fillId="26" borderId="3" xfId="0" applyFont="1" applyFill="1" applyBorder="1" applyAlignment="1" applyProtection="1">
      <alignment horizontal="left"/>
      <protection locked="0"/>
    </xf>
    <xf numFmtId="0" fontId="11" fillId="26" borderId="3" xfId="0" applyFont="1" applyFill="1" applyBorder="1" applyAlignment="1" applyProtection="1">
      <alignment horizontal="left"/>
      <protection locked="0"/>
    </xf>
    <xf numFmtId="0" fontId="22" fillId="19" borderId="3" xfId="0" applyFont="1" applyFill="1" applyBorder="1" applyAlignment="1" applyProtection="1">
      <alignment horizontal="left"/>
      <protection locked="0"/>
    </xf>
    <xf numFmtId="6" fontId="22" fillId="19" borderId="3" xfId="0" applyNumberFormat="1" applyFont="1" applyFill="1" applyBorder="1" applyAlignment="1" applyProtection="1">
      <alignment horizontal="center"/>
      <protection locked="0"/>
    </xf>
    <xf numFmtId="0" fontId="13" fillId="23" borderId="6" xfId="0" applyFont="1" applyFill="1" applyBorder="1" applyAlignment="1" applyProtection="1">
      <alignment horizontal="center" vertical="center"/>
      <protection locked="0"/>
    </xf>
    <xf numFmtId="0" fontId="20" fillId="25" borderId="6" xfId="0" applyFont="1" applyFill="1" applyBorder="1" applyAlignment="1" applyProtection="1">
      <alignment horizontal="center" vertical="center"/>
      <protection locked="0"/>
    </xf>
    <xf numFmtId="12" fontId="20" fillId="25" borderId="6" xfId="0" applyNumberFormat="1" applyFont="1" applyFill="1" applyBorder="1" applyAlignment="1" applyProtection="1">
      <alignment horizontal="right" vertical="center"/>
      <protection locked="0"/>
    </xf>
    <xf numFmtId="0" fontId="12" fillId="26" borderId="3" xfId="0" applyFont="1" applyFill="1" applyBorder="1" applyAlignment="1" applyProtection="1">
      <alignment horizontal="left" indent="1"/>
      <protection locked="0"/>
    </xf>
    <xf numFmtId="6" fontId="12" fillId="26" borderId="3" xfId="0" applyNumberFormat="1" applyFont="1" applyFill="1" applyBorder="1" applyProtection="1">
      <protection locked="0"/>
    </xf>
    <xf numFmtId="0" fontId="12" fillId="19" borderId="3" xfId="0" applyFont="1" applyFill="1" applyBorder="1" applyProtection="1">
      <protection locked="0"/>
    </xf>
    <xf numFmtId="6" fontId="12" fillId="19" borderId="3" xfId="0" applyNumberFormat="1" applyFont="1" applyFill="1" applyBorder="1" applyAlignment="1" applyProtection="1">
      <alignment horizontal="center"/>
      <protection locked="0"/>
    </xf>
    <xf numFmtId="0" fontId="12" fillId="16" borderId="29" xfId="0" applyFont="1" applyFill="1" applyBorder="1" applyAlignment="1" applyProtection="1">
      <alignment horizontal="center"/>
      <protection locked="0"/>
    </xf>
    <xf numFmtId="8" fontId="12" fillId="16" borderId="29" xfId="0" applyNumberFormat="1" applyFont="1" applyFill="1" applyBorder="1" applyAlignment="1" applyProtection="1">
      <alignment horizontal="center"/>
      <protection locked="0"/>
    </xf>
    <xf numFmtId="0" fontId="11" fillId="21" borderId="16" xfId="0" applyFont="1" applyFill="1" applyBorder="1" applyAlignment="1">
      <alignment horizontal="center"/>
    </xf>
    <xf numFmtId="0" fontId="11" fillId="21" borderId="17" xfId="0" applyFont="1" applyFill="1" applyBorder="1" applyAlignment="1">
      <alignment horizontal="center"/>
    </xf>
    <xf numFmtId="0" fontId="11" fillId="21" borderId="18" xfId="0" applyFont="1" applyFill="1" applyBorder="1" applyAlignment="1">
      <alignment horizontal="center"/>
    </xf>
    <xf numFmtId="0" fontId="16" fillId="22" borderId="8" xfId="0" applyFont="1" applyFill="1" applyBorder="1" applyAlignment="1">
      <alignment horizontal="center"/>
    </xf>
    <xf numFmtId="0" fontId="16" fillId="22" borderId="14" xfId="0" applyFont="1" applyFill="1" applyBorder="1" applyAlignment="1">
      <alignment horizontal="center"/>
    </xf>
    <xf numFmtId="0" fontId="16" fillId="22" borderId="9" xfId="0" applyFont="1" applyFill="1" applyBorder="1" applyAlignment="1">
      <alignment horizontal="center"/>
    </xf>
    <xf numFmtId="0" fontId="11" fillId="24" borderId="20" xfId="0" applyFont="1" applyFill="1" applyBorder="1" applyAlignment="1">
      <alignment horizontal="center"/>
    </xf>
    <xf numFmtId="0" fontId="11" fillId="24" borderId="21" xfId="0" applyFont="1" applyFill="1" applyBorder="1" applyAlignment="1">
      <alignment horizontal="center"/>
    </xf>
    <xf numFmtId="0" fontId="11" fillId="24" borderId="10" xfId="0" applyFont="1" applyFill="1" applyBorder="1" applyAlignment="1">
      <alignment horizontal="center"/>
    </xf>
    <xf numFmtId="0" fontId="11" fillId="24" borderId="3" xfId="0" applyFont="1" applyFill="1" applyBorder="1" applyAlignment="1">
      <alignment horizontal="center"/>
    </xf>
    <xf numFmtId="0" fontId="11" fillId="24" borderId="12" xfId="0" applyFont="1" applyFill="1" applyBorder="1" applyAlignment="1">
      <alignment horizontal="center"/>
    </xf>
    <xf numFmtId="0" fontId="11" fillId="24" borderId="15" xfId="0" applyFont="1" applyFill="1" applyBorder="1" applyAlignment="1">
      <alignment horizontal="center"/>
    </xf>
    <xf numFmtId="0" fontId="16" fillId="22" borderId="16" xfId="0" applyFont="1" applyFill="1" applyBorder="1" applyAlignment="1">
      <alignment horizontal="center"/>
    </xf>
    <xf numFmtId="0" fontId="16" fillId="22" borderId="17" xfId="0" applyFont="1" applyFill="1" applyBorder="1" applyAlignment="1">
      <alignment horizontal="center"/>
    </xf>
    <xf numFmtId="0" fontId="16" fillId="22" borderId="18" xfId="0" applyFont="1" applyFill="1" applyBorder="1" applyAlignment="1">
      <alignment horizontal="center"/>
    </xf>
    <xf numFmtId="0" fontId="27" fillId="0" borderId="30" xfId="0" applyFont="1" applyFill="1" applyBorder="1" applyAlignment="1" applyProtection="1">
      <alignment horizontal="center" vertical="center"/>
    </xf>
    <xf numFmtId="0" fontId="27" fillId="0" borderId="31" xfId="0" applyFont="1" applyFill="1" applyBorder="1" applyAlignment="1" applyProtection="1">
      <alignment horizontal="center" vertical="center"/>
    </xf>
    <xf numFmtId="0" fontId="27" fillId="0" borderId="32" xfId="0" applyFont="1" applyFill="1" applyBorder="1" applyAlignment="1" applyProtection="1">
      <alignment horizontal="center" vertical="center"/>
    </xf>
    <xf numFmtId="0" fontId="27" fillId="0" borderId="34" xfId="0" applyFont="1" applyFill="1" applyBorder="1" applyAlignment="1" applyProtection="1">
      <alignment horizontal="center" vertical="center"/>
    </xf>
    <xf numFmtId="0" fontId="27" fillId="0" borderId="35" xfId="0" applyFont="1" applyFill="1" applyBorder="1" applyAlignment="1" applyProtection="1">
      <alignment horizontal="center" vertical="center"/>
    </xf>
    <xf numFmtId="0" fontId="27" fillId="0" borderId="45" xfId="0" applyFont="1" applyFill="1" applyBorder="1" applyAlignment="1" applyProtection="1">
      <alignment horizontal="center" vertical="center"/>
    </xf>
    <xf numFmtId="9" fontId="12" fillId="0" borderId="3" xfId="0" applyNumberFormat="1" applyFont="1" applyBorder="1" applyAlignment="1" applyProtection="1">
      <alignment horizontal="center"/>
      <protection locked="0"/>
    </xf>
    <xf numFmtId="12" fontId="20" fillId="25" borderId="3" xfId="0" applyNumberFormat="1" applyFont="1" applyFill="1" applyBorder="1" applyAlignment="1" applyProtection="1">
      <alignment horizontal="center"/>
      <protection hidden="1"/>
    </xf>
    <xf numFmtId="0" fontId="20" fillId="25" borderId="3" xfId="0" applyFont="1" applyFill="1" applyBorder="1" applyAlignment="1" applyProtection="1">
      <alignment horizontal="center"/>
      <protection hidden="1"/>
    </xf>
    <xf numFmtId="9" fontId="12" fillId="0" borderId="5" xfId="0" applyNumberFormat="1" applyFont="1" applyBorder="1" applyAlignment="1" applyProtection="1">
      <alignment horizontal="center"/>
      <protection locked="0"/>
    </xf>
    <xf numFmtId="9" fontId="12" fillId="0" borderId="56" xfId="0" applyNumberFormat="1" applyFont="1" applyBorder="1" applyAlignment="1" applyProtection="1">
      <alignment horizontal="center"/>
      <protection locked="0"/>
    </xf>
    <xf numFmtId="9" fontId="12" fillId="0" borderId="7" xfId="0" applyNumberFormat="1" applyFont="1" applyBorder="1" applyAlignment="1" applyProtection="1">
      <alignment horizontal="center"/>
      <protection locked="0"/>
    </xf>
    <xf numFmtId="0" fontId="20" fillId="23" borderId="16" xfId="0" applyFont="1" applyFill="1" applyBorder="1" applyAlignment="1" applyProtection="1">
      <alignment horizontal="center"/>
    </xf>
    <xf numFmtId="0" fontId="20" fillId="23" borderId="17" xfId="0" applyFont="1" applyFill="1" applyBorder="1" applyAlignment="1" applyProtection="1">
      <alignment horizontal="center"/>
    </xf>
    <xf numFmtId="0" fontId="12" fillId="21" borderId="53" xfId="0" applyFont="1" applyFill="1" applyBorder="1" applyAlignment="1" applyProtection="1">
      <alignment horizontal="center" vertical="center"/>
    </xf>
    <xf numFmtId="0" fontId="12" fillId="21" borderId="54" xfId="0" applyFont="1" applyFill="1" applyBorder="1" applyAlignment="1" applyProtection="1">
      <alignment horizontal="center" vertical="center"/>
    </xf>
    <xf numFmtId="0" fontId="12" fillId="21" borderId="55" xfId="0" applyFont="1" applyFill="1" applyBorder="1" applyAlignment="1" applyProtection="1">
      <alignment horizontal="center" vertical="center"/>
    </xf>
    <xf numFmtId="0" fontId="12" fillId="21" borderId="36" xfId="0" applyFont="1" applyFill="1" applyBorder="1" applyAlignment="1" applyProtection="1">
      <alignment horizontal="center" vertical="center" wrapText="1"/>
    </xf>
    <xf numFmtId="0" fontId="12" fillId="21" borderId="37" xfId="0" applyFont="1" applyFill="1" applyBorder="1" applyAlignment="1" applyProtection="1">
      <alignment horizontal="center" vertical="center" wrapText="1"/>
    </xf>
    <xf numFmtId="0" fontId="12" fillId="21" borderId="38" xfId="0" applyFont="1" applyFill="1" applyBorder="1" applyAlignment="1" applyProtection="1">
      <alignment horizontal="center" vertical="center" wrapText="1"/>
    </xf>
    <xf numFmtId="0" fontId="12" fillId="0" borderId="5" xfId="0" applyFont="1" applyBorder="1" applyAlignment="1" applyProtection="1">
      <alignment horizontal="center"/>
      <protection locked="0"/>
    </xf>
    <xf numFmtId="0" fontId="12" fillId="0" borderId="56" xfId="0" applyFont="1" applyBorder="1" applyAlignment="1" applyProtection="1">
      <alignment horizontal="center"/>
      <protection locked="0"/>
    </xf>
    <xf numFmtId="0" fontId="16" fillId="19" borderId="3" xfId="0" applyFont="1" applyFill="1" applyBorder="1" applyAlignment="1" applyProtection="1">
      <alignment horizontal="center" vertical="center"/>
    </xf>
    <xf numFmtId="0" fontId="13" fillId="5" borderId="3" xfId="0" applyFont="1" applyFill="1" applyBorder="1" applyAlignment="1" applyProtection="1">
      <alignment horizontal="center" vertical="center"/>
    </xf>
    <xf numFmtId="0" fontId="16" fillId="9" borderId="23" xfId="0" applyFont="1" applyFill="1" applyBorder="1" applyAlignment="1" applyProtection="1">
      <alignment horizontal="center"/>
      <protection hidden="1"/>
    </xf>
    <xf numFmtId="0" fontId="16" fillId="9" borderId="48" xfId="0" applyFont="1" applyFill="1" applyBorder="1" applyAlignment="1" applyProtection="1">
      <alignment horizontal="center"/>
      <protection hidden="1"/>
    </xf>
    <xf numFmtId="0" fontId="22" fillId="9" borderId="16" xfId="0" applyFont="1" applyFill="1" applyBorder="1" applyAlignment="1" applyProtection="1">
      <alignment horizontal="center"/>
      <protection hidden="1"/>
    </xf>
    <xf numFmtId="0" fontId="22" fillId="9" borderId="17" xfId="0" applyFont="1" applyFill="1" applyBorder="1" applyAlignment="1" applyProtection="1">
      <alignment horizontal="center"/>
      <protection hidden="1"/>
    </xf>
    <xf numFmtId="0" fontId="11" fillId="17" borderId="4" xfId="0" applyFont="1" applyFill="1" applyBorder="1" applyAlignment="1" applyProtection="1">
      <alignment horizontal="center"/>
      <protection hidden="1"/>
    </xf>
    <xf numFmtId="0" fontId="12" fillId="17" borderId="4" xfId="0" applyFont="1" applyFill="1" applyBorder="1" applyAlignment="1" applyProtection="1">
      <alignment horizontal="center"/>
      <protection hidden="1"/>
    </xf>
    <xf numFmtId="0" fontId="22" fillId="17" borderId="16" xfId="0" applyFont="1" applyFill="1" applyBorder="1" applyAlignment="1" applyProtection="1">
      <alignment horizontal="center"/>
      <protection hidden="1"/>
    </xf>
    <xf numFmtId="0" fontId="22" fillId="17" borderId="17" xfId="0" applyFont="1" applyFill="1" applyBorder="1" applyAlignment="1" applyProtection="1">
      <alignment horizontal="center"/>
      <protection hidden="1"/>
    </xf>
    <xf numFmtId="0" fontId="22" fillId="17" borderId="18" xfId="0" applyFont="1" applyFill="1" applyBorder="1" applyAlignment="1" applyProtection="1">
      <alignment horizontal="center"/>
      <protection hidden="1"/>
    </xf>
    <xf numFmtId="0" fontId="11" fillId="9" borderId="4" xfId="0" applyFont="1" applyFill="1" applyBorder="1" applyAlignment="1" applyProtection="1">
      <alignment horizontal="center"/>
      <protection hidden="1"/>
    </xf>
    <xf numFmtId="0" fontId="12" fillId="9" borderId="4" xfId="0" applyFont="1" applyFill="1" applyBorder="1" applyAlignment="1" applyProtection="1">
      <alignment horizontal="center"/>
      <protection hidden="1"/>
    </xf>
    <xf numFmtId="0" fontId="12" fillId="9" borderId="57" xfId="0" applyFont="1" applyFill="1" applyBorder="1" applyAlignment="1" applyProtection="1">
      <alignment horizontal="center"/>
      <protection hidden="1"/>
    </xf>
    <xf numFmtId="0" fontId="12" fillId="9" borderId="16" xfId="0" applyFont="1" applyFill="1" applyBorder="1" applyAlignment="1" applyProtection="1">
      <alignment horizontal="center"/>
      <protection hidden="1"/>
    </xf>
    <xf numFmtId="0" fontId="12" fillId="9" borderId="17" xfId="0" applyFont="1" applyFill="1" applyBorder="1" applyAlignment="1" applyProtection="1">
      <alignment horizontal="center"/>
      <protection hidden="1"/>
    </xf>
    <xf numFmtId="0" fontId="22" fillId="9" borderId="18" xfId="0" applyFont="1" applyFill="1" applyBorder="1" applyAlignment="1" applyProtection="1">
      <alignment horizontal="center"/>
      <protection hidden="1"/>
    </xf>
    <xf numFmtId="0" fontId="16" fillId="17" borderId="23" xfId="0" applyFont="1" applyFill="1" applyBorder="1" applyAlignment="1" applyProtection="1">
      <alignment horizontal="center"/>
      <protection hidden="1"/>
    </xf>
    <xf numFmtId="0" fontId="12" fillId="9" borderId="18" xfId="0" applyFont="1" applyFill="1" applyBorder="1" applyAlignment="1" applyProtection="1">
      <alignment horizontal="center"/>
      <protection hidden="1"/>
    </xf>
    <xf numFmtId="0" fontId="11" fillId="9" borderId="4" xfId="0" applyFont="1" applyFill="1" applyBorder="1" applyAlignment="1" applyProtection="1">
      <alignment horizontal="center" vertical="center"/>
      <protection hidden="1"/>
    </xf>
    <xf numFmtId="0" fontId="12" fillId="9" borderId="4" xfId="0" applyFont="1" applyFill="1" applyBorder="1" applyAlignment="1" applyProtection="1">
      <alignment horizontal="center" vertical="center"/>
      <protection hidden="1"/>
    </xf>
    <xf numFmtId="0" fontId="12" fillId="9" borderId="16" xfId="0" applyFont="1" applyFill="1" applyBorder="1" applyAlignment="1" applyProtection="1">
      <alignment horizontal="center" vertical="center"/>
      <protection hidden="1"/>
    </xf>
    <xf numFmtId="0" fontId="12" fillId="9" borderId="17" xfId="0" applyFont="1" applyFill="1" applyBorder="1" applyAlignment="1" applyProtection="1">
      <alignment horizontal="center" vertical="center"/>
      <protection hidden="1"/>
    </xf>
    <xf numFmtId="0" fontId="12" fillId="9" borderId="18" xfId="0" applyFont="1" applyFill="1" applyBorder="1" applyAlignment="1" applyProtection="1">
      <alignment horizontal="center" vertical="center"/>
      <protection hidden="1"/>
    </xf>
    <xf numFmtId="0" fontId="12" fillId="17" borderId="16" xfId="0" applyFont="1" applyFill="1" applyBorder="1" applyAlignment="1" applyProtection="1">
      <alignment horizontal="center"/>
      <protection hidden="1"/>
    </xf>
    <xf numFmtId="0" fontId="12" fillId="17" borderId="17" xfId="0" applyFont="1" applyFill="1" applyBorder="1" applyAlignment="1" applyProtection="1">
      <alignment horizontal="center"/>
      <protection hidden="1"/>
    </xf>
    <xf numFmtId="0" fontId="12" fillId="17" borderId="18" xfId="0" applyFont="1" applyFill="1" applyBorder="1" applyAlignment="1" applyProtection="1">
      <alignment horizontal="center"/>
      <protection hidden="1"/>
    </xf>
    <xf numFmtId="0" fontId="53" fillId="9" borderId="23" xfId="0" applyFont="1" applyFill="1" applyBorder="1" applyAlignment="1" applyProtection="1">
      <alignment horizontal="center"/>
    </xf>
    <xf numFmtId="0" fontId="53" fillId="9" borderId="48" xfId="0" applyFont="1" applyFill="1" applyBorder="1" applyAlignment="1" applyProtection="1">
      <alignment horizontal="center"/>
    </xf>
    <xf numFmtId="0" fontId="53" fillId="9" borderId="0" xfId="0" applyFont="1" applyFill="1" applyAlignment="1" applyProtection="1">
      <alignment horizontal="center"/>
    </xf>
    <xf numFmtId="0" fontId="22" fillId="9" borderId="16" xfId="0" applyFont="1" applyFill="1" applyBorder="1" applyAlignment="1" applyProtection="1">
      <alignment horizontal="center"/>
    </xf>
    <xf numFmtId="0" fontId="22" fillId="9" borderId="17" xfId="0" applyFont="1" applyFill="1" applyBorder="1" applyAlignment="1" applyProtection="1">
      <alignment horizontal="center"/>
    </xf>
    <xf numFmtId="0" fontId="22" fillId="9" borderId="18" xfId="0" applyFont="1" applyFill="1" applyBorder="1" applyAlignment="1" applyProtection="1">
      <alignment horizontal="center"/>
    </xf>
    <xf numFmtId="0" fontId="53" fillId="17" borderId="23" xfId="0" applyFont="1" applyFill="1" applyBorder="1" applyAlignment="1" applyProtection="1">
      <alignment horizontal="center"/>
    </xf>
    <xf numFmtId="0" fontId="22" fillId="17" borderId="16" xfId="0" applyFont="1" applyFill="1" applyBorder="1" applyAlignment="1" applyProtection="1">
      <alignment horizontal="center"/>
    </xf>
    <xf numFmtId="0" fontId="22" fillId="17" borderId="17" xfId="0" applyFont="1" applyFill="1" applyBorder="1" applyAlignment="1" applyProtection="1">
      <alignment horizontal="center"/>
    </xf>
    <xf numFmtId="0" fontId="22" fillId="17" borderId="18" xfId="0" applyFont="1" applyFill="1" applyBorder="1" applyAlignment="1" applyProtection="1">
      <alignment horizontal="center"/>
    </xf>
    <xf numFmtId="0" fontId="53" fillId="9" borderId="23" xfId="0" applyFont="1" applyFill="1" applyBorder="1" applyAlignment="1" applyProtection="1">
      <alignment horizontal="center" vertical="center" wrapText="1"/>
    </xf>
    <xf numFmtId="0" fontId="53" fillId="9" borderId="48"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wrapText="1"/>
    </xf>
    <xf numFmtId="0" fontId="53" fillId="9" borderId="51" xfId="0" applyFont="1" applyFill="1" applyBorder="1" applyAlignment="1" applyProtection="1">
      <alignment horizontal="center" vertical="center" wrapText="1"/>
    </xf>
    <xf numFmtId="0" fontId="22" fillId="9" borderId="16" xfId="0" applyFont="1" applyFill="1" applyBorder="1" applyAlignment="1" applyProtection="1">
      <alignment horizontal="center" vertical="center" wrapText="1"/>
    </xf>
    <xf numFmtId="0" fontId="22" fillId="9" borderId="17" xfId="0" applyFont="1" applyFill="1" applyBorder="1" applyAlignment="1" applyProtection="1">
      <alignment horizontal="center" vertical="center" wrapText="1"/>
    </xf>
    <xf numFmtId="0" fontId="22" fillId="9" borderId="18" xfId="0" applyFont="1" applyFill="1" applyBorder="1" applyAlignment="1" applyProtection="1">
      <alignment horizontal="center" vertical="center" wrapText="1"/>
    </xf>
    <xf numFmtId="0" fontId="13" fillId="5" borderId="0" xfId="0" applyFont="1" applyFill="1" applyAlignment="1" applyProtection="1">
      <alignment horizontal="center"/>
    </xf>
    <xf numFmtId="0" fontId="13" fillId="5" borderId="5" xfId="0" applyFont="1" applyFill="1" applyBorder="1" applyAlignment="1" applyProtection="1">
      <alignment horizontal="center"/>
    </xf>
    <xf numFmtId="0" fontId="13" fillId="5" borderId="56" xfId="0" applyFont="1" applyFill="1" applyBorder="1" applyAlignment="1" applyProtection="1">
      <alignment horizontal="center"/>
    </xf>
    <xf numFmtId="0" fontId="13" fillId="5" borderId="7" xfId="0" applyFont="1" applyFill="1" applyBorder="1" applyAlignment="1" applyProtection="1">
      <alignment horizontal="center"/>
    </xf>
    <xf numFmtId="0" fontId="53" fillId="17" borderId="4"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1" xfId="0" applyFont="1" applyFill="1" applyBorder="1" applyAlignment="1" applyProtection="1">
      <alignment horizontal="center"/>
    </xf>
    <xf numFmtId="0" fontId="22" fillId="9" borderId="16" xfId="0" applyFont="1" applyFill="1" applyBorder="1" applyAlignment="1" applyProtection="1">
      <alignment horizontal="center" vertical="center"/>
    </xf>
    <xf numFmtId="0" fontId="22" fillId="9" borderId="17" xfId="0" applyFont="1" applyFill="1" applyBorder="1" applyAlignment="1" applyProtection="1">
      <alignment horizontal="center" vertical="center"/>
    </xf>
    <xf numFmtId="0" fontId="22" fillId="9" borderId="18" xfId="0" applyFont="1" applyFill="1" applyBorder="1" applyAlignment="1" applyProtection="1">
      <alignment horizontal="center" vertical="center"/>
    </xf>
    <xf numFmtId="0" fontId="55" fillId="17" borderId="23" xfId="0" applyFont="1" applyFill="1" applyBorder="1" applyAlignment="1" applyProtection="1">
      <alignment horizontal="center"/>
    </xf>
    <xf numFmtId="0" fontId="22" fillId="17" borderId="16" xfId="0" applyFont="1" applyFill="1" applyBorder="1" applyAlignment="1" applyProtection="1">
      <alignment horizontal="center" vertical="center"/>
    </xf>
    <xf numFmtId="0" fontId="22" fillId="17" borderId="17" xfId="0" applyFont="1" applyFill="1" applyBorder="1" applyAlignment="1" applyProtection="1">
      <alignment horizontal="center" vertical="center"/>
    </xf>
    <xf numFmtId="0" fontId="22" fillId="17" borderId="18" xfId="0" applyFont="1" applyFill="1" applyBorder="1" applyAlignment="1" applyProtection="1">
      <alignment horizontal="center" vertical="center"/>
    </xf>
    <xf numFmtId="0" fontId="53" fillId="9" borderId="4" xfId="0" applyFont="1" applyFill="1" applyBorder="1" applyAlignment="1" applyProtection="1">
      <alignment horizontal="center"/>
    </xf>
    <xf numFmtId="0" fontId="20" fillId="5" borderId="3" xfId="0" applyFont="1" applyFill="1" applyBorder="1" applyAlignment="1" applyProtection="1">
      <alignment horizontal="center"/>
      <protection hidden="1"/>
    </xf>
    <xf numFmtId="0" fontId="0" fillId="9" borderId="16" xfId="0" applyFill="1" applyBorder="1" applyAlignment="1" applyProtection="1">
      <alignment horizontal="center"/>
      <protection hidden="1"/>
    </xf>
    <xf numFmtId="0" fontId="0" fillId="9" borderId="17" xfId="0" applyFill="1" applyBorder="1" applyAlignment="1" applyProtection="1">
      <alignment horizontal="center"/>
      <protection hidden="1"/>
    </xf>
    <xf numFmtId="0" fontId="0" fillId="9" borderId="18" xfId="0" applyFill="1" applyBorder="1" applyAlignment="1" applyProtection="1">
      <alignment horizontal="center"/>
      <protection hidden="1"/>
    </xf>
    <xf numFmtId="0" fontId="22" fillId="17" borderId="41" xfId="0" applyFont="1" applyFill="1" applyBorder="1" applyAlignment="1" applyProtection="1">
      <alignment horizontal="center"/>
      <protection hidden="1"/>
    </xf>
    <xf numFmtId="0" fontId="22" fillId="17" borderId="39" xfId="0" applyFont="1" applyFill="1" applyBorder="1" applyAlignment="1" applyProtection="1">
      <alignment horizontal="center"/>
      <protection hidden="1"/>
    </xf>
    <xf numFmtId="0" fontId="22" fillId="17" borderId="42" xfId="0" applyFont="1" applyFill="1" applyBorder="1" applyAlignment="1" applyProtection="1">
      <alignment horizontal="center"/>
      <protection hidden="1"/>
    </xf>
    <xf numFmtId="0" fontId="11" fillId="17" borderId="57" xfId="0" applyFont="1" applyFill="1" applyBorder="1" applyAlignment="1" applyProtection="1">
      <alignment horizontal="center"/>
      <protection hidden="1"/>
    </xf>
    <xf numFmtId="0" fontId="12" fillId="17" borderId="52" xfId="0" applyFont="1" applyFill="1" applyBorder="1" applyAlignment="1" applyProtection="1">
      <alignment horizontal="center"/>
      <protection hidden="1"/>
    </xf>
    <xf numFmtId="0" fontId="12" fillId="17" borderId="47" xfId="0" applyFont="1" applyFill="1" applyBorder="1" applyAlignment="1" applyProtection="1">
      <alignment horizontal="center"/>
      <protection hidden="1"/>
    </xf>
    <xf numFmtId="0" fontId="12" fillId="9" borderId="52" xfId="0" applyFont="1" applyFill="1" applyBorder="1" applyAlignment="1" applyProtection="1">
      <alignment horizontal="center"/>
      <protection hidden="1"/>
    </xf>
    <xf numFmtId="0" fontId="12" fillId="9" borderId="47" xfId="0" applyFont="1" applyFill="1" applyBorder="1" applyAlignment="1" applyProtection="1">
      <alignment horizontal="center"/>
      <protection hidden="1"/>
    </xf>
    <xf numFmtId="0" fontId="13" fillId="5" borderId="5" xfId="0" applyFont="1" applyFill="1" applyBorder="1" applyAlignment="1" applyProtection="1">
      <alignment horizontal="center"/>
      <protection hidden="1"/>
    </xf>
    <xf numFmtId="0" fontId="13" fillId="5" borderId="56" xfId="0" applyFont="1" applyFill="1" applyBorder="1" applyAlignment="1" applyProtection="1">
      <alignment horizontal="center"/>
      <protection hidden="1"/>
    </xf>
    <xf numFmtId="0" fontId="13" fillId="5" borderId="7" xfId="0" applyFont="1" applyFill="1" applyBorder="1" applyAlignment="1" applyProtection="1">
      <alignment horizontal="center"/>
      <protection hidden="1"/>
    </xf>
    <xf numFmtId="0" fontId="16" fillId="17" borderId="23" xfId="0" applyFont="1" applyFill="1" applyBorder="1" applyAlignment="1" applyProtection="1">
      <alignment horizontal="center" vertical="center"/>
      <protection hidden="1"/>
    </xf>
    <xf numFmtId="0" fontId="22" fillId="17" borderId="16" xfId="0" applyFont="1" applyFill="1" applyBorder="1" applyAlignment="1" applyProtection="1">
      <alignment horizontal="center" vertical="center"/>
      <protection hidden="1"/>
    </xf>
    <xf numFmtId="0" fontId="22" fillId="17" borderId="17" xfId="0" applyFont="1" applyFill="1" applyBorder="1" applyAlignment="1" applyProtection="1">
      <alignment horizontal="center" vertical="center"/>
      <protection hidden="1"/>
    </xf>
    <xf numFmtId="0" fontId="22" fillId="17" borderId="18" xfId="0" applyFont="1" applyFill="1" applyBorder="1" applyAlignment="1" applyProtection="1">
      <alignment horizontal="center" vertical="center"/>
      <protection hidden="1"/>
    </xf>
    <xf numFmtId="0" fontId="61" fillId="9" borderId="23" xfId="0" applyFont="1" applyFill="1" applyBorder="1" applyAlignment="1" applyProtection="1">
      <alignment horizontal="center"/>
    </xf>
    <xf numFmtId="0" fontId="12" fillId="9" borderId="16" xfId="0" applyFont="1" applyFill="1" applyBorder="1" applyAlignment="1" applyProtection="1">
      <alignment horizontal="center"/>
    </xf>
    <xf numFmtId="0" fontId="12" fillId="9" borderId="17" xfId="0" applyFont="1" applyFill="1" applyBorder="1" applyAlignment="1" applyProtection="1">
      <alignment horizontal="center"/>
    </xf>
    <xf numFmtId="0" fontId="12" fillId="9" borderId="18" xfId="0" applyFont="1" applyFill="1" applyBorder="1" applyAlignment="1" applyProtection="1">
      <alignment horizontal="center"/>
    </xf>
    <xf numFmtId="0" fontId="11" fillId="19" borderId="4" xfId="0" applyFont="1" applyFill="1" applyBorder="1" applyAlignment="1" applyProtection="1">
      <alignment horizontal="center" vertical="center"/>
    </xf>
    <xf numFmtId="0" fontId="11" fillId="9" borderId="4" xfId="0" applyFont="1" applyFill="1" applyBorder="1" applyAlignment="1" applyProtection="1">
      <alignment horizontal="center" vertical="center"/>
    </xf>
    <xf numFmtId="0" fontId="11" fillId="17" borderId="4" xfId="0" applyFont="1" applyFill="1" applyBorder="1" applyAlignment="1" applyProtection="1">
      <alignment horizontal="center" vertical="center"/>
    </xf>
    <xf numFmtId="0" fontId="11" fillId="17" borderId="57" xfId="0" applyFont="1" applyFill="1" applyBorder="1" applyAlignment="1" applyProtection="1">
      <alignment horizontal="center" vertical="center"/>
    </xf>
    <xf numFmtId="0" fontId="13" fillId="5" borderId="3" xfId="0" applyFont="1" applyFill="1" applyBorder="1" applyAlignment="1" applyProtection="1">
      <alignment horizontal="center"/>
    </xf>
    <xf numFmtId="0" fontId="25" fillId="0" borderId="3" xfId="0" applyFont="1" applyBorder="1" applyAlignment="1" applyProtection="1">
      <alignment horizontal="center"/>
      <protection hidden="1"/>
    </xf>
    <xf numFmtId="0" fontId="12" fillId="21" borderId="16" xfId="0" applyFont="1" applyFill="1" applyBorder="1" applyAlignment="1" applyProtection="1">
      <alignment horizontal="center"/>
    </xf>
    <xf numFmtId="0" fontId="12" fillId="21" borderId="17" xfId="0" applyFont="1" applyFill="1" applyBorder="1" applyAlignment="1" applyProtection="1">
      <alignment horizontal="center"/>
    </xf>
    <xf numFmtId="0" fontId="12" fillId="21" borderId="18" xfId="0" applyFont="1" applyFill="1" applyBorder="1" applyAlignment="1" applyProtection="1">
      <alignment horizontal="center"/>
    </xf>
    <xf numFmtId="0" fontId="20" fillId="23" borderId="3" xfId="0" applyFont="1" applyFill="1" applyBorder="1" applyAlignment="1" applyProtection="1">
      <alignment horizontal="center"/>
    </xf>
    <xf numFmtId="0" fontId="11" fillId="21" borderId="3" xfId="0" applyFont="1" applyFill="1" applyBorder="1" applyAlignment="1" applyProtection="1">
      <alignment horizontal="center"/>
      <protection hidden="1"/>
    </xf>
    <xf numFmtId="12" fontId="20" fillId="25" borderId="4" xfId="0" applyNumberFormat="1" applyFont="1" applyFill="1" applyBorder="1" applyAlignment="1" applyProtection="1">
      <alignment horizontal="center"/>
      <protection hidden="1"/>
    </xf>
    <xf numFmtId="0" fontId="20" fillId="25" borderId="4" xfId="0" applyFont="1" applyFill="1" applyBorder="1" applyAlignment="1" applyProtection="1">
      <alignment horizontal="center"/>
      <protection hidden="1"/>
    </xf>
    <xf numFmtId="0" fontId="20" fillId="23" borderId="18" xfId="0" applyFont="1" applyFill="1" applyBorder="1" applyAlignment="1" applyProtection="1">
      <alignment horizontal="center"/>
    </xf>
    <xf numFmtId="0" fontId="12" fillId="21" borderId="16" xfId="0" applyFont="1" applyFill="1" applyBorder="1" applyAlignment="1" applyProtection="1">
      <alignment horizontal="center"/>
      <protection locked="0"/>
    </xf>
    <xf numFmtId="0" fontId="12" fillId="21" borderId="17" xfId="0" applyFont="1" applyFill="1" applyBorder="1" applyAlignment="1" applyProtection="1">
      <alignment horizontal="center"/>
      <protection locked="0"/>
    </xf>
    <xf numFmtId="0" fontId="12" fillId="21" borderId="18" xfId="0" applyFont="1" applyFill="1" applyBorder="1" applyAlignment="1" applyProtection="1">
      <alignment horizontal="center"/>
      <protection locked="0"/>
    </xf>
    <xf numFmtId="0" fontId="23" fillId="0" borderId="30" xfId="0" applyFont="1" applyBorder="1" applyAlignment="1" applyProtection="1">
      <alignment horizontal="center" vertical="center"/>
    </xf>
    <xf numFmtId="0" fontId="23" fillId="0" borderId="31" xfId="0" applyFont="1" applyBorder="1" applyAlignment="1" applyProtection="1">
      <alignment horizontal="center" vertical="center"/>
    </xf>
    <xf numFmtId="0" fontId="23" fillId="0" borderId="32" xfId="0"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19" xfId="0" applyFont="1" applyBorder="1" applyAlignment="1" applyProtection="1">
      <alignment horizontal="center" vertical="center"/>
    </xf>
    <xf numFmtId="0" fontId="23" fillId="0" borderId="34" xfId="0" applyFont="1" applyBorder="1" applyAlignment="1" applyProtection="1">
      <alignment horizontal="center" vertical="center"/>
    </xf>
    <xf numFmtId="0" fontId="23" fillId="0" borderId="35" xfId="0" applyFont="1" applyBorder="1" applyAlignment="1" applyProtection="1">
      <alignment horizontal="center" vertical="center"/>
    </xf>
    <xf numFmtId="0" fontId="23" fillId="0" borderId="45" xfId="0" applyFont="1" applyBorder="1" applyAlignment="1" applyProtection="1">
      <alignment horizontal="center" vertical="center"/>
    </xf>
    <xf numFmtId="0" fontId="12" fillId="0" borderId="3" xfId="0" applyFont="1" applyBorder="1" applyAlignment="1" applyProtection="1">
      <alignment horizontal="center" vertical="center" wrapText="1"/>
    </xf>
    <xf numFmtId="12" fontId="20" fillId="25" borderId="4" xfId="0" applyNumberFormat="1" applyFont="1" applyFill="1" applyBorder="1" applyAlignment="1" applyProtection="1">
      <alignment horizontal="center"/>
      <protection locked="0"/>
    </xf>
    <xf numFmtId="0" fontId="20" fillId="25" borderId="4" xfId="0" applyFont="1" applyFill="1" applyBorder="1" applyAlignment="1" applyProtection="1">
      <alignment horizontal="center"/>
      <protection locked="0"/>
    </xf>
    <xf numFmtId="0" fontId="12" fillId="26" borderId="3" xfId="0" applyFont="1" applyFill="1" applyBorder="1" applyAlignment="1" applyProtection="1">
      <alignment horizontal="center" vertical="center"/>
    </xf>
    <xf numFmtId="12" fontId="20" fillId="25" borderId="56" xfId="0" applyNumberFormat="1" applyFont="1" applyFill="1" applyBorder="1" applyAlignment="1" applyProtection="1">
      <alignment horizontal="center"/>
    </xf>
    <xf numFmtId="0" fontId="12" fillId="21" borderId="5" xfId="0" applyFont="1" applyFill="1" applyBorder="1" applyAlignment="1" applyProtection="1">
      <alignment horizontal="center"/>
    </xf>
    <xf numFmtId="0" fontId="12" fillId="21" borderId="56" xfId="0" applyFont="1" applyFill="1" applyBorder="1" applyAlignment="1" applyProtection="1">
      <alignment horizontal="center"/>
    </xf>
    <xf numFmtId="0" fontId="12" fillId="21" borderId="7" xfId="0" applyFont="1" applyFill="1" applyBorder="1" applyAlignment="1" applyProtection="1">
      <alignment horizontal="center"/>
    </xf>
    <xf numFmtId="0" fontId="20" fillId="23" borderId="5" xfId="0" applyFont="1" applyFill="1" applyBorder="1" applyAlignment="1" applyProtection="1">
      <alignment horizontal="center"/>
    </xf>
    <xf numFmtId="0" fontId="20" fillId="23" borderId="56" xfId="0" applyFont="1" applyFill="1" applyBorder="1" applyAlignment="1" applyProtection="1">
      <alignment horizontal="center"/>
    </xf>
    <xf numFmtId="0" fontId="20" fillId="23" borderId="7" xfId="0" applyFont="1" applyFill="1" applyBorder="1" applyAlignment="1" applyProtection="1">
      <alignment horizontal="center"/>
    </xf>
    <xf numFmtId="0" fontId="20" fillId="25" borderId="0" xfId="0" applyFont="1" applyFill="1" applyAlignment="1" applyProtection="1">
      <alignment horizontal="center"/>
    </xf>
    <xf numFmtId="0" fontId="20" fillId="25" borderId="5" xfId="0" applyFont="1" applyFill="1" applyBorder="1" applyAlignment="1" applyProtection="1">
      <alignment horizontal="center"/>
    </xf>
    <xf numFmtId="0" fontId="20" fillId="25" borderId="56" xfId="0" applyFont="1" applyFill="1" applyBorder="1" applyAlignment="1" applyProtection="1">
      <alignment horizontal="center"/>
    </xf>
    <xf numFmtId="0" fontId="29" fillId="0" borderId="30" xfId="0" applyFont="1" applyBorder="1" applyAlignment="1">
      <alignment horizontal="center" vertical="center"/>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19" xfId="0" applyFont="1" applyBorder="1" applyAlignment="1">
      <alignment horizontal="center" vertical="center"/>
    </xf>
    <xf numFmtId="0" fontId="29" fillId="0" borderId="34" xfId="0" applyFont="1" applyBorder="1" applyAlignment="1">
      <alignment horizontal="center" vertical="center"/>
    </xf>
    <xf numFmtId="0" fontId="29" fillId="0" borderId="45" xfId="0" applyFont="1" applyBorder="1" applyAlignment="1">
      <alignment horizontal="center" vertical="center"/>
    </xf>
    <xf numFmtId="0" fontId="29" fillId="0" borderId="31" xfId="0" applyFont="1" applyBorder="1" applyAlignment="1">
      <alignment horizontal="center" vertical="center"/>
    </xf>
    <xf numFmtId="0" fontId="29" fillId="0" borderId="0" xfId="0" applyFont="1" applyBorder="1" applyAlignment="1">
      <alignment horizontal="center" vertical="center"/>
    </xf>
    <xf numFmtId="0" fontId="29" fillId="0" borderId="35" xfId="0" applyFont="1" applyBorder="1" applyAlignment="1">
      <alignment horizontal="center" vertical="center"/>
    </xf>
    <xf numFmtId="0" fontId="30" fillId="0" borderId="0" xfId="0" applyFont="1" applyAlignment="1">
      <alignment horizontal="left"/>
    </xf>
    <xf numFmtId="0" fontId="30" fillId="0" borderId="0" xfId="0" applyFont="1" applyAlignment="1">
      <alignment horizontal="center"/>
    </xf>
    <xf numFmtId="0" fontId="28" fillId="0" borderId="3" xfId="0" applyFont="1" applyBorder="1" applyAlignment="1">
      <alignment horizontal="left"/>
    </xf>
    <xf numFmtId="0" fontId="12" fillId="26" borderId="3" xfId="0" applyFont="1" applyFill="1" applyBorder="1" applyAlignment="1" applyProtection="1">
      <alignment horizontal="center"/>
    </xf>
    <xf numFmtId="0" fontId="24" fillId="0" borderId="30" xfId="0" applyFont="1" applyBorder="1" applyAlignment="1" applyProtection="1">
      <alignment horizontal="center"/>
    </xf>
    <xf numFmtId="0" fontId="24" fillId="0" borderId="32" xfId="0" applyFont="1" applyBorder="1" applyAlignment="1" applyProtection="1">
      <alignment horizontal="center"/>
    </xf>
    <xf numFmtId="0" fontId="24" fillId="0" borderId="34" xfId="0" applyFont="1" applyBorder="1" applyAlignment="1" applyProtection="1">
      <alignment horizontal="center"/>
    </xf>
    <xf numFmtId="0" fontId="24" fillId="0" borderId="45" xfId="0" applyFont="1" applyBorder="1" applyAlignment="1" applyProtection="1">
      <alignment horizontal="center"/>
    </xf>
    <xf numFmtId="0" fontId="36" fillId="15" borderId="8" xfId="0" applyFont="1" applyFill="1" applyBorder="1" applyAlignment="1">
      <alignment horizontal="center"/>
    </xf>
    <xf numFmtId="0" fontId="36" fillId="15" borderId="14" xfId="0" applyFont="1" applyFill="1" applyBorder="1" applyAlignment="1">
      <alignment horizontal="center"/>
    </xf>
    <xf numFmtId="0" fontId="36" fillId="15" borderId="9" xfId="0" applyFont="1" applyFill="1" applyBorder="1" applyAlignment="1">
      <alignment horizontal="center"/>
    </xf>
    <xf numFmtId="0" fontId="35" fillId="0" borderId="10" xfId="0" applyFont="1" applyBorder="1" applyAlignment="1">
      <alignment horizontal="center"/>
    </xf>
    <xf numFmtId="0" fontId="35" fillId="0" borderId="3" xfId="0" applyFont="1" applyBorder="1" applyAlignment="1">
      <alignment horizontal="center"/>
    </xf>
    <xf numFmtId="0" fontId="35" fillId="0" borderId="11" xfId="0" applyFont="1" applyBorder="1" applyAlignment="1">
      <alignment horizontal="center"/>
    </xf>
    <xf numFmtId="0" fontId="31" fillId="11" borderId="20" xfId="0" applyFont="1" applyFill="1" applyBorder="1" applyAlignment="1">
      <alignment horizontal="center" vertical="center"/>
    </xf>
    <xf numFmtId="0" fontId="31" fillId="11" borderId="21" xfId="0" applyFont="1" applyFill="1" applyBorder="1" applyAlignment="1">
      <alignment horizontal="center" vertical="center"/>
    </xf>
    <xf numFmtId="0" fontId="32" fillId="11" borderId="14" xfId="0" applyFont="1" applyFill="1" applyBorder="1" applyAlignment="1">
      <alignment horizontal="center" vertical="center"/>
    </xf>
    <xf numFmtId="0" fontId="32" fillId="11" borderId="9" xfId="0" applyFont="1" applyFill="1" applyBorder="1" applyAlignment="1">
      <alignment horizontal="center" vertical="center"/>
    </xf>
    <xf numFmtId="0" fontId="35" fillId="15" borderId="10" xfId="0" applyFont="1" applyFill="1" applyBorder="1" applyAlignment="1">
      <alignment horizontal="center"/>
    </xf>
    <xf numFmtId="0" fontId="35" fillId="15" borderId="3" xfId="0" applyFont="1" applyFill="1" applyBorder="1" applyAlignment="1">
      <alignment horizontal="center"/>
    </xf>
    <xf numFmtId="0" fontId="35" fillId="15" borderId="11" xfId="0" applyFont="1" applyFill="1" applyBorder="1" applyAlignment="1">
      <alignment horizontal="center"/>
    </xf>
    <xf numFmtId="0" fontId="40" fillId="23" borderId="10" xfId="0" applyFont="1" applyFill="1" applyBorder="1" applyAlignment="1">
      <alignment horizontal="center" vertical="center"/>
    </xf>
    <xf numFmtId="0" fontId="40" fillId="23" borderId="3" xfId="0" applyFont="1" applyFill="1" applyBorder="1" applyAlignment="1">
      <alignment horizontal="center" vertical="center"/>
    </xf>
    <xf numFmtId="0" fontId="40" fillId="23" borderId="11" xfId="0" applyFont="1" applyFill="1" applyBorder="1" applyAlignment="1">
      <alignment horizontal="center" vertical="center"/>
    </xf>
    <xf numFmtId="0" fontId="40" fillId="23" borderId="8" xfId="0" applyFont="1" applyFill="1" applyBorder="1" applyAlignment="1">
      <alignment horizontal="center" vertical="center"/>
    </xf>
    <xf numFmtId="0" fontId="40" fillId="23" borderId="14" xfId="0" applyFont="1" applyFill="1" applyBorder="1" applyAlignment="1">
      <alignment horizontal="center" vertical="center"/>
    </xf>
    <xf numFmtId="0" fontId="40" fillId="23" borderId="9" xfId="0" applyFont="1" applyFill="1" applyBorder="1" applyAlignment="1">
      <alignment horizontal="center" vertical="center"/>
    </xf>
    <xf numFmtId="0" fontId="28" fillId="0" borderId="36" xfId="0" applyFont="1" applyBorder="1" applyAlignment="1">
      <alignment horizontal="center" vertical="center"/>
    </xf>
    <xf numFmtId="0" fontId="28" fillId="0" borderId="38" xfId="0" applyFont="1" applyBorder="1" applyAlignment="1">
      <alignment horizontal="center" vertical="center"/>
    </xf>
    <xf numFmtId="0" fontId="28" fillId="0" borderId="36" xfId="0" applyFont="1" applyBorder="1" applyAlignment="1">
      <alignment horizontal="center" vertical="center" wrapText="1"/>
    </xf>
    <xf numFmtId="0" fontId="28" fillId="0" borderId="38" xfId="0" applyFont="1" applyBorder="1" applyAlignment="1">
      <alignment horizontal="center" vertical="center" wrapText="1"/>
    </xf>
    <xf numFmtId="10" fontId="35" fillId="30" borderId="32" xfId="0" applyNumberFormat="1" applyFont="1" applyFill="1" applyBorder="1" applyAlignment="1" applyProtection="1">
      <alignment horizontal="center" vertical="center" wrapText="1"/>
      <protection hidden="1"/>
    </xf>
    <xf numFmtId="10" fontId="35" fillId="30" borderId="45" xfId="0" applyNumberFormat="1" applyFont="1" applyFill="1" applyBorder="1" applyAlignment="1" applyProtection="1">
      <alignment horizontal="center" vertical="center" wrapText="1"/>
      <protection hidden="1"/>
    </xf>
    <xf numFmtId="0" fontId="31" fillId="23" borderId="30" xfId="0" applyFont="1" applyFill="1" applyBorder="1" applyAlignment="1">
      <alignment horizontal="center" vertical="center" wrapText="1"/>
    </xf>
    <xf numFmtId="0" fontId="31" fillId="23" borderId="31" xfId="0" applyFont="1" applyFill="1" applyBorder="1" applyAlignment="1">
      <alignment horizontal="center" vertical="center" wrapText="1"/>
    </xf>
    <xf numFmtId="0" fontId="31" fillId="23" borderId="34" xfId="0" applyFont="1" applyFill="1" applyBorder="1" applyAlignment="1">
      <alignment horizontal="center" vertical="center" wrapText="1"/>
    </xf>
    <xf numFmtId="0" fontId="31" fillId="23" borderId="35" xfId="0" applyFont="1" applyFill="1" applyBorder="1" applyAlignment="1">
      <alignment horizontal="center" vertical="center" wrapText="1"/>
    </xf>
    <xf numFmtId="0" fontId="31" fillId="23" borderId="16" xfId="0" applyFont="1" applyFill="1" applyBorder="1" applyAlignment="1">
      <alignment horizontal="center"/>
    </xf>
    <xf numFmtId="0" fontId="31" fillId="23" borderId="17" xfId="0" applyFont="1" applyFill="1" applyBorder="1" applyAlignment="1">
      <alignment horizontal="center"/>
    </xf>
    <xf numFmtId="0" fontId="30" fillId="21" borderId="16" xfId="0" applyFont="1" applyFill="1" applyBorder="1" applyAlignment="1">
      <alignment horizontal="center"/>
    </xf>
    <xf numFmtId="0" fontId="30" fillId="21" borderId="17" xfId="0" applyFont="1" applyFill="1" applyBorder="1" applyAlignment="1">
      <alignment horizontal="center"/>
    </xf>
    <xf numFmtId="0" fontId="30" fillId="21" borderId="18" xfId="0" applyFont="1" applyFill="1" applyBorder="1" applyAlignment="1">
      <alignment horizontal="center"/>
    </xf>
    <xf numFmtId="0" fontId="30" fillId="0" borderId="8" xfId="0" applyFont="1" applyBorder="1" applyAlignment="1">
      <alignment horizontal="left"/>
    </xf>
    <xf numFmtId="0" fontId="30" fillId="0" borderId="14" xfId="0" applyFont="1" applyBorder="1" applyAlignment="1">
      <alignment horizontal="left"/>
    </xf>
    <xf numFmtId="0" fontId="30" fillId="0" borderId="12" xfId="0" applyFont="1" applyBorder="1" applyAlignment="1">
      <alignment horizontal="left"/>
    </xf>
    <xf numFmtId="0" fontId="30" fillId="0" borderId="15" xfId="0" applyFont="1" applyBorder="1" applyAlignment="1">
      <alignment horizontal="left"/>
    </xf>
    <xf numFmtId="0" fontId="30" fillId="0" borderId="8" xfId="0" applyFont="1" applyBorder="1" applyAlignment="1">
      <alignment horizontal="center" vertical="center"/>
    </xf>
    <xf numFmtId="0" fontId="30" fillId="0" borderId="12" xfId="0" applyFont="1" applyBorder="1" applyAlignment="1">
      <alignment horizontal="center" vertical="center"/>
    </xf>
    <xf numFmtId="10" fontId="30" fillId="28" borderId="14" xfId="0" applyNumberFormat="1" applyFont="1" applyFill="1" applyBorder="1" applyAlignment="1" applyProtection="1">
      <alignment horizontal="center" wrapText="1"/>
      <protection hidden="1"/>
    </xf>
    <xf numFmtId="0" fontId="30" fillId="28" borderId="15" xfId="0" applyFont="1" applyFill="1" applyBorder="1" applyAlignment="1" applyProtection="1">
      <alignment horizontal="center" wrapText="1"/>
      <protection hidden="1"/>
    </xf>
    <xf numFmtId="0" fontId="30" fillId="0" borderId="14" xfId="0" applyFont="1" applyBorder="1" applyAlignment="1">
      <alignment horizontal="center" vertical="center"/>
    </xf>
    <xf numFmtId="0" fontId="30" fillId="0" borderId="15" xfId="0" applyFont="1" applyBorder="1" applyAlignment="1">
      <alignment horizontal="center" vertical="center"/>
    </xf>
    <xf numFmtId="10" fontId="30" fillId="4" borderId="14" xfId="4" applyNumberFormat="1" applyFont="1" applyFill="1" applyBorder="1" applyAlignment="1" applyProtection="1">
      <alignment horizontal="center"/>
      <protection hidden="1"/>
    </xf>
    <xf numFmtId="10" fontId="30" fillId="4" borderId="15" xfId="4" applyNumberFormat="1" applyFont="1" applyFill="1" applyBorder="1" applyAlignment="1" applyProtection="1">
      <alignment horizontal="center"/>
      <protection hidden="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3" fillId="0" borderId="9" xfId="0" applyFont="1" applyBorder="1" applyAlignment="1">
      <alignment horizontal="center" wrapText="1"/>
    </xf>
    <xf numFmtId="0" fontId="43" fillId="0" borderId="13" xfId="0" applyFont="1" applyBorder="1" applyAlignment="1">
      <alignment horizontal="center" wrapText="1"/>
    </xf>
    <xf numFmtId="0" fontId="30" fillId="0" borderId="27" xfId="0" applyFont="1" applyBorder="1" applyAlignment="1">
      <alignment horizontal="center"/>
    </xf>
    <xf numFmtId="0" fontId="30" fillId="0" borderId="42" xfId="0" applyFont="1" applyBorder="1" applyAlignment="1">
      <alignment horizontal="center"/>
    </xf>
    <xf numFmtId="0" fontId="30" fillId="0" borderId="8" xfId="0" applyFont="1" applyBorder="1" applyAlignment="1">
      <alignment horizontal="center" vertical="center" wrapText="1"/>
    </xf>
    <xf numFmtId="0" fontId="30" fillId="0" borderId="12" xfId="0" applyFont="1" applyBorder="1" applyAlignment="1">
      <alignment horizontal="center" vertical="center" wrapText="1"/>
    </xf>
    <xf numFmtId="0" fontId="30" fillId="0" borderId="46" xfId="0" applyFont="1" applyBorder="1" applyAlignment="1">
      <alignment horizontal="center"/>
    </xf>
    <xf numFmtId="0" fontId="30" fillId="0" borderId="43" xfId="0" applyFont="1" applyBorder="1" applyAlignment="1">
      <alignment horizontal="center"/>
    </xf>
    <xf numFmtId="0" fontId="30" fillId="0" borderId="10" xfId="0" applyFont="1" applyBorder="1" applyAlignment="1" applyProtection="1">
      <alignment horizontal="center" vertical="center" wrapText="1"/>
      <protection hidden="1"/>
    </xf>
    <xf numFmtId="0" fontId="30" fillId="0" borderId="12" xfId="0" applyFont="1" applyBorder="1" applyAlignment="1" applyProtection="1">
      <alignment horizontal="center" vertical="center" wrapText="1"/>
      <protection hidden="1"/>
    </xf>
    <xf numFmtId="0" fontId="30" fillId="0" borderId="10" xfId="0" applyFont="1" applyBorder="1" applyAlignment="1">
      <alignment horizontal="left" indent="1"/>
    </xf>
    <xf numFmtId="0" fontId="30" fillId="0" borderId="3" xfId="0" applyFont="1" applyBorder="1" applyAlignment="1">
      <alignment horizontal="left" indent="1"/>
    </xf>
    <xf numFmtId="10" fontId="30" fillId="28" borderId="14" xfId="0" applyNumberFormat="1" applyFont="1" applyFill="1" applyBorder="1" applyAlignment="1" applyProtection="1">
      <alignment horizontal="center"/>
      <protection hidden="1"/>
    </xf>
    <xf numFmtId="0" fontId="30" fillId="28" borderId="15" xfId="0" applyFont="1" applyFill="1" applyBorder="1" applyAlignment="1" applyProtection="1">
      <alignment horizontal="center"/>
      <protection hidden="1"/>
    </xf>
    <xf numFmtId="0" fontId="29" fillId="0" borderId="9" xfId="0" applyFont="1" applyBorder="1" applyAlignment="1" applyProtection="1">
      <alignment horizontal="center" vertical="center" wrapText="1"/>
      <protection hidden="1"/>
    </xf>
    <xf numFmtId="0" fontId="29" fillId="0" borderId="13" xfId="0" applyFont="1" applyBorder="1" applyAlignment="1" applyProtection="1">
      <alignment horizontal="center" vertical="center" wrapText="1"/>
      <protection hidden="1"/>
    </xf>
    <xf numFmtId="0" fontId="43" fillId="0" borderId="9" xfId="0" applyFont="1" applyBorder="1" applyAlignment="1">
      <alignment horizontal="center" vertical="center" wrapText="1"/>
    </xf>
    <xf numFmtId="0" fontId="43" fillId="0" borderId="13" xfId="0" applyFont="1" applyBorder="1" applyAlignment="1">
      <alignment horizontal="center" vertical="center" wrapText="1"/>
    </xf>
    <xf numFmtId="0" fontId="30" fillId="0" borderId="14"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12" xfId="0" applyFont="1" applyBorder="1" applyAlignment="1">
      <alignment horizontal="left" indent="1"/>
    </xf>
    <xf numFmtId="0" fontId="30" fillId="0" borderId="15" xfId="0" applyFont="1" applyBorder="1" applyAlignment="1">
      <alignment horizontal="left" indent="1"/>
    </xf>
    <xf numFmtId="0" fontId="30" fillId="28" borderId="14" xfId="0" applyFont="1" applyFill="1" applyBorder="1" applyAlignment="1" applyProtection="1">
      <alignment horizontal="center"/>
      <protection hidden="1"/>
    </xf>
    <xf numFmtId="0" fontId="30" fillId="0" borderId="8" xfId="0" applyFont="1" applyBorder="1" applyAlignment="1">
      <alignment horizontal="center" wrapText="1"/>
    </xf>
    <xf numFmtId="0" fontId="30" fillId="0" borderId="14" xfId="0" applyFont="1" applyBorder="1" applyAlignment="1">
      <alignment horizontal="center" wrapText="1"/>
    </xf>
    <xf numFmtId="0" fontId="30" fillId="0" borderId="12" xfId="0" applyFont="1" applyBorder="1" applyAlignment="1">
      <alignment horizontal="center" wrapText="1"/>
    </xf>
    <xf numFmtId="0" fontId="30" fillId="0" borderId="15" xfId="0" applyFont="1" applyBorder="1" applyAlignment="1">
      <alignment horizontal="center" wrapText="1"/>
    </xf>
    <xf numFmtId="170" fontId="44" fillId="28" borderId="14" xfId="0" applyNumberFormat="1" applyFont="1" applyFill="1" applyBorder="1" applyAlignment="1" applyProtection="1">
      <alignment horizontal="center"/>
      <protection hidden="1"/>
    </xf>
    <xf numFmtId="170" fontId="44" fillId="28" borderId="15" xfId="0" applyNumberFormat="1" applyFont="1" applyFill="1" applyBorder="1" applyAlignment="1" applyProtection="1">
      <alignment horizontal="center"/>
      <protection hidden="1"/>
    </xf>
    <xf numFmtId="0" fontId="30" fillId="0" borderId="8" xfId="0" applyFont="1" applyBorder="1" applyAlignment="1">
      <alignment horizontal="center"/>
    </xf>
    <xf numFmtId="0" fontId="30" fillId="0" borderId="14" xfId="0" applyFont="1" applyBorder="1" applyAlignment="1">
      <alignment horizontal="center"/>
    </xf>
    <xf numFmtId="0" fontId="28" fillId="17" borderId="3" xfId="0" applyFont="1" applyFill="1" applyBorder="1" applyAlignment="1" applyProtection="1">
      <alignment horizontal="center" vertical="center"/>
      <protection locked="0"/>
    </xf>
    <xf numFmtId="0" fontId="12" fillId="17" borderId="3" xfId="0" applyFont="1" applyFill="1" applyBorder="1" applyAlignment="1" applyProtection="1">
      <alignment horizontal="center"/>
      <protection locked="0"/>
    </xf>
    <xf numFmtId="0" fontId="11" fillId="17" borderId="3" xfId="0"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7" xfId="0" applyFont="1" applyBorder="1" applyAlignment="1" applyProtection="1">
      <alignment horizontal="center"/>
      <protection locked="0"/>
    </xf>
    <xf numFmtId="0" fontId="12" fillId="0" borderId="18" xfId="0" applyFont="1" applyBorder="1" applyAlignment="1" applyProtection="1">
      <alignment horizontal="center"/>
      <protection locked="0"/>
    </xf>
    <xf numFmtId="0" fontId="12" fillId="33" borderId="16" xfId="0" applyFont="1" applyFill="1" applyBorder="1" applyAlignment="1" applyProtection="1">
      <alignment horizontal="center"/>
      <protection locked="0"/>
    </xf>
    <xf numFmtId="0" fontId="12" fillId="33" borderId="17" xfId="0" applyFont="1" applyFill="1" applyBorder="1" applyAlignment="1" applyProtection="1">
      <alignment horizontal="center"/>
      <protection locked="0"/>
    </xf>
    <xf numFmtId="0" fontId="12" fillId="33" borderId="18" xfId="0" applyFont="1" applyFill="1" applyBorder="1" applyAlignment="1" applyProtection="1">
      <alignment horizontal="center"/>
      <protection locked="0"/>
    </xf>
    <xf numFmtId="0" fontId="11" fillId="17" borderId="3" xfId="0" applyFont="1" applyFill="1" applyBorder="1" applyAlignment="1" applyProtection="1">
      <alignment horizontal="center" vertical="center"/>
      <protection locked="0"/>
    </xf>
    <xf numFmtId="0" fontId="12" fillId="17" borderId="6" xfId="0" applyFont="1" applyFill="1" applyBorder="1" applyAlignment="1" applyProtection="1">
      <alignment horizontal="center"/>
      <protection locked="0"/>
    </xf>
    <xf numFmtId="6" fontId="30" fillId="28" borderId="3" xfId="0" applyNumberFormat="1" applyFont="1" applyFill="1" applyBorder="1" applyAlignment="1" applyProtection="1">
      <alignment horizontal="center"/>
      <protection hidden="1"/>
    </xf>
    <xf numFmtId="10" fontId="30" fillId="28" borderId="3" xfId="0" applyNumberFormat="1" applyFont="1" applyFill="1" applyBorder="1" applyAlignment="1" applyProtection="1">
      <alignment horizontal="center"/>
      <protection hidden="1"/>
    </xf>
    <xf numFmtId="10" fontId="30" fillId="28" borderId="11" xfId="0" applyNumberFormat="1" applyFont="1" applyFill="1" applyBorder="1" applyAlignment="1" applyProtection="1">
      <alignment horizontal="center"/>
      <protection hidden="1"/>
    </xf>
    <xf numFmtId="9" fontId="30" fillId="28" borderId="29" xfId="0" applyNumberFormat="1" applyFont="1" applyFill="1" applyBorder="1" applyAlignment="1" applyProtection="1">
      <alignment horizontal="center"/>
      <protection hidden="1"/>
    </xf>
    <xf numFmtId="10" fontId="30" fillId="28" borderId="15" xfId="0" applyNumberFormat="1" applyFont="1" applyFill="1" applyBorder="1" applyAlignment="1" applyProtection="1">
      <alignment horizontal="center"/>
      <protection hidden="1"/>
    </xf>
    <xf numFmtId="0" fontId="30" fillId="28" borderId="13" xfId="0" applyFont="1" applyFill="1" applyBorder="1" applyAlignment="1" applyProtection="1">
      <alignment horizontal="center"/>
      <protection hidden="1"/>
    </xf>
    <xf numFmtId="0" fontId="28" fillId="0" borderId="0" xfId="0" applyFont="1" applyAlignment="1" applyProtection="1">
      <alignment horizontal="center"/>
      <protection hidden="1"/>
    </xf>
    <xf numFmtId="6" fontId="30" fillId="28" borderId="14" xfId="0" applyNumberFormat="1" applyFont="1" applyFill="1" applyBorder="1" applyAlignment="1" applyProtection="1">
      <alignment horizontal="center"/>
      <protection hidden="1"/>
    </xf>
    <xf numFmtId="6" fontId="30" fillId="28" borderId="15" xfId="0" applyNumberFormat="1" applyFont="1" applyFill="1" applyBorder="1" applyAlignment="1" applyProtection="1">
      <alignment horizontal="center"/>
      <protection hidden="1"/>
    </xf>
  </cellXfs>
  <cellStyles count="7">
    <cellStyle name="Cálculo" xfId="1" builtinId="22"/>
    <cellStyle name="Celda vinculada" xfId="2" builtinId="24"/>
    <cellStyle name="Hipervínculo" xfId="6" builtinId="8"/>
    <cellStyle name="Moneda" xfId="5" builtinId="4"/>
    <cellStyle name="Normal" xfId="0" builtinId="0"/>
    <cellStyle name="Normal 2" xfId="3" xr:uid="{4D9FEEB5-F243-40F5-817B-F3FFF2F1E13D}"/>
    <cellStyle name="Porcentaje" xfId="4" builtinId="5"/>
  </cellStyles>
  <dxfs count="959">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protection locked="0" hidden="0"/>
    </dxf>
    <dxf>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fill>
        <patternFill>
          <fgColor indexed="64"/>
          <bgColor theme="3" tint="0.7999816888943144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0" formatCode="&quot;$&quot;\ #,##0;[Red]\-&quot;$&quot;\ #,##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3" tint="0.79998168889431442"/>
        </patternFill>
      </fill>
      <alignment horizontal="center" textRotation="0" wrapText="0" indent="0" justifyLastLine="0" shrinkToFit="0" readingOrder="0"/>
      <protection locked="1" hidden="1"/>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0" hidden="0"/>
    </dxf>
    <dxf>
      <font>
        <b val="0"/>
        <i val="0"/>
        <strike val="0"/>
        <condense val="0"/>
        <extend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ill>
        <patternFill patternType="solid">
          <fgColor indexed="64"/>
          <bgColor theme="0"/>
        </patternFill>
      </fill>
    </dxf>
    <dxf>
      <protection locked="1" hidden="0"/>
    </dxf>
    <dxf>
      <font>
        <strike val="0"/>
        <outline val="0"/>
        <shadow val="0"/>
        <u val="none"/>
        <vertAlign val="baseline"/>
        <sz val="12"/>
        <color theme="1"/>
        <name val="Times New Roman"/>
        <family val="1"/>
        <scheme val="none"/>
      </font>
      <numFmt numFmtId="0" formatCode="General"/>
      <fill>
        <patternFill patternType="solid">
          <fgColor indexed="64"/>
          <bgColor theme="3"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center"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center"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border diagonalUp="0" diagonalDown="0">
        <left style="thin">
          <color indexed="64"/>
        </left>
        <right/>
        <top/>
        <bottom/>
        <vertical/>
        <horizontal/>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textRotation="0" wrapText="0" indent="0" justifyLastLine="0" shrinkToFit="0" readingOrder="0"/>
    </dxf>
    <dxf>
      <font>
        <strike val="0"/>
        <outline val="0"/>
        <shadow val="0"/>
        <u val="none"/>
        <vertAlign val="baseline"/>
        <sz val="12"/>
        <color theme="1"/>
        <name val="Times New Roman"/>
        <family val="1"/>
        <scheme val="none"/>
      </font>
      <alignment horizontal="center" textRotation="0" wrapText="0" indent="0" justifyLastLine="0" shrinkToFit="0" readingOrder="0"/>
      <protection locked="1" hidden="0"/>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auto="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center" textRotation="0" wrapText="1"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2" formatCode="&quot;$&quot;\ #,##0.00;[Red]\-&quot;$&quot;\ #,##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14" formatCode="0.0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3" formatCode="#,##0"/>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numFmt numFmtId="0" formatCode="General"/>
      <fill>
        <patternFill patternType="solid">
          <fgColor indexed="64"/>
          <bgColor theme="3" tint="0.79998168889431442"/>
        </patternFill>
      </fill>
      <alignment horizontal="center" vertical="bottom" textRotation="0" wrapText="0" indent="0" justifyLastLine="0" shrinkToFit="0" readingOrder="0"/>
      <protection locked="1" hidden="1"/>
    </dxf>
    <dxf>
      <font>
        <strike val="0"/>
        <outline val="0"/>
        <shadow val="0"/>
        <vertAlign val="baseline"/>
        <sz val="12"/>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vertAlign val="baseline"/>
        <sz val="12"/>
        <name val="Times New Roman"/>
        <family val="1"/>
        <scheme val="none"/>
      </font>
      <alignment horizontal="center" vertical="bottom" textRotation="0" wrapText="0" indent="0" justifyLastLine="0" shrinkToFit="0" readingOrder="0"/>
      <protection locked="0" hidden="0"/>
    </dxf>
    <dxf>
      <border>
        <bottom style="thin">
          <color indexed="64"/>
        </bottom>
      </border>
    </dxf>
    <dxf>
      <font>
        <strike val="0"/>
        <outline val="0"/>
        <shadow val="0"/>
        <vertAlign val="baseline"/>
        <sz val="12"/>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strike val="0"/>
        <outline val="0"/>
        <shadow val="0"/>
        <u val="none"/>
        <vertAlign val="baseline"/>
        <sz val="12"/>
        <color theme="1"/>
        <name val="Times New Roman"/>
        <family val="1"/>
        <scheme val="none"/>
      </font>
      <numFmt numFmtId="0" formatCode="General"/>
      <fill>
        <patternFill>
          <fgColor indexed="64"/>
          <bgColor theme="3"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1"/>
    </dxf>
    <dxf>
      <font>
        <strike val="0"/>
        <outline val="0"/>
        <shadow val="0"/>
        <u val="none"/>
        <vertAlign val="baseline"/>
        <sz val="12"/>
        <color theme="1"/>
        <name val="Times New Roman"/>
        <family val="1"/>
        <scheme val="none"/>
      </font>
      <fill>
        <patternFill>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0" formatCode="&quot;$&quot;\ #,##0;[Red]\-&quot;$&quot;\ #,##0"/>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sz val="12"/>
        <color theme="1"/>
        <name val="Times New Roman"/>
        <family val="1"/>
        <scheme val="none"/>
      </font>
      <fill>
        <patternFill patternType="solid">
          <fgColor indexed="64"/>
          <bgColor theme="0"/>
        </patternFill>
      </fill>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1" hidden="0"/>
    </dxf>
    <dxf>
      <font>
        <strike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69" formatCode="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4" formatCode="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theme="1"/>
        <name val="Times New Roman"/>
        <family val="1"/>
        <scheme val="none"/>
      </font>
      <numFmt numFmtId="12" formatCode="&quot;$&quot;\ #,##0.00;[Red]\-&quot;$&quot;\ #,##0.00"/>
      <fill>
        <patternFill patternType="solid">
          <fgColor indexed="64"/>
          <bgColor theme="9" tint="0.79998168889431442"/>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12"/>
        <color theme="1"/>
        <name val="Times New Roman"/>
        <family val="1"/>
        <scheme val="none"/>
      </font>
      <numFmt numFmtId="10" formatCode="&quot;$&quot;\ #,##0;[Red]\-&quot;$&quot;\ #,##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numFmt numFmtId="1" formatCode="0"/>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
      <font>
        <strike val="0"/>
        <outline val="0"/>
        <shadow val="0"/>
        <u val="none"/>
        <vertAlign val="baseline"/>
        <sz val="12"/>
        <color theme="1"/>
        <name val="Times New Roman"/>
        <family val="1"/>
        <scheme val="none"/>
      </font>
      <alignment horizontal="center" vertical="bottom" textRotation="0" wrapText="0" indent="0" justifyLastLine="0" shrinkToFit="0" readingOrder="0"/>
      <protection locked="0" hidden="0"/>
    </dxf>
  </dxfs>
  <tableStyles count="0" defaultTableStyle="TableStyleMedium2" defaultPivotStyle="PivotStyleLight16"/>
  <colors>
    <mruColors>
      <color rgb="FFDAAA00"/>
      <color rgb="FF007D8A"/>
      <color rgb="FF006A8E"/>
      <color rgb="FFD4A41E"/>
      <color rgb="FFDA7479"/>
      <color rgb="FFB7EEFF"/>
      <color rgb="FFFFF1BD"/>
      <color rgb="FF897A27"/>
      <color rgb="FF00A9E0"/>
      <color rgb="FFEC5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INGRESOS VS COSTOS</a:t>
            </a:r>
            <a:r>
              <a:rPr lang="es-CO" baseline="0"/>
              <a:t> TOTALES</a:t>
            </a:r>
            <a:endParaRPr lang="es-CO"/>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CUADRO_DE_COSTOS_Y_GASTOS_FIJOS!$B$4</c:f>
              <c:strCache>
                <c:ptCount val="1"/>
                <c:pt idx="0">
                  <c:v>MARGEN DE CONTRIBUCIÓN TOTAL </c:v>
                </c:pt>
              </c:strCache>
            </c:strRef>
          </c:tx>
          <c:spPr>
            <a:solidFill>
              <a:srgbClr val="D4A41E"/>
            </a:solidFill>
            <a:ln w="9525" cap="flat" cmpd="sng" algn="ctr">
              <a:solidFill>
                <a:srgbClr val="D4A41E"/>
              </a:solidFill>
              <a:round/>
            </a:ln>
            <a:effectLst/>
            <a:sp3d contourW="9525">
              <a:contourClr>
                <a:srgbClr val="D4A41E"/>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CUADRO_DE_COSTOS_Y_GASTOS_FIJOS!$C$4:$G$4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0-3DDD-4C6A-AC4D-F44CF69B80C8}"/>
            </c:ext>
          </c:extLst>
        </c:ser>
        <c:ser>
          <c:idx val="1"/>
          <c:order val="1"/>
          <c:tx>
            <c:strRef>
              <c:f>CUADRO_DE_COSTOS_Y_GASTOS_FIJOS!$B$14</c:f>
              <c:strCache>
                <c:ptCount val="1"/>
                <c:pt idx="0">
                  <c:v>UAI </c:v>
                </c:pt>
              </c:strCache>
            </c:strRef>
          </c:tx>
          <c:spPr>
            <a:solidFill>
              <a:srgbClr val="C9EE6E"/>
            </a:solidFill>
            <a:ln w="9525" cap="flat" cmpd="sng" algn="ctr">
              <a:solidFill>
                <a:schemeClr val="accent2">
                  <a:lumMod val="75000"/>
                </a:schemeClr>
              </a:solidFill>
              <a:round/>
            </a:ln>
            <a:effectLst/>
            <a:sp3d contourW="9525">
              <a:contourClr>
                <a:schemeClr val="accent2">
                  <a:lumMod val="75000"/>
                </a:schemeClr>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CUADRO_DE_COSTOS_Y_GASTOS_FIJOS!$C$14:$G$14</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2-3DDD-4C6A-AC4D-F44CF69B80C8}"/>
            </c:ext>
          </c:extLst>
        </c:ser>
        <c:ser>
          <c:idx val="2"/>
          <c:order val="2"/>
          <c:tx>
            <c:strRef>
              <c:f>CUADRO_DE_COSTOS_Y_GASTOS_FIJOS!$B$13</c:f>
              <c:strCache>
                <c:ptCount val="1"/>
                <c:pt idx="0">
                  <c:v>COSTOS TOTALES </c:v>
                </c:pt>
              </c:strCache>
            </c:strRef>
          </c:tx>
          <c:spPr>
            <a:solidFill>
              <a:srgbClr val="EC56CC"/>
            </a:solidFill>
            <a:ln w="9525" cap="flat" cmpd="sng" algn="ctr">
              <a:solidFill>
                <a:srgbClr val="EC56CC"/>
              </a:solidFill>
              <a:round/>
            </a:ln>
            <a:effectLst/>
            <a:sp3d contourW="9525">
              <a:contourClr>
                <a:srgbClr val="EC56CC"/>
              </a:contourClr>
            </a:sp3d>
          </c:spPr>
          <c:invertIfNegative val="0"/>
          <c:cat>
            <c:numRef>
              <c:f>CUADRO_DE_COSTOS_Y_GASTOS_FIJOS!$C$3:$G$3</c:f>
              <c:numCache>
                <c:formatCode>#\ ?/?</c:formatCode>
                <c:ptCount val="5"/>
                <c:pt idx="0">
                  <c:v>2021</c:v>
                </c:pt>
                <c:pt idx="1">
                  <c:v>2022</c:v>
                </c:pt>
                <c:pt idx="2">
                  <c:v>2023</c:v>
                </c:pt>
                <c:pt idx="3">
                  <c:v>2024</c:v>
                </c:pt>
                <c:pt idx="4">
                  <c:v>2025</c:v>
                </c:pt>
              </c:numCache>
            </c:numRef>
          </c:cat>
          <c:val>
            <c:numRef>
              <c:f>CUADRO_DE_COSTOS_Y_GASTOS_FIJOS!$C$13:$G$13</c:f>
              <c:numCache>
                <c:formatCode>_-"$"\ * #,##0_-;\-"$"\ * #,##0_-;_-"$"\ * "-"??_-;_-@_-</c:formatCode>
                <c:ptCount val="5"/>
                <c:pt idx="0">
                  <c:v>0</c:v>
                </c:pt>
                <c:pt idx="1">
                  <c:v>0</c:v>
                </c:pt>
                <c:pt idx="2">
                  <c:v>0</c:v>
                </c:pt>
                <c:pt idx="3">
                  <c:v>0</c:v>
                </c:pt>
                <c:pt idx="4">
                  <c:v>0</c:v>
                </c:pt>
              </c:numCache>
            </c:numRef>
          </c:val>
          <c:extLst>
            <c:ext xmlns:c16="http://schemas.microsoft.com/office/drawing/2014/chart" uri="{C3380CC4-5D6E-409C-BE32-E72D297353CC}">
              <c16:uniqueId val="{00000003-3DDD-4C6A-AC4D-F44CF69B80C8}"/>
            </c:ext>
          </c:extLst>
        </c:ser>
        <c:dLbls>
          <c:showLegendKey val="0"/>
          <c:showVal val="0"/>
          <c:showCatName val="0"/>
          <c:showSerName val="0"/>
          <c:showPercent val="0"/>
          <c:showBubbleSize val="0"/>
        </c:dLbls>
        <c:gapWidth val="75"/>
        <c:shape val="box"/>
        <c:axId val="214113215"/>
        <c:axId val="214094495"/>
        <c:axId val="0"/>
      </c:bar3DChart>
      <c:catAx>
        <c:axId val="214113215"/>
        <c:scaling>
          <c:orientation val="minMax"/>
        </c:scaling>
        <c:delete val="0"/>
        <c:axPos val="b"/>
        <c:numFmt formatCode="#\ ?/?"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14094495"/>
        <c:crosses val="autoZero"/>
        <c:auto val="1"/>
        <c:lblAlgn val="ctr"/>
        <c:lblOffset val="100"/>
        <c:noMultiLvlLbl val="0"/>
      </c:catAx>
      <c:valAx>
        <c:axId val="214094495"/>
        <c:scaling>
          <c:orientation val="minMax"/>
        </c:scaling>
        <c:delete val="0"/>
        <c:axPos val="l"/>
        <c:majorGridlines>
          <c:spPr>
            <a:ln w="9525" cap="flat" cmpd="sng" algn="ctr">
              <a:solidFill>
                <a:schemeClr val="dk1">
                  <a:lumMod val="15000"/>
                  <a:lumOff val="85000"/>
                </a:schemeClr>
              </a:solidFill>
              <a:round/>
            </a:ln>
            <a:effectLst/>
          </c:spPr>
        </c:majorGridlines>
        <c:numFmt formatCode="_-&quot;$&quot;\ * #,##0_-;\-&quot;$&quot;\ * #,##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crossAx val="214113215"/>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200">
                <a:latin typeface="Times New Roman" panose="02020603050405020304" pitchFamily="18" charset="0"/>
                <a:cs typeface="Times New Roman" panose="02020603050405020304" pitchFamily="18" charset="0"/>
              </a:rPr>
              <a:t>PUNTO DE EQUILIBRIO DEL EMPRENDIMIENTO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3"/>
          <c:order val="0"/>
          <c:tx>
            <c:strRef>
              <c:f>PUNTO_DE_EQUILIBRIO!$N$25</c:f>
              <c:strCache>
                <c:ptCount val="1"/>
                <c:pt idx="0">
                  <c:v>Ingresos totales </c:v>
                </c:pt>
              </c:strCache>
            </c:strRef>
          </c:tx>
          <c:spPr>
            <a:ln w="28575" cap="rnd">
              <a:solidFill>
                <a:schemeClr val="accent4"/>
              </a:solidFill>
              <a:round/>
            </a:ln>
            <a:effectLst/>
          </c:spPr>
          <c:marker>
            <c:symbol val="none"/>
          </c:marker>
          <c:cat>
            <c:numRef>
              <c:f>PUNTO_DE_EQUILIBRIO!$O$24:$Q$24</c:f>
              <c:numCache>
                <c:formatCode>#,##0</c:formatCode>
                <c:ptCount val="3"/>
                <c:pt idx="0">
                  <c:v>0</c:v>
                </c:pt>
                <c:pt idx="1">
                  <c:v>0</c:v>
                </c:pt>
                <c:pt idx="2">
                  <c:v>0</c:v>
                </c:pt>
              </c:numCache>
            </c:numRef>
          </c:cat>
          <c:val>
            <c:numRef>
              <c:f>PUNTO_DE_EQUILIBRIO!$O$25:$Q$25</c:f>
              <c:numCache>
                <c:formatCode>"$"#,##0_);[Red]\("$"#,##0\)</c:formatCode>
                <c:ptCount val="3"/>
                <c:pt idx="0">
                  <c:v>0</c:v>
                </c:pt>
                <c:pt idx="1">
                  <c:v>0</c:v>
                </c:pt>
                <c:pt idx="2">
                  <c:v>0</c:v>
                </c:pt>
              </c:numCache>
            </c:numRef>
          </c:val>
          <c:smooth val="0"/>
          <c:extLst>
            <c:ext xmlns:c16="http://schemas.microsoft.com/office/drawing/2014/chart" uri="{C3380CC4-5D6E-409C-BE32-E72D297353CC}">
              <c16:uniqueId val="{00000004-4F24-4A81-93F7-ADAF29F06A96}"/>
            </c:ext>
          </c:extLst>
        </c:ser>
        <c:ser>
          <c:idx val="0"/>
          <c:order val="1"/>
          <c:tx>
            <c:strRef>
              <c:f>PUNTO_DE_EQUILIBRIO!$N$28</c:f>
              <c:strCache>
                <c:ptCount val="1"/>
                <c:pt idx="0">
                  <c:v>Costo total </c:v>
                </c:pt>
              </c:strCache>
            </c:strRef>
          </c:tx>
          <c:spPr>
            <a:ln w="28575" cap="rnd">
              <a:solidFill>
                <a:schemeClr val="accent1"/>
              </a:solidFill>
              <a:round/>
            </a:ln>
            <a:effectLst/>
          </c:spPr>
          <c:marker>
            <c:symbol val="none"/>
          </c:marker>
          <c:cat>
            <c:numRef>
              <c:f>PUNTO_DE_EQUILIBRIO!$O$24:$Q$24</c:f>
              <c:numCache>
                <c:formatCode>#,##0</c:formatCode>
                <c:ptCount val="3"/>
                <c:pt idx="0">
                  <c:v>0</c:v>
                </c:pt>
                <c:pt idx="1">
                  <c:v>0</c:v>
                </c:pt>
                <c:pt idx="2">
                  <c:v>0</c:v>
                </c:pt>
              </c:numCache>
            </c:numRef>
          </c:cat>
          <c:val>
            <c:numRef>
              <c:f>PUNTO_DE_EQUILIBRIO!$O$28:$Q$28</c:f>
              <c:numCache>
                <c:formatCode>"$"#,##0_);[Red]\("$"#,##0\)</c:formatCode>
                <c:ptCount val="3"/>
                <c:pt idx="0">
                  <c:v>0</c:v>
                </c:pt>
                <c:pt idx="1">
                  <c:v>0</c:v>
                </c:pt>
                <c:pt idx="2">
                  <c:v>0</c:v>
                </c:pt>
              </c:numCache>
            </c:numRef>
          </c:val>
          <c:smooth val="0"/>
          <c:extLst>
            <c:ext xmlns:c16="http://schemas.microsoft.com/office/drawing/2014/chart" uri="{C3380CC4-5D6E-409C-BE32-E72D297353CC}">
              <c16:uniqueId val="{00000005-4F24-4A81-93F7-ADAF29F06A96}"/>
            </c:ext>
          </c:extLst>
        </c:ser>
        <c:ser>
          <c:idx val="1"/>
          <c:order val="2"/>
          <c:tx>
            <c:strRef>
              <c:f>PUNTO_DE_EQUILIBRIO!$N$26</c:f>
              <c:strCache>
                <c:ptCount val="1"/>
                <c:pt idx="0">
                  <c:v>Costos fijos totales</c:v>
                </c:pt>
              </c:strCache>
            </c:strRef>
          </c:tx>
          <c:spPr>
            <a:ln w="28575" cap="rnd">
              <a:solidFill>
                <a:schemeClr val="accent2"/>
              </a:solidFill>
              <a:round/>
            </a:ln>
            <a:effectLst/>
          </c:spPr>
          <c:marker>
            <c:symbol val="none"/>
          </c:marker>
          <c:cat>
            <c:numRef>
              <c:f>PUNTO_DE_EQUILIBRIO!$O$24:$Q$24</c:f>
              <c:numCache>
                <c:formatCode>#,##0</c:formatCode>
                <c:ptCount val="3"/>
                <c:pt idx="0">
                  <c:v>0</c:v>
                </c:pt>
                <c:pt idx="1">
                  <c:v>0</c:v>
                </c:pt>
                <c:pt idx="2">
                  <c:v>0</c:v>
                </c:pt>
              </c:numCache>
            </c:numRef>
          </c:cat>
          <c:val>
            <c:numRef>
              <c:f>PUNTO_DE_EQUILIBRIO!$O$26:$Q$26</c:f>
              <c:numCache>
                <c:formatCode>"$"#,##0_);[Red]\("$"#,##0\)</c:formatCode>
                <c:ptCount val="3"/>
                <c:pt idx="0">
                  <c:v>0</c:v>
                </c:pt>
                <c:pt idx="1">
                  <c:v>0</c:v>
                </c:pt>
                <c:pt idx="2">
                  <c:v>0</c:v>
                </c:pt>
              </c:numCache>
            </c:numRef>
          </c:val>
          <c:smooth val="0"/>
          <c:extLst>
            <c:ext xmlns:c16="http://schemas.microsoft.com/office/drawing/2014/chart" uri="{C3380CC4-5D6E-409C-BE32-E72D297353CC}">
              <c16:uniqueId val="{00000007-4F24-4A81-93F7-ADAF29F06A96}"/>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2083254544"/>
        <c:axId val="2083274512"/>
      </c:lineChart>
      <c:catAx>
        <c:axId val="20832545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Cantidades vendidas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74512"/>
        <c:crosses val="autoZero"/>
        <c:auto val="1"/>
        <c:lblAlgn val="ctr"/>
        <c:lblOffset val="100"/>
        <c:noMultiLvlLbl val="0"/>
      </c:catAx>
      <c:valAx>
        <c:axId val="2083274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Ingresos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quot;$&quot;#,##0_);[Red]\(&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083254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ANALISIS_DE_VPN_Y_TIR!$A$33:$B$33</c:f>
              <c:strCache>
                <c:ptCount val="2"/>
                <c:pt idx="0">
                  <c:v>Liquidez - Razón Corriente </c:v>
                </c:pt>
              </c:strCache>
            </c:strRef>
          </c:tx>
          <c:spPr>
            <a:solidFill>
              <a:schemeClr val="accent1"/>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ANALISIS_DE_VPN_Y_TIR!$C$33:$G$33</c:f>
              <c:numCache>
                <c:formatCode>_-* #,##0.000_-;\-* #,##0.000_-;_-* "-"??_-;_-@_-</c:formatCode>
                <c:ptCount val="5"/>
                <c:pt idx="0">
                  <c:v>0</c:v>
                </c:pt>
                <c:pt idx="1">
                  <c:v>0</c:v>
                </c:pt>
                <c:pt idx="2">
                  <c:v>0</c:v>
                </c:pt>
                <c:pt idx="3">
                  <c:v>0</c:v>
                </c:pt>
                <c:pt idx="4">
                  <c:v>0</c:v>
                </c:pt>
              </c:numCache>
            </c:numRef>
          </c:val>
          <c:extLst>
            <c:ext xmlns:c16="http://schemas.microsoft.com/office/drawing/2014/chart" uri="{C3380CC4-5D6E-409C-BE32-E72D297353CC}">
              <c16:uniqueId val="{00000000-B45C-455E-A1A2-ABF625728D49}"/>
            </c:ext>
          </c:extLst>
        </c:ser>
        <c:dLbls>
          <c:showLegendKey val="0"/>
          <c:showVal val="0"/>
          <c:showCatName val="0"/>
          <c:showSerName val="0"/>
          <c:showPercent val="0"/>
          <c:showBubbleSize val="0"/>
        </c:dLbls>
        <c:gapWidth val="150"/>
        <c:axId val="1692639407"/>
        <c:axId val="1692641903"/>
      </c:barChart>
      <c:catAx>
        <c:axId val="169263940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41903"/>
        <c:crosses val="autoZero"/>
        <c:auto val="1"/>
        <c:lblAlgn val="ctr"/>
        <c:lblOffset val="100"/>
        <c:noMultiLvlLbl val="0"/>
      </c:catAx>
      <c:valAx>
        <c:axId val="1692641903"/>
        <c:scaling>
          <c:orientation val="minMax"/>
        </c:scaling>
        <c:delete val="0"/>
        <c:axPos val="l"/>
        <c:majorGridlines>
          <c:spPr>
            <a:ln w="9525" cap="flat" cmpd="sng" algn="ctr">
              <a:solidFill>
                <a:schemeClr val="tx1">
                  <a:lumMod val="15000"/>
                  <a:lumOff val="85000"/>
                </a:schemeClr>
              </a:solidFill>
              <a:round/>
            </a:ln>
            <a:effectLst/>
          </c:spPr>
        </c:majorGridlines>
        <c:numFmt formatCode="_-* #,##0.000_-;\-* #,##0.000_-;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9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ANALISIS_DE_VPN_Y_TIR!$A$34:$B$34</c:f>
              <c:strCache>
                <c:ptCount val="2"/>
                <c:pt idx="0">
                  <c:v>Nivel de Endeudamiento Total </c:v>
                </c:pt>
              </c:strCache>
            </c:strRef>
          </c:tx>
          <c:spPr>
            <a:solidFill>
              <a:schemeClr val="accent5"/>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ANALISIS_DE_VPN_Y_TIR!$C$34:$G$34</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C9E-4FF1-903E-1C948AE42294}"/>
            </c:ext>
          </c:extLst>
        </c:ser>
        <c:dLbls>
          <c:showLegendKey val="0"/>
          <c:showVal val="0"/>
          <c:showCatName val="0"/>
          <c:showSerName val="0"/>
          <c:showPercent val="0"/>
          <c:showBubbleSize val="0"/>
        </c:dLbls>
        <c:gapWidth val="150"/>
        <c:axId val="1510442287"/>
        <c:axId val="1510442703"/>
      </c:barChart>
      <c:catAx>
        <c:axId val="151044228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703"/>
        <c:crosses val="autoZero"/>
        <c:auto val="1"/>
        <c:lblAlgn val="ctr"/>
        <c:lblOffset val="100"/>
        <c:noMultiLvlLbl val="0"/>
      </c:catAx>
      <c:valAx>
        <c:axId val="1510442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104422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ANALISIS_DE_VPN_Y_TIR!$A$35:$B$35</c:f>
              <c:strCache>
                <c:ptCount val="2"/>
                <c:pt idx="0">
                  <c:v>Rentabilidad Operacional </c:v>
                </c:pt>
              </c:strCache>
            </c:strRef>
          </c:tx>
          <c:spPr>
            <a:solidFill>
              <a:schemeClr val="accent3"/>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ANALISIS_DE_VPN_Y_TIR!$C$35:$G$35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C24-4F56-9392-27B11ADF4F17}"/>
            </c:ext>
          </c:extLst>
        </c:ser>
        <c:dLbls>
          <c:showLegendKey val="0"/>
          <c:showVal val="0"/>
          <c:showCatName val="0"/>
          <c:showSerName val="0"/>
          <c:showPercent val="0"/>
          <c:showBubbleSize val="0"/>
        </c:dLbls>
        <c:gapWidth val="150"/>
        <c:axId val="1692637327"/>
        <c:axId val="1692638159"/>
      </c:barChart>
      <c:catAx>
        <c:axId val="1692637327"/>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8159"/>
        <c:crosses val="autoZero"/>
        <c:auto val="1"/>
        <c:lblAlgn val="ctr"/>
        <c:lblOffset val="100"/>
        <c:noMultiLvlLbl val="0"/>
      </c:catAx>
      <c:valAx>
        <c:axId val="16926381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9263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1"/>
    </mc:Choice>
    <mc:Fallback>
      <c:style val="1"/>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ANALISIS_DE_VPN_Y_TIR!$A$36:$B$36</c:f>
              <c:strCache>
                <c:ptCount val="2"/>
                <c:pt idx="0">
                  <c:v>Rentabilidad Neta </c:v>
                </c:pt>
              </c:strCache>
            </c:strRef>
          </c:tx>
          <c:spPr>
            <a:solidFill>
              <a:schemeClr val="dk1">
                <a:tint val="88500"/>
              </a:schemeClr>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ANALISIS_DE_VPN_Y_TIR!$C$36:$G$36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2-0021-4223-BE97-4D00E2124375}"/>
            </c:ext>
          </c:extLst>
        </c:ser>
        <c:dLbls>
          <c:showLegendKey val="0"/>
          <c:showVal val="0"/>
          <c:showCatName val="0"/>
          <c:showSerName val="0"/>
          <c:showPercent val="0"/>
          <c:showBubbleSize val="0"/>
        </c:dLbls>
        <c:gapWidth val="150"/>
        <c:axId val="1965510079"/>
        <c:axId val="1965521727"/>
      </c:barChart>
      <c:catAx>
        <c:axId val="1965510079"/>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21727"/>
        <c:crosses val="autoZero"/>
        <c:auto val="1"/>
        <c:lblAlgn val="ctr"/>
        <c:lblOffset val="100"/>
        <c:noMultiLvlLbl val="0"/>
      </c:catAx>
      <c:valAx>
        <c:axId val="196552172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965510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ANALISIS_DE_VPN_Y_TIR!$A$37:$B$37</c:f>
              <c:strCache>
                <c:ptCount val="2"/>
                <c:pt idx="0">
                  <c:v>Rentabilidad Patrimonio </c:v>
                </c:pt>
              </c:strCache>
            </c:strRef>
          </c:tx>
          <c:spPr>
            <a:solidFill>
              <a:schemeClr val="accent2"/>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ANALISIS_DE_VPN_Y_TIR!$C$37:$G$37</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78FA-4269-A829-52CC617F2DB5}"/>
            </c:ext>
          </c:extLst>
        </c:ser>
        <c:dLbls>
          <c:showLegendKey val="0"/>
          <c:showVal val="0"/>
          <c:showCatName val="0"/>
          <c:showSerName val="0"/>
          <c:showPercent val="0"/>
          <c:showBubbleSize val="0"/>
        </c:dLbls>
        <c:gapWidth val="150"/>
        <c:axId val="1689412671"/>
        <c:axId val="1689414335"/>
      </c:barChart>
      <c:catAx>
        <c:axId val="1689412671"/>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4335"/>
        <c:crosses val="autoZero"/>
        <c:auto val="1"/>
        <c:lblAlgn val="ctr"/>
        <c:lblOffset val="100"/>
        <c:noMultiLvlLbl val="0"/>
      </c:catAx>
      <c:valAx>
        <c:axId val="168941433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1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ANALISIS_DE_VPN_Y_TIR!$A$38:$B$38</c:f>
              <c:strCache>
                <c:ptCount val="2"/>
                <c:pt idx="0">
                  <c:v>Rentabilidad del Activo </c:v>
                </c:pt>
              </c:strCache>
            </c:strRef>
          </c:tx>
          <c:spPr>
            <a:solidFill>
              <a:schemeClr val="accent4"/>
            </a:solidFill>
            <a:ln>
              <a:noFill/>
            </a:ln>
            <a:effectLst/>
          </c:spPr>
          <c:invertIfNegative val="0"/>
          <c:cat>
            <c:numRef>
              <c:f>ANALISIS_DE_VPN_Y_TIR!$C$32:$G$32</c:f>
              <c:numCache>
                <c:formatCode>#\ ?/?</c:formatCode>
                <c:ptCount val="5"/>
                <c:pt idx="0">
                  <c:v>2021</c:v>
                </c:pt>
                <c:pt idx="1">
                  <c:v>2022</c:v>
                </c:pt>
                <c:pt idx="2">
                  <c:v>2023</c:v>
                </c:pt>
                <c:pt idx="3">
                  <c:v>2024</c:v>
                </c:pt>
                <c:pt idx="4">
                  <c:v>2025</c:v>
                </c:pt>
              </c:numCache>
            </c:numRef>
          </c:cat>
          <c:val>
            <c:numRef>
              <c:f>ANALISIS_DE_VPN_Y_TIR!$C$38:$G$38</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092-4927-9DE6-4F50A2CDE653}"/>
            </c:ext>
          </c:extLst>
        </c:ser>
        <c:dLbls>
          <c:showLegendKey val="0"/>
          <c:showVal val="0"/>
          <c:showCatName val="0"/>
          <c:showSerName val="0"/>
          <c:showPercent val="0"/>
          <c:showBubbleSize val="0"/>
        </c:dLbls>
        <c:gapWidth val="150"/>
        <c:axId val="1689486303"/>
        <c:axId val="1689488799"/>
      </c:barChart>
      <c:catAx>
        <c:axId val="1689486303"/>
        <c:scaling>
          <c:orientation val="minMax"/>
        </c:scaling>
        <c:delete val="0"/>
        <c:axPos val="b"/>
        <c:numFmt formatCode="#\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8799"/>
        <c:crosses val="autoZero"/>
        <c:auto val="1"/>
        <c:lblAlgn val="ctr"/>
        <c:lblOffset val="100"/>
        <c:noMultiLvlLbl val="0"/>
      </c:catAx>
      <c:valAx>
        <c:axId val="168948879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6894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3.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11</xdr:col>
          <xdr:colOff>57150</xdr:colOff>
          <xdr:row>27</xdr:row>
          <xdr:rowOff>0</xdr:rowOff>
        </xdr:to>
        <xdr:sp macro="" textlink="">
          <xdr:nvSpPr>
            <xdr:cNvPr id="5121" name="Object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2</xdr:row>
          <xdr:rowOff>180975</xdr:rowOff>
        </xdr:from>
        <xdr:to>
          <xdr:col>13</xdr:col>
          <xdr:colOff>409575</xdr:colOff>
          <xdr:row>4</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0</xdr:row>
          <xdr:rowOff>95250</xdr:rowOff>
        </xdr:from>
        <xdr:to>
          <xdr:col>13</xdr:col>
          <xdr:colOff>409575</xdr:colOff>
          <xdr:row>2</xdr:row>
          <xdr:rowOff>95250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419100</xdr:colOff>
          <xdr:row>5</xdr:row>
          <xdr:rowOff>76200</xdr:rowOff>
        </xdr:from>
        <xdr:to>
          <xdr:col>13</xdr:col>
          <xdr:colOff>390525</xdr:colOff>
          <xdr:row>7</xdr:row>
          <xdr:rowOff>104775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Producto y/o servicio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8</xdr:row>
          <xdr:rowOff>47625</xdr:rowOff>
        </xdr:from>
        <xdr:to>
          <xdr:col>13</xdr:col>
          <xdr:colOff>381000</xdr:colOff>
          <xdr:row>10</xdr:row>
          <xdr:rowOff>95250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de Producción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11</xdr:row>
          <xdr:rowOff>19050</xdr:rowOff>
        </xdr:from>
        <xdr:to>
          <xdr:col>13</xdr:col>
          <xdr:colOff>371475</xdr:colOff>
          <xdr:row>14</xdr:row>
          <xdr:rowOff>85725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Costos vs Ingresos Operación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409575</xdr:colOff>
          <xdr:row>15</xdr:row>
          <xdr:rowOff>28575</xdr:rowOff>
        </xdr:from>
        <xdr:to>
          <xdr:col>13</xdr:col>
          <xdr:colOff>371475</xdr:colOff>
          <xdr:row>17</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Gastos Administrativos</a:t>
              </a:r>
              <a:endParaRPr lang="es-CO" sz="1100" b="0" i="0" u="none" strike="noStrike" baseline="0">
                <a:solidFill>
                  <a:srgbClr val="000000"/>
                </a:solidFill>
                <a:latin typeface="Calibri"/>
                <a:cs typeface="Calibri"/>
              </a:endParaRPr>
            </a:p>
            <a:p>
              <a:pPr algn="ctr" rtl="0">
                <a:defRPr sz="1000"/>
              </a:pPr>
              <a:endParaRPr lang="es-CO"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18</xdr:row>
          <xdr:rowOff>123825</xdr:rowOff>
        </xdr:from>
        <xdr:to>
          <xdr:col>13</xdr:col>
          <xdr:colOff>361950</xdr:colOff>
          <xdr:row>21</xdr:row>
          <xdr:rowOff>114300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Necesidades de Financiación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400050</xdr:colOff>
          <xdr:row>22</xdr:row>
          <xdr:rowOff>66675</xdr:rowOff>
        </xdr:from>
        <xdr:to>
          <xdr:col>13</xdr:col>
          <xdr:colOff>352425</xdr:colOff>
          <xdr:row>24</xdr:row>
          <xdr:rowOff>171450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Cuadro de Costos y Gastos Fijos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371475</xdr:colOff>
          <xdr:row>25</xdr:row>
          <xdr:rowOff>171450</xdr:rowOff>
        </xdr:from>
        <xdr:to>
          <xdr:col>13</xdr:col>
          <xdr:colOff>342900</xdr:colOff>
          <xdr:row>28</xdr:row>
          <xdr:rowOff>57150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000-00000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Punto de Equilibrio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27</xdr:row>
          <xdr:rowOff>123825</xdr:rowOff>
        </xdr:from>
        <xdr:to>
          <xdr:col>2</xdr:col>
          <xdr:colOff>180975</xdr:colOff>
          <xdr:row>30</xdr:row>
          <xdr:rowOff>38100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0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Balance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514350</xdr:colOff>
          <xdr:row>27</xdr:row>
          <xdr:rowOff>123825</xdr:rowOff>
        </xdr:from>
        <xdr:to>
          <xdr:col>4</xdr:col>
          <xdr:colOff>438150</xdr:colOff>
          <xdr:row>30</xdr:row>
          <xdr:rowOff>38100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000-00000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Estado de Resultados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114300</xdr:rowOff>
        </xdr:from>
        <xdr:to>
          <xdr:col>6</xdr:col>
          <xdr:colOff>390525</xdr:colOff>
          <xdr:row>30</xdr:row>
          <xdr:rowOff>28575</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Flujo de Caja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733425</xdr:colOff>
          <xdr:row>27</xdr:row>
          <xdr:rowOff>123825</xdr:rowOff>
        </xdr:from>
        <xdr:to>
          <xdr:col>8</xdr:col>
          <xdr:colOff>657225</xdr:colOff>
          <xdr:row>30</xdr:row>
          <xdr:rowOff>9525</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VPN y 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27</xdr:row>
          <xdr:rowOff>104775</xdr:rowOff>
        </xdr:from>
        <xdr:to>
          <xdr:col>11</xdr:col>
          <xdr:colOff>38100</xdr:colOff>
          <xdr:row>30</xdr:row>
          <xdr:rowOff>47625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Análisis de sensibilidad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8</xdr:row>
          <xdr:rowOff>114300</xdr:rowOff>
        </xdr:from>
        <xdr:to>
          <xdr:col>17</xdr:col>
          <xdr:colOff>352425</xdr:colOff>
          <xdr:row>58</xdr:row>
          <xdr:rowOff>76200</xdr:rowOff>
        </xdr:to>
        <xdr:sp macro="" textlink="">
          <xdr:nvSpPr>
            <xdr:cNvPr id="7170" name="Object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12</xdr:col>
      <xdr:colOff>220980</xdr:colOff>
      <xdr:row>0</xdr:row>
      <xdr:rowOff>15240</xdr:rowOff>
    </xdr:from>
    <xdr:to>
      <xdr:col>16</xdr:col>
      <xdr:colOff>336800</xdr:colOff>
      <xdr:row>7</xdr:row>
      <xdr:rowOff>21933</xdr:rowOff>
    </xdr:to>
    <xdr:pic>
      <xdr:nvPicPr>
        <xdr:cNvPr id="3" name="Picture 8" descr="La Salle Ne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a:xfrm>
          <a:off x="9730740" y="1524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1</xdr:col>
          <xdr:colOff>47625</xdr:colOff>
          <xdr:row>4</xdr:row>
          <xdr:rowOff>152400</xdr:rowOff>
        </xdr:from>
        <xdr:to>
          <xdr:col>2</xdr:col>
          <xdr:colOff>466725</xdr:colOff>
          <xdr:row>6</xdr:row>
          <xdr:rowOff>57150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Portada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70757</xdr:colOff>
      <xdr:row>1</xdr:row>
      <xdr:rowOff>83004</xdr:rowOff>
    </xdr:from>
    <xdr:to>
      <xdr:col>12</xdr:col>
      <xdr:colOff>326572</xdr:colOff>
      <xdr:row>3</xdr:row>
      <xdr:rowOff>163286</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3649436" y="273504"/>
          <a:ext cx="10039350" cy="461282"/>
        </a:xfrm>
        <a:prstGeom prst="rect">
          <a:avLst/>
        </a:prstGeom>
        <a:solidFill>
          <a:srgbClr val="007D8A"/>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2000" b="1">
              <a:solidFill>
                <a:schemeClr val="bg1"/>
              </a:solidFill>
              <a:latin typeface="Times New Roman" panose="02020603050405020304" pitchFamily="18" charset="0"/>
              <a:cs typeface="Times New Roman" panose="02020603050405020304" pitchFamily="18" charset="0"/>
            </a:rPr>
            <a:t>VARIABLES</a:t>
          </a:r>
          <a:r>
            <a:rPr lang="es-CO" sz="2000" b="1" baseline="0">
              <a:solidFill>
                <a:schemeClr val="bg1"/>
              </a:solidFill>
              <a:latin typeface="Times New Roman" panose="02020603050405020304" pitchFamily="18" charset="0"/>
              <a:cs typeface="Times New Roman" panose="02020603050405020304" pitchFamily="18" charset="0"/>
            </a:rPr>
            <a:t> BÁSICAS PARA LOS CÁLCULOS DE LA SIMULACIÓN FINANCIERA </a:t>
          </a:r>
          <a:endParaRPr lang="es-CO"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12</xdr:col>
      <xdr:colOff>696686</xdr:colOff>
      <xdr:row>1</xdr:row>
      <xdr:rowOff>117021</xdr:rowOff>
    </xdr:from>
    <xdr:to>
      <xdr:col>17</xdr:col>
      <xdr:colOff>67651</xdr:colOff>
      <xdr:row>8</xdr:row>
      <xdr:rowOff>82620</xdr:rowOff>
    </xdr:to>
    <xdr:pic>
      <xdr:nvPicPr>
        <xdr:cNvPr id="3" name="Picture 8" descr="La Salle New">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rcRect/>
        <a:stretch>
          <a:fillRect/>
        </a:stretch>
      </xdr:blipFill>
      <xdr:spPr>
        <a:xfrm>
          <a:off x="14050736" y="307521"/>
          <a:ext cx="3180965" cy="1346724"/>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9</xdr:col>
          <xdr:colOff>200025</xdr:colOff>
          <xdr:row>15</xdr:row>
          <xdr:rowOff>85725</xdr:rowOff>
        </xdr:from>
        <xdr:to>
          <xdr:col>11</xdr:col>
          <xdr:colOff>771525</xdr:colOff>
          <xdr:row>17</xdr:row>
          <xdr:rowOff>161925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8</xdr:col>
      <xdr:colOff>314325</xdr:colOff>
      <xdr:row>6</xdr:row>
      <xdr:rowOff>19050</xdr:rowOff>
    </xdr:from>
    <xdr:to>
      <xdr:col>12</xdr:col>
      <xdr:colOff>292554</xdr:colOff>
      <xdr:row>10</xdr:row>
      <xdr:rowOff>190499</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10620375" y="1190625"/>
          <a:ext cx="3026229" cy="971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de color gris son modificables en esta</a:t>
          </a:r>
          <a:r>
            <a:rPr lang="es-CO" sz="1800" b="1" baseline="0"/>
            <a:t> página.</a:t>
          </a:r>
          <a:endParaRPr lang="es-CO" sz="1800" b="1"/>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12</xdr:row>
          <xdr:rowOff>0</xdr:rowOff>
        </xdr:from>
        <xdr:to>
          <xdr:col>1</xdr:col>
          <xdr:colOff>3086100</xdr:colOff>
          <xdr:row>16</xdr:row>
          <xdr:rowOff>47625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300-000001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CREACIÓN DE UN NUEVO PRODUCTO O SERVICIO </a:t>
              </a:r>
            </a:p>
          </xdr:txBody>
        </xdr:sp>
        <xdr:clientData fPrintsWithSheet="0"/>
      </xdr:twoCellAnchor>
    </mc:Choice>
    <mc:Fallback/>
  </mc:AlternateContent>
  <xdr:twoCellAnchor>
    <xdr:from>
      <xdr:col>5</xdr:col>
      <xdr:colOff>247650</xdr:colOff>
      <xdr:row>11</xdr:row>
      <xdr:rowOff>133351</xdr:rowOff>
    </xdr:from>
    <xdr:to>
      <xdr:col>6</xdr:col>
      <xdr:colOff>1657350</xdr:colOff>
      <xdr:row>15</xdr:row>
      <xdr:rowOff>76200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3468350" y="1733551"/>
          <a:ext cx="4133850" cy="7048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mc:AlternateContent xmlns:mc="http://schemas.openxmlformats.org/markup-compatibility/2006">
    <mc:Choice xmlns:a14="http://schemas.microsoft.com/office/drawing/2010/main" Requires="a14">
      <xdr:twoCellAnchor>
        <xdr:from>
          <xdr:col>3</xdr:col>
          <xdr:colOff>695325</xdr:colOff>
          <xdr:row>0</xdr:row>
          <xdr:rowOff>85725</xdr:rowOff>
        </xdr:from>
        <xdr:to>
          <xdr:col>3</xdr:col>
          <xdr:colOff>2714625</xdr:colOff>
          <xdr:row>2</xdr:row>
          <xdr:rowOff>95250</xdr:rowOff>
        </xdr:to>
        <xdr:sp macro="" textlink="">
          <xdr:nvSpPr>
            <xdr:cNvPr id="61442" name="Button 2" hidden="1">
              <a:extLst>
                <a:ext uri="{63B3BB69-23CF-44E3-9099-C40C66FF867C}">
                  <a14:compatExt spid="_x0000_s61442"/>
                </a:ext>
                <a:ext uri="{FF2B5EF4-FFF2-40B4-BE49-F238E27FC236}">
                  <a16:creationId xmlns:a16="http://schemas.microsoft.com/office/drawing/2014/main" id="{00000000-0008-0000-0300-000002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10</xdr:col>
      <xdr:colOff>2362200</xdr:colOff>
      <xdr:row>5</xdr:row>
      <xdr:rowOff>95250</xdr:rowOff>
    </xdr:from>
    <xdr:to>
      <xdr:col>12</xdr:col>
      <xdr:colOff>552065</xdr:colOff>
      <xdr:row>12</xdr:row>
      <xdr:rowOff>41799</xdr:rowOff>
    </xdr:to>
    <xdr:pic>
      <xdr:nvPicPr>
        <xdr:cNvPr id="5" name="Picture 8" descr="La Salle New">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rcRect/>
        <a:stretch>
          <a:fillRect/>
        </a:stretch>
      </xdr:blipFill>
      <xdr:spPr>
        <a:xfrm>
          <a:off x="29813250" y="1095375"/>
          <a:ext cx="3180965" cy="1346724"/>
        </a:xfrm>
        <a:prstGeom prst="rect">
          <a:avLst/>
        </a:prstGeom>
        <a:noFill/>
        <a:ln cap="flat">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200026</xdr:colOff>
      <xdr:row>18</xdr:row>
      <xdr:rowOff>47626</xdr:rowOff>
    </xdr:from>
    <xdr:to>
      <xdr:col>7</xdr:col>
      <xdr:colOff>762000</xdr:colOff>
      <xdr:row>23</xdr:row>
      <xdr:rowOff>152401</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10401301" y="3371851"/>
          <a:ext cx="4448174"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MATERIA PRIMA E INSUMOS que se requiere para obtener el producto y/o servicio </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495300</xdr:colOff>
          <xdr:row>37</xdr:row>
          <xdr:rowOff>180975</xdr:rowOff>
        </xdr:from>
        <xdr:to>
          <xdr:col>1</xdr:col>
          <xdr:colOff>2066925</xdr:colOff>
          <xdr:row>39</xdr:row>
          <xdr:rowOff>190500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400-000001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133350</xdr:colOff>
      <xdr:row>41</xdr:row>
      <xdr:rowOff>0</xdr:rowOff>
    </xdr:from>
    <xdr:to>
      <xdr:col>1</xdr:col>
      <xdr:colOff>2457450</xdr:colOff>
      <xdr:row>51</xdr:row>
      <xdr:rowOff>161925</xdr:rowOff>
    </xdr:to>
    <xdr:sp macro="" textlink="">
      <xdr:nvSpPr>
        <xdr:cNvPr id="5" name="CuadroTexto 4">
          <a:extLst>
            <a:ext uri="{FF2B5EF4-FFF2-40B4-BE49-F238E27FC236}">
              <a16:creationId xmlns:a16="http://schemas.microsoft.com/office/drawing/2014/main" id="{00000000-0008-0000-0400-000005000000}"/>
            </a:ext>
          </a:extLst>
        </xdr:cNvPr>
        <xdr:cNvSpPr txBox="1"/>
      </xdr:nvSpPr>
      <xdr:spPr>
        <a:xfrm>
          <a:off x="895350" y="7600950"/>
          <a:ext cx="2324100" cy="19621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2</xdr:col>
      <xdr:colOff>9525</xdr:colOff>
      <xdr:row>33</xdr:row>
      <xdr:rowOff>9525</xdr:rowOff>
    </xdr:from>
    <xdr:to>
      <xdr:col>3</xdr:col>
      <xdr:colOff>3448050</xdr:colOff>
      <xdr:row>37</xdr:row>
      <xdr:rowOff>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3381375" y="63246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1</xdr:col>
      <xdr:colOff>171451</xdr:colOff>
      <xdr:row>6</xdr:row>
      <xdr:rowOff>133351</xdr:rowOff>
    </xdr:from>
    <xdr:to>
      <xdr:col>3</xdr:col>
      <xdr:colOff>3371851</xdr:colOff>
      <xdr:row>9</xdr:row>
      <xdr:rowOff>95251</xdr:rowOff>
    </xdr:to>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933451" y="1104901"/>
          <a:ext cx="9182100" cy="53340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400" b="1" u="sng"/>
            <a:t>Materia prima e insumos </a:t>
          </a:r>
          <a:endParaRPr lang="es-CO" sz="2400" b="1"/>
        </a:p>
      </xdr:txBody>
    </xdr:sp>
    <xdr:clientData/>
  </xdr:twoCellAnchor>
  <xdr:twoCellAnchor>
    <xdr:from>
      <xdr:col>2</xdr:col>
      <xdr:colOff>1657350</xdr:colOff>
      <xdr:row>37</xdr:row>
      <xdr:rowOff>0</xdr:rowOff>
    </xdr:from>
    <xdr:to>
      <xdr:col>2</xdr:col>
      <xdr:colOff>1657350</xdr:colOff>
      <xdr:row>37</xdr:row>
      <xdr:rowOff>190500</xdr:rowOff>
    </xdr:to>
    <xdr:cxnSp macro="">
      <xdr:nvCxnSpPr>
        <xdr:cNvPr id="4" name="Conector recto de flecha 3">
          <a:extLst>
            <a:ext uri="{FF2B5EF4-FFF2-40B4-BE49-F238E27FC236}">
              <a16:creationId xmlns:a16="http://schemas.microsoft.com/office/drawing/2014/main" id="{00000000-0008-0000-0400-000004000000}"/>
            </a:ext>
          </a:extLst>
        </xdr:cNvPr>
        <xdr:cNvCxnSpPr/>
      </xdr:nvCxnSpPr>
      <xdr:spPr>
        <a:xfrm>
          <a:off x="5029200" y="6886575"/>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0</xdr:colOff>
      <xdr:row>50</xdr:row>
      <xdr:rowOff>9525</xdr:rowOff>
    </xdr:from>
    <xdr:to>
      <xdr:col>3</xdr:col>
      <xdr:colOff>3438525</xdr:colOff>
      <xdr:row>51</xdr:row>
      <xdr:rowOff>180975</xdr:rowOff>
    </xdr:to>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3371850" y="92392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1638300</xdr:colOff>
      <xdr:row>52</xdr:row>
      <xdr:rowOff>0</xdr:rowOff>
    </xdr:from>
    <xdr:to>
      <xdr:col>2</xdr:col>
      <xdr:colOff>1638300</xdr:colOff>
      <xdr:row>52</xdr:row>
      <xdr:rowOff>190500</xdr:rowOff>
    </xdr:to>
    <xdr:cxnSp macro="">
      <xdr:nvCxnSpPr>
        <xdr:cNvPr id="9" name="Conector recto de flecha 8">
          <a:extLst>
            <a:ext uri="{FF2B5EF4-FFF2-40B4-BE49-F238E27FC236}">
              <a16:creationId xmlns:a16="http://schemas.microsoft.com/office/drawing/2014/main" id="{00000000-0008-0000-0400-000009000000}"/>
            </a:ext>
          </a:extLst>
        </xdr:cNvPr>
        <xdr:cNvCxnSpPr/>
      </xdr:nvCxnSpPr>
      <xdr:spPr>
        <a:xfrm>
          <a:off x="5010150" y="9829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54</xdr:row>
      <xdr:rowOff>161925</xdr:rowOff>
    </xdr:from>
    <xdr:to>
      <xdr:col>1</xdr:col>
      <xdr:colOff>2447925</xdr:colOff>
      <xdr:row>65</xdr:row>
      <xdr:rowOff>19050</xdr:rowOff>
    </xdr:to>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885825" y="10563225"/>
          <a:ext cx="2324100" cy="19716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533400</xdr:colOff>
          <xdr:row>53</xdr:row>
          <xdr:rowOff>85725</xdr:rowOff>
        </xdr:from>
        <xdr:to>
          <xdr:col>1</xdr:col>
          <xdr:colOff>2095500</xdr:colOff>
          <xdr:row>53</xdr:row>
          <xdr:rowOff>466725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400-000002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647699</xdr:colOff>
      <xdr:row>2</xdr:row>
      <xdr:rowOff>9526</xdr:rowOff>
    </xdr:from>
    <xdr:to>
      <xdr:col>6</xdr:col>
      <xdr:colOff>1943099</xdr:colOff>
      <xdr:row>4</xdr:row>
      <xdr:rowOff>9525</xdr:rowOff>
    </xdr:to>
    <xdr:sp macro="" textlink="">
      <xdr:nvSpPr>
        <xdr:cNvPr id="12" name="CuadroTexto 11">
          <a:extLst>
            <a:ext uri="{FF2B5EF4-FFF2-40B4-BE49-F238E27FC236}">
              <a16:creationId xmlns:a16="http://schemas.microsoft.com/office/drawing/2014/main" id="{00000000-0008-0000-0400-00000C000000}"/>
            </a:ext>
          </a:extLst>
        </xdr:cNvPr>
        <xdr:cNvSpPr txBox="1"/>
      </xdr:nvSpPr>
      <xdr:spPr>
        <a:xfrm>
          <a:off x="7391399" y="200026"/>
          <a:ext cx="6696075" cy="390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800" b="1"/>
            <a:t>Únicamente las celdas blancas son modificables en esta</a:t>
          </a:r>
          <a:r>
            <a:rPr lang="es-CO" sz="1800" b="1" baseline="0"/>
            <a:t> página.</a:t>
          </a:r>
          <a:endParaRPr lang="es-CO" sz="1800" b="1"/>
        </a:p>
      </xdr:txBody>
    </xdr:sp>
    <xdr:clientData/>
  </xdr:twoCellAnchor>
  <xdr:twoCellAnchor>
    <xdr:from>
      <xdr:col>1</xdr:col>
      <xdr:colOff>66675</xdr:colOff>
      <xdr:row>67</xdr:row>
      <xdr:rowOff>19050</xdr:rowOff>
    </xdr:from>
    <xdr:to>
      <xdr:col>3</xdr:col>
      <xdr:colOff>3267075</xdr:colOff>
      <xdr:row>69</xdr:row>
      <xdr:rowOff>171450</xdr:rowOff>
    </xdr:to>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828675" y="12934950"/>
          <a:ext cx="9182100" cy="5334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pPr algn="ctr"/>
          <a:r>
            <a:rPr lang="es-CO" sz="2400" b="1" u="sng"/>
            <a:t>Mano de obra directa</a:t>
          </a:r>
        </a:p>
        <a:p>
          <a:pPr algn="ctr"/>
          <a:endParaRPr lang="es-CO" sz="2400" b="1"/>
        </a:p>
      </xdr:txBody>
    </xdr:sp>
    <xdr:clientData/>
  </xdr:twoCellAnchor>
  <xdr:twoCellAnchor>
    <xdr:from>
      <xdr:col>3</xdr:col>
      <xdr:colOff>466725</xdr:colOff>
      <xdr:row>73</xdr:row>
      <xdr:rowOff>190500</xdr:rowOff>
    </xdr:from>
    <xdr:to>
      <xdr:col>5</xdr:col>
      <xdr:colOff>1181100</xdr:colOff>
      <xdr:row>79</xdr:row>
      <xdr:rowOff>95250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210425" y="142684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 MANO DE OBRA DIRECTA que se requiere para obtener el producto y/o servicio </a:t>
          </a:r>
          <a:endParaRPr lang="es-CO" sz="2000" b="1"/>
        </a:p>
      </xdr:txBody>
    </xdr:sp>
    <xdr:clientData/>
  </xdr:twoCellAnchor>
  <xdr:twoCellAnchor>
    <xdr:from>
      <xdr:col>2</xdr:col>
      <xdr:colOff>0</xdr:colOff>
      <xdr:row>82</xdr:row>
      <xdr:rowOff>171450</xdr:rowOff>
    </xdr:from>
    <xdr:to>
      <xdr:col>3</xdr:col>
      <xdr:colOff>3438525</xdr:colOff>
      <xdr:row>85</xdr:row>
      <xdr:rowOff>161925</xdr:rowOff>
    </xdr:to>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3371850" y="162401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1743075</xdr:colOff>
      <xdr:row>85</xdr:row>
      <xdr:rowOff>180975</xdr:rowOff>
    </xdr:from>
    <xdr:to>
      <xdr:col>2</xdr:col>
      <xdr:colOff>1743075</xdr:colOff>
      <xdr:row>87</xdr:row>
      <xdr:rowOff>180975</xdr:rowOff>
    </xdr:to>
    <xdr:cxnSp macro="">
      <xdr:nvCxnSpPr>
        <xdr:cNvPr id="16" name="Conector recto de flecha 15">
          <a:extLst>
            <a:ext uri="{FF2B5EF4-FFF2-40B4-BE49-F238E27FC236}">
              <a16:creationId xmlns:a16="http://schemas.microsoft.com/office/drawing/2014/main" id="{00000000-0008-0000-0400-000010000000}"/>
            </a:ext>
          </a:extLst>
        </xdr:cNvPr>
        <xdr:cNvCxnSpPr/>
      </xdr:nvCxnSpPr>
      <xdr:spPr>
        <a:xfrm>
          <a:off x="5114925" y="168211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180975</xdr:colOff>
      <xdr:row>91</xdr:row>
      <xdr:rowOff>0</xdr:rowOff>
    </xdr:from>
    <xdr:to>
      <xdr:col>1</xdr:col>
      <xdr:colOff>2505075</xdr:colOff>
      <xdr:row>100</xdr:row>
      <xdr:rowOff>152399</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942975" y="17754599"/>
          <a:ext cx="2324100" cy="19526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514350</xdr:colOff>
          <xdr:row>88</xdr:row>
          <xdr:rowOff>0</xdr:rowOff>
        </xdr:from>
        <xdr:to>
          <xdr:col>1</xdr:col>
          <xdr:colOff>2095500</xdr:colOff>
          <xdr:row>89</xdr:row>
          <xdr:rowOff>161925</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400-000004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101</xdr:row>
      <xdr:rowOff>9525</xdr:rowOff>
    </xdr:from>
    <xdr:to>
      <xdr:col>3</xdr:col>
      <xdr:colOff>3438525</xdr:colOff>
      <xdr:row>103</xdr:row>
      <xdr:rowOff>171450</xdr:rowOff>
    </xdr:to>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3371850" y="1954530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1762125</xdr:colOff>
      <xdr:row>104</xdr:row>
      <xdr:rowOff>9525</xdr:rowOff>
    </xdr:from>
    <xdr:to>
      <xdr:col>2</xdr:col>
      <xdr:colOff>1762125</xdr:colOff>
      <xdr:row>105</xdr:row>
      <xdr:rowOff>0</xdr:rowOff>
    </xdr:to>
    <xdr:cxnSp macro="">
      <xdr:nvCxnSpPr>
        <xdr:cNvPr id="20" name="Conector recto de flecha 19">
          <a:extLst>
            <a:ext uri="{FF2B5EF4-FFF2-40B4-BE49-F238E27FC236}">
              <a16:creationId xmlns:a16="http://schemas.microsoft.com/office/drawing/2014/main" id="{00000000-0008-0000-0400-000014000000}"/>
            </a:ext>
          </a:extLst>
        </xdr:cNvPr>
        <xdr:cNvCxnSpPr/>
      </xdr:nvCxnSpPr>
      <xdr:spPr>
        <a:xfrm>
          <a:off x="5133975" y="1935480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123825</xdr:colOff>
      <xdr:row>106</xdr:row>
      <xdr:rowOff>76200</xdr:rowOff>
    </xdr:from>
    <xdr:to>
      <xdr:col>1</xdr:col>
      <xdr:colOff>2447925</xdr:colOff>
      <xdr:row>116</xdr:row>
      <xdr:rowOff>180975</xdr:rowOff>
    </xdr:to>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885825" y="20964525"/>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409575</xdr:colOff>
          <xdr:row>105</xdr:row>
          <xdr:rowOff>28575</xdr:rowOff>
        </xdr:from>
        <xdr:to>
          <xdr:col>1</xdr:col>
          <xdr:colOff>2085975</xdr:colOff>
          <xdr:row>105</xdr:row>
          <xdr:rowOff>514350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400-000005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1</xdr:col>
      <xdr:colOff>0</xdr:colOff>
      <xdr:row>122</xdr:row>
      <xdr:rowOff>0</xdr:rowOff>
    </xdr:from>
    <xdr:to>
      <xdr:col>3</xdr:col>
      <xdr:colOff>3200400</xdr:colOff>
      <xdr:row>124</xdr:row>
      <xdr:rowOff>152400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762000" y="22231350"/>
          <a:ext cx="9182100" cy="533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algn="ctr"/>
          <a:r>
            <a:rPr lang="es-CO" sz="2400" b="1" u="sng"/>
            <a:t>Costo indirecto (cif)</a:t>
          </a:r>
        </a:p>
        <a:p>
          <a:pPr algn="ctr"/>
          <a:endParaRPr lang="es-CO" sz="2400" b="1"/>
        </a:p>
      </xdr:txBody>
    </xdr:sp>
    <xdr:clientData/>
  </xdr:twoCellAnchor>
  <xdr:twoCellAnchor>
    <xdr:from>
      <xdr:col>3</xdr:col>
      <xdr:colOff>371475</xdr:colOff>
      <xdr:row>129</xdr:row>
      <xdr:rowOff>47625</xdr:rowOff>
    </xdr:from>
    <xdr:to>
      <xdr:col>5</xdr:col>
      <xdr:colOff>1085850</xdr:colOff>
      <xdr:row>134</xdr:row>
      <xdr:rowOff>152400</xdr:rowOff>
    </xdr:to>
    <xdr:sp macro="" textlink="">
      <xdr:nvSpPr>
        <xdr:cNvPr id="24" name="CuadroTexto 23">
          <a:extLst>
            <a:ext uri="{FF2B5EF4-FFF2-40B4-BE49-F238E27FC236}">
              <a16:creationId xmlns:a16="http://schemas.microsoft.com/office/drawing/2014/main" id="{00000000-0008-0000-0400-000018000000}"/>
            </a:ext>
          </a:extLst>
        </xdr:cNvPr>
        <xdr:cNvSpPr txBox="1"/>
      </xdr:nvSpPr>
      <xdr:spPr>
        <a:xfrm>
          <a:off x="7115175" y="23641050"/>
          <a:ext cx="4171950" cy="110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Diligenciar</a:t>
          </a:r>
          <a:r>
            <a:rPr lang="es-CO" sz="2000" b="1" baseline="0"/>
            <a:t> la lista del COSTO INDIRECTO que se requiere para obtener el producto y/o servicio </a:t>
          </a:r>
          <a:endParaRPr lang="es-CO" sz="2000" b="1"/>
        </a:p>
      </xdr:txBody>
    </xdr:sp>
    <xdr:clientData/>
  </xdr:twoCellAnchor>
  <xdr:twoCellAnchor>
    <xdr:from>
      <xdr:col>2</xdr:col>
      <xdr:colOff>0</xdr:colOff>
      <xdr:row>139</xdr:row>
      <xdr:rowOff>9525</xdr:rowOff>
    </xdr:from>
    <xdr:to>
      <xdr:col>3</xdr:col>
      <xdr:colOff>3438525</xdr:colOff>
      <xdr:row>142</xdr:row>
      <xdr:rowOff>0</xdr:rowOff>
    </xdr:to>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3371850" y="25955625"/>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1752600</xdr:colOff>
      <xdr:row>142</xdr:row>
      <xdr:rowOff>19050</xdr:rowOff>
    </xdr:from>
    <xdr:to>
      <xdr:col>2</xdr:col>
      <xdr:colOff>1752600</xdr:colOff>
      <xdr:row>143</xdr:row>
      <xdr:rowOff>9525</xdr:rowOff>
    </xdr:to>
    <xdr:cxnSp macro="">
      <xdr:nvCxnSpPr>
        <xdr:cNvPr id="26" name="Conector recto de flecha 25">
          <a:extLst>
            <a:ext uri="{FF2B5EF4-FFF2-40B4-BE49-F238E27FC236}">
              <a16:creationId xmlns:a16="http://schemas.microsoft.com/office/drawing/2014/main" id="{00000000-0008-0000-0400-00001A000000}"/>
            </a:ext>
          </a:extLst>
        </xdr:cNvPr>
        <xdr:cNvCxnSpPr/>
      </xdr:nvCxnSpPr>
      <xdr:spPr>
        <a:xfrm>
          <a:off x="5124450" y="265366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133350</xdr:colOff>
      <xdr:row>146</xdr:row>
      <xdr:rowOff>0</xdr:rowOff>
    </xdr:from>
    <xdr:to>
      <xdr:col>1</xdr:col>
      <xdr:colOff>2457450</xdr:colOff>
      <xdr:row>156</xdr:row>
      <xdr:rowOff>133350</xdr:rowOff>
    </xdr:to>
    <xdr:sp macro="" textlink="">
      <xdr:nvSpPr>
        <xdr:cNvPr id="27" name="CuadroTexto 26">
          <a:extLst>
            <a:ext uri="{FF2B5EF4-FFF2-40B4-BE49-F238E27FC236}">
              <a16:creationId xmlns:a16="http://schemas.microsoft.com/office/drawing/2014/main" id="{00000000-0008-0000-0400-00001B000000}"/>
            </a:ext>
          </a:extLst>
        </xdr:cNvPr>
        <xdr:cNvSpPr txBox="1"/>
      </xdr:nvSpPr>
      <xdr:spPr>
        <a:xfrm>
          <a:off x="895350" y="28479750"/>
          <a:ext cx="2324100" cy="20383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542925</xdr:colOff>
          <xdr:row>142</xdr:row>
          <xdr:rowOff>171450</xdr:rowOff>
        </xdr:from>
        <xdr:to>
          <xdr:col>1</xdr:col>
          <xdr:colOff>2114550</xdr:colOff>
          <xdr:row>144</xdr:row>
          <xdr:rowOff>152400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400-000006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0</xdr:colOff>
      <xdr:row>158</xdr:row>
      <xdr:rowOff>0</xdr:rowOff>
    </xdr:from>
    <xdr:to>
      <xdr:col>3</xdr:col>
      <xdr:colOff>3438525</xdr:colOff>
      <xdr:row>160</xdr:row>
      <xdr:rowOff>180975</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3371850" y="30765750"/>
          <a:ext cx="68103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1714500</xdr:colOff>
      <xdr:row>161</xdr:row>
      <xdr:rowOff>0</xdr:rowOff>
    </xdr:from>
    <xdr:to>
      <xdr:col>2</xdr:col>
      <xdr:colOff>1714500</xdr:colOff>
      <xdr:row>162</xdr:row>
      <xdr:rowOff>0</xdr:rowOff>
    </xdr:to>
    <xdr:cxnSp macro="">
      <xdr:nvCxnSpPr>
        <xdr:cNvPr id="30" name="Conector recto de flecha 29">
          <a:extLst>
            <a:ext uri="{FF2B5EF4-FFF2-40B4-BE49-F238E27FC236}">
              <a16:creationId xmlns:a16="http://schemas.microsoft.com/office/drawing/2014/main" id="{00000000-0008-0000-0400-00001E000000}"/>
            </a:ext>
          </a:extLst>
        </xdr:cNvPr>
        <xdr:cNvCxnSpPr/>
      </xdr:nvCxnSpPr>
      <xdr:spPr>
        <a:xfrm>
          <a:off x="5086350" y="31337250"/>
          <a:ext cx="0" cy="19050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104775</xdr:colOff>
      <xdr:row>163</xdr:row>
      <xdr:rowOff>76200</xdr:rowOff>
    </xdr:from>
    <xdr:to>
      <xdr:col>1</xdr:col>
      <xdr:colOff>2428875</xdr:colOff>
      <xdr:row>173</xdr:row>
      <xdr:rowOff>152400</xdr:rowOff>
    </xdr:to>
    <xdr:sp macro="" textlink="">
      <xdr:nvSpPr>
        <xdr:cNvPr id="31" name="CuadroTexto 30">
          <a:extLst>
            <a:ext uri="{FF2B5EF4-FFF2-40B4-BE49-F238E27FC236}">
              <a16:creationId xmlns:a16="http://schemas.microsoft.com/office/drawing/2014/main" id="{00000000-0008-0000-0400-00001F000000}"/>
            </a:ext>
          </a:extLst>
        </xdr:cNvPr>
        <xdr:cNvSpPr txBox="1"/>
      </xdr:nvSpPr>
      <xdr:spPr>
        <a:xfrm>
          <a:off x="866775" y="32061150"/>
          <a:ext cx="2324100" cy="20002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457200</xdr:colOff>
          <xdr:row>162</xdr:row>
          <xdr:rowOff>66675</xdr:rowOff>
        </xdr:from>
        <xdr:to>
          <xdr:col>1</xdr:col>
          <xdr:colOff>1981200</xdr:colOff>
          <xdr:row>162</xdr:row>
          <xdr:rowOff>514350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400-000007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2</xdr:col>
      <xdr:colOff>9525</xdr:colOff>
      <xdr:row>184</xdr:row>
      <xdr:rowOff>0</xdr:rowOff>
    </xdr:from>
    <xdr:to>
      <xdr:col>3</xdr:col>
      <xdr:colOff>3448050</xdr:colOff>
      <xdr:row>187</xdr:row>
      <xdr:rowOff>0</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3381375" y="35880675"/>
          <a:ext cx="68103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2</xdr:col>
      <xdr:colOff>1647825</xdr:colOff>
      <xdr:row>187</xdr:row>
      <xdr:rowOff>9525</xdr:rowOff>
    </xdr:from>
    <xdr:to>
      <xdr:col>2</xdr:col>
      <xdr:colOff>1647825</xdr:colOff>
      <xdr:row>190</xdr:row>
      <xdr:rowOff>0</xdr:rowOff>
    </xdr:to>
    <xdr:cxnSp macro="">
      <xdr:nvCxnSpPr>
        <xdr:cNvPr id="11" name="Conector recto de flecha 10">
          <a:extLst>
            <a:ext uri="{FF2B5EF4-FFF2-40B4-BE49-F238E27FC236}">
              <a16:creationId xmlns:a16="http://schemas.microsoft.com/office/drawing/2014/main" id="{00000000-0008-0000-0400-00000B000000}"/>
            </a:ext>
          </a:extLst>
        </xdr:cNvPr>
        <xdr:cNvCxnSpPr/>
      </xdr:nvCxnSpPr>
      <xdr:spPr>
        <a:xfrm>
          <a:off x="5019675" y="36461700"/>
          <a:ext cx="0" cy="5810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114300</xdr:colOff>
      <xdr:row>193</xdr:row>
      <xdr:rowOff>0</xdr:rowOff>
    </xdr:from>
    <xdr:to>
      <xdr:col>1</xdr:col>
      <xdr:colOff>2438400</xdr:colOff>
      <xdr:row>203</xdr:row>
      <xdr:rowOff>123824</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876300" y="37442774"/>
          <a:ext cx="2324100" cy="20288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1</xdr:col>
          <xdr:colOff>590550</xdr:colOff>
          <xdr:row>189</xdr:row>
          <xdr:rowOff>114300</xdr:rowOff>
        </xdr:from>
        <xdr:to>
          <xdr:col>1</xdr:col>
          <xdr:colOff>2000250</xdr:colOff>
          <xdr:row>191</xdr:row>
          <xdr:rowOff>142875</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400-000008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3</xdr:row>
          <xdr:rowOff>19050</xdr:rowOff>
        </xdr:from>
        <xdr:to>
          <xdr:col>7</xdr:col>
          <xdr:colOff>1866900</xdr:colOff>
          <xdr:row>5</xdr:row>
          <xdr:rowOff>123825</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400-0000095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26</xdr:col>
      <xdr:colOff>819150</xdr:colOff>
      <xdr:row>38</xdr:row>
      <xdr:rowOff>66675</xdr:rowOff>
    </xdr:from>
    <xdr:to>
      <xdr:col>30</xdr:col>
      <xdr:colOff>1104900</xdr:colOff>
      <xdr:row>40</xdr:row>
      <xdr:rowOff>85725</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47291625" y="75438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26</xdr:col>
      <xdr:colOff>66675</xdr:colOff>
      <xdr:row>39</xdr:row>
      <xdr:rowOff>104775</xdr:rowOff>
    </xdr:from>
    <xdr:to>
      <xdr:col>26</xdr:col>
      <xdr:colOff>733425</xdr:colOff>
      <xdr:row>39</xdr:row>
      <xdr:rowOff>104775</xdr:rowOff>
    </xdr:to>
    <xdr:cxnSp macro="">
      <xdr:nvCxnSpPr>
        <xdr:cNvPr id="28" name="Conector recto de flecha 27">
          <a:extLst>
            <a:ext uri="{FF2B5EF4-FFF2-40B4-BE49-F238E27FC236}">
              <a16:creationId xmlns:a16="http://schemas.microsoft.com/office/drawing/2014/main" id="{00000000-0008-0000-0400-00001C000000}"/>
            </a:ext>
          </a:extLst>
        </xdr:cNvPr>
        <xdr:cNvCxnSpPr/>
      </xdr:nvCxnSpPr>
      <xdr:spPr>
        <a:xfrm flipH="1">
          <a:off x="46539150" y="7781925"/>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xdr:colOff>
      <xdr:row>89</xdr:row>
      <xdr:rowOff>95250</xdr:rowOff>
    </xdr:from>
    <xdr:to>
      <xdr:col>15</xdr:col>
      <xdr:colOff>695325</xdr:colOff>
      <xdr:row>89</xdr:row>
      <xdr:rowOff>95250</xdr:rowOff>
    </xdr:to>
    <xdr:cxnSp macro="">
      <xdr:nvCxnSpPr>
        <xdr:cNvPr id="43" name="Conector recto de flecha 42">
          <a:extLst>
            <a:ext uri="{FF2B5EF4-FFF2-40B4-BE49-F238E27FC236}">
              <a16:creationId xmlns:a16="http://schemas.microsoft.com/office/drawing/2014/main" id="{00000000-0008-0000-0400-00002B000000}"/>
            </a:ext>
          </a:extLst>
        </xdr:cNvPr>
        <xdr:cNvCxnSpPr/>
      </xdr:nvCxnSpPr>
      <xdr:spPr>
        <a:xfrm flipH="1">
          <a:off x="32204025" y="1769745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66675</xdr:colOff>
      <xdr:row>144</xdr:row>
      <xdr:rowOff>123825</xdr:rowOff>
    </xdr:from>
    <xdr:to>
      <xdr:col>15</xdr:col>
      <xdr:colOff>733425</xdr:colOff>
      <xdr:row>144</xdr:row>
      <xdr:rowOff>123825</xdr:rowOff>
    </xdr:to>
    <xdr:cxnSp macro="">
      <xdr:nvCxnSpPr>
        <xdr:cNvPr id="44" name="Conector recto de flecha 43">
          <a:extLst>
            <a:ext uri="{FF2B5EF4-FFF2-40B4-BE49-F238E27FC236}">
              <a16:creationId xmlns:a16="http://schemas.microsoft.com/office/drawing/2014/main" id="{00000000-0008-0000-0400-00002C000000}"/>
            </a:ext>
          </a:extLst>
        </xdr:cNvPr>
        <xdr:cNvCxnSpPr/>
      </xdr:nvCxnSpPr>
      <xdr:spPr>
        <a:xfrm flipH="1">
          <a:off x="32242125" y="28613100"/>
          <a:ext cx="666750" cy="0"/>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781050</xdr:colOff>
      <xdr:row>88</xdr:row>
      <xdr:rowOff>76200</xdr:rowOff>
    </xdr:from>
    <xdr:to>
      <xdr:col>17</xdr:col>
      <xdr:colOff>1485900</xdr:colOff>
      <xdr:row>90</xdr:row>
      <xdr:rowOff>95250</xdr:rowOff>
    </xdr:to>
    <xdr:sp macro="" textlink="">
      <xdr:nvSpPr>
        <xdr:cNvPr id="45" name="CuadroTexto 44">
          <a:extLst>
            <a:ext uri="{FF2B5EF4-FFF2-40B4-BE49-F238E27FC236}">
              <a16:creationId xmlns:a16="http://schemas.microsoft.com/office/drawing/2014/main" id="{00000000-0008-0000-0400-00002D000000}"/>
            </a:ext>
          </a:extLst>
        </xdr:cNvPr>
        <xdr:cNvSpPr txBox="1"/>
      </xdr:nvSpPr>
      <xdr:spPr>
        <a:xfrm>
          <a:off x="32956500" y="17478375"/>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twoCellAnchor>
    <xdr:from>
      <xdr:col>15</xdr:col>
      <xdr:colOff>809625</xdr:colOff>
      <xdr:row>143</xdr:row>
      <xdr:rowOff>95250</xdr:rowOff>
    </xdr:from>
    <xdr:to>
      <xdr:col>17</xdr:col>
      <xdr:colOff>1514475</xdr:colOff>
      <xdr:row>145</xdr:row>
      <xdr:rowOff>114300</xdr:rowOff>
    </xdr:to>
    <xdr:sp macro="" textlink="">
      <xdr:nvSpPr>
        <xdr:cNvPr id="46" name="CuadroTexto 45">
          <a:extLst>
            <a:ext uri="{FF2B5EF4-FFF2-40B4-BE49-F238E27FC236}">
              <a16:creationId xmlns:a16="http://schemas.microsoft.com/office/drawing/2014/main" id="{00000000-0008-0000-0400-00002E000000}"/>
            </a:ext>
          </a:extLst>
        </xdr:cNvPr>
        <xdr:cNvSpPr txBox="1"/>
      </xdr:nvSpPr>
      <xdr:spPr>
        <a:xfrm>
          <a:off x="32985075" y="28384500"/>
          <a:ext cx="4171950"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t>La primera fila, no se diligencia.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152399</xdr:rowOff>
    </xdr:from>
    <xdr:to>
      <xdr:col>5</xdr:col>
      <xdr:colOff>2222500</xdr:colOff>
      <xdr:row>3</xdr:row>
      <xdr:rowOff>85724</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2295525" y="152399"/>
          <a:ext cx="6859058"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3</xdr:col>
      <xdr:colOff>0</xdr:colOff>
      <xdr:row>15</xdr:row>
      <xdr:rowOff>76200</xdr:rowOff>
    </xdr:from>
    <xdr:to>
      <xdr:col>5</xdr:col>
      <xdr:colOff>2307167</xdr:colOff>
      <xdr:row>17</xdr:row>
      <xdr:rowOff>152400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2286000" y="3494617"/>
          <a:ext cx="695325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7</xdr:col>
      <xdr:colOff>285749</xdr:colOff>
      <xdr:row>28</xdr:row>
      <xdr:rowOff>190499</xdr:rowOff>
    </xdr:from>
    <xdr:to>
      <xdr:col>7</xdr:col>
      <xdr:colOff>2714624</xdr:colOff>
      <xdr:row>33</xdr:row>
      <xdr:rowOff>14287</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1096624" y="5226843"/>
          <a:ext cx="2428875"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1400" b="1"/>
            <a:t>Únicamente las celdas EN BLANCO son modificables en esta</a:t>
          </a:r>
          <a:r>
            <a:rPr lang="es-CO" sz="1400" b="1" baseline="0"/>
            <a:t> página.</a:t>
          </a:r>
          <a:endParaRPr lang="es-CO" sz="1400" b="1"/>
        </a:p>
      </xdr:txBody>
    </xdr:sp>
    <xdr:clientData/>
  </xdr:twoCellAnchor>
  <mc:AlternateContent xmlns:mc="http://schemas.openxmlformats.org/markup-compatibility/2006">
    <mc:Choice xmlns:a14="http://schemas.microsoft.com/office/drawing/2010/main" Requires="a14">
      <xdr:twoCellAnchor>
        <xdr:from>
          <xdr:col>0</xdr:col>
          <xdr:colOff>400050</xdr:colOff>
          <xdr:row>5</xdr:row>
          <xdr:rowOff>9525</xdr:rowOff>
        </xdr:from>
        <xdr:to>
          <xdr:col>2</xdr:col>
          <xdr:colOff>447675</xdr:colOff>
          <xdr:row>7</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500-000001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3</xdr:col>
      <xdr:colOff>485775</xdr:colOff>
      <xdr:row>3</xdr:row>
      <xdr:rowOff>104775</xdr:rowOff>
    </xdr:from>
    <xdr:to>
      <xdr:col>3</xdr:col>
      <xdr:colOff>485775</xdr:colOff>
      <xdr:row>6</xdr:row>
      <xdr:rowOff>171450</xdr:rowOff>
    </xdr:to>
    <xdr:cxnSp macro="">
      <xdr:nvCxnSpPr>
        <xdr:cNvPr id="6" name="Conector recto de flecha 5">
          <a:extLst>
            <a:ext uri="{FF2B5EF4-FFF2-40B4-BE49-F238E27FC236}">
              <a16:creationId xmlns:a16="http://schemas.microsoft.com/office/drawing/2014/main" id="{00000000-0008-0000-0500-000006000000}"/>
            </a:ext>
          </a:extLst>
        </xdr:cNvPr>
        <xdr:cNvCxnSpPr/>
      </xdr:nvCxnSpPr>
      <xdr:spPr>
        <a:xfrm>
          <a:off x="2771775" y="676275"/>
          <a:ext cx="0" cy="6699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228600</xdr:colOff>
      <xdr:row>7</xdr:row>
      <xdr:rowOff>104775</xdr:rowOff>
    </xdr:from>
    <xdr:to>
      <xdr:col>2</xdr:col>
      <xdr:colOff>581025</xdr:colOff>
      <xdr:row>17</xdr:row>
      <xdr:rowOff>9525</xdr:rowOff>
    </xdr:to>
    <xdr:sp macro="" textlink="">
      <xdr:nvSpPr>
        <xdr:cNvPr id="8" name="CuadroTexto 7">
          <a:extLst>
            <a:ext uri="{FF2B5EF4-FFF2-40B4-BE49-F238E27FC236}">
              <a16:creationId xmlns:a16="http://schemas.microsoft.com/office/drawing/2014/main" id="{00000000-0008-0000-0500-000008000000}"/>
            </a:ext>
          </a:extLst>
        </xdr:cNvPr>
        <xdr:cNvSpPr txBox="1"/>
      </xdr:nvSpPr>
      <xdr:spPr>
        <a:xfrm>
          <a:off x="228600" y="1485900"/>
          <a:ext cx="1876425" cy="23050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3</xdr:col>
      <xdr:colOff>504825</xdr:colOff>
      <xdr:row>17</xdr:row>
      <xdr:rowOff>152400</xdr:rowOff>
    </xdr:from>
    <xdr:to>
      <xdr:col>3</xdr:col>
      <xdr:colOff>514350</xdr:colOff>
      <xdr:row>20</xdr:row>
      <xdr:rowOff>161925</xdr:rowOff>
    </xdr:to>
    <xdr:cxnSp macro="">
      <xdr:nvCxnSpPr>
        <xdr:cNvPr id="9" name="Conector recto de flecha 8">
          <a:extLst>
            <a:ext uri="{FF2B5EF4-FFF2-40B4-BE49-F238E27FC236}">
              <a16:creationId xmlns:a16="http://schemas.microsoft.com/office/drawing/2014/main" id="{00000000-0008-0000-0500-000009000000}"/>
            </a:ext>
          </a:extLst>
        </xdr:cNvPr>
        <xdr:cNvCxnSpPr/>
      </xdr:nvCxnSpPr>
      <xdr:spPr>
        <a:xfrm flipH="1">
          <a:off x="2790825" y="4152900"/>
          <a:ext cx="9525" cy="6127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476250</xdr:colOff>
          <xdr:row>20</xdr:row>
          <xdr:rowOff>123825</xdr:rowOff>
        </xdr:from>
        <xdr:to>
          <xdr:col>2</xdr:col>
          <xdr:colOff>400050</xdr:colOff>
          <xdr:row>22</xdr:row>
          <xdr:rowOff>123825</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500-000003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228600</xdr:colOff>
      <xdr:row>7</xdr:row>
      <xdr:rowOff>99483</xdr:rowOff>
    </xdr:from>
    <xdr:to>
      <xdr:col>2</xdr:col>
      <xdr:colOff>581025</xdr:colOff>
      <xdr:row>19</xdr:row>
      <xdr:rowOff>63500</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228600" y="1485900"/>
          <a:ext cx="1876425" cy="2366433"/>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243417</xdr:colOff>
      <xdr:row>22</xdr:row>
      <xdr:rowOff>198966</xdr:rowOff>
    </xdr:from>
    <xdr:to>
      <xdr:col>2</xdr:col>
      <xdr:colOff>595842</xdr:colOff>
      <xdr:row>35</xdr:row>
      <xdr:rowOff>42333</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243417" y="4612216"/>
          <a:ext cx="1876425" cy="2372784"/>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mc:AlternateContent xmlns:mc="http://schemas.openxmlformats.org/markup-compatibility/2006">
    <mc:Choice xmlns:a14="http://schemas.microsoft.com/office/drawing/2010/main" Requires="a14">
      <xdr:twoCellAnchor>
        <xdr:from>
          <xdr:col>6</xdr:col>
          <xdr:colOff>762000</xdr:colOff>
          <xdr:row>1</xdr:row>
          <xdr:rowOff>9525</xdr:rowOff>
        </xdr:from>
        <xdr:to>
          <xdr:col>6</xdr:col>
          <xdr:colOff>2781300</xdr:colOff>
          <xdr:row>3</xdr:row>
          <xdr:rowOff>123825</xdr:rowOff>
        </xdr:to>
        <xdr:sp macro="" textlink="">
          <xdr:nvSpPr>
            <xdr:cNvPr id="75780" name="Button 4" hidden="1">
              <a:extLst>
                <a:ext uri="{63B3BB69-23CF-44E3-9099-C40C66FF867C}">
                  <a14:compatExt spid="_x0000_s75780"/>
                </a:ext>
                <a:ext uri="{FF2B5EF4-FFF2-40B4-BE49-F238E27FC236}">
                  <a16:creationId xmlns:a16="http://schemas.microsoft.com/office/drawing/2014/main" id="{00000000-0008-0000-0500-0000042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15</xdr:col>
      <xdr:colOff>1174750</xdr:colOff>
      <xdr:row>1</xdr:row>
      <xdr:rowOff>42333</xdr:rowOff>
    </xdr:from>
    <xdr:to>
      <xdr:col>16</xdr:col>
      <xdr:colOff>1561715</xdr:colOff>
      <xdr:row>7</xdr:row>
      <xdr:rowOff>193140</xdr:rowOff>
    </xdr:to>
    <xdr:pic>
      <xdr:nvPicPr>
        <xdr:cNvPr id="16" name="Picture 8" descr="La Salle New">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srcRect/>
        <a:stretch>
          <a:fillRect/>
        </a:stretch>
      </xdr:blipFill>
      <xdr:spPr>
        <a:xfrm>
          <a:off x="34406417" y="232833"/>
          <a:ext cx="3180965" cy="1346724"/>
        </a:xfrm>
        <a:prstGeom prst="rect">
          <a:avLst/>
        </a:prstGeom>
        <a:noFill/>
        <a:ln cap="flat">
          <a:no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1430</xdr:colOff>
      <xdr:row>141</xdr:row>
      <xdr:rowOff>10953</xdr:rowOff>
    </xdr:from>
    <xdr:to>
      <xdr:col>12</xdr:col>
      <xdr:colOff>11907</xdr:colOff>
      <xdr:row>143</xdr:row>
      <xdr:rowOff>67627</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13264993" y="27907297"/>
          <a:ext cx="8535352" cy="4614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t>Defina el valor de la inversión en cada uno de las estrategías de mercado,</a:t>
          </a:r>
          <a:r>
            <a:rPr lang="es-CO" sz="1100" baseline="0"/>
            <a:t> según su plan de mercadeo </a:t>
          </a:r>
          <a:endParaRPr lang="es-CO" sz="1100"/>
        </a:p>
      </xdr:txBody>
    </xdr:sp>
    <xdr:clientData/>
  </xdr:twoCellAnchor>
  <xdr:twoCellAnchor editAs="oneCell">
    <xdr:from>
      <xdr:col>2</xdr:col>
      <xdr:colOff>1493520</xdr:colOff>
      <xdr:row>3</xdr:row>
      <xdr:rowOff>167640</xdr:rowOff>
    </xdr:from>
    <xdr:to>
      <xdr:col>4</xdr:col>
      <xdr:colOff>847340</xdr:colOff>
      <xdr:row>10</xdr:row>
      <xdr:rowOff>150520</xdr:rowOff>
    </xdr:to>
    <xdr:pic>
      <xdr:nvPicPr>
        <xdr:cNvPr id="9" name="Picture 8" descr="La Salle New">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rcRect/>
        <a:stretch>
          <a:fillRect/>
        </a:stretch>
      </xdr:blipFill>
      <xdr:spPr>
        <a:xfrm>
          <a:off x="6896100" y="716280"/>
          <a:ext cx="3285740" cy="1286853"/>
        </a:xfrm>
        <a:prstGeom prst="rect">
          <a:avLst/>
        </a:prstGeom>
        <a:noFill/>
        <a:ln cap="flat">
          <a:noFill/>
        </a:ln>
      </xdr:spPr>
    </xdr:pic>
    <xdr:clientData/>
  </xdr:twoCellAnchor>
  <xdr:twoCellAnchor>
    <xdr:from>
      <xdr:col>0</xdr:col>
      <xdr:colOff>1</xdr:colOff>
      <xdr:row>0</xdr:row>
      <xdr:rowOff>12</xdr:rowOff>
    </xdr:from>
    <xdr:to>
      <xdr:col>3</xdr:col>
      <xdr:colOff>1560394</xdr:colOff>
      <xdr:row>4</xdr:row>
      <xdr:rowOff>47275</xdr:rowOff>
    </xdr:to>
    <xdr:sp macro="" textlink="">
      <xdr:nvSpPr>
        <xdr:cNvPr id="10" name="Rectángulo 9">
          <a:extLst>
            <a:ext uri="{FF2B5EF4-FFF2-40B4-BE49-F238E27FC236}">
              <a16:creationId xmlns:a16="http://schemas.microsoft.com/office/drawing/2014/main" id="{00000000-0008-0000-0600-00000A000000}"/>
            </a:ext>
          </a:extLst>
        </xdr:cNvPr>
        <xdr:cNvSpPr/>
      </xdr:nvSpPr>
      <xdr:spPr>
        <a:xfrm rot="10800009" flipV="1">
          <a:off x="1" y="12"/>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4</xdr:col>
      <xdr:colOff>1162049</xdr:colOff>
      <xdr:row>4</xdr:row>
      <xdr:rowOff>7144</xdr:rowOff>
    </xdr:from>
    <xdr:to>
      <xdr:col>6</xdr:col>
      <xdr:colOff>2107405</xdr:colOff>
      <xdr:row>10</xdr:row>
      <xdr:rowOff>95249</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1925299" y="769144"/>
          <a:ext cx="3445669" cy="1254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1</xdr:col>
          <xdr:colOff>2524125</xdr:colOff>
          <xdr:row>9</xdr:row>
          <xdr:rowOff>57150</xdr:rowOff>
        </xdr:from>
        <xdr:to>
          <xdr:col>2</xdr:col>
          <xdr:colOff>952500</xdr:colOff>
          <xdr:row>12</xdr:row>
          <xdr:rowOff>104775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1</xdr:colOff>
      <xdr:row>0</xdr:row>
      <xdr:rowOff>7621</xdr:rowOff>
    </xdr:from>
    <xdr:to>
      <xdr:col>7</xdr:col>
      <xdr:colOff>615514</xdr:colOff>
      <xdr:row>4</xdr:row>
      <xdr:rowOff>54884</xdr:rowOff>
    </xdr:to>
    <xdr:sp macro="" textlink="">
      <xdr:nvSpPr>
        <xdr:cNvPr id="2" name="Rectángulo 1">
          <a:extLst>
            <a:ext uri="{FF2B5EF4-FFF2-40B4-BE49-F238E27FC236}">
              <a16:creationId xmlns:a16="http://schemas.microsoft.com/office/drawing/2014/main" id="{00000000-0008-0000-0700-000002000000}"/>
            </a:ext>
          </a:extLst>
        </xdr:cNvPr>
        <xdr:cNvSpPr/>
      </xdr:nvSpPr>
      <xdr:spPr>
        <a:xfrm rot="10800009" flipV="1">
          <a:off x="1" y="7621"/>
          <a:ext cx="8967033" cy="778783"/>
        </a:xfrm>
        <a:prstGeom prst="rect">
          <a:avLst/>
        </a:prstGeom>
        <a:solidFill>
          <a:srgbClr val="002060"/>
        </a:solidFill>
        <a:ln cap="flat">
          <a:noFill/>
          <a:prstDash val="solid"/>
        </a:ln>
      </xdr:spPr>
      <xdr:txBody>
        <a:bodyPr vert="horz" wrap="square" lIns="91440" tIns="45720" rIns="91440" bIns="45720" anchor="t" anchorCtr="1" compatLnSpc="1">
          <a:sp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ctr"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r>
            <a:rPr lang="es-MX" sz="4400" b="1" i="0" u="none" strike="noStrike" kern="0" cap="none" spc="0" baseline="0">
              <a:solidFill>
                <a:srgbClr val="FFFFFF"/>
              </a:solidFill>
              <a:effectLst>
                <a:outerShdw dist="38095" dir="2639887">
                  <a:srgbClr val="4472C4"/>
                </a:outerShdw>
              </a:effectLst>
              <a:uFillTx/>
              <a:latin typeface="Calibri"/>
            </a:rPr>
            <a:t>LABORATORIO FINTRADE</a:t>
          </a:r>
          <a:endParaRPr lang="es-CO" sz="4400" b="1" i="0" u="none" strike="noStrike" kern="1200" cap="none" spc="0" baseline="0">
            <a:solidFill>
              <a:srgbClr val="FFFFFF"/>
            </a:solidFill>
            <a:effectLst>
              <a:outerShdw dist="38095" dir="2639887">
                <a:srgbClr val="4472C4"/>
              </a:outerShdw>
            </a:effectLst>
            <a:uFillTx/>
            <a:latin typeface="Calibri"/>
          </a:endParaRPr>
        </a:p>
      </xdr:txBody>
    </xdr:sp>
    <xdr:clientData/>
  </xdr:twoCellAnchor>
  <xdr:twoCellAnchor>
    <xdr:from>
      <xdr:col>5</xdr:col>
      <xdr:colOff>407670</xdr:colOff>
      <xdr:row>12</xdr:row>
      <xdr:rowOff>11429</xdr:rowOff>
    </xdr:from>
    <xdr:to>
      <xdr:col>7</xdr:col>
      <xdr:colOff>381000</xdr:colOff>
      <xdr:row>20</xdr:row>
      <xdr:rowOff>85724</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6027420" y="2345054"/>
          <a:ext cx="2449830" cy="1636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amarillo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5</xdr:col>
          <xdr:colOff>523875</xdr:colOff>
          <xdr:row>5</xdr:row>
          <xdr:rowOff>47625</xdr:rowOff>
        </xdr:from>
        <xdr:to>
          <xdr:col>6</xdr:col>
          <xdr:colOff>590550</xdr:colOff>
          <xdr:row>7</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217715</xdr:colOff>
      <xdr:row>16</xdr:row>
      <xdr:rowOff>171450</xdr:rowOff>
    </xdr:from>
    <xdr:to>
      <xdr:col>6</xdr:col>
      <xdr:colOff>1463040</xdr:colOff>
      <xdr:row>36</xdr:row>
      <xdr:rowOff>141514</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541020</xdr:colOff>
      <xdr:row>16</xdr:row>
      <xdr:rowOff>15240</xdr:rowOff>
    </xdr:from>
    <xdr:to>
      <xdr:col>2</xdr:col>
      <xdr:colOff>330812</xdr:colOff>
      <xdr:row>23</xdr:row>
      <xdr:rowOff>21933</xdr:rowOff>
    </xdr:to>
    <xdr:pic>
      <xdr:nvPicPr>
        <xdr:cNvPr id="4" name="Picture 8" descr="La Salle New">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rcRect/>
        <a:stretch>
          <a:fillRect/>
        </a:stretch>
      </xdr:blipFill>
      <xdr:spPr>
        <a:xfrm>
          <a:off x="3710940" y="2956560"/>
          <a:ext cx="3285740" cy="128685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542925</xdr:colOff>
          <xdr:row>4</xdr:row>
          <xdr:rowOff>85725</xdr:rowOff>
        </xdr:from>
        <xdr:to>
          <xdr:col>10</xdr:col>
          <xdr:colOff>76200</xdr:colOff>
          <xdr:row>7</xdr:row>
          <xdr:rowOff>76200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8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9525</xdr:colOff>
      <xdr:row>3</xdr:row>
      <xdr:rowOff>114301</xdr:rowOff>
    </xdr:from>
    <xdr:to>
      <xdr:col>7</xdr:col>
      <xdr:colOff>219075</xdr:colOff>
      <xdr:row>6</xdr:row>
      <xdr:rowOff>9526</xdr:rowOff>
    </xdr:to>
    <xdr:sp macro="" textlink="">
      <xdr:nvSpPr>
        <xdr:cNvPr id="2" name="CuadroTexto 1">
          <a:extLst>
            <a:ext uri="{FF2B5EF4-FFF2-40B4-BE49-F238E27FC236}">
              <a16:creationId xmlns:a16="http://schemas.microsoft.com/office/drawing/2014/main" id="{00000000-0008-0000-0900-000002000000}"/>
            </a:ext>
          </a:extLst>
        </xdr:cNvPr>
        <xdr:cNvSpPr txBox="1"/>
      </xdr:nvSpPr>
      <xdr:spPr>
        <a:xfrm>
          <a:off x="2295525" y="704851"/>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9</xdr:col>
      <xdr:colOff>2247900</xdr:colOff>
      <xdr:row>11</xdr:row>
      <xdr:rowOff>14287</xdr:rowOff>
    </xdr:from>
    <xdr:to>
      <xdr:col>11</xdr:col>
      <xdr:colOff>752475</xdr:colOff>
      <xdr:row>37</xdr:row>
      <xdr:rowOff>14287</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533400</xdr:colOff>
      <xdr:row>6</xdr:row>
      <xdr:rowOff>19050</xdr:rowOff>
    </xdr:from>
    <xdr:to>
      <xdr:col>4</xdr:col>
      <xdr:colOff>533400</xdr:colOff>
      <xdr:row>7</xdr:row>
      <xdr:rowOff>9525</xdr:rowOff>
    </xdr:to>
    <xdr:cxnSp macro="">
      <xdr:nvCxnSpPr>
        <xdr:cNvPr id="13" name="Conector recto de flecha 12">
          <a:extLst>
            <a:ext uri="{FF2B5EF4-FFF2-40B4-BE49-F238E27FC236}">
              <a16:creationId xmlns:a16="http://schemas.microsoft.com/office/drawing/2014/main" id="{00000000-0008-0000-0900-00000D000000}"/>
            </a:ext>
          </a:extLst>
        </xdr:cNvPr>
        <xdr:cNvCxnSpPr/>
      </xdr:nvCxnSpPr>
      <xdr:spPr>
        <a:xfrm>
          <a:off x="2819400" y="1209675"/>
          <a:ext cx="0" cy="18097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114300</xdr:colOff>
          <xdr:row>6</xdr:row>
          <xdr:rowOff>0</xdr:rowOff>
        </xdr:from>
        <xdr:to>
          <xdr:col>2</xdr:col>
          <xdr:colOff>695325</xdr:colOff>
          <xdr:row>7</xdr:row>
          <xdr:rowOff>133350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900-000001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17</xdr:row>
          <xdr:rowOff>85725</xdr:rowOff>
        </xdr:from>
        <xdr:to>
          <xdr:col>2</xdr:col>
          <xdr:colOff>676275</xdr:colOff>
          <xdr:row>19</xdr:row>
          <xdr:rowOff>9525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9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209550</xdr:colOff>
      <xdr:row>8</xdr:row>
      <xdr:rowOff>9525</xdr:rowOff>
    </xdr:from>
    <xdr:to>
      <xdr:col>3</xdr:col>
      <xdr:colOff>581025</xdr:colOff>
      <xdr:row>16</xdr:row>
      <xdr:rowOff>85725</xdr:rowOff>
    </xdr:to>
    <xdr:sp macro="" textlink="">
      <xdr:nvSpPr>
        <xdr:cNvPr id="16" name="CuadroTexto 15">
          <a:extLst>
            <a:ext uri="{FF2B5EF4-FFF2-40B4-BE49-F238E27FC236}">
              <a16:creationId xmlns:a16="http://schemas.microsoft.com/office/drawing/2014/main" id="{00000000-0008-0000-0900-000010000000}"/>
            </a:ext>
          </a:extLst>
        </xdr:cNvPr>
        <xdr:cNvSpPr txBox="1"/>
      </xdr:nvSpPr>
      <xdr:spPr>
        <a:xfrm>
          <a:off x="209550" y="1590675"/>
          <a:ext cx="2657475" cy="166687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0</xdr:col>
      <xdr:colOff>228600</xdr:colOff>
      <xdr:row>19</xdr:row>
      <xdr:rowOff>114299</xdr:rowOff>
    </xdr:from>
    <xdr:to>
      <xdr:col>3</xdr:col>
      <xdr:colOff>600075</xdr:colOff>
      <xdr:row>28</xdr:row>
      <xdr:rowOff>66674</xdr:rowOff>
    </xdr:to>
    <xdr:sp macro="" textlink="">
      <xdr:nvSpPr>
        <xdr:cNvPr id="17" name="CuadroTexto 16">
          <a:extLst>
            <a:ext uri="{FF2B5EF4-FFF2-40B4-BE49-F238E27FC236}">
              <a16:creationId xmlns:a16="http://schemas.microsoft.com/office/drawing/2014/main" id="{00000000-0008-0000-0900-000011000000}"/>
            </a:ext>
          </a:extLst>
        </xdr:cNvPr>
        <xdr:cNvSpPr txBox="1"/>
      </xdr:nvSpPr>
      <xdr:spPr>
        <a:xfrm>
          <a:off x="228600" y="3876674"/>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0</xdr:colOff>
      <xdr:row>13</xdr:row>
      <xdr:rowOff>47626</xdr:rowOff>
    </xdr:from>
    <xdr:to>
      <xdr:col>7</xdr:col>
      <xdr:colOff>209550</xdr:colOff>
      <xdr:row>15</xdr:row>
      <xdr:rowOff>142876</xdr:rowOff>
    </xdr:to>
    <xdr:sp macro="" textlink="">
      <xdr:nvSpPr>
        <xdr:cNvPr id="18" name="CuadroTexto 17">
          <a:extLst>
            <a:ext uri="{FF2B5EF4-FFF2-40B4-BE49-F238E27FC236}">
              <a16:creationId xmlns:a16="http://schemas.microsoft.com/office/drawing/2014/main" id="{00000000-0008-0000-0900-000012000000}"/>
            </a:ext>
          </a:extLst>
        </xdr:cNvPr>
        <xdr:cNvSpPr txBox="1"/>
      </xdr:nvSpPr>
      <xdr:spPr>
        <a:xfrm>
          <a:off x="3048000" y="261937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542925</xdr:colOff>
      <xdr:row>15</xdr:row>
      <xdr:rowOff>142875</xdr:rowOff>
    </xdr:from>
    <xdr:to>
      <xdr:col>4</xdr:col>
      <xdr:colOff>542925</xdr:colOff>
      <xdr:row>17</xdr:row>
      <xdr:rowOff>180975</xdr:rowOff>
    </xdr:to>
    <xdr:cxnSp macro="">
      <xdr:nvCxnSpPr>
        <xdr:cNvPr id="15" name="Conector recto de flecha 14">
          <a:extLst>
            <a:ext uri="{FF2B5EF4-FFF2-40B4-BE49-F238E27FC236}">
              <a16:creationId xmlns:a16="http://schemas.microsoft.com/office/drawing/2014/main" id="{00000000-0008-0000-0900-00000F000000}"/>
            </a:ext>
          </a:extLst>
        </xdr:cNvPr>
        <xdr:cNvCxnSpPr/>
      </xdr:nvCxnSpPr>
      <xdr:spPr>
        <a:xfrm>
          <a:off x="3590925" y="3114675"/>
          <a:ext cx="0" cy="4286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104775</xdr:colOff>
          <xdr:row>38</xdr:row>
          <xdr:rowOff>28575</xdr:rowOff>
        </xdr:from>
        <xdr:to>
          <xdr:col>2</xdr:col>
          <xdr:colOff>685800</xdr:colOff>
          <xdr:row>39</xdr:row>
          <xdr:rowOff>152400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900-000003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INSERTAR FILAS</a:t>
              </a:r>
            </a:p>
          </xdr:txBody>
        </xdr:sp>
        <xdr:clientData fPrintsWithSheet="0"/>
      </xdr:twoCellAnchor>
    </mc:Choice>
    <mc:Fallback/>
  </mc:AlternateContent>
  <xdr:twoCellAnchor>
    <xdr:from>
      <xdr:col>0</xdr:col>
      <xdr:colOff>238125</xdr:colOff>
      <xdr:row>40</xdr:row>
      <xdr:rowOff>57149</xdr:rowOff>
    </xdr:from>
    <xdr:to>
      <xdr:col>3</xdr:col>
      <xdr:colOff>609600</xdr:colOff>
      <xdr:row>48</xdr:row>
      <xdr:rowOff>161924</xdr:rowOff>
    </xdr:to>
    <xdr:sp macro="" textlink="">
      <xdr:nvSpPr>
        <xdr:cNvPr id="22" name="CuadroTexto 21">
          <a:extLst>
            <a:ext uri="{FF2B5EF4-FFF2-40B4-BE49-F238E27FC236}">
              <a16:creationId xmlns:a16="http://schemas.microsoft.com/office/drawing/2014/main" id="{00000000-0008-0000-0900-000016000000}"/>
            </a:ext>
          </a:extLst>
        </xdr:cNvPr>
        <xdr:cNvSpPr txBox="1"/>
      </xdr:nvSpPr>
      <xdr:spPr>
        <a:xfrm>
          <a:off x="238125" y="7886699"/>
          <a:ext cx="2657475" cy="1685925"/>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ctr"/>
          <a:r>
            <a:rPr lang="es-CO" sz="2000" b="1" u="sng"/>
            <a:t>PRIMERO.</a:t>
          </a:r>
          <a:r>
            <a:rPr lang="es-CO" sz="2000" b="1"/>
            <a:t> Insertar</a:t>
          </a:r>
          <a:r>
            <a:rPr lang="es-CO" sz="2000" b="1" baseline="0"/>
            <a:t> el número de filas de acuerdo a la cantidad de productos y/o servicios</a:t>
          </a:r>
          <a:endParaRPr lang="es-CO" sz="2000" b="1"/>
        </a:p>
      </xdr:txBody>
    </xdr:sp>
    <xdr:clientData/>
  </xdr:twoCellAnchor>
  <xdr:twoCellAnchor>
    <xdr:from>
      <xdr:col>4</xdr:col>
      <xdr:colOff>9525</xdr:colOff>
      <xdr:row>34</xdr:row>
      <xdr:rowOff>47626</xdr:rowOff>
    </xdr:from>
    <xdr:to>
      <xdr:col>7</xdr:col>
      <xdr:colOff>219075</xdr:colOff>
      <xdr:row>36</xdr:row>
      <xdr:rowOff>161926</xdr:rowOff>
    </xdr:to>
    <xdr:sp macro="" textlink="">
      <xdr:nvSpPr>
        <xdr:cNvPr id="23" name="CuadroTexto 22">
          <a:extLst>
            <a:ext uri="{FF2B5EF4-FFF2-40B4-BE49-F238E27FC236}">
              <a16:creationId xmlns:a16="http://schemas.microsoft.com/office/drawing/2014/main" id="{00000000-0008-0000-0900-000017000000}"/>
            </a:ext>
          </a:extLst>
        </xdr:cNvPr>
        <xdr:cNvSpPr txBox="1"/>
      </xdr:nvSpPr>
      <xdr:spPr>
        <a:xfrm>
          <a:off x="3057525" y="6715126"/>
          <a:ext cx="708660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u="sng"/>
            <a:t>SEGUNDO.</a:t>
          </a:r>
          <a:r>
            <a:rPr lang="es-CO" sz="2000" b="1"/>
            <a:t> Diligenciar </a:t>
          </a:r>
          <a:r>
            <a:rPr lang="es-CO" sz="2000" b="1" u="sng"/>
            <a:t>CADA</a:t>
          </a:r>
          <a:r>
            <a:rPr lang="es-CO" sz="2000" b="1"/>
            <a:t> </a:t>
          </a:r>
          <a:r>
            <a:rPr lang="es-CO" sz="2000" b="1" u="sng"/>
            <a:t>CÓDIGO</a:t>
          </a:r>
          <a:r>
            <a:rPr lang="es-CO" sz="2000" b="1"/>
            <a:t> del producto y/o</a:t>
          </a:r>
          <a:r>
            <a:rPr lang="es-CO" sz="2000" b="1" baseline="0"/>
            <a:t> servicio</a:t>
          </a:r>
          <a:endParaRPr lang="es-CO" sz="2000" b="1"/>
        </a:p>
      </xdr:txBody>
    </xdr:sp>
    <xdr:clientData/>
  </xdr:twoCellAnchor>
  <xdr:twoCellAnchor>
    <xdr:from>
      <xdr:col>4</xdr:col>
      <xdr:colOff>523875</xdr:colOff>
      <xdr:row>36</xdr:row>
      <xdr:rowOff>161925</xdr:rowOff>
    </xdr:from>
    <xdr:to>
      <xdr:col>4</xdr:col>
      <xdr:colOff>523875</xdr:colOff>
      <xdr:row>38</xdr:row>
      <xdr:rowOff>171450</xdr:rowOff>
    </xdr:to>
    <xdr:cxnSp macro="">
      <xdr:nvCxnSpPr>
        <xdr:cNvPr id="20" name="Conector recto de flecha 19">
          <a:extLst>
            <a:ext uri="{FF2B5EF4-FFF2-40B4-BE49-F238E27FC236}">
              <a16:creationId xmlns:a16="http://schemas.microsoft.com/office/drawing/2014/main" id="{00000000-0008-0000-0900-000014000000}"/>
            </a:ext>
          </a:extLst>
        </xdr:cNvPr>
        <xdr:cNvCxnSpPr/>
      </xdr:nvCxnSpPr>
      <xdr:spPr>
        <a:xfrm>
          <a:off x="3571875" y="7210425"/>
          <a:ext cx="0" cy="390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304800</xdr:colOff>
          <xdr:row>1</xdr:row>
          <xdr:rowOff>38100</xdr:rowOff>
        </xdr:from>
        <xdr:to>
          <xdr:col>3</xdr:col>
          <xdr:colOff>114300</xdr:colOff>
          <xdr:row>3</xdr:row>
          <xdr:rowOff>9525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900-000004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editAs="oneCell">
    <xdr:from>
      <xdr:col>8</xdr:col>
      <xdr:colOff>794303</xdr:colOff>
      <xdr:row>0</xdr:row>
      <xdr:rowOff>114300</xdr:rowOff>
    </xdr:from>
    <xdr:to>
      <xdr:col>9</xdr:col>
      <xdr:colOff>1247117</xdr:colOff>
      <xdr:row>6</xdr:row>
      <xdr:rowOff>95250</xdr:rowOff>
    </xdr:to>
    <xdr:pic>
      <xdr:nvPicPr>
        <xdr:cNvPr id="19" name="Picture 8" descr="La Salle New">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rcRect/>
        <a:stretch>
          <a:fillRect/>
        </a:stretch>
      </xdr:blipFill>
      <xdr:spPr>
        <a:xfrm>
          <a:off x="14300753" y="114300"/>
          <a:ext cx="2805489" cy="1171575"/>
        </a:xfrm>
        <a:prstGeom prst="rect">
          <a:avLst/>
        </a:prstGeom>
        <a:noFill/>
        <a:ln cap="flat">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571500</xdr:colOff>
      <xdr:row>0</xdr:row>
      <xdr:rowOff>0</xdr:rowOff>
    </xdr:from>
    <xdr:to>
      <xdr:col>0</xdr:col>
      <xdr:colOff>2961890</xdr:colOff>
      <xdr:row>5</xdr:row>
      <xdr:rowOff>33791</xdr:rowOff>
    </xdr:to>
    <xdr:pic>
      <xdr:nvPicPr>
        <xdr:cNvPr id="2" name="Picture 8" descr="La Salle New">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rcRect/>
        <a:stretch>
          <a:fillRect/>
        </a:stretch>
      </xdr:blipFill>
      <xdr:spPr>
        <a:xfrm>
          <a:off x="571500" y="0"/>
          <a:ext cx="2390390" cy="986291"/>
        </a:xfrm>
        <a:prstGeom prst="rect">
          <a:avLst/>
        </a:prstGeom>
        <a:noFill/>
        <a:ln cap="flat">
          <a:noFill/>
        </a:ln>
      </xdr:spPr>
    </xdr:pic>
    <xdr:clientData/>
  </xdr:twoCellAnchor>
  <xdr:twoCellAnchor>
    <xdr:from>
      <xdr:col>8</xdr:col>
      <xdr:colOff>492578</xdr:colOff>
      <xdr:row>7</xdr:row>
      <xdr:rowOff>55789</xdr:rowOff>
    </xdr:from>
    <xdr:to>
      <xdr:col>12</xdr:col>
      <xdr:colOff>685800</xdr:colOff>
      <xdr:row>15</xdr:row>
      <xdr:rowOff>171450</xdr:rowOff>
    </xdr:to>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14218103" y="1475014"/>
          <a:ext cx="3241222" cy="16396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amarillas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3</xdr:col>
          <xdr:colOff>990600</xdr:colOff>
          <xdr:row>1</xdr:row>
          <xdr:rowOff>114300</xdr:rowOff>
        </xdr:from>
        <xdr:to>
          <xdr:col>4</xdr:col>
          <xdr:colOff>923925</xdr:colOff>
          <xdr:row>4</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6</xdr:col>
      <xdr:colOff>388621</xdr:colOff>
      <xdr:row>18</xdr:row>
      <xdr:rowOff>123322</xdr:rowOff>
    </xdr:from>
    <xdr:to>
      <xdr:col>7</xdr:col>
      <xdr:colOff>746761</xdr:colOff>
      <xdr:row>29</xdr:row>
      <xdr:rowOff>186689</xdr:rowOff>
    </xdr:to>
    <xdr:pic>
      <xdr:nvPicPr>
        <xdr:cNvPr id="2" name="Imagen 1" descr="Planifica el futuro financiero con un simulador | ahorrame">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99861" y="3117982"/>
          <a:ext cx="1150620" cy="9815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40005</xdr:colOff>
      <xdr:row>0</xdr:row>
      <xdr:rowOff>0</xdr:rowOff>
    </xdr:from>
    <xdr:to>
      <xdr:col>9</xdr:col>
      <xdr:colOff>304415</xdr:colOff>
      <xdr:row>5</xdr:row>
      <xdr:rowOff>88608</xdr:rowOff>
    </xdr:to>
    <xdr:pic>
      <xdr:nvPicPr>
        <xdr:cNvPr id="3" name="Picture 8" descr="La Salle New">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a:stretch>
          <a:fillRect/>
        </a:stretch>
      </xdr:blipFill>
      <xdr:spPr>
        <a:xfrm>
          <a:off x="8545830" y="0"/>
          <a:ext cx="3179060" cy="1336383"/>
        </a:xfrm>
        <a:prstGeom prst="rect">
          <a:avLst/>
        </a:prstGeom>
        <a:noFill/>
        <a:ln cap="flat">
          <a:noFill/>
        </a:ln>
      </xdr:spPr>
    </xdr:pic>
    <xdr:clientData/>
  </xdr:twoCellAnchor>
  <xdr:twoCellAnchor>
    <xdr:from>
      <xdr:col>7</xdr:col>
      <xdr:colOff>942975</xdr:colOff>
      <xdr:row>15</xdr:row>
      <xdr:rowOff>120014</xdr:rowOff>
    </xdr:from>
    <xdr:to>
      <xdr:col>9</xdr:col>
      <xdr:colOff>609873</xdr:colOff>
      <xdr:row>30</xdr:row>
      <xdr:rowOff>76199</xdr:rowOff>
    </xdr:to>
    <xdr:sp macro="" textlink="">
      <xdr:nvSpPr>
        <xdr:cNvPr id="4" name="CuadroTexto 3">
          <a:extLst>
            <a:ext uri="{FF2B5EF4-FFF2-40B4-BE49-F238E27FC236}">
              <a16:creationId xmlns:a16="http://schemas.microsoft.com/office/drawing/2014/main" id="{00000000-0008-0000-0B00-000004000000}"/>
            </a:ext>
          </a:extLst>
        </xdr:cNvPr>
        <xdr:cNvSpPr txBox="1"/>
      </xdr:nvSpPr>
      <xdr:spPr>
        <a:xfrm>
          <a:off x="9448800" y="3072764"/>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mc:AlternateContent xmlns:mc="http://schemas.openxmlformats.org/markup-compatibility/2006">
    <mc:Choice xmlns:a14="http://schemas.microsoft.com/office/drawing/2010/main" Requires="a14">
      <xdr:twoCellAnchor>
        <xdr:from>
          <xdr:col>7</xdr:col>
          <xdr:colOff>771525</xdr:colOff>
          <xdr:row>5</xdr:row>
          <xdr:rowOff>66675</xdr:rowOff>
        </xdr:from>
        <xdr:to>
          <xdr:col>8</xdr:col>
          <xdr:colOff>19050</xdr:colOff>
          <xdr:row>7</xdr:row>
          <xdr:rowOff>95250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6</xdr:col>
      <xdr:colOff>586740</xdr:colOff>
      <xdr:row>14</xdr:row>
      <xdr:rowOff>167640</xdr:rowOff>
    </xdr:from>
    <xdr:to>
      <xdr:col>8</xdr:col>
      <xdr:colOff>728186</xdr:colOff>
      <xdr:row>20</xdr:row>
      <xdr:rowOff>68580</xdr:rowOff>
    </xdr:to>
    <xdr:pic>
      <xdr:nvPicPr>
        <xdr:cNvPr id="2" name="Imagen 1" descr="Qué es el periodo de gracia de un crédito? - Rankia">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75220" y="2781300"/>
          <a:ext cx="1726406" cy="110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344170</xdr:colOff>
      <xdr:row>0</xdr:row>
      <xdr:rowOff>91440</xdr:rowOff>
    </xdr:from>
    <xdr:to>
      <xdr:col>10</xdr:col>
      <xdr:colOff>459991</xdr:colOff>
      <xdr:row>6</xdr:row>
      <xdr:rowOff>227673</xdr:rowOff>
    </xdr:to>
    <xdr:pic>
      <xdr:nvPicPr>
        <xdr:cNvPr id="3" name="Picture 8" descr="La Salle New">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rcRect/>
        <a:stretch>
          <a:fillRect/>
        </a:stretch>
      </xdr:blipFill>
      <xdr:spPr>
        <a:xfrm>
          <a:off x="11612245" y="91440"/>
          <a:ext cx="3163821" cy="1336383"/>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7</xdr:col>
          <xdr:colOff>314325</xdr:colOff>
          <xdr:row>7</xdr:row>
          <xdr:rowOff>28575</xdr:rowOff>
        </xdr:from>
        <xdr:to>
          <xdr:col>9</xdr:col>
          <xdr:colOff>219075</xdr:colOff>
          <xdr:row>9</xdr:row>
          <xdr:rowOff>76200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C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7</xdr:col>
      <xdr:colOff>0</xdr:colOff>
      <xdr:row>22</xdr:row>
      <xdr:rowOff>0</xdr:rowOff>
    </xdr:from>
    <xdr:to>
      <xdr:col>10</xdr:col>
      <xdr:colOff>295548</xdr:colOff>
      <xdr:row>30</xdr:row>
      <xdr:rowOff>146685</xdr:rowOff>
    </xdr:to>
    <xdr:sp macro="" textlink="">
      <xdr:nvSpPr>
        <xdr:cNvPr id="5" name="CuadroTexto 4">
          <a:extLst>
            <a:ext uri="{FF2B5EF4-FFF2-40B4-BE49-F238E27FC236}">
              <a16:creationId xmlns:a16="http://schemas.microsoft.com/office/drawing/2014/main" id="{00000000-0008-0000-0C00-000005000000}"/>
            </a:ext>
          </a:extLst>
        </xdr:cNvPr>
        <xdr:cNvSpPr txBox="1"/>
      </xdr:nvSpPr>
      <xdr:spPr>
        <a:xfrm>
          <a:off x="12030075" y="4410075"/>
          <a:ext cx="2581548" cy="1670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2400" b="1"/>
            <a:t>Únicamente las celdas naranjas son modificables en esta</a:t>
          </a:r>
          <a:r>
            <a:rPr lang="es-CO" sz="2400" b="1" baseline="0"/>
            <a:t> página.</a:t>
          </a:r>
          <a:endParaRPr lang="es-CO" sz="2400" b="1"/>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419100</xdr:colOff>
      <xdr:row>51</xdr:row>
      <xdr:rowOff>186267</xdr:rowOff>
    </xdr:from>
    <xdr:to>
      <xdr:col>4</xdr:col>
      <xdr:colOff>349250</xdr:colOff>
      <xdr:row>73</xdr:row>
      <xdr:rowOff>65617</xdr:rowOff>
    </xdr:to>
    <xdr:graphicFrame macro="">
      <xdr:nvGraphicFramePr>
        <xdr:cNvPr id="2" name="Gráfico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501650</xdr:colOff>
      <xdr:row>52</xdr:row>
      <xdr:rowOff>19050</xdr:rowOff>
    </xdr:from>
    <xdr:to>
      <xdr:col>9</xdr:col>
      <xdr:colOff>685800</xdr:colOff>
      <xdr:row>73</xdr:row>
      <xdr:rowOff>76200</xdr:rowOff>
    </xdr:to>
    <xdr:graphicFrame macro="">
      <xdr:nvGraphicFramePr>
        <xdr:cNvPr id="3" name="Gráfico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412750</xdr:colOff>
      <xdr:row>52</xdr:row>
      <xdr:rowOff>31750</xdr:rowOff>
    </xdr:from>
    <xdr:to>
      <xdr:col>21</xdr:col>
      <xdr:colOff>203200</xdr:colOff>
      <xdr:row>73</xdr:row>
      <xdr:rowOff>76200</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215900</xdr:colOff>
      <xdr:row>75</xdr:row>
      <xdr:rowOff>158750</xdr:rowOff>
    </xdr:from>
    <xdr:to>
      <xdr:col>4</xdr:col>
      <xdr:colOff>152400</xdr:colOff>
      <xdr:row>96</xdr:row>
      <xdr:rowOff>165100</xdr:rowOff>
    </xdr:to>
    <xdr:graphicFrame macro="">
      <xdr:nvGraphicFramePr>
        <xdr:cNvPr id="5" name="Gráfic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488950</xdr:colOff>
      <xdr:row>76</xdr:row>
      <xdr:rowOff>19050</xdr:rowOff>
    </xdr:from>
    <xdr:to>
      <xdr:col>10</xdr:col>
      <xdr:colOff>38100</xdr:colOff>
      <xdr:row>97</xdr:row>
      <xdr:rowOff>0</xdr:rowOff>
    </xdr:to>
    <xdr:graphicFrame macro="">
      <xdr:nvGraphicFramePr>
        <xdr:cNvPr id="6" name="Gráfico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425450</xdr:colOff>
      <xdr:row>76</xdr:row>
      <xdr:rowOff>19050</xdr:rowOff>
    </xdr:from>
    <xdr:to>
      <xdr:col>21</xdr:col>
      <xdr:colOff>254000</xdr:colOff>
      <xdr:row>96</xdr:row>
      <xdr:rowOff>127000</xdr:rowOff>
    </xdr:to>
    <xdr:graphicFrame macro="">
      <xdr:nvGraphicFramePr>
        <xdr:cNvPr id="7" name="Gráfico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613833</xdr:colOff>
      <xdr:row>0</xdr:row>
      <xdr:rowOff>0</xdr:rowOff>
    </xdr:from>
    <xdr:to>
      <xdr:col>1</xdr:col>
      <xdr:colOff>1218293</xdr:colOff>
      <xdr:row>7</xdr:row>
      <xdr:rowOff>94459</xdr:rowOff>
    </xdr:to>
    <xdr:pic>
      <xdr:nvPicPr>
        <xdr:cNvPr id="8" name="Picture 8" descr="La Salle New">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7"/>
        <a:srcRect/>
        <a:stretch>
          <a:fillRect/>
        </a:stretch>
      </xdr:blipFill>
      <xdr:spPr>
        <a:xfrm>
          <a:off x="613833" y="0"/>
          <a:ext cx="3409043" cy="1427959"/>
        </a:xfrm>
        <a:prstGeom prst="rect">
          <a:avLst/>
        </a:prstGeom>
        <a:noFill/>
        <a:ln cap="flat">
          <a:noFill/>
        </a:ln>
      </xdr:spPr>
    </xdr:pic>
    <xdr:clientData/>
  </xdr:twoCellAnchor>
  <mc:AlternateContent xmlns:mc="http://schemas.openxmlformats.org/markup-compatibility/2006">
    <mc:Choice xmlns:a14="http://schemas.microsoft.com/office/drawing/2010/main" Requires="a14">
      <xdr:twoCellAnchor>
        <xdr:from>
          <xdr:col>6</xdr:col>
          <xdr:colOff>390525</xdr:colOff>
          <xdr:row>3</xdr:row>
          <xdr:rowOff>57150</xdr:rowOff>
        </xdr:from>
        <xdr:to>
          <xdr:col>7</xdr:col>
          <xdr:colOff>790575</xdr:colOff>
          <xdr:row>6</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D00-00000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1228725</xdr:colOff>
          <xdr:row>3</xdr:row>
          <xdr:rowOff>200025</xdr:rowOff>
        </xdr:from>
        <xdr:to>
          <xdr:col>1</xdr:col>
          <xdr:colOff>2638425</xdr:colOff>
          <xdr:row>5</xdr:row>
          <xdr:rowOff>0</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0E00-0000027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Times New Roman"/>
                  <a:cs typeface="Times New Roman"/>
                </a:rPr>
                <a:t>Portada</a:t>
              </a:r>
            </a:p>
          </xdr:txBody>
        </xdr:sp>
        <xdr:clientData fPrintsWithSheet="0"/>
      </xdr:twoCellAnchor>
    </mc:Choice>
    <mc:Fallback/>
  </mc:AlternateContent>
  <xdr:twoCellAnchor>
    <xdr:from>
      <xdr:col>3</xdr:col>
      <xdr:colOff>304800</xdr:colOff>
      <xdr:row>3</xdr:row>
      <xdr:rowOff>0</xdr:rowOff>
    </xdr:from>
    <xdr:to>
      <xdr:col>10</xdr:col>
      <xdr:colOff>561975</xdr:colOff>
      <xdr:row>6</xdr:row>
      <xdr:rowOff>104774</xdr:rowOff>
    </xdr:to>
    <xdr:sp macro="" textlink="">
      <xdr:nvSpPr>
        <xdr:cNvPr id="4" name="CuadroTexto 3">
          <a:extLst>
            <a:ext uri="{FF2B5EF4-FFF2-40B4-BE49-F238E27FC236}">
              <a16:creationId xmlns:a16="http://schemas.microsoft.com/office/drawing/2014/main" id="{00000000-0008-0000-0E00-000004000000}"/>
            </a:ext>
          </a:extLst>
        </xdr:cNvPr>
        <xdr:cNvSpPr txBox="1"/>
      </xdr:nvSpPr>
      <xdr:spPr>
        <a:xfrm>
          <a:off x="5667375" y="752475"/>
          <a:ext cx="5591175" cy="91439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2000" b="1">
              <a:latin typeface="Times New Roman" panose="02020603050405020304" pitchFamily="18" charset="0"/>
              <a:cs typeface="Times New Roman" panose="02020603050405020304" pitchFamily="18" charset="0"/>
            </a:rPr>
            <a:t>TENER EN CUENTA</a:t>
          </a:r>
          <a:r>
            <a:rPr lang="es-CO" sz="2000">
              <a:latin typeface="Times New Roman" panose="02020603050405020304" pitchFamily="18" charset="0"/>
              <a:cs typeface="Times New Roman" panose="02020603050405020304" pitchFamily="18" charset="0"/>
            </a:rPr>
            <a:t> que la</a:t>
          </a:r>
          <a:r>
            <a:rPr lang="es-CO" sz="2000" baseline="0">
              <a:latin typeface="Times New Roman" panose="02020603050405020304" pitchFamily="18" charset="0"/>
              <a:cs typeface="Times New Roman" panose="02020603050405020304" pitchFamily="18" charset="0"/>
            </a:rPr>
            <a:t> hoja no está protegida así que no realizar ningún cambio si no se indica.</a:t>
          </a:r>
        </a:p>
      </xdr:txBody>
    </xdr:sp>
    <xdr:clientData/>
  </xdr:twoCellAnchor>
  <xdr:twoCellAnchor>
    <xdr:from>
      <xdr:col>8</xdr:col>
      <xdr:colOff>609600</xdr:colOff>
      <xdr:row>8</xdr:row>
      <xdr:rowOff>38100</xdr:rowOff>
    </xdr:from>
    <xdr:to>
      <xdr:col>11</xdr:col>
      <xdr:colOff>1564482</xdr:colOff>
      <xdr:row>15</xdr:row>
      <xdr:rowOff>19050</xdr:rowOff>
    </xdr:to>
    <xdr:sp macro="" textlink="">
      <xdr:nvSpPr>
        <xdr:cNvPr id="5" name="CuadroTexto 4">
          <a:extLst>
            <a:ext uri="{FF2B5EF4-FFF2-40B4-BE49-F238E27FC236}">
              <a16:creationId xmlns:a16="http://schemas.microsoft.com/office/drawing/2014/main" id="{00000000-0008-0000-0E00-000005000000}"/>
            </a:ext>
          </a:extLst>
        </xdr:cNvPr>
        <xdr:cNvSpPr txBox="1"/>
      </xdr:nvSpPr>
      <xdr:spPr>
        <a:xfrm>
          <a:off x="9782175" y="2019300"/>
          <a:ext cx="4174332" cy="1581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O8 hasta Z16.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209550</xdr:colOff>
      <xdr:row>11</xdr:row>
      <xdr:rowOff>85725</xdr:rowOff>
    </xdr:from>
    <xdr:to>
      <xdr:col>12</xdr:col>
      <xdr:colOff>504825</xdr:colOff>
      <xdr:row>11</xdr:row>
      <xdr:rowOff>85725</xdr:rowOff>
    </xdr:to>
    <xdr:cxnSp macro="">
      <xdr:nvCxnSpPr>
        <xdr:cNvPr id="6" name="Conector recto de flecha 5">
          <a:extLst>
            <a:ext uri="{FF2B5EF4-FFF2-40B4-BE49-F238E27FC236}">
              <a16:creationId xmlns:a16="http://schemas.microsoft.com/office/drawing/2014/main" id="{00000000-0008-0000-0E00-000006000000}"/>
            </a:ext>
          </a:extLst>
        </xdr:cNvPr>
        <xdr:cNvCxnSpPr/>
      </xdr:nvCxnSpPr>
      <xdr:spPr>
        <a:xfrm>
          <a:off x="14249400" y="28670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628650</xdr:colOff>
      <xdr:row>21</xdr:row>
      <xdr:rowOff>171450</xdr:rowOff>
    </xdr:from>
    <xdr:to>
      <xdr:col>11</xdr:col>
      <xdr:colOff>1578769</xdr:colOff>
      <xdr:row>35</xdr:row>
      <xdr:rowOff>133350</xdr:rowOff>
    </xdr:to>
    <xdr:sp macro="" textlink="">
      <xdr:nvSpPr>
        <xdr:cNvPr id="7" name="CuadroTexto 6">
          <a:extLst>
            <a:ext uri="{FF2B5EF4-FFF2-40B4-BE49-F238E27FC236}">
              <a16:creationId xmlns:a16="http://schemas.microsoft.com/office/drawing/2014/main" id="{00000000-0008-0000-0E00-000007000000}"/>
            </a:ext>
          </a:extLst>
        </xdr:cNvPr>
        <xdr:cNvSpPr txBox="1"/>
      </xdr:nvSpPr>
      <xdr:spPr>
        <a:xfrm>
          <a:off x="9801225" y="4619625"/>
          <a:ext cx="4169569"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O22 hasta Z36.</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247650</xdr:colOff>
      <xdr:row>25</xdr:row>
      <xdr:rowOff>123825</xdr:rowOff>
    </xdr:from>
    <xdr:to>
      <xdr:col>12</xdr:col>
      <xdr:colOff>542925</xdr:colOff>
      <xdr:row>25</xdr:row>
      <xdr:rowOff>123825</xdr:rowOff>
    </xdr:to>
    <xdr:cxnSp macro="">
      <xdr:nvCxnSpPr>
        <xdr:cNvPr id="8" name="Conector recto de flecha 7">
          <a:extLst>
            <a:ext uri="{FF2B5EF4-FFF2-40B4-BE49-F238E27FC236}">
              <a16:creationId xmlns:a16="http://schemas.microsoft.com/office/drawing/2014/main" id="{00000000-0008-0000-0E00-000008000000}"/>
            </a:ext>
          </a:extLst>
        </xdr:cNvPr>
        <xdr:cNvCxnSpPr/>
      </xdr:nvCxnSpPr>
      <xdr:spPr>
        <a:xfrm>
          <a:off x="14287500" y="537210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552450</xdr:colOff>
      <xdr:row>41</xdr:row>
      <xdr:rowOff>171450</xdr:rowOff>
    </xdr:from>
    <xdr:to>
      <xdr:col>12</xdr:col>
      <xdr:colOff>57150</xdr:colOff>
      <xdr:row>49</xdr:row>
      <xdr:rowOff>123825</xdr:rowOff>
    </xdr:to>
    <xdr:sp macro="" textlink="">
      <xdr:nvSpPr>
        <xdr:cNvPr id="9" name="CuadroTexto 8">
          <a:extLst>
            <a:ext uri="{FF2B5EF4-FFF2-40B4-BE49-F238E27FC236}">
              <a16:creationId xmlns:a16="http://schemas.microsoft.com/office/drawing/2014/main" id="{00000000-0008-0000-0E00-000009000000}"/>
            </a:ext>
          </a:extLst>
        </xdr:cNvPr>
        <xdr:cNvSpPr txBox="1"/>
      </xdr:nvSpPr>
      <xdr:spPr>
        <a:xfrm>
          <a:off x="9725025" y="7629525"/>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O42 hasta Z50.</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45</xdr:row>
      <xdr:rowOff>133350</xdr:rowOff>
    </xdr:from>
    <xdr:to>
      <xdr:col>12</xdr:col>
      <xdr:colOff>619125</xdr:colOff>
      <xdr:row>45</xdr:row>
      <xdr:rowOff>133350</xdr:rowOff>
    </xdr:to>
    <xdr:cxnSp macro="">
      <xdr:nvCxnSpPr>
        <xdr:cNvPr id="10" name="Conector recto de flecha 9">
          <a:extLst>
            <a:ext uri="{FF2B5EF4-FFF2-40B4-BE49-F238E27FC236}">
              <a16:creationId xmlns:a16="http://schemas.microsoft.com/office/drawing/2014/main" id="{00000000-0008-0000-0E00-00000A000000}"/>
            </a:ext>
          </a:extLst>
        </xdr:cNvPr>
        <xdr:cNvCxnSpPr/>
      </xdr:nvCxnSpPr>
      <xdr:spPr>
        <a:xfrm>
          <a:off x="14363700" y="839152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561975</xdr:colOff>
      <xdr:row>55</xdr:row>
      <xdr:rowOff>0</xdr:rowOff>
    </xdr:from>
    <xdr:to>
      <xdr:col>12</xdr:col>
      <xdr:colOff>66675</xdr:colOff>
      <xdr:row>62</xdr:row>
      <xdr:rowOff>161925</xdr:rowOff>
    </xdr:to>
    <xdr:sp macro="" textlink="">
      <xdr:nvSpPr>
        <xdr:cNvPr id="11" name="CuadroTexto 10">
          <a:extLst>
            <a:ext uri="{FF2B5EF4-FFF2-40B4-BE49-F238E27FC236}">
              <a16:creationId xmlns:a16="http://schemas.microsoft.com/office/drawing/2014/main" id="{00000000-0008-0000-0E00-00000B000000}"/>
            </a:ext>
          </a:extLst>
        </xdr:cNvPr>
        <xdr:cNvSpPr txBox="1"/>
      </xdr:nvSpPr>
      <xdr:spPr>
        <a:xfrm>
          <a:off x="9734550" y="102679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es decir, desde la celda O55 hasta Z63.</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C7 que esta ubicada en esta hoja.</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59</xdr:row>
      <xdr:rowOff>114300</xdr:rowOff>
    </xdr:from>
    <xdr:to>
      <xdr:col>12</xdr:col>
      <xdr:colOff>628650</xdr:colOff>
      <xdr:row>59</xdr:row>
      <xdr:rowOff>114300</xdr:rowOff>
    </xdr:to>
    <xdr:cxnSp macro="">
      <xdr:nvCxnSpPr>
        <xdr:cNvPr id="12" name="Conector recto de flecha 11">
          <a:extLst>
            <a:ext uri="{FF2B5EF4-FFF2-40B4-BE49-F238E27FC236}">
              <a16:creationId xmlns:a16="http://schemas.microsoft.com/office/drawing/2014/main" id="{00000000-0008-0000-0E00-00000C000000}"/>
            </a:ext>
          </a:extLst>
        </xdr:cNvPr>
        <xdr:cNvCxnSpPr/>
      </xdr:nvCxnSpPr>
      <xdr:spPr>
        <a:xfrm>
          <a:off x="14373225" y="11182350"/>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619125</xdr:colOff>
      <xdr:row>67</xdr:row>
      <xdr:rowOff>180975</xdr:rowOff>
    </xdr:from>
    <xdr:to>
      <xdr:col>12</xdr:col>
      <xdr:colOff>123825</xdr:colOff>
      <xdr:row>75</xdr:row>
      <xdr:rowOff>142875</xdr:rowOff>
    </xdr:to>
    <xdr:sp macro="" textlink="">
      <xdr:nvSpPr>
        <xdr:cNvPr id="13" name="CuadroTexto 12">
          <a:extLst>
            <a:ext uri="{FF2B5EF4-FFF2-40B4-BE49-F238E27FC236}">
              <a16:creationId xmlns:a16="http://schemas.microsoft.com/office/drawing/2014/main" id="{00000000-0008-0000-0E00-00000D000000}"/>
            </a:ext>
          </a:extLst>
        </xdr:cNvPr>
        <xdr:cNvSpPr txBox="1"/>
      </xdr:nvSpPr>
      <xdr:spPr>
        <a:xfrm>
          <a:off x="9791700" y="12858750"/>
          <a:ext cx="4371975" cy="1562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CO" sz="1100">
              <a:latin typeface="Times New Roman" panose="02020603050405020304" pitchFamily="18" charset="0"/>
              <a:cs typeface="Times New Roman" panose="02020603050405020304" pitchFamily="18" charset="0"/>
            </a:rPr>
            <a:t>Para calcular los distintos escenarios,</a:t>
          </a:r>
          <a:r>
            <a:rPr lang="es-CO" sz="1100" baseline="0">
              <a:latin typeface="Times New Roman" panose="02020603050405020304" pitchFamily="18" charset="0"/>
              <a:cs typeface="Times New Roman" panose="02020603050405020304" pitchFamily="18" charset="0"/>
            </a:rPr>
            <a:t> se debe:</a:t>
          </a:r>
        </a:p>
        <a:p>
          <a:r>
            <a:rPr lang="es-CO" sz="1100" baseline="0">
              <a:latin typeface="Times New Roman" panose="02020603050405020304" pitchFamily="18" charset="0"/>
              <a:cs typeface="Times New Roman" panose="02020603050405020304" pitchFamily="18" charset="0"/>
            </a:rPr>
            <a:t>1. Seleccionar la tabla de datos , es decir, desde la celda O67 hasta Z75.</a:t>
          </a:r>
        </a:p>
        <a:p>
          <a:r>
            <a:rPr lang="es-CO" sz="1100" baseline="0">
              <a:latin typeface="Times New Roman" panose="02020603050405020304" pitchFamily="18" charset="0"/>
              <a:cs typeface="Times New Roman" panose="02020603050405020304" pitchFamily="18" charset="0"/>
            </a:rPr>
            <a:t>2. Después vamos a Datos.</a:t>
          </a:r>
        </a:p>
        <a:p>
          <a:r>
            <a:rPr lang="es-CO" sz="1100" baseline="0">
              <a:latin typeface="Times New Roman" panose="02020603050405020304" pitchFamily="18" charset="0"/>
              <a:cs typeface="Times New Roman" panose="02020603050405020304" pitchFamily="18" charset="0"/>
            </a:rPr>
            <a:t>3. Análisis de hipótesis. </a:t>
          </a:r>
        </a:p>
        <a:p>
          <a:r>
            <a:rPr lang="es-CO" sz="1100" baseline="0">
              <a:latin typeface="Times New Roman" panose="02020603050405020304" pitchFamily="18" charset="0"/>
              <a:cs typeface="Times New Roman" panose="02020603050405020304" pitchFamily="18" charset="0"/>
            </a:rPr>
            <a:t>4. Dentro de las opciones, seleccionar tabla de datos. </a:t>
          </a:r>
        </a:p>
        <a:p>
          <a:r>
            <a:rPr lang="es-CO" sz="1100" baseline="0">
              <a:latin typeface="Times New Roman" panose="02020603050405020304" pitchFamily="18" charset="0"/>
              <a:cs typeface="Times New Roman" panose="02020603050405020304" pitchFamily="18" charset="0"/>
            </a:rPr>
            <a:t>5. Por último, en el cuadro seleccionamos </a:t>
          </a:r>
          <a:r>
            <a:rPr lang="es-CO" sz="1100" i="1" baseline="0">
              <a:latin typeface="Times New Roman" panose="02020603050405020304" pitchFamily="18" charset="0"/>
              <a:cs typeface="Times New Roman" panose="02020603050405020304" pitchFamily="18" charset="0"/>
            </a:rPr>
            <a:t>Celda de entrada (fila) </a:t>
          </a:r>
          <a:r>
            <a:rPr lang="es-CO" sz="1100" i="0" baseline="0">
              <a:latin typeface="Times New Roman" panose="02020603050405020304" pitchFamily="18" charset="0"/>
              <a:cs typeface="Times New Roman" panose="02020603050405020304" pitchFamily="18" charset="0"/>
            </a:rPr>
            <a:t>colocando en el recuadro, la celda del incremento de ventas, es decir, la celda C4 que esta ubicada en esta hoja. </a:t>
          </a:r>
          <a:endParaRPr lang="es-CO" sz="1100" i="0">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72</xdr:row>
      <xdr:rowOff>28575</xdr:rowOff>
    </xdr:from>
    <xdr:to>
      <xdr:col>12</xdr:col>
      <xdr:colOff>638175</xdr:colOff>
      <xdr:row>72</xdr:row>
      <xdr:rowOff>28575</xdr:rowOff>
    </xdr:to>
    <xdr:cxnSp macro="">
      <xdr:nvCxnSpPr>
        <xdr:cNvPr id="14" name="Conector recto de flecha 13">
          <a:extLst>
            <a:ext uri="{FF2B5EF4-FFF2-40B4-BE49-F238E27FC236}">
              <a16:creationId xmlns:a16="http://schemas.microsoft.com/office/drawing/2014/main" id="{00000000-0008-0000-0E00-00000E000000}"/>
            </a:ext>
          </a:extLst>
        </xdr:cNvPr>
        <xdr:cNvCxnSpPr/>
      </xdr:nvCxnSpPr>
      <xdr:spPr>
        <a:xfrm>
          <a:off x="14382750" y="13706475"/>
          <a:ext cx="2952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342900</xdr:colOff>
      <xdr:row>6</xdr:row>
      <xdr:rowOff>114300</xdr:rowOff>
    </xdr:from>
    <xdr:to>
      <xdr:col>34</xdr:col>
      <xdr:colOff>295275</xdr:colOff>
      <xdr:row>8</xdr:row>
      <xdr:rowOff>323850</xdr:rowOff>
    </xdr:to>
    <xdr:sp macro="" textlink="">
      <xdr:nvSpPr>
        <xdr:cNvPr id="15" name="CuadroTexto 14">
          <a:extLst>
            <a:ext uri="{FF2B5EF4-FFF2-40B4-BE49-F238E27FC236}">
              <a16:creationId xmlns:a16="http://schemas.microsoft.com/office/drawing/2014/main" id="{00000000-0008-0000-0E00-00000F000000}"/>
            </a:ext>
          </a:extLst>
        </xdr:cNvPr>
        <xdr:cNvSpPr txBox="1"/>
      </xdr:nvSpPr>
      <xdr:spPr>
        <a:xfrm>
          <a:off x="30861000" y="15621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57150</xdr:colOff>
      <xdr:row>7</xdr:row>
      <xdr:rowOff>85725</xdr:rowOff>
    </xdr:from>
    <xdr:to>
      <xdr:col>26</xdr:col>
      <xdr:colOff>238125</xdr:colOff>
      <xdr:row>7</xdr:row>
      <xdr:rowOff>85725</xdr:rowOff>
    </xdr:to>
    <xdr:cxnSp macro="">
      <xdr:nvCxnSpPr>
        <xdr:cNvPr id="16" name="Conector recto de flecha 15">
          <a:extLst>
            <a:ext uri="{FF2B5EF4-FFF2-40B4-BE49-F238E27FC236}">
              <a16:creationId xmlns:a16="http://schemas.microsoft.com/office/drawing/2014/main" id="{00000000-0008-0000-0E00-000010000000}"/>
            </a:ext>
          </a:extLst>
        </xdr:cNvPr>
        <xdr:cNvCxnSpPr/>
      </xdr:nvCxnSpPr>
      <xdr:spPr>
        <a:xfrm flipH="1">
          <a:off x="30575250" y="17335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47625</xdr:colOff>
      <xdr:row>21</xdr:row>
      <xdr:rowOff>104775</xdr:rowOff>
    </xdr:from>
    <xdr:to>
      <xdr:col>26</xdr:col>
      <xdr:colOff>228600</xdr:colOff>
      <xdr:row>21</xdr:row>
      <xdr:rowOff>104775</xdr:rowOff>
    </xdr:to>
    <xdr:cxnSp macro="">
      <xdr:nvCxnSpPr>
        <xdr:cNvPr id="18" name="Conector recto de flecha 17">
          <a:extLst>
            <a:ext uri="{FF2B5EF4-FFF2-40B4-BE49-F238E27FC236}">
              <a16:creationId xmlns:a16="http://schemas.microsoft.com/office/drawing/2014/main" id="{00000000-0008-0000-0E00-000012000000}"/>
            </a:ext>
          </a:extLst>
        </xdr:cNvPr>
        <xdr:cNvCxnSpPr/>
      </xdr:nvCxnSpPr>
      <xdr:spPr>
        <a:xfrm flipH="1">
          <a:off x="30565725" y="455295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41</xdr:row>
      <xdr:rowOff>85725</xdr:rowOff>
    </xdr:from>
    <xdr:to>
      <xdr:col>26</xdr:col>
      <xdr:colOff>238125</xdr:colOff>
      <xdr:row>41</xdr:row>
      <xdr:rowOff>85725</xdr:rowOff>
    </xdr:to>
    <xdr:cxnSp macro="">
      <xdr:nvCxnSpPr>
        <xdr:cNvPr id="19" name="Conector recto de flecha 18">
          <a:extLst>
            <a:ext uri="{FF2B5EF4-FFF2-40B4-BE49-F238E27FC236}">
              <a16:creationId xmlns:a16="http://schemas.microsoft.com/office/drawing/2014/main" id="{00000000-0008-0000-0E00-000013000000}"/>
            </a:ext>
          </a:extLst>
        </xdr:cNvPr>
        <xdr:cNvCxnSpPr/>
      </xdr:nvCxnSpPr>
      <xdr:spPr>
        <a:xfrm flipH="1">
          <a:off x="30575250" y="75438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57150</xdr:colOff>
      <xdr:row>54</xdr:row>
      <xdr:rowOff>104775</xdr:rowOff>
    </xdr:from>
    <xdr:to>
      <xdr:col>26</xdr:col>
      <xdr:colOff>238125</xdr:colOff>
      <xdr:row>54</xdr:row>
      <xdr:rowOff>104775</xdr:rowOff>
    </xdr:to>
    <xdr:cxnSp macro="">
      <xdr:nvCxnSpPr>
        <xdr:cNvPr id="20" name="Conector recto de flecha 19">
          <a:extLst>
            <a:ext uri="{FF2B5EF4-FFF2-40B4-BE49-F238E27FC236}">
              <a16:creationId xmlns:a16="http://schemas.microsoft.com/office/drawing/2014/main" id="{00000000-0008-0000-0E00-000014000000}"/>
            </a:ext>
          </a:extLst>
        </xdr:cNvPr>
        <xdr:cNvCxnSpPr/>
      </xdr:nvCxnSpPr>
      <xdr:spPr>
        <a:xfrm flipH="1">
          <a:off x="30575250" y="10172700"/>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66675</xdr:colOff>
      <xdr:row>67</xdr:row>
      <xdr:rowOff>114300</xdr:rowOff>
    </xdr:from>
    <xdr:to>
      <xdr:col>26</xdr:col>
      <xdr:colOff>247650</xdr:colOff>
      <xdr:row>67</xdr:row>
      <xdr:rowOff>114300</xdr:rowOff>
    </xdr:to>
    <xdr:cxnSp macro="">
      <xdr:nvCxnSpPr>
        <xdr:cNvPr id="21" name="Conector recto de flecha 20">
          <a:extLst>
            <a:ext uri="{FF2B5EF4-FFF2-40B4-BE49-F238E27FC236}">
              <a16:creationId xmlns:a16="http://schemas.microsoft.com/office/drawing/2014/main" id="{00000000-0008-0000-0E00-000015000000}"/>
            </a:ext>
          </a:extLst>
        </xdr:cNvPr>
        <xdr:cNvCxnSpPr/>
      </xdr:nvCxnSpPr>
      <xdr:spPr>
        <a:xfrm flipH="1">
          <a:off x="30584775" y="12792075"/>
          <a:ext cx="1809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323850</xdr:colOff>
      <xdr:row>19</xdr:row>
      <xdr:rowOff>28575</xdr:rowOff>
    </xdr:from>
    <xdr:to>
      <xdr:col>34</xdr:col>
      <xdr:colOff>276225</xdr:colOff>
      <xdr:row>23</xdr:row>
      <xdr:rowOff>38100</xdr:rowOff>
    </xdr:to>
    <xdr:sp macro="" textlink="">
      <xdr:nvSpPr>
        <xdr:cNvPr id="26" name="CuadroTexto 25">
          <a:extLst>
            <a:ext uri="{FF2B5EF4-FFF2-40B4-BE49-F238E27FC236}">
              <a16:creationId xmlns:a16="http://schemas.microsoft.com/office/drawing/2014/main" id="{00000000-0008-0000-0E00-00001A000000}"/>
            </a:ext>
          </a:extLst>
        </xdr:cNvPr>
        <xdr:cNvSpPr txBox="1"/>
      </xdr:nvSpPr>
      <xdr:spPr>
        <a:xfrm>
          <a:off x="30841950" y="4276725"/>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361950</xdr:colOff>
      <xdr:row>40</xdr:row>
      <xdr:rowOff>57150</xdr:rowOff>
    </xdr:from>
    <xdr:to>
      <xdr:col>34</xdr:col>
      <xdr:colOff>314325</xdr:colOff>
      <xdr:row>43</xdr:row>
      <xdr:rowOff>66675</xdr:rowOff>
    </xdr:to>
    <xdr:sp macro="" textlink="">
      <xdr:nvSpPr>
        <xdr:cNvPr id="27" name="CuadroTexto 26">
          <a:extLst>
            <a:ext uri="{FF2B5EF4-FFF2-40B4-BE49-F238E27FC236}">
              <a16:creationId xmlns:a16="http://schemas.microsoft.com/office/drawing/2014/main" id="{00000000-0008-0000-0E00-00001B000000}"/>
            </a:ext>
          </a:extLst>
        </xdr:cNvPr>
        <xdr:cNvSpPr txBox="1"/>
      </xdr:nvSpPr>
      <xdr:spPr>
        <a:xfrm>
          <a:off x="30880050" y="731520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333375</xdr:colOff>
      <xdr:row>52</xdr:row>
      <xdr:rowOff>180975</xdr:rowOff>
    </xdr:from>
    <xdr:to>
      <xdr:col>34</xdr:col>
      <xdr:colOff>285750</xdr:colOff>
      <xdr:row>55</xdr:row>
      <xdr:rowOff>190500</xdr:rowOff>
    </xdr:to>
    <xdr:sp macro="" textlink="">
      <xdr:nvSpPr>
        <xdr:cNvPr id="28" name="CuadroTexto 27">
          <a:extLst>
            <a:ext uri="{FF2B5EF4-FFF2-40B4-BE49-F238E27FC236}">
              <a16:creationId xmlns:a16="http://schemas.microsoft.com/office/drawing/2014/main" id="{00000000-0008-0000-0E00-00001C000000}"/>
            </a:ext>
          </a:extLst>
        </xdr:cNvPr>
        <xdr:cNvSpPr txBox="1"/>
      </xdr:nvSpPr>
      <xdr:spPr>
        <a:xfrm>
          <a:off x="30851475" y="98488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twoCellAnchor>
    <xdr:from>
      <xdr:col>26</xdr:col>
      <xdr:colOff>342900</xdr:colOff>
      <xdr:row>66</xdr:row>
      <xdr:rowOff>76200</xdr:rowOff>
    </xdr:from>
    <xdr:to>
      <xdr:col>34</xdr:col>
      <xdr:colOff>295275</xdr:colOff>
      <xdr:row>69</xdr:row>
      <xdr:rowOff>85725</xdr:rowOff>
    </xdr:to>
    <xdr:sp macro="" textlink="">
      <xdr:nvSpPr>
        <xdr:cNvPr id="29" name="CuadroTexto 28">
          <a:extLst>
            <a:ext uri="{FF2B5EF4-FFF2-40B4-BE49-F238E27FC236}">
              <a16:creationId xmlns:a16="http://schemas.microsoft.com/office/drawing/2014/main" id="{00000000-0008-0000-0E00-00001D000000}"/>
            </a:ext>
          </a:extLst>
        </xdr:cNvPr>
        <xdr:cNvSpPr txBox="1"/>
      </xdr:nvSpPr>
      <xdr:spPr>
        <a:xfrm>
          <a:off x="30861000" y="12553950"/>
          <a:ext cx="6048375" cy="609600"/>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es-CO" sz="1400" b="0">
              <a:latin typeface="Times New Roman" panose="02020603050405020304" pitchFamily="18" charset="0"/>
              <a:cs typeface="Times New Roman" panose="02020603050405020304" pitchFamily="18" charset="0"/>
            </a:rPr>
            <a:t>Estos porcentajes</a:t>
          </a:r>
          <a:r>
            <a:rPr lang="es-CO" sz="1400" b="0" baseline="0">
              <a:latin typeface="Times New Roman" panose="02020603050405020304" pitchFamily="18" charset="0"/>
              <a:cs typeface="Times New Roman" panose="02020603050405020304" pitchFamily="18" charset="0"/>
            </a:rPr>
            <a:t> se pueden editar según el criterio del emprendedor teniendo un rango y sin perder los signos ya que estos ayudan a calcular los dos escenarios.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96F66D-AD49-43F4-91DC-BE205D0FC56F}" name="Tabla3" displayName="Tabla3" ref="B19:V20" totalsRowShown="0" headerRowDxfId="958" dataDxfId="957">
  <autoFilter ref="B19:V20" xr:uid="{66951729-B1B5-4235-B7A6-0D98FBFAFB3C}"/>
  <tableColumns count="21">
    <tableColumn id="1" xr3:uid="{0E4DF7F6-525E-4C51-8600-382366AC6744}" name="CÓDIGO DEL PRODUCTO O SERVICIO " dataDxfId="956"/>
    <tableColumn id="2" xr3:uid="{0C47FC6B-FE22-4B2A-9BEC-46341331E5C6}" name="NOMBRE DEL PRODUCTO O SERVICIO " dataDxfId="955"/>
    <tableColumn id="3" xr3:uid="{91098DC6-B730-4408-BB11-A22950851DAE}" name="UNIDADES PRODUCIDAS AÑO 1" dataDxfId="954"/>
    <tableColumn id="8" xr3:uid="{AA9D7FB5-7268-4CBC-AE8C-2E9CFA9AC02D}" name="PRECIO DE VENTA AÑO 1" dataDxfId="953"/>
    <tableColumn id="13" xr3:uid="{17E05563-554C-42ED-9C1C-477092E5E6B9}" name="VENTA ANUAL AÑO 1" dataDxfId="952">
      <calculatedColumnFormula>Tabla3[[#This Row],[UNIDADES PRODUCIDAS AÑO 1]]*Tabla3[[#This Row],[PRECIO DE VENTA AÑO 1]]</calculatedColumnFormula>
    </tableColumn>
    <tableColumn id="4" xr3:uid="{AEEBEF65-7FBB-416C-A708-FADBA3FA287B}" name="UNIDADES PRODUCIDAS AÑO 2" dataDxfId="951"/>
    <tableColumn id="9" xr3:uid="{9EF2B77C-613B-44FF-9C23-A46D75455349}" name="PRECIO DE VENTA AÑO 2" dataDxfId="950">
      <calculatedColumnFormula>ROUND((Tabla3[[#This Row],[PRECIO DE VENTA AÑO 1]]*(1+$G$8)),0)</calculatedColumnFormula>
    </tableColumn>
    <tableColumn id="14" xr3:uid="{A99FBA14-4C8F-4AE4-844F-355D276E5127}" name="VENTA ANUAL AÑO 2" dataDxfId="949">
      <calculatedColumnFormula>Tabla3[[#This Row],[UNIDADES PRODUCIDAS AÑO 2]]*Tabla3[[#This Row],[PRECIO DE VENTA AÑO 2]]</calculatedColumnFormula>
    </tableColumn>
    <tableColumn id="20" xr3:uid="{37E9E18C-A684-40B9-8F58-2DEAAFAB01C3}" name="CAMBIO PORCENTUAL EN UNIDADES VENDIDAS AÑO 2" dataDxfId="948">
      <calculatedColumnFormula>IF(Tabla3[[#This Row],[UNIDADES PRODUCIDAS AÑO 1]]=0,0,(Tabla3[[#This Row],[UNIDADES PRODUCIDAS AÑO 2]]-Tabla3[[#This Row],[UNIDADES PRODUCIDAS AÑO 1]])/Tabla3[[#This Row],[UNIDADES PRODUCIDAS AÑO 1]])</calculatedColumnFormula>
    </tableColumn>
    <tableColumn id="5" xr3:uid="{8D4614B5-B456-4437-A5F0-D75842DAB484}" name="UNIDADES PRODUCIDAS AÑO 3" dataDxfId="947"/>
    <tableColumn id="10" xr3:uid="{204162FA-D7A2-4B5F-8E9F-E39BCC40DE8B}" name="PRECIO DE VENTA AÑO 3" dataDxfId="946">
      <calculatedColumnFormula>ROUND((Tabla3[[#This Row],[PRECIO DE VENTA AÑO 2]]*(1+$G$9)),0)</calculatedColumnFormula>
    </tableColumn>
    <tableColumn id="15" xr3:uid="{2FBA132C-7822-480A-8E70-B15DBEF3FFA0}" name="VENTA ANUAL AÑO 3" dataDxfId="945">
      <calculatedColumnFormula>Tabla3[[#This Row],[UNIDADES PRODUCIDAS AÑO 3]]*Tabla3[[#This Row],[PRECIO DE VENTA AÑO 3]]</calculatedColumnFormula>
    </tableColumn>
    <tableColumn id="21" xr3:uid="{10E99DD2-F982-499E-8764-7128E41091B2}" name="CAMBIO PORCENTUAL EN UNIDADES VENDIDAS AÑO 3" dataDxfId="944">
      <calculatedColumnFormula>IF(Tabla3[[#This Row],[UNIDADES PRODUCIDAS AÑO 2]]=0,0,(Tabla3[[#This Row],[UNIDADES PRODUCIDAS AÑO 3]]-Tabla3[[#This Row],[UNIDADES PRODUCIDAS AÑO 2]])/Tabla3[[#This Row],[UNIDADES PRODUCIDAS AÑO 2]])</calculatedColumnFormula>
    </tableColumn>
    <tableColumn id="6" xr3:uid="{B98D2887-9522-4959-AFCA-09F57C2754CF}" name="UNIDADES PRODUCIDAS AÑO 4" dataDxfId="943"/>
    <tableColumn id="11" xr3:uid="{43086EB8-064A-4499-B950-F1C241F6AE2F}" name="PRECIO DE VENTA AÑO 4" dataDxfId="942">
      <calculatedColumnFormula>ROUND((Tabla3[[#This Row],[PRECIO DE VENTA AÑO 3]]*(1+$G$10)),0)</calculatedColumnFormula>
    </tableColumn>
    <tableColumn id="16" xr3:uid="{7C74D044-5D09-45AD-9901-43152B4A0135}" name="VENTA ANUAL AÑO 4" dataDxfId="941">
      <calculatedColumnFormula>Tabla3[[#This Row],[UNIDADES PRODUCIDAS AÑO 4]]*Tabla3[[#This Row],[PRECIO DE VENTA AÑO 4]]</calculatedColumnFormula>
    </tableColumn>
    <tableColumn id="22" xr3:uid="{C9D0F08A-5B5F-47A7-A6A5-337526206FF3}" name="CAMBIO PORCENTUAL EN UNIDADES VENDIDAS AÑO 4" dataDxfId="940">
      <calculatedColumnFormula>IF(Tabla3[[#This Row],[UNIDADES PRODUCIDAS AÑO 3]]=0,0,(Tabla3[[#This Row],[UNIDADES PRODUCIDAS AÑO 4]]-Tabla3[[#This Row],[UNIDADES PRODUCIDAS AÑO 3]])/Tabla3[[#This Row],[UNIDADES PRODUCIDAS AÑO 3]])</calculatedColumnFormula>
    </tableColumn>
    <tableColumn id="7" xr3:uid="{A789E9C0-EE0D-4905-A0AF-141E7ABAC10E}" name="UNIDADES PRODUCIDAS AÑO 5" dataDxfId="939"/>
    <tableColumn id="12" xr3:uid="{F02BF77F-53D5-4995-9DD0-A9A5FAA9B518}" name="PRECIO DE VENTA AÑO 5" dataDxfId="938">
      <calculatedColumnFormula>ROUND((Tabla3[[#This Row],[PRECIO DE VENTA AÑO 4]]*(1+$G$11)),0)</calculatedColumnFormula>
    </tableColumn>
    <tableColumn id="17" xr3:uid="{C4D8A8A7-B4D0-43C6-AC4E-110B3F4B05B7}" name="VENTA ANUAL AÑO 5" dataDxfId="937">
      <calculatedColumnFormula>Tabla3[[#This Row],[UNIDADES PRODUCIDAS AÑO 5]]*Tabla3[[#This Row],[PRECIO DE VENTA AÑO 5]]</calculatedColumnFormula>
    </tableColumn>
    <tableColumn id="23" xr3:uid="{EAC350E8-1AEE-49ED-A7B1-F73D3A94AA7C}" name="CAMBIO PORCENTUAL EN UNIDADES VENDIDAS AÑO 5" dataDxfId="936">
      <calculatedColumnFormula>IF(Tabla3[[#This Row],[UNIDADES PRODUCIDAS AÑO 4]]=0,0,(Tabla3[[#This Row],[UNIDADES PRODUCIDAS AÑO 5]]-Tabla3[[#This Row],[UNIDADES PRODUCIDAS AÑO 4]])/Tabla3[[#This Row],[UNIDADES PRODUCIDAS AÑO 4]])</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2916BD-13CA-4753-8874-536815DABE3D}" name="Tabla9" displayName="Tabla9" ref="B12:D32" totalsRowShown="0" headerRowDxfId="935" dataDxfId="934">
  <autoFilter ref="B12:D32" xr:uid="{319E8C6D-2D18-41E5-8231-0033E7D53185}"/>
  <tableColumns count="3">
    <tableColumn id="1" xr3:uid="{3962E60B-CC29-4FE3-8FDB-42671F941307}" name="MATERIA PRIMA E INSUMOS " dataDxfId="933"/>
    <tableColumn id="2" xr3:uid="{BB3141B6-4DAC-4345-A3C1-E9A517E006EC}" name="UNIDAD DE MEDIDA " dataDxfId="932"/>
    <tableColumn id="3" xr3:uid="{F6EDD945-0392-41EA-8813-73BFC10A5D5E}" name="COSTO UNITARIO PARA EL AÑO 1 " dataDxfId="93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395ED9D-E780-4B28-96BB-3C2401EE4477}" name="Tabla11" displayName="Tabla11" ref="C39:D41" totalsRowShown="0" headerRowDxfId="930" dataDxfId="929">
  <autoFilter ref="C39:D41" xr:uid="{4F81EAFA-3442-4A01-B7FE-C27E3F02B9A2}"/>
  <tableColumns count="2">
    <tableColumn id="1" xr3:uid="{7137E9CF-584F-4211-91AE-3B98E8418D2F}" name="CÓDIGO DEL PRODUCTO Y/O SERVICIO " dataDxfId="928"/>
    <tableColumn id="2" xr3:uid="{C67FCE84-5886-43FE-BCAC-84E92CCEB9BA}" name="NOMBRE DEL PRODUCTO Y/O SERVICIO " dataDxfId="927">
      <calculatedColumnFormula>VLOOKUP(Tabla11[[#This Row],[CÓDIGO DEL PRODUCTO Y/O SERVICIO ]],Tabla3[],2,0)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EAF72C-081E-4B2B-BD00-55067078FF1B}" name="Tabla1" displayName="Tabla1" ref="C54:OT56" totalsRowShown="0" headerRowDxfId="926" dataDxfId="924" headerRowBorderDxfId="925">
  <autoFilter ref="C54:OT56" xr:uid="{ADD175E0-8C70-42F0-9EED-F734959422AD}"/>
  <tableColumns count="408">
    <tableColumn id="1" xr3:uid="{5BF22D22-A632-43F1-9C2C-CA7B6C806591}" name="CÓDIGO DEL PRODUCTO Y/O SERVICIO " dataDxfId="923"/>
    <tableColumn id="2" xr3:uid="{C91C70E8-3094-4C21-860A-B8E9FC670B10}" name="NOMBRE DEL PRODUCTO Y/O SERVICIO " dataDxfId="922">
      <calculatedColumnFormula>VLOOKUP(Tabla1[[#This Row],[CÓDIGO DEL PRODUCTO Y/O SERVICIO ]],Tabla3[],2,0)</calculatedColumnFormula>
    </tableColumn>
    <tableColumn id="3" xr3:uid="{92E620D4-BDCC-48B7-B1BA-DE7C1B3566CD}" name="Columna1" dataDxfId="921"/>
    <tableColumn id="4" xr3:uid="{636C64A0-0934-48E3-B3E0-DAAAEF4B98D6}" name="UNIDADES PRODUCIDAS AÑO 1 " dataDxfId="920">
      <calculatedColumnFormula>VLOOKUP(Tabla1[[#This Row],[CÓDIGO DEL PRODUCTO Y/O SERVICIO ]],Tabla3[],3)</calculatedColumnFormula>
    </tableColumn>
    <tableColumn id="5" xr3:uid="{1C5CA272-37AB-4EE7-8DFD-4508BA438855}" name="CANTIDADES A UTILIZAR EN EL AÑO 1" dataDxfId="919">
      <calculatedColumnFormula>Tabla1[[#This Row],[UNIDADES PRODUCIDAS AÑO 1 ]]*F40</calculatedColumnFormula>
    </tableColumn>
    <tableColumn id="6" xr3:uid="{8F8E9D01-DCD1-4DAC-8C59-B50B1C6187A6}" name="CAMBIO PORCENTUAL EN UNIDADES VENDIDAS AÑO 2" dataDxfId="918">
      <calculatedColumnFormula>VLOOKUP(Tabla1[[#This Row],[CÓDIGO DEL PRODUCTO Y/O SERVICIO ]],Tabla3[],9)</calculatedColumnFormula>
    </tableColumn>
    <tableColumn id="7" xr3:uid="{84040357-70A7-460C-B739-C7FAA9189F5B}" name="CANTIDADES A UTILIZAR EN EL AÑO 2" dataDxfId="917">
      <calculatedColumnFormula>Tabla1[[#This Row],[CANTIDADES A UTILIZAR EN EL AÑO 1]]*(1+Tabla1[[#This Row],[CAMBIO PORCENTUAL EN UNIDADES VENDIDAS AÑO 2]])</calculatedColumnFormula>
    </tableColumn>
    <tableColumn id="8" xr3:uid="{A1F9A3F1-98E9-4C22-88E9-3BFA056BF8D4}" name="CAMBIO PORCENTUAL EN UNIDADES VENDIDAS AÑO 3" dataDxfId="916">
      <calculatedColumnFormula>VLOOKUP(Tabla1[[#This Row],[CÓDIGO DEL PRODUCTO Y/O SERVICIO ]],Tabla3[],13)</calculatedColumnFormula>
    </tableColumn>
    <tableColumn id="9" xr3:uid="{C4E458C4-1418-4AEC-8539-FD95B7586DD4}" name="CANTIDADES A UTILIZAR EN EL AÑO 3" dataDxfId="915">
      <calculatedColumnFormula>Tabla1[[#This Row],[CANTIDADES A UTILIZAR EN EL AÑO 2]]*(1+Tabla1[[#This Row],[CAMBIO PORCENTUAL EN UNIDADES VENDIDAS AÑO 3]])</calculatedColumnFormula>
    </tableColumn>
    <tableColumn id="10" xr3:uid="{29641C1B-0C61-44ED-8CE3-ED694DE04EE0}" name="CAMBIO PORCENTUAL EN UNIDADES VENDIDAS AÑO 4" dataDxfId="914">
      <calculatedColumnFormula>VLOOKUP(Tabla1[[#This Row],[CÓDIGO DEL PRODUCTO Y/O SERVICIO ]],Tabla3[],17)</calculatedColumnFormula>
    </tableColumn>
    <tableColumn id="11" xr3:uid="{D0759D68-3877-499C-9620-2191A95697B8}" name="CANTIDADES A UTILIZAR EN EL AÑO 4" dataDxfId="913">
      <calculatedColumnFormula>Tabla1[[#This Row],[CANTIDADES A UTILIZAR EN EL AÑO 3]]*(1+Tabla1[[#This Row],[CAMBIO PORCENTUAL EN UNIDADES VENDIDAS AÑO 4]])</calculatedColumnFormula>
    </tableColumn>
    <tableColumn id="12" xr3:uid="{02C41E41-13E3-4F05-AE79-2279CEC1F1E4}" name="CAMBIO PORCENTUAL EN UNIDADES VENDIDAS AÑO 5" dataDxfId="912">
      <calculatedColumnFormula>VLOOKUP(Tabla1[[#This Row],[CÓDIGO DEL PRODUCTO Y/O SERVICIO ]],Tabla3[],21)</calculatedColumnFormula>
    </tableColumn>
    <tableColumn id="13" xr3:uid="{4743144C-26A3-446C-8469-24B1256D8AE7}" name="CANTIDADES A UTILIZAR EN EL AÑO 5" dataDxfId="911">
      <calculatedColumnFormula>Tabla1[[#This Row],[CANTIDADES A UTILIZAR EN EL AÑO 4]]*(1+Tabla1[[#This Row],[CAMBIO PORCENTUAL EN UNIDADES VENDIDAS AÑO 5]])</calculatedColumnFormula>
    </tableColumn>
    <tableColumn id="14" xr3:uid="{AE941828-6541-465A-9A9A-B0D0871A52D9}" name="COSTO POR UNIDAD DE PRODUCTO (1)" dataDxfId="910">
      <calculatedColumnFormula>IF(Tabla1[[#This Row],[CANTIDADES A UTILIZAR EN EL AÑO 1]]=0,0,Tabla1[[#This Row],[CANTIDADES A UTILIZAR EN EL AÑO 1]]*1/Tabla1[[#This Row],[UNIDADES PRODUCIDAS AÑO 1 ]])</calculatedColumnFormula>
    </tableColumn>
    <tableColumn id="15" xr3:uid="{FC117900-B666-47A7-A624-EB7D2F084A8E}" name="COSTO UNITARIO AÑO 2" dataDxfId="909">
      <calculatedColumnFormula>$D$13*(1+BASES!$E$10)</calculatedColumnFormula>
    </tableColumn>
    <tableColumn id="16" xr3:uid="{061E82D7-4173-4031-AA9E-6767585607A7}" name="COSTO UNITARIO AÑO 3" dataDxfId="908">
      <calculatedColumnFormula>Tabla1[[#This Row],[COSTO UNITARIO AÑO 2]]*(1+BASES!$F$10)</calculatedColumnFormula>
    </tableColumn>
    <tableColumn id="17" xr3:uid="{A1EAF77C-122F-4CA3-B270-9FD23C78AF56}" name="COSTO UNITARIO AÑO 4" dataDxfId="907">
      <calculatedColumnFormula>Tabla1[[#This Row],[COSTO UNITARIO AÑO 3]]*(1+BASES!$G$10)</calculatedColumnFormula>
    </tableColumn>
    <tableColumn id="18" xr3:uid="{EA8B0F7F-31F7-4FD0-B520-3DD27396FACD}" name="COSTO UNITARIO AÑO 5" dataDxfId="906">
      <calculatedColumnFormula>Tabla1[[#This Row],[COSTO UNITARIO AÑO 4]]*(1+BASES!$H$10)</calculatedColumnFormula>
    </tableColumn>
    <tableColumn id="20" xr3:uid="{8CE7881F-2583-4942-BC1F-2729A2E3362F}" name="AÑO 1" dataDxfId="905">
      <calculatedColumnFormula>Tabla1[[#This Row],[COSTO POR UNIDAD DE PRODUCTO (1)]]*$D$13*VLOOKUP(Tabla1[[#This Row],[CÓDIGO DEL PRODUCTO Y/O SERVICIO ]],Tabla3[],3)</calculatedColumnFormula>
    </tableColumn>
    <tableColumn id="21" xr3:uid="{69070002-654F-4102-886A-90F575E93D3D}" name="AÑO 2" dataDxfId="904">
      <calculatedColumnFormula>Tabla1[[#This Row],[COSTO POR UNIDAD DE PRODUCTO (1)]]*Tabla1[[#This Row],[COSTO UNITARIO AÑO 2]]*VLOOKUP(Tabla1[[#This Row],[CÓDIGO DEL PRODUCTO Y/O SERVICIO ]],Tabla3[],6)</calculatedColumnFormula>
    </tableColumn>
    <tableColumn id="22" xr3:uid="{68687C45-9831-4160-A889-2C8ACE007E16}" name="AÑO 3 " dataDxfId="903">
      <calculatedColumnFormula>Tabla1[[#This Row],[COSTO POR UNIDAD DE PRODUCTO (1)]]*Tabla1[[#This Row],[COSTO UNITARIO AÑO 3]]*VLOOKUP(Tabla1[[#This Row],[CÓDIGO DEL PRODUCTO Y/O SERVICIO ]],Tabla3[],10)</calculatedColumnFormula>
    </tableColumn>
    <tableColumn id="23" xr3:uid="{4EFDEFF1-DA03-4237-9AF3-CC079EFD3CAE}" name="AÑO 4 " dataDxfId="902">
      <calculatedColumnFormula>Tabla1[[#This Row],[COSTO POR UNIDAD DE PRODUCTO (1)]]*Tabla1[[#This Row],[COSTO UNITARIO AÑO 4]]*VLOOKUP(Tabla1[[#This Row],[CÓDIGO DEL PRODUCTO Y/O SERVICIO ]],Tabla3[],14)</calculatedColumnFormula>
    </tableColumn>
    <tableColumn id="24" xr3:uid="{B2AA3B8A-77CD-4060-9D3B-E207930AF029}" name="AÑO 5 " dataDxfId="901">
      <calculatedColumnFormula>Tabla1[[#This Row],[COSTO POR UNIDAD DE PRODUCTO (1)]]*Tabla1[[#This Row],[COSTO UNITARIO AÑO 5]]*VLOOKUP(Tabla1[[#This Row],[CÓDIGO DEL PRODUCTO Y/O SERVICIO ]],Tabla3[],18)</calculatedColumnFormula>
    </tableColumn>
    <tableColumn id="25" xr3:uid="{72B0E991-F32B-4879-B3FA-0738A4E63235}" name="UNIDADES PRODUCIDAS AÑO 1 2" dataDxfId="900">
      <calculatedColumnFormula>VLOOKUP(Tabla1[[#This Row],[CÓDIGO DEL PRODUCTO Y/O SERVICIO ]],Tabla3[],3)</calculatedColumnFormula>
    </tableColumn>
    <tableColumn id="26" xr3:uid="{D0F4C196-A9AB-47E9-BDBF-92614CAFA938}" name="CANTIDADES A UTILIZAR EN EL AÑO 1 2" dataDxfId="899">
      <calculatedColumnFormula>G40*Tabla1[[#This Row],[UNIDADES PRODUCIDAS AÑO 1 2]]</calculatedColumnFormula>
    </tableColumn>
    <tableColumn id="27" xr3:uid="{3C9230F9-8C69-40B3-A4AE-FF8A535B06DE}" name="CAMBIO PORCENTUAL EN UNIDADES VENDIDAS AÑO 2 2" dataDxfId="898">
      <calculatedColumnFormula>VLOOKUP(Tabla1[[#This Row],[CÓDIGO DEL PRODUCTO Y/O SERVICIO ]],Tabla3[],9)</calculatedColumnFormula>
    </tableColumn>
    <tableColumn id="28" xr3:uid="{36B8A307-6C2F-4CA5-B8D1-5B14406B0AC2}" name="CANTIDADES A UTILIZAR  AÑO 2 2" dataDxfId="897">
      <calculatedColumnFormula>Tabla1[[#This Row],[CANTIDADES A UTILIZAR EN EL AÑO 1 2]]*(1+Tabla1[[#This Row],[CAMBIO PORCENTUAL EN UNIDADES VENDIDAS AÑO 2 2]])</calculatedColumnFormula>
    </tableColumn>
    <tableColumn id="29" xr3:uid="{EBC232BF-CE74-41CA-9F4E-19D61B7380E5}" name="CAMBIO PORCENTUAL EN UNIDADES VENDIDAS AÑO 3 2" dataDxfId="896">
      <calculatedColumnFormula>VLOOKUP(Tabla1[[#This Row],[CÓDIGO DEL PRODUCTO Y/O SERVICIO ]],Tabla3[],13)</calculatedColumnFormula>
    </tableColumn>
    <tableColumn id="30" xr3:uid="{B629FA3E-6FE4-412F-B73A-37A5A64BE73A}" name="CANTIDADES A UTILIZAR  AÑO 3 2" dataDxfId="895">
      <calculatedColumnFormula>Tabla1[[#This Row],[CANTIDADES A UTILIZAR  AÑO 2 2]]*(1+Tabla1[[#This Row],[CAMBIO PORCENTUAL EN UNIDADES VENDIDAS AÑO 3 2]])</calculatedColumnFormula>
    </tableColumn>
    <tableColumn id="31" xr3:uid="{DEA48CEC-1BA1-4128-8799-801DC081C371}" name="CAMBIO PORCENTUAL EN UNIDADES VENDIDAS AÑO 4 2" dataDxfId="894">
      <calculatedColumnFormula>VLOOKUP(Tabla1[[#This Row],[CÓDIGO DEL PRODUCTO Y/O SERVICIO ]],Tabla3[],17)</calculatedColumnFormula>
    </tableColumn>
    <tableColumn id="32" xr3:uid="{2A692DB6-8F05-4F8B-A075-0F27304144E7}" name="CANTIDADES A UTILIZAR  AÑO 4 2" dataDxfId="893">
      <calculatedColumnFormula>Tabla1[[#This Row],[CANTIDADES A UTILIZAR  AÑO 3 2]]*(1+Tabla1[[#This Row],[CAMBIO PORCENTUAL EN UNIDADES VENDIDAS AÑO 4 2]])</calculatedColumnFormula>
    </tableColumn>
    <tableColumn id="33" xr3:uid="{0E324026-008E-4E23-B91B-E35C02ABACFF}" name="CAMBIO PORCENTUAL EN UNIDADES VENDIDAS AÑO 5 2" dataDxfId="892">
      <calculatedColumnFormula>VLOOKUP(Tabla1[[#This Row],[CÓDIGO DEL PRODUCTO Y/O SERVICIO ]],Tabla3[],21)</calculatedColumnFormula>
    </tableColumn>
    <tableColumn id="34" xr3:uid="{E659C1AD-8CCD-4193-A001-9420F150CBD4}" name="CANTIDADES A UTILIZAR AÑO 5 2" dataDxfId="891">
      <calculatedColumnFormula>Tabla1[[#This Row],[CANTIDADES A UTILIZAR  AÑO 4 2]]*(1+Tabla1[[#This Row],[CAMBIO PORCENTUAL EN UNIDADES VENDIDAS AÑO 5 2]])</calculatedColumnFormula>
    </tableColumn>
    <tableColumn id="35" xr3:uid="{AA8629CC-8C0E-4E55-B2CA-214C5AC007D5}" name="COSTO POR UNIDAD DE PRODUCTO (2)" dataDxfId="890">
      <calculatedColumnFormula>IF(Tabla1[[#This Row],[CANTIDADES A UTILIZAR EN EL AÑO 1 2]]=0,0,Tabla1[[#This Row],[CANTIDADES A UTILIZAR EN EL AÑO 1 2]]*1/Tabla1[[#This Row],[UNIDADES PRODUCIDAS AÑO 1 2]])</calculatedColumnFormula>
    </tableColumn>
    <tableColumn id="36" xr3:uid="{E3A11AA9-673A-4ABF-813F-F5C4982894C0}" name="COSTO UNITARIO AÑO 2 2" dataDxfId="889">
      <calculatedColumnFormula>$D$14*(1+BASES!$E$10)</calculatedColumnFormula>
    </tableColumn>
    <tableColumn id="37" xr3:uid="{D20CC2EB-4339-4552-AF21-50E018696CC0}" name="COSTO UNITARIO AÑO 3 2" dataDxfId="888">
      <calculatedColumnFormula>Tabla1[[#This Row],[COSTO UNITARIO AÑO 2 2]]*(1+BASES!$F$10)</calculatedColumnFormula>
    </tableColumn>
    <tableColumn id="38" xr3:uid="{149CF762-7A0E-47A0-AAC2-B58DEFC96FE7}" name="COSTO UNITARIO AÑO 4 2" dataDxfId="887">
      <calculatedColumnFormula>Tabla1[[#This Row],[COSTO UNITARIO AÑO 3 2]]*(1+BASES!$G$10)</calculatedColumnFormula>
    </tableColumn>
    <tableColumn id="39" xr3:uid="{27A38A71-AB7D-425A-8FE9-49AF951FCCAF}" name="COSTO UNITARIO AÑO 5 2" dataDxfId="886">
      <calculatedColumnFormula>Tabla1[[#This Row],[COSTO UNITARIO AÑO 4 2]]*(1+BASES!$H$10)</calculatedColumnFormula>
    </tableColumn>
    <tableColumn id="40" xr3:uid="{A3669DCB-6404-434F-A76D-769FABD93144}" name="AÑO 1 2" dataDxfId="885">
      <calculatedColumnFormula>Tabla1[[#This Row],[COSTO POR UNIDAD DE PRODUCTO (2)]]*$D$14*VLOOKUP(Tabla1[[#This Row],[CÓDIGO DEL PRODUCTO Y/O SERVICIO ]],Tabla3[],3)</calculatedColumnFormula>
    </tableColumn>
    <tableColumn id="41" xr3:uid="{35245FFA-13C6-4E64-8F79-05D29E6314E5}" name="AÑO 2 2" dataDxfId="884">
      <calculatedColumnFormula>Tabla1[[#This Row],[COSTO POR UNIDAD DE PRODUCTO (2)]]*Tabla1[[#This Row],[COSTO UNITARIO AÑO 2 2]]*VLOOKUP(Tabla1[[#This Row],[CÓDIGO DEL PRODUCTO Y/O SERVICIO ]],Tabla3[],6)</calculatedColumnFormula>
    </tableColumn>
    <tableColumn id="42" xr3:uid="{E24ED2B0-C92D-4216-9B2E-DED7BE24FE94}" name="AÑO 3 2" dataDxfId="883">
      <calculatedColumnFormula>Tabla1[[#This Row],[COSTO POR UNIDAD DE PRODUCTO (2)]]*Tabla1[[#This Row],[COSTO UNITARIO AÑO 3 2]]*VLOOKUP(Tabla1[[#This Row],[CÓDIGO DEL PRODUCTO Y/O SERVICIO ]],Tabla3[],10)</calculatedColumnFormula>
    </tableColumn>
    <tableColumn id="43" xr3:uid="{7088252E-24FF-49C6-AB66-FA78729162FA}" name="AÑO 4 2" dataDxfId="882">
      <calculatedColumnFormula>Tabla1[[#This Row],[COSTO POR UNIDAD DE PRODUCTO (2)]]*Tabla1[[#This Row],[COSTO UNITARIO AÑO 4 2]]*VLOOKUP(Tabla1[[#This Row],[CÓDIGO DEL PRODUCTO Y/O SERVICIO ]],Tabla3[],14)</calculatedColumnFormula>
    </tableColumn>
    <tableColumn id="44" xr3:uid="{4CE173B6-34A1-4FCA-A5D8-D764367D7C8C}" name="AÑO 5 2" dataDxfId="881">
      <calculatedColumnFormula>Tabla1[[#This Row],[COSTO POR UNIDAD DE PRODUCTO (2)]]*Tabla1[[#This Row],[COSTO UNITARIO AÑO 5 2]]*VLOOKUP(Tabla1[[#This Row],[CÓDIGO DEL PRODUCTO Y/O SERVICIO ]],Tabla3[],18)</calculatedColumnFormula>
    </tableColumn>
    <tableColumn id="46" xr3:uid="{606A2253-2AD1-49E6-8EE6-2E70A601C301}" name="UNIDADES PRODUCIDAS AÑO 1 3" dataDxfId="880">
      <calculatedColumnFormula>VLOOKUP(Tabla1[[#This Row],[CÓDIGO DEL PRODUCTO Y/O SERVICIO ]],Tabla3[],3)</calculatedColumnFormula>
    </tableColumn>
    <tableColumn id="47" xr3:uid="{95814707-79B8-4439-B5D3-E1FD403CC5D7}" name="CANTIDADES A UTILIZAR  AÑO 1 3" dataDxfId="879">
      <calculatedColumnFormula>H40*Tabla1[[#This Row],[UNIDADES PRODUCIDAS AÑO 1 3]]</calculatedColumnFormula>
    </tableColumn>
    <tableColumn id="48" xr3:uid="{09282574-6853-4955-BCA2-0A3CBD7EB95B}" name="CAMBIO PORCENTUAL EN UNIDADES VENDIDAS AÑO 2 3" dataDxfId="878">
      <calculatedColumnFormula>VLOOKUP(Tabla1[[#This Row],[CÓDIGO DEL PRODUCTO Y/O SERVICIO ]],Tabla3[],9)</calculatedColumnFormula>
    </tableColumn>
    <tableColumn id="49" xr3:uid="{1FB64FA5-1978-48AA-9950-4366851FB0E6}" name="CANTIDADES A UTILIZAR  AÑO 2 3" dataDxfId="877">
      <calculatedColumnFormula>Tabla1[[#This Row],[CANTIDADES A UTILIZAR  AÑO 1 3]]*(1+Tabla1[[#This Row],[CAMBIO PORCENTUAL EN UNIDADES VENDIDAS AÑO 2 3]])</calculatedColumnFormula>
    </tableColumn>
    <tableColumn id="50" xr3:uid="{CAE85046-DF69-43B5-BA16-8690D6AB9761}" name="CAMBIO PORCENTUAL EN UNIDADES VENDIDAS AÑO 3 3" dataDxfId="876">
      <calculatedColumnFormula>VLOOKUP(Tabla1[[#This Row],[CÓDIGO DEL PRODUCTO Y/O SERVICIO ]],Tabla3[],13)</calculatedColumnFormula>
    </tableColumn>
    <tableColumn id="51" xr3:uid="{A4C94E62-AC70-487D-AF23-8C2D1CC578EC}" name="CANTIDADES A UTILIZAR  AÑO 3 3" dataDxfId="875">
      <calculatedColumnFormula>Tabla1[[#This Row],[CANTIDADES A UTILIZAR  AÑO 2 3]]*(1+Tabla1[[#This Row],[CAMBIO PORCENTUAL EN UNIDADES VENDIDAS AÑO 3 3]])</calculatedColumnFormula>
    </tableColumn>
    <tableColumn id="52" xr3:uid="{C34520D0-0CD2-428A-9762-22E4B6CA9466}" name="CAMBIO PORCENTUAL EN UNIDADES VENDIDAS AÑO 4 3" dataDxfId="874">
      <calculatedColumnFormula>VLOOKUP(Tabla1[[#This Row],[CÓDIGO DEL PRODUCTO Y/O SERVICIO ]],Tabla3[],17)</calculatedColumnFormula>
    </tableColumn>
    <tableColumn id="53" xr3:uid="{176AD7C9-FB97-4CFD-9A0C-FA1032F1175D}" name="CANTIDADES A UTILIZAR  AÑO 4 3" dataDxfId="873">
      <calculatedColumnFormula>Tabla1[[#This Row],[CANTIDADES A UTILIZAR  AÑO 3 3]]*(1+Tabla1[[#This Row],[CAMBIO PORCENTUAL EN UNIDADES VENDIDAS AÑO 4 3]])</calculatedColumnFormula>
    </tableColumn>
    <tableColumn id="54" xr3:uid="{D4EC417E-284F-4889-AA22-1D9EA6AE6772}" name="CAMBIO PORCENTUAL EN UNIDADES VENDIDAS AÑO 5 3" dataDxfId="872">
      <calculatedColumnFormula>VLOOKUP(Tabla1[[#This Row],[CÓDIGO DEL PRODUCTO Y/O SERVICIO ]],Tabla3[],21)</calculatedColumnFormula>
    </tableColumn>
    <tableColumn id="55" xr3:uid="{33AAB232-775B-4D1C-AD77-60F4E20C169D}" name="CANTIDADES A UTILIZAR AÑO 5 3" dataDxfId="871">
      <calculatedColumnFormula>Tabla1[[#This Row],[CANTIDADES A UTILIZAR  AÑO 4 3]]*(1+Tabla1[[#This Row],[CAMBIO PORCENTUAL EN UNIDADES VENDIDAS AÑO 5 3]])</calculatedColumnFormula>
    </tableColumn>
    <tableColumn id="56" xr3:uid="{DF8CD394-B0D8-4E89-AE5D-58ED7CF68D8A}" name="COSTO POR UNIDAD DE PRODUCTO (3)" dataDxfId="870">
      <calculatedColumnFormula>IF(Tabla1[[#This Row],[CANTIDADES A UTILIZAR  AÑO 1 3]]=0,0,Tabla1[[#This Row],[CANTIDADES A UTILIZAR  AÑO 1 3]]*1/Tabla1[[#This Row],[UNIDADES PRODUCIDAS AÑO 1 3]])</calculatedColumnFormula>
    </tableColumn>
    <tableColumn id="57" xr3:uid="{2EB63492-59CD-40B5-A44F-E6FF2E407388}" name="COSTO UNITARIO AÑO 2 3" dataDxfId="869">
      <calculatedColumnFormula>$D$15*(1+BASES!$E$10)</calculatedColumnFormula>
    </tableColumn>
    <tableColumn id="58" xr3:uid="{4A2C8F82-371E-419B-B727-D7EE7468726D}" name="COSTO UNITARIO AÑO 3 3" dataDxfId="868">
      <calculatedColumnFormula>Tabla1[[#This Row],[COSTO UNITARIO AÑO 2 3]]*(1+BASES!$F$10)</calculatedColumnFormula>
    </tableColumn>
    <tableColumn id="59" xr3:uid="{4D95F490-26D7-4A5F-A9BD-BA1CD1DCC433}" name="COSTO UNITARIO AÑO 4 3" dataDxfId="867">
      <calculatedColumnFormula>Tabla1[[#This Row],[COSTO UNITARIO AÑO 3 3]]*(1+BASES!$G$10)</calculatedColumnFormula>
    </tableColumn>
    <tableColumn id="60" xr3:uid="{88ABAD2E-7C00-4F85-8466-E0F4E5B3B320}" name=" COSTO UNITARIO AÑO 5 3" dataDxfId="866">
      <calculatedColumnFormula>Tabla1[[#This Row],[COSTO UNITARIO AÑO 4 3]]*(1+BASES!$H$10)</calculatedColumnFormula>
    </tableColumn>
    <tableColumn id="61" xr3:uid="{1BB5CEA7-88DC-4E2E-8D01-40A0DBD4CC59}" name="AÑO 1 3" dataDxfId="865">
      <calculatedColumnFormula>Tabla1[[#This Row],[COSTO POR UNIDAD DE PRODUCTO (3)]]*$D$15*VLOOKUP(Tabla1[[#This Row],[CÓDIGO DEL PRODUCTO Y/O SERVICIO ]],Tabla3[],3)</calculatedColumnFormula>
    </tableColumn>
    <tableColumn id="62" xr3:uid="{805FA7BD-F7C8-4335-BC36-B5F6776A8016}" name="AÑO 2 3" dataDxfId="864">
      <calculatedColumnFormula>Tabla1[[#This Row],[COSTO POR UNIDAD DE PRODUCTO (3)]]*Tabla1[[#This Row],[COSTO UNITARIO AÑO 2 3]]*VLOOKUP(Tabla1[[#This Row],[CÓDIGO DEL PRODUCTO Y/O SERVICIO ]],Tabla3[],6)</calculatedColumnFormula>
    </tableColumn>
    <tableColumn id="63" xr3:uid="{A47B2E6F-B4B3-4863-8096-80D16A8DBDDE}" name="AÑO 3 3" dataDxfId="863">
      <calculatedColumnFormula>Tabla1[[#This Row],[COSTO POR UNIDAD DE PRODUCTO (3)]]*Tabla1[[#This Row],[COSTO UNITARIO AÑO 3 3]]*VLOOKUP(Tabla1[[#This Row],[CÓDIGO DEL PRODUCTO Y/O SERVICIO ]],Tabla3[],10)</calculatedColumnFormula>
    </tableColumn>
    <tableColumn id="64" xr3:uid="{53A6FE38-0BC3-43D2-BFAD-A0EE26FA0A2D}" name="AÑO 4 3" dataDxfId="862">
      <calculatedColumnFormula>Tabla1[[#This Row],[COSTO POR UNIDAD DE PRODUCTO (3)]]*Tabla1[[#This Row],[COSTO UNITARIO AÑO 4 3]]*VLOOKUP(Tabla1[[#This Row],[CÓDIGO DEL PRODUCTO Y/O SERVICIO ]],Tabla3[],14)</calculatedColumnFormula>
    </tableColumn>
    <tableColumn id="65" xr3:uid="{3DC8E959-E924-4D82-A4A3-0F17B3E07412}" name="AÑO 5 3" dataDxfId="861">
      <calculatedColumnFormula>Tabla1[[#This Row],[COSTO POR UNIDAD DE PRODUCTO (3)]]*Tabla1[[#This Row],[ COSTO UNITARIO AÑO 5 3]]*VLOOKUP(Tabla1[[#This Row],[CÓDIGO DEL PRODUCTO Y/O SERVICIO ]],Tabla3[],18)</calculatedColumnFormula>
    </tableColumn>
    <tableColumn id="66" xr3:uid="{ECA8F6E2-0831-407E-9EB9-79D569DA728C}" name="UNIDADES PRODUCIDAS AÑO 1 4" dataDxfId="860">
      <calculatedColumnFormula>VLOOKUP(Tabla1[[#This Row],[CÓDIGO DEL PRODUCTO Y/O SERVICIO ]],Tabla3[],3)</calculatedColumnFormula>
    </tableColumn>
    <tableColumn id="67" xr3:uid="{5AB07A7A-1AD6-4F67-905B-3B1ADDC84E1F}" name="CANTIDADES A UTILIZAR  AÑO 1 4" dataDxfId="859">
      <calculatedColumnFormula>I40*Tabla1[[#This Row],[UNIDADES PRODUCIDAS AÑO 1 4]]</calculatedColumnFormula>
    </tableColumn>
    <tableColumn id="68" xr3:uid="{ABD1D0D4-1F52-4E93-82C2-8C89B1F33A84}" name="CAMBIO PORCENTUAL EN UNIDADES VENDIDAS AÑO 2 4" dataDxfId="858">
      <calculatedColumnFormula>VLOOKUP(Tabla1[[#This Row],[CÓDIGO DEL PRODUCTO Y/O SERVICIO ]],Tabla3[],9)</calculatedColumnFormula>
    </tableColumn>
    <tableColumn id="69" xr3:uid="{963BEB54-3942-4DF5-9FD6-241D37CFEEE7}" name="CANTIDADES A UTILIZAR  AÑO 2 4" dataDxfId="857">
      <calculatedColumnFormula>Tabla1[[#This Row],[CANTIDADES A UTILIZAR  AÑO 1 4]]*(1+Tabla1[[#This Row],[CAMBIO PORCENTUAL EN UNIDADES VENDIDAS AÑO 2 4]])</calculatedColumnFormula>
    </tableColumn>
    <tableColumn id="70" xr3:uid="{01D1D662-C87C-481F-B2E9-B88B626ED317}" name="CAMBIO PORCENTUAL EN UNIDADES VENDIDAS AÑO 3 4" dataDxfId="856">
      <calculatedColumnFormula>VLOOKUP(Tabla1[[#This Row],[CÓDIGO DEL PRODUCTO Y/O SERVICIO ]],Tabla3[],13)</calculatedColumnFormula>
    </tableColumn>
    <tableColumn id="71" xr3:uid="{15E22BAF-93B7-47F2-8A8C-434984EEE5DA}" name="CANTIDADES A UTILIZAR  AÑO 3 4" dataDxfId="855">
      <calculatedColumnFormula>Tabla1[[#This Row],[CANTIDADES A UTILIZAR  AÑO 2 4]]*(1+Tabla1[[#This Row],[CAMBIO PORCENTUAL EN UNIDADES VENDIDAS AÑO 3 4]])</calculatedColumnFormula>
    </tableColumn>
    <tableColumn id="72" xr3:uid="{4F406A80-3D1E-4968-BB1B-6469CC39376D}" name="CAMBIO PORCENTUAL EN UNIDADES VENDIDAS AÑO 4 4" dataDxfId="854">
      <calculatedColumnFormula>VLOOKUP(Tabla1[[#This Row],[CÓDIGO DEL PRODUCTO Y/O SERVICIO ]],Tabla3[],17)</calculatedColumnFormula>
    </tableColumn>
    <tableColumn id="73" xr3:uid="{DD1AF4A5-96B5-44DD-B2DC-74F13947B0CE}" name="CANTIDADES A UTILIZAR  AÑO 4 4" dataDxfId="853">
      <calculatedColumnFormula>Tabla1[[#This Row],[CANTIDADES A UTILIZAR  AÑO 3 4]]*(1+Tabla1[[#This Row],[CAMBIO PORCENTUAL EN UNIDADES VENDIDAS AÑO 4 4]])</calculatedColumnFormula>
    </tableColumn>
    <tableColumn id="74" xr3:uid="{718F3838-D846-4E8E-A8BB-A7D1904D34BD}" name="CAMBIO PORCENTUAL EN UNIDADES VENDIDAS AÑO 5 4" dataDxfId="852">
      <calculatedColumnFormula>VLOOKUP(Tabla1[[#This Row],[CÓDIGO DEL PRODUCTO Y/O SERVICIO ]],Tabla3[],21)</calculatedColumnFormula>
    </tableColumn>
    <tableColumn id="75" xr3:uid="{9DB98DBC-F7EA-4B0B-A661-A104D6A10430}" name="CANTIDADES A UTILIZAR AÑO 5 4" dataDxfId="851">
      <calculatedColumnFormula>Tabla1[[#This Row],[CANTIDADES A UTILIZAR  AÑO 4 4]]*(1+Tabla1[[#This Row],[CAMBIO PORCENTUAL EN UNIDADES VENDIDAS AÑO 5 4]])</calculatedColumnFormula>
    </tableColumn>
    <tableColumn id="76" xr3:uid="{DFD88ED3-BA23-46E4-910B-0159BCE6DE52}" name="COSTO POR UNIDAD DE PRODUCTO (4) " dataDxfId="850">
      <calculatedColumnFormula>IF(Tabla1[[#This Row],[CANTIDADES A UTILIZAR  AÑO 1 4]]=0,0,Tabla1[[#This Row],[CANTIDADES A UTILIZAR  AÑO 1 4]]*1/Tabla1[[#This Row],[UNIDADES PRODUCIDAS AÑO 1 4]])</calculatedColumnFormula>
    </tableColumn>
    <tableColumn id="77" xr3:uid="{A1CC3CE8-B856-4B82-93B1-B1F4969F9B75}" name="COSTO UNITARIO AÑO 2 4" dataDxfId="849">
      <calculatedColumnFormula>$D$16*(1+BASES!$E$10)</calculatedColumnFormula>
    </tableColumn>
    <tableColumn id="78" xr3:uid="{75FE6BAB-C5A9-41B1-A75E-BABF5ACFE773}" name="COSTO UNITARIO AÑO 3 4" dataDxfId="848">
      <calculatedColumnFormula>Tabla1[[#This Row],[COSTO UNITARIO AÑO 2 4]]*(1+BASES!$F$10)</calculatedColumnFormula>
    </tableColumn>
    <tableColumn id="79" xr3:uid="{2B8E7EFB-2114-4469-9752-F25467ABA977}" name="COSTO UNITARIO AÑO 4 4" dataDxfId="847">
      <calculatedColumnFormula>Tabla1[[#This Row],[COSTO UNITARIO AÑO 3 4]]*(1+BASES!$G$10)</calculatedColumnFormula>
    </tableColumn>
    <tableColumn id="80" xr3:uid="{2D0A519E-7A6E-4DB3-9D2B-477C7D7559EE}" name="COSTO UNITARIO AÑO 5 4" dataDxfId="846">
      <calculatedColumnFormula>Tabla1[[#This Row],[COSTO UNITARIO AÑO 4 4]]*(1+BASES!$H$10)</calculatedColumnFormula>
    </tableColumn>
    <tableColumn id="81" xr3:uid="{AFFE5C1A-2BFF-470C-BAE9-361384B0F01C}" name="AÑO 1 4" dataDxfId="845">
      <calculatedColumnFormula>Tabla1[[#This Row],[COSTO POR UNIDAD DE PRODUCTO (4) ]]*$D$16*VLOOKUP(Tabla1[[#This Row],[CÓDIGO DEL PRODUCTO Y/O SERVICIO ]],Tabla3[],3)</calculatedColumnFormula>
    </tableColumn>
    <tableColumn id="82" xr3:uid="{5F268148-C838-4F6A-A244-CED5511A09AA}" name="AÑO 2 4" dataDxfId="844">
      <calculatedColumnFormula>Tabla1[[#This Row],[COSTO POR UNIDAD DE PRODUCTO (4) ]]*Tabla1[[#This Row],[COSTO UNITARIO AÑO 2 4]]*VLOOKUP(Tabla1[[#This Row],[CÓDIGO DEL PRODUCTO Y/O SERVICIO ]],Tabla3[],6)</calculatedColumnFormula>
    </tableColumn>
    <tableColumn id="83" xr3:uid="{AF5E0DC9-A7EB-46B4-B31F-DBCCA3D5271A}" name="AÑO 3 4" dataDxfId="843">
      <calculatedColumnFormula>Tabla1[[#This Row],[COSTO POR UNIDAD DE PRODUCTO (4) ]]*Tabla1[[#This Row],[COSTO UNITARIO AÑO 3 4]]*VLOOKUP(Tabla1[[#This Row],[CÓDIGO DEL PRODUCTO Y/O SERVICIO ]],Tabla3[],10)</calculatedColumnFormula>
    </tableColumn>
    <tableColumn id="84" xr3:uid="{3E731712-92E1-4F96-9C9F-0838A6146D05}" name="AÑO 4 4" dataDxfId="842">
      <calculatedColumnFormula>Tabla1[[#This Row],[COSTO POR UNIDAD DE PRODUCTO (4) ]]*Tabla1[[#This Row],[COSTO UNITARIO AÑO 4 4]]*VLOOKUP(Tabla1[[#This Row],[CÓDIGO DEL PRODUCTO Y/O SERVICIO ]],Tabla3[],14)</calculatedColumnFormula>
    </tableColumn>
    <tableColumn id="85" xr3:uid="{0CB1BF5B-5883-41C9-8486-A3E623C62551}" name="AÑO 5 4" dataDxfId="841">
      <calculatedColumnFormula>Tabla1[[#This Row],[COSTO POR UNIDAD DE PRODUCTO (4) ]]*Tabla1[[#This Row],[COSTO UNITARIO AÑO 5 4]]*VLOOKUP(Tabla1[[#This Row],[CÓDIGO DEL PRODUCTO Y/O SERVICIO ]],Tabla3[],18)</calculatedColumnFormula>
    </tableColumn>
    <tableColumn id="19" xr3:uid="{0D052168-EC06-4637-96AE-B989A01960C9}" name="UNIDADES PRODUCIDAS AÑO 1 5" dataDxfId="840">
      <calculatedColumnFormula>VLOOKUP(Tabla1[[#This Row],[CÓDIGO DEL PRODUCTO Y/O SERVICIO ]],Tabla3[],3)</calculatedColumnFormula>
    </tableColumn>
    <tableColumn id="45" xr3:uid="{64853E24-74E5-45DF-AFCC-9620F8894278}" name="CANTIDADES A UTILIZAR  AÑO 1 5" dataDxfId="839">
      <calculatedColumnFormula>Tabla1[[#This Row],[UNIDADES PRODUCIDAS AÑO 1 5]]*J40</calculatedColumnFormula>
    </tableColumn>
    <tableColumn id="86" xr3:uid="{95EE4A81-92C6-4932-AE8E-05C53572073B}" name="CAMBIO PORCENTUAL EN UNIDADES VENDIDAS AÑO 2 5" dataDxfId="838">
      <calculatedColumnFormula>VLOOKUP(Tabla1[[#This Row],[CÓDIGO DEL PRODUCTO Y/O SERVICIO ]],Tabla3[],9)</calculatedColumnFormula>
    </tableColumn>
    <tableColumn id="87" xr3:uid="{C4EE4AE3-8AE1-4785-8D7E-C466305ECD42}" name="CANTIDADES A UTILIZAR  AÑO 2 5" dataDxfId="837">
      <calculatedColumnFormula>Tabla1[[#This Row],[CANTIDADES A UTILIZAR  AÑO 1 5]]*(1+Tabla1[[#This Row],[CAMBIO PORCENTUAL EN UNIDADES VENDIDAS AÑO 2 5]])</calculatedColumnFormula>
    </tableColumn>
    <tableColumn id="88" xr3:uid="{FB8AAD85-D84F-45A7-BA32-09F0212C7E0B}" name="CAMBIO PORCENTUAL EN UNIDADES VENDIDAS AÑO 3 5" dataDxfId="836">
      <calculatedColumnFormula>VLOOKUP(Tabla1[[#This Row],[CÓDIGO DEL PRODUCTO Y/O SERVICIO ]],Tabla3[],13)</calculatedColumnFormula>
    </tableColumn>
    <tableColumn id="89" xr3:uid="{A731AEFE-592C-4855-88D2-5928689E6AFD}" name="CANTIDADES A UTILIZAR  AÑO 3 5" dataDxfId="835">
      <calculatedColumnFormula>Tabla1[[#This Row],[CANTIDADES A UTILIZAR  AÑO 2 5]]*(1+Tabla1[[#This Row],[CAMBIO PORCENTUAL EN UNIDADES VENDIDAS AÑO 3 5]])</calculatedColumnFormula>
    </tableColumn>
    <tableColumn id="90" xr3:uid="{A73A14E5-A536-4A8E-8636-53C6A680E65B}" name="CAMBIO PORCENTUAL EN UNIDADES VENDIDAS AÑO 4 5" dataDxfId="834">
      <calculatedColumnFormula>VLOOKUP(Tabla1[[#This Row],[CÓDIGO DEL PRODUCTO Y/O SERVICIO ]],Tabla3[],17)</calculatedColumnFormula>
    </tableColumn>
    <tableColumn id="91" xr3:uid="{C2251890-E7F8-46FE-98CD-2FC5F78F8D70}" name="CANTIDADES A UTILIZAR  AÑO 4 5" dataDxfId="833">
      <calculatedColumnFormula>Tabla1[[#This Row],[CANTIDADES A UTILIZAR  AÑO 3 5]]*(1+Tabla1[[#This Row],[CAMBIO PORCENTUAL EN UNIDADES VENDIDAS AÑO 4 5]])</calculatedColumnFormula>
    </tableColumn>
    <tableColumn id="92" xr3:uid="{051909A4-28D5-4F0D-8601-326744785268}" name="CAMBIO PORCENTUAL EN UNIDADES VENDIDAS AÑO 5 5" dataDxfId="832">
      <calculatedColumnFormula>VLOOKUP(Tabla1[[#This Row],[CÓDIGO DEL PRODUCTO Y/O SERVICIO ]],Tabla3[],21)</calculatedColumnFormula>
    </tableColumn>
    <tableColumn id="93" xr3:uid="{7AA5788F-19F3-4FE7-800F-6272F3AA19D8}" name="CANTIDADES A UTILIZAR AÑO 5 5" dataDxfId="831">
      <calculatedColumnFormula>Tabla1[[#This Row],[CANTIDADES A UTILIZAR  AÑO 4 5]]*(1+Tabla1[[#This Row],[CAMBIO PORCENTUAL EN UNIDADES VENDIDAS AÑO 5 5]])</calculatedColumnFormula>
    </tableColumn>
    <tableColumn id="94" xr3:uid="{5E99228A-17E2-4B36-B556-12D329A9B139}" name="COSTO POR UNIDAD DE PRODUCTO (5)" dataDxfId="830">
      <calculatedColumnFormula>IF(Tabla1[[#This Row],[CANTIDADES A UTILIZAR  AÑO 1 5]]=0,0,Tabla1[[#This Row],[CANTIDADES A UTILIZAR  AÑO 1 5]]*1/Tabla1[[#This Row],[UNIDADES PRODUCIDAS AÑO 1 5]])</calculatedColumnFormula>
    </tableColumn>
    <tableColumn id="95" xr3:uid="{FB1BD96A-8CEA-4140-A6FA-B8BC917D6E29}" name="COSTO UNITARIO AÑO 2 5" dataDxfId="829">
      <calculatedColumnFormula>$D$17*(1+BASES!$E$10)</calculatedColumnFormula>
    </tableColumn>
    <tableColumn id="96" xr3:uid="{D7E05467-B68B-4A2B-98F0-B7950D923973}" name="COSTO UNITARIO AÑO 3 5" dataDxfId="828">
      <calculatedColumnFormula>Tabla1[[#This Row],[COSTO UNITARIO AÑO 2 5]]*(1+BASES!$F$10)</calculatedColumnFormula>
    </tableColumn>
    <tableColumn id="97" xr3:uid="{E0B4CD93-18E6-4B45-8601-9E4533C64EAA}" name="COSTO UNITARIO AÑO 4 5" dataDxfId="827">
      <calculatedColumnFormula>Tabla1[[#This Row],[COSTO UNITARIO AÑO 3 5]]*(1+BASES!$G$10)</calculatedColumnFormula>
    </tableColumn>
    <tableColumn id="98" xr3:uid="{002F3D55-26D2-4A2C-8E36-1D6ECF76046E}" name="COSTO UNITARIO AÑO 5 5 " dataDxfId="826">
      <calculatedColumnFormula>Tabla1[[#This Row],[COSTO UNITARIO AÑO 4 5]]*(1+BASES!$H$10)</calculatedColumnFormula>
    </tableColumn>
    <tableColumn id="99" xr3:uid="{C891F1EB-393E-4D1B-A531-165E1BD6FF7B}" name="AÑO 1 5" dataDxfId="825">
      <calculatedColumnFormula>Tabla1[[#This Row],[COSTO POR UNIDAD DE PRODUCTO (5)]]*$D$17*VLOOKUP(Tabla1[[#This Row],[CÓDIGO DEL PRODUCTO Y/O SERVICIO ]],Tabla3[],3)</calculatedColumnFormula>
    </tableColumn>
    <tableColumn id="100" xr3:uid="{EB30F038-7E45-411D-AE96-FA04A5518688}" name="AÑO 2 5" dataDxfId="824">
      <calculatedColumnFormula>Tabla1[[#This Row],[COSTO POR UNIDAD DE PRODUCTO (5)]]*Tabla1[[#This Row],[COSTO UNITARIO AÑO 2 5]]*VLOOKUP(Tabla1[[#This Row],[CÓDIGO DEL PRODUCTO Y/O SERVICIO ]],Tabla3[],6)</calculatedColumnFormula>
    </tableColumn>
    <tableColumn id="101" xr3:uid="{CBCAAE1F-A57A-4279-BD46-DADCFBE3D974}" name="AÑO 3 5 " dataDxfId="823">
      <calculatedColumnFormula>Tabla1[[#This Row],[COSTO POR UNIDAD DE PRODUCTO (5)]]*Tabla1[[#This Row],[COSTO UNITARIO AÑO 3 5]]*VLOOKUP(Tabla1[[#This Row],[CÓDIGO DEL PRODUCTO Y/O SERVICIO ]],Tabla3[],10)</calculatedColumnFormula>
    </tableColumn>
    <tableColumn id="102" xr3:uid="{01EAAA69-00DC-4A12-A81D-1C22D288B649}" name="AÑO 4 5" dataDxfId="822">
      <calculatedColumnFormula>Tabla1[[#This Row],[COSTO POR UNIDAD DE PRODUCTO (5)]]*Tabla1[[#This Row],[COSTO UNITARIO AÑO 4 5]]*VLOOKUP(Tabla1[[#This Row],[CÓDIGO DEL PRODUCTO Y/O SERVICIO ]],Tabla3[],14)</calculatedColumnFormula>
    </tableColumn>
    <tableColumn id="103" xr3:uid="{8F674241-3617-48E9-82FE-CA5DD65D642A}" name="AÑO 5 5" dataDxfId="821">
      <calculatedColumnFormula>Tabla1[[#This Row],[COSTO POR UNIDAD DE PRODUCTO (5)]]*Tabla1[[#This Row],[COSTO UNITARIO AÑO 5 5 ]]*VLOOKUP(Tabla1[[#This Row],[CÓDIGO DEL PRODUCTO Y/O SERVICIO ]],Tabla3[],18)</calculatedColumnFormula>
    </tableColumn>
    <tableColumn id="104" xr3:uid="{6E706B1B-6BF7-4889-A665-88250951B47C}" name="UNIDADES PRODUCIDAS AÑO 1 6" dataDxfId="820">
      <calculatedColumnFormula>VLOOKUP(Tabla1[[#This Row],[CÓDIGO DEL PRODUCTO Y/O SERVICIO ]],Tabla3[],3)</calculatedColumnFormula>
    </tableColumn>
    <tableColumn id="105" xr3:uid="{BFA88967-AD05-4F48-BEDA-3B1459CFAF4A}" name="CANTIDADES A UTILIZAR  AÑO 1 6" dataDxfId="819">
      <calculatedColumnFormula>Tabla1[[#This Row],[UNIDADES PRODUCIDAS AÑO 1 6]]*K40</calculatedColumnFormula>
    </tableColumn>
    <tableColumn id="106" xr3:uid="{C4FD6C32-F983-4883-B87B-A4CC57BE171B}" name="CAMBIO PORCENTUAL EN UNIDADES VENDIDAS AÑO 2 6" dataDxfId="818">
      <calculatedColumnFormula>VLOOKUP(Tabla1[[#This Row],[CÓDIGO DEL PRODUCTO Y/O SERVICIO ]],Tabla3[],9)</calculatedColumnFormula>
    </tableColumn>
    <tableColumn id="107" xr3:uid="{DECBC2C3-6E6B-4222-B192-82A1D9C3B234}" name="CANTIDADES A UTILIZAR  AÑO 2 6" dataDxfId="817">
      <calculatedColumnFormula>Tabla1[[#This Row],[CANTIDADES A UTILIZAR  AÑO 1 6]]*(1+Tabla1[[#This Row],[CAMBIO PORCENTUAL EN UNIDADES VENDIDAS AÑO 2 6]])</calculatedColumnFormula>
    </tableColumn>
    <tableColumn id="108" xr3:uid="{66255DD1-BAC7-4B8C-9643-7F5BB6940347}" name="CAMBIO PORCENTUAL EN UNIDADES VENDIDAS AÑO 3 6" dataDxfId="816">
      <calculatedColumnFormula>VLOOKUP(Tabla1[[#This Row],[CÓDIGO DEL PRODUCTO Y/O SERVICIO ]],Tabla3[],13)</calculatedColumnFormula>
    </tableColumn>
    <tableColumn id="109" xr3:uid="{BD95BE84-CCC9-424D-AC0C-3F71B3BADE68}" name="CANTIDADES A UTILIZAR  AÑO 3 6 " dataDxfId="815">
      <calculatedColumnFormula>Tabla1[[#This Row],[CANTIDADES A UTILIZAR  AÑO 2 6]]*(1+Tabla1[[#This Row],[CAMBIO PORCENTUAL EN UNIDADES VENDIDAS AÑO 3 6]])</calculatedColumnFormula>
    </tableColumn>
    <tableColumn id="110" xr3:uid="{4CA2DEE4-6F55-40C1-BE49-2F3C6C8EC7E9}" name="CAMBIO PORCENTUAL EN UNIDADES VENDIDAS AÑO 4 6" dataDxfId="814">
      <calculatedColumnFormula>VLOOKUP(Tabla1[[#This Row],[CÓDIGO DEL PRODUCTO Y/O SERVICIO ]],Tabla3[],17)</calculatedColumnFormula>
    </tableColumn>
    <tableColumn id="111" xr3:uid="{2203680B-B376-457E-8E5B-3538CCB75AB8}" name="CANTIDADES A UTILIZAR  AÑO 4 6" dataDxfId="813">
      <calculatedColumnFormula>Tabla1[[#This Row],[CANTIDADES A UTILIZAR  AÑO 3 6 ]]*(1+Tabla1[[#This Row],[CAMBIO PORCENTUAL EN UNIDADES VENDIDAS AÑO 4 6]])</calculatedColumnFormula>
    </tableColumn>
    <tableColumn id="112" xr3:uid="{C2E2E507-655E-4E88-8119-74421999DADF}" name="CAMBIO PORCENTUAL EN UNIDADES VENDIDAS AÑO 5 6" dataDxfId="812">
      <calculatedColumnFormula>VLOOKUP(Tabla1[[#This Row],[CÓDIGO DEL PRODUCTO Y/O SERVICIO ]],Tabla3[],21)</calculatedColumnFormula>
    </tableColumn>
    <tableColumn id="113" xr3:uid="{9F3EE62F-C9CB-44C7-B3A9-803772D8BA92}" name="CANTIDADES A UTILIZAR AÑO 5 6" dataDxfId="811">
      <calculatedColumnFormula>Tabla1[[#This Row],[CANTIDADES A UTILIZAR  AÑO 4 6]]*(1+Tabla1[[#This Row],[CAMBIO PORCENTUAL EN UNIDADES VENDIDAS AÑO 5 6]])</calculatedColumnFormula>
    </tableColumn>
    <tableColumn id="114" xr3:uid="{8EF60B50-1AAE-4A1E-9D1F-DD693E932B6D}" name="COSTO POR UNIDAD DE PRODUCTO (6)" dataDxfId="810">
      <calculatedColumnFormula>IF(Tabla1[[#This Row],[CANTIDADES A UTILIZAR  AÑO 1 6]]=0,0,Tabla1[[#This Row],[CANTIDADES A UTILIZAR  AÑO 1 6]]*1/Tabla1[[#This Row],[UNIDADES PRODUCIDAS AÑO 1 6]])</calculatedColumnFormula>
    </tableColumn>
    <tableColumn id="115" xr3:uid="{E1EA7C3E-3A9B-4C2C-9E7F-39B4E6D70035}" name="COSTO UNITARIO AÑO 2 6" dataDxfId="809">
      <calculatedColumnFormula>$D$18*(1+BASES!$E$10)</calculatedColumnFormula>
    </tableColumn>
    <tableColumn id="116" xr3:uid="{1337F4D1-42DC-4563-BCA5-BDFAB97183D7}" name="COSTO UNITARIO AÑO 3 6" dataDxfId="808">
      <calculatedColumnFormula>Tabla1[[#This Row],[COSTO UNITARIO AÑO 2 6]]*(1+BASES!$F$10)</calculatedColumnFormula>
    </tableColumn>
    <tableColumn id="117" xr3:uid="{3567D201-9A2E-40BD-9C44-16C69B824D4A}" name="COSTO UNITARIO AÑO 4 6 " dataDxfId="807">
      <calculatedColumnFormula>Tabla1[[#This Row],[COSTO UNITARIO AÑO 3 6]]*(1+BASES!$G$10)</calculatedColumnFormula>
    </tableColumn>
    <tableColumn id="118" xr3:uid="{FD9F172C-C13E-4C88-91AF-96415831BA6B}" name="COSTO UNITARIO AÑO 5 6" dataDxfId="806">
      <calculatedColumnFormula>Tabla1[[#This Row],[COSTO UNITARIO AÑO 4 6 ]]*(1+BASES!$H$10)</calculatedColumnFormula>
    </tableColumn>
    <tableColumn id="119" xr3:uid="{E0A38B44-B845-46CA-8A6E-642044C0C8B1}" name="AÑO 1 6" dataDxfId="805">
      <calculatedColumnFormula>Tabla1[[#This Row],[COSTO POR UNIDAD DE PRODUCTO (6)]]*$D$18*VLOOKUP(Tabla1[[#This Row],[CÓDIGO DEL PRODUCTO Y/O SERVICIO ]],Tabla3[],3)</calculatedColumnFormula>
    </tableColumn>
    <tableColumn id="120" xr3:uid="{7A3AE4E1-4880-421D-A9A1-FE2896B4806D}" name="AÑO 2 6" dataDxfId="804">
      <calculatedColumnFormula>Tabla1[[#This Row],[COSTO POR UNIDAD DE PRODUCTO (6)]]*Tabla1[[#This Row],[COSTO UNITARIO AÑO 2 6]]*VLOOKUP(Tabla1[[#This Row],[CÓDIGO DEL PRODUCTO Y/O SERVICIO ]],Tabla3[],6)</calculatedColumnFormula>
    </tableColumn>
    <tableColumn id="121" xr3:uid="{4C544E56-19C2-49A7-A6E1-3CAB986E33AB}" name="AÑO 3 6" dataDxfId="803">
      <calculatedColumnFormula>Tabla1[[#This Row],[COSTO POR UNIDAD DE PRODUCTO (6)]]*Tabla1[[#This Row],[COSTO UNITARIO AÑO 3 6]]*VLOOKUP(Tabla1[[#This Row],[CÓDIGO DEL PRODUCTO Y/O SERVICIO ]],Tabla3[],10)</calculatedColumnFormula>
    </tableColumn>
    <tableColumn id="122" xr3:uid="{F5725B15-16E0-49F4-B86A-C07093A49C50}" name="AÑO 4 6" dataDxfId="802">
      <calculatedColumnFormula>Tabla1[[#This Row],[COSTO POR UNIDAD DE PRODUCTO (6)]]*Tabla1[[#This Row],[COSTO UNITARIO AÑO 4 6 ]]*VLOOKUP(Tabla1[[#This Row],[CÓDIGO DEL PRODUCTO Y/O SERVICIO ]],Tabla3[],14)</calculatedColumnFormula>
    </tableColumn>
    <tableColumn id="123" xr3:uid="{13529EA2-1EC0-4C2A-8311-33C17099E0BE}" name="AÑO 5 6" dataDxfId="801">
      <calculatedColumnFormula>Tabla1[[#This Row],[COSTO POR UNIDAD DE PRODUCTO (6)]]*Tabla1[[#This Row],[COSTO UNITARIO AÑO 5 6]]*VLOOKUP(Tabla1[[#This Row],[CÓDIGO DEL PRODUCTO Y/O SERVICIO ]],Tabla3[],18)</calculatedColumnFormula>
    </tableColumn>
    <tableColumn id="124" xr3:uid="{CBBC9272-B815-4C24-BEA5-886DE30739CD}" name="UNIDADES PRODUCIDAS AÑO 1 7" dataDxfId="800">
      <calculatedColumnFormula>VLOOKUP(Tabla1[[#This Row],[CÓDIGO DEL PRODUCTO Y/O SERVICIO ]],Tabla3[],3)</calculatedColumnFormula>
    </tableColumn>
    <tableColumn id="125" xr3:uid="{491437F5-7283-49D4-817D-8A4CBB5E999F}" name="CANTIDADES A UTILIZAR  AÑO 1 7" dataDxfId="799">
      <calculatedColumnFormula>Tabla1[[#This Row],[UNIDADES PRODUCIDAS AÑO 1 7]]*L40</calculatedColumnFormula>
    </tableColumn>
    <tableColumn id="126" xr3:uid="{7BA03FB6-D164-428F-AF67-19A21F8078B1}" name="CAMBIO PORCENTUAL EN UNIDADES VENDIDAS AÑO 2 7" dataDxfId="798">
      <calculatedColumnFormula>VLOOKUP(Tabla1[[#This Row],[CÓDIGO DEL PRODUCTO Y/O SERVICIO ]],Tabla3[],9)</calculatedColumnFormula>
    </tableColumn>
    <tableColumn id="127" xr3:uid="{931559B8-8824-4A18-B409-7BF9E9226AC0}" name="CANTIDADES A UTILIZAR  AÑO 2 7" dataDxfId="797">
      <calculatedColumnFormula>Tabla1[[#This Row],[CANTIDADES A UTILIZAR  AÑO 1 7]]*(1+Tabla1[[#This Row],[CAMBIO PORCENTUAL EN UNIDADES VENDIDAS AÑO 2 7]])</calculatedColumnFormula>
    </tableColumn>
    <tableColumn id="128" xr3:uid="{9E1B6DCB-52B1-4DF0-9CB8-ADED37D70BA0}" name="CAMBIO PORCENTUAL EN UNIDADES VENDIDAS AÑO 3 7" dataDxfId="796">
      <calculatedColumnFormula>VLOOKUP(Tabla1[[#This Row],[CÓDIGO DEL PRODUCTO Y/O SERVICIO ]],Tabla3[],13)</calculatedColumnFormula>
    </tableColumn>
    <tableColumn id="129" xr3:uid="{B11C7324-C0B5-45A6-81DF-F0AA870A5A1F}" name="CANTIDADES A UTILIZAR  AÑO 3 7 " dataDxfId="795">
      <calculatedColumnFormula>Tabla1[[#This Row],[CANTIDADES A UTILIZAR  AÑO 2 7]]*(1+Tabla1[[#This Row],[CAMBIO PORCENTUAL EN UNIDADES VENDIDAS AÑO 3 7]])</calculatedColumnFormula>
    </tableColumn>
    <tableColumn id="130" xr3:uid="{A047FD44-53CA-4392-8512-349B7C09BC7D}" name="CAMBIO PORCENTUAL EN UNIDADES VENDIDAS AÑO 4 7" dataDxfId="794">
      <calculatedColumnFormula>VLOOKUP(Tabla1[[#This Row],[CÓDIGO DEL PRODUCTO Y/O SERVICIO ]],Tabla3[],17)</calculatedColumnFormula>
    </tableColumn>
    <tableColumn id="131" xr3:uid="{61B0C5C4-42F2-46B0-AB4B-7C685B08CFC1}" name="CANTIDADES A UTILIZAR  AÑO 4 7" dataDxfId="793">
      <calculatedColumnFormula>Tabla1[[#This Row],[CANTIDADES A UTILIZAR  AÑO 3 7 ]]*(1+Tabla1[[#This Row],[CAMBIO PORCENTUAL EN UNIDADES VENDIDAS AÑO 4 7]])</calculatedColumnFormula>
    </tableColumn>
    <tableColumn id="132" xr3:uid="{0D902482-D701-4F58-B727-CF951C01CE95}" name="CAMBIO PORCENTUAL EN UNIDADES VENDIDAS AÑO 5 7" dataDxfId="792">
      <calculatedColumnFormula>VLOOKUP(Tabla1[[#This Row],[CÓDIGO DEL PRODUCTO Y/O SERVICIO ]],Tabla3[],21)</calculatedColumnFormula>
    </tableColumn>
    <tableColumn id="133" xr3:uid="{9377C901-5709-4A21-BC0F-6B7F2B843CF2}" name="CANTIDADES A UTILIZAR AÑO 5 7" dataDxfId="791">
      <calculatedColumnFormula>Tabla1[[#This Row],[CANTIDADES A UTILIZAR  AÑO 4 7]]*(1+Tabla1[[#This Row],[CAMBIO PORCENTUAL EN UNIDADES VENDIDAS AÑO 5 7]])</calculatedColumnFormula>
    </tableColumn>
    <tableColumn id="134" xr3:uid="{5E3DE55E-6EE2-45E0-AC32-27F42C2E2E23}" name="COSTO POR UNIDAD DE PRODUCTO (7)" dataDxfId="790">
      <calculatedColumnFormula>IF(Tabla1[[#This Row],[CANTIDADES A UTILIZAR  AÑO 1 7]]=0,0,Tabla1[[#This Row],[CANTIDADES A UTILIZAR  AÑO 1 7]]*1/Tabla1[[#This Row],[UNIDADES PRODUCIDAS AÑO 1 7]])</calculatedColumnFormula>
    </tableColumn>
    <tableColumn id="135" xr3:uid="{7DCE2622-F53C-407B-A2CE-45B0E2681102}" name="COSTO UNITARIO AÑO 2 7" dataDxfId="789">
      <calculatedColumnFormula>$D$19*(1+BASES!$E$10)</calculatedColumnFormula>
    </tableColumn>
    <tableColumn id="136" xr3:uid="{C6788385-3B76-4D7B-A095-8887394761B5}" name="COSTO UNITARIO AÑO 3 7" dataDxfId="788">
      <calculatedColumnFormula>Tabla1[[#This Row],[COSTO UNITARIO AÑO 2 7]]*(1+BASES!$F$10)</calculatedColumnFormula>
    </tableColumn>
    <tableColumn id="137" xr3:uid="{96E28602-841B-408B-BAC7-A43E3DC4C2B8}" name="COSTO UNITARIO AÑO 4 7" dataDxfId="787">
      <calculatedColumnFormula>Tabla1[[#This Row],[COSTO UNITARIO AÑO 3 7]]*(1+BASES!$G$10)</calculatedColumnFormula>
    </tableColumn>
    <tableColumn id="138" xr3:uid="{3DF05084-61E2-4EC9-8DB4-01A46C7E6AC3}" name="COSTO UNITARIO AÑO 5 7" dataDxfId="786">
      <calculatedColumnFormula>Tabla1[[#This Row],[COSTO UNITARIO AÑO 4 7]]*(1+BASES!$H$10)</calculatedColumnFormula>
    </tableColumn>
    <tableColumn id="139" xr3:uid="{13A03D4B-B4DC-4DC0-88BF-93A2610C3904}" name="AÑO 1 7" dataDxfId="785">
      <calculatedColumnFormula>Tabla1[[#This Row],[COSTO POR UNIDAD DE PRODUCTO (7)]]*$D$19*VLOOKUP(Tabla1[[#This Row],[CÓDIGO DEL PRODUCTO Y/O SERVICIO ]],Tabla3[],3)</calculatedColumnFormula>
    </tableColumn>
    <tableColumn id="140" xr3:uid="{88AA2AA7-868E-4D9A-99F1-4B44CABE6EEA}" name="AÑO 2 7" dataDxfId="784">
      <calculatedColumnFormula>Tabla1[[#This Row],[COSTO POR UNIDAD DE PRODUCTO (7)]]*Tabla1[[#This Row],[COSTO UNITARIO AÑO 2 7]]*VLOOKUP(Tabla1[[#This Row],[CÓDIGO DEL PRODUCTO Y/O SERVICIO ]],Tabla3[],6)</calculatedColumnFormula>
    </tableColumn>
    <tableColumn id="141" xr3:uid="{FCC35FEC-54B1-4399-848A-26492DE3EF9F}" name="AÑO 3 7" dataDxfId="783">
      <calculatedColumnFormula>Tabla1[[#This Row],[COSTO POR UNIDAD DE PRODUCTO (7)]]*Tabla1[[#This Row],[COSTO UNITARIO AÑO 3 7]]*VLOOKUP(Tabla1[[#This Row],[CÓDIGO DEL PRODUCTO Y/O SERVICIO ]],Tabla3[],10)</calculatedColumnFormula>
    </tableColumn>
    <tableColumn id="142" xr3:uid="{4F8EB3BF-13F7-4130-8BBF-BAB4673D4D3B}" name="AÑO 4 7 " dataDxfId="782">
      <calculatedColumnFormula>Tabla1[[#This Row],[COSTO POR UNIDAD DE PRODUCTO (7)]]*Tabla1[[#This Row],[COSTO UNITARIO AÑO 4 7]]*VLOOKUP(Tabla1[[#This Row],[CÓDIGO DEL PRODUCTO Y/O SERVICIO ]],Tabla3[],14)</calculatedColumnFormula>
    </tableColumn>
    <tableColumn id="143" xr3:uid="{7D3BABE1-74BE-48A7-88A7-772B4AD89FC8}" name="AÑO 5 7" dataDxfId="781">
      <calculatedColumnFormula>Tabla1[[#This Row],[COSTO POR UNIDAD DE PRODUCTO (7)]]*Tabla1[[#This Row],[COSTO UNITARIO AÑO 5 7]]*VLOOKUP(Tabla1[[#This Row],[CÓDIGO DEL PRODUCTO Y/O SERVICIO ]],Tabla3[],18)</calculatedColumnFormula>
    </tableColumn>
    <tableColumn id="144" xr3:uid="{055991FB-32EA-4563-BFCD-01F3AA554AFB}" name="UNIDADES PRODUCIDAS AÑO 1 8" dataDxfId="780">
      <calculatedColumnFormula>VLOOKUP(Tabla1[[#This Row],[CÓDIGO DEL PRODUCTO Y/O SERVICIO ]],Tabla3[],3)</calculatedColumnFormula>
    </tableColumn>
    <tableColumn id="145" xr3:uid="{3B6F56DC-4DFF-448C-AD77-EE3ED0B2F1C4}" name="CANTIDADES A UTILIZAR  AÑO 1 8" dataDxfId="779">
      <calculatedColumnFormula>Tabla1[[#This Row],[UNIDADES PRODUCIDAS AÑO 1 8]]*M40</calculatedColumnFormula>
    </tableColumn>
    <tableColumn id="146" xr3:uid="{DB526B67-EFAB-4B54-A152-1DD40DC96BA3}" name="CAMBIO PORCENTUAL EN UNIDADES VENDIDAS AÑO 2 8" dataDxfId="778">
      <calculatedColumnFormula>VLOOKUP(Tabla1[[#This Row],[CÓDIGO DEL PRODUCTO Y/O SERVICIO ]],Tabla3[],9)</calculatedColumnFormula>
    </tableColumn>
    <tableColumn id="147" xr3:uid="{5FA00AC8-3B96-4153-B65B-8E520C3CDDF1}" name="CANTIDADES A UTILIZAR  AÑO 2 8" dataDxfId="777">
      <calculatedColumnFormula>Tabla1[[#This Row],[CANTIDADES A UTILIZAR  AÑO 1 8]]*(1+Tabla1[[#This Row],[CAMBIO PORCENTUAL EN UNIDADES VENDIDAS AÑO 2 8]])</calculatedColumnFormula>
    </tableColumn>
    <tableColumn id="148" xr3:uid="{231D1C6B-9B8F-4AC0-8CF6-60037CD656B8}" name="CAMBIO PORCENTUAL EN UNIDADES VENDIDAS AÑO 3 8" dataDxfId="776">
      <calculatedColumnFormula>VLOOKUP(Tabla1[[#This Row],[CÓDIGO DEL PRODUCTO Y/O SERVICIO ]],Tabla3[],13)</calculatedColumnFormula>
    </tableColumn>
    <tableColumn id="149" xr3:uid="{C8175EA7-DB05-490D-ACD5-535C70434343}" name="CANTIDADES A UTILIZAR  AÑO 3 8" dataDxfId="775">
      <calculatedColumnFormula>Tabla1[[#This Row],[CANTIDADES A UTILIZAR  AÑO 2 8]]*(1+Tabla1[[#This Row],[CAMBIO PORCENTUAL EN UNIDADES VENDIDAS AÑO 3 8]])</calculatedColumnFormula>
    </tableColumn>
    <tableColumn id="150" xr3:uid="{B50452FA-A166-4DCF-A6E7-BF14A6A818EA}" name="CAMBIO PORCENTUAL EN UNIDADES VENDIDAS AÑO 4 8" dataDxfId="774">
      <calculatedColumnFormula>VLOOKUP(Tabla1[[#This Row],[CÓDIGO DEL PRODUCTO Y/O SERVICIO ]],Tabla3[],17)</calculatedColumnFormula>
    </tableColumn>
    <tableColumn id="151" xr3:uid="{BCD068B8-14C9-4B9F-9EAE-28BE40FC1F28}" name="CANTIDADES A UTILIZAR  AÑO 4 8" dataDxfId="773">
      <calculatedColumnFormula>Tabla1[[#This Row],[CANTIDADES A UTILIZAR  AÑO 3 8]]*(1+Tabla1[[#This Row],[CAMBIO PORCENTUAL EN UNIDADES VENDIDAS AÑO 4 8]])</calculatedColumnFormula>
    </tableColumn>
    <tableColumn id="152" xr3:uid="{AF2639ED-9B2D-41E5-8316-FD4E27086F5C}" name="CAMBIO PORCENTUAL EN UNIDADES VENDIDAS AÑO 5 8" dataDxfId="772">
      <calculatedColumnFormula>VLOOKUP(Tabla1[[#This Row],[CÓDIGO DEL PRODUCTO Y/O SERVICIO ]],Tabla3[],21)</calculatedColumnFormula>
    </tableColumn>
    <tableColumn id="153" xr3:uid="{4CAE9182-1FC0-48F7-926B-24F1D9199545}" name="CANTIDADES A UTILIZAR AÑO 5 8" dataDxfId="771">
      <calculatedColumnFormula>Tabla1[[#This Row],[CANTIDADES A UTILIZAR  AÑO 4 8]]*(1+Tabla1[[#This Row],[CAMBIO PORCENTUAL EN UNIDADES VENDIDAS AÑO 5 8]])</calculatedColumnFormula>
    </tableColumn>
    <tableColumn id="154" xr3:uid="{0F87D5CD-43ED-42A7-A254-EE16B94E3CCA}" name="COSTO POR UNIDAD DE PRODUCTO (8)" dataDxfId="770">
      <calculatedColumnFormula>IF(Tabla1[[#This Row],[CANTIDADES A UTILIZAR  AÑO 1 8]]=0,0,Tabla1[[#This Row],[CANTIDADES A UTILIZAR  AÑO 1 8]]*1/Tabla1[[#This Row],[UNIDADES PRODUCIDAS AÑO 1 8]])</calculatedColumnFormula>
    </tableColumn>
    <tableColumn id="155" xr3:uid="{C5D92DF4-16EF-400A-8A8B-7BC8D1374466}" name="COSTO UNITARIO AÑO 2 8" dataDxfId="769">
      <calculatedColumnFormula>$D$20*(1+BASES!$E$10)</calculatedColumnFormula>
    </tableColumn>
    <tableColumn id="156" xr3:uid="{2A2EDCE9-67F2-485B-9F6E-8C46292DB3DE}" name="COSTO UNITARIO AÑO 3 8" dataDxfId="768">
      <calculatedColumnFormula>Tabla1[[#This Row],[COSTO UNITARIO AÑO 2 8]]*(1+BASES!$F$10)</calculatedColumnFormula>
    </tableColumn>
    <tableColumn id="157" xr3:uid="{A96ADB7C-1D5C-46F8-B20D-A7703414C435}" name="COSTO UNITARIO AÑO 4 8" dataDxfId="767">
      <calculatedColumnFormula>Tabla1[[#This Row],[COSTO UNITARIO AÑO 3 8]]*(1+BASES!$G$10)</calculatedColumnFormula>
    </tableColumn>
    <tableColumn id="158" xr3:uid="{49E1757A-CF63-4F91-8E75-8B58DED24F6C}" name="COSTO UNITARIO AÑO 5 8" dataDxfId="766">
      <calculatedColumnFormula>Tabla1[[#This Row],[COSTO UNITARIO AÑO 4 8]]*(1+BASES!$H$10)</calculatedColumnFormula>
    </tableColumn>
    <tableColumn id="159" xr3:uid="{788615AA-D914-49D9-80E0-E2B7EA313A41}" name="AÑO 1 8" dataDxfId="765">
      <calculatedColumnFormula>Tabla1[[#This Row],[COSTO POR UNIDAD DE PRODUCTO (8)]]*$D$20*VLOOKUP(Tabla1[[#This Row],[CÓDIGO DEL PRODUCTO Y/O SERVICIO ]],Tabla3[],3)</calculatedColumnFormula>
    </tableColumn>
    <tableColumn id="160" xr3:uid="{C1515366-6030-4C8C-AB63-037313584889}" name="AÑO 2 8" dataDxfId="764">
      <calculatedColumnFormula>Tabla1[[#This Row],[COSTO POR UNIDAD DE PRODUCTO (8)]]*Tabla1[[#This Row],[COSTO UNITARIO AÑO 2 8]]*VLOOKUP(Tabla1[[#This Row],[CÓDIGO DEL PRODUCTO Y/O SERVICIO ]],Tabla3[],6)</calculatedColumnFormula>
    </tableColumn>
    <tableColumn id="161" xr3:uid="{430E2A21-121C-428D-82C6-82152A47CB63}" name="AÑO 3 8" dataDxfId="763">
      <calculatedColumnFormula>Tabla1[[#This Row],[COSTO POR UNIDAD DE PRODUCTO (8)]]*Tabla1[[#This Row],[COSTO UNITARIO AÑO 3 8]]*VLOOKUP(Tabla1[[#This Row],[CÓDIGO DEL PRODUCTO Y/O SERVICIO ]],Tabla3[],10)</calculatedColumnFormula>
    </tableColumn>
    <tableColumn id="162" xr3:uid="{CF64FF5F-93A9-47A3-9E96-E8DB3DEBA3B3}" name="AÑO 4 8" dataDxfId="762">
      <calculatedColumnFormula>Tabla1[[#This Row],[COSTO POR UNIDAD DE PRODUCTO (8)]]*Tabla1[[#This Row],[COSTO UNITARIO AÑO 4 8]]*VLOOKUP(Tabla1[[#This Row],[CÓDIGO DEL PRODUCTO Y/O SERVICIO ]],Tabla3[],14)</calculatedColumnFormula>
    </tableColumn>
    <tableColumn id="163" xr3:uid="{75CFC5E1-9388-43A5-AAAB-EBF2E7A0A87E}" name="AÑO 5 8" dataDxfId="761">
      <calculatedColumnFormula>Tabla1[[#This Row],[COSTO POR UNIDAD DE PRODUCTO (8)]]*Tabla1[[#This Row],[COSTO UNITARIO AÑO 5 8]]*VLOOKUP(Tabla1[[#This Row],[CÓDIGO DEL PRODUCTO Y/O SERVICIO ]],Tabla3[],18)</calculatedColumnFormula>
    </tableColumn>
    <tableColumn id="164" xr3:uid="{61022FAD-ABC3-4A55-A45A-C5EDF2D2FC34}" name="UNIDADES PRODUCIDAS AÑO 1 9 " dataDxfId="760">
      <calculatedColumnFormula>VLOOKUP(Tabla1[[#This Row],[CÓDIGO DEL PRODUCTO Y/O SERVICIO ]],Tabla3[],3)</calculatedColumnFormula>
    </tableColumn>
    <tableColumn id="165" xr3:uid="{0C0AACC0-7454-44ED-9599-8ED07B975137}" name="CANTIDADES A UTILIZAR  AÑO 1 9" dataDxfId="759">
      <calculatedColumnFormula>Tabla1[[#This Row],[UNIDADES PRODUCIDAS AÑO 1 9 ]]*N40</calculatedColumnFormula>
    </tableColumn>
    <tableColumn id="166" xr3:uid="{92AAB0FE-D660-41E7-A814-E64E29E7CBFE}" name="CAMBIO PORCENTUAL EN UNIDADES VENDIDAS AÑO 2 9" dataDxfId="758">
      <calculatedColumnFormula>VLOOKUP(Tabla1[[#This Row],[CÓDIGO DEL PRODUCTO Y/O SERVICIO ]],Tabla3[],9)</calculatedColumnFormula>
    </tableColumn>
    <tableColumn id="167" xr3:uid="{A8A264C7-FFB4-4045-9A7D-5D6EC0DE76AA}" name="CANTIDADES A UTILIZAR  AÑO 2 9" dataDxfId="757">
      <calculatedColumnFormula>Tabla1[[#This Row],[CANTIDADES A UTILIZAR  AÑO 1 9]]*(1+Tabla1[[#This Row],[CAMBIO PORCENTUAL EN UNIDADES VENDIDAS AÑO 2 9]])</calculatedColumnFormula>
    </tableColumn>
    <tableColumn id="168" xr3:uid="{1EFEEED0-AA70-4AA3-A935-54E13C8DC66C}" name="CAMBIO PORCENTUAL EN UNIDADES VENDIDAS AÑO 3 9" dataDxfId="756">
      <calculatedColumnFormula>VLOOKUP(Tabla1[[#This Row],[CÓDIGO DEL PRODUCTO Y/O SERVICIO ]],Tabla3[],13)</calculatedColumnFormula>
    </tableColumn>
    <tableColumn id="169" xr3:uid="{277A4341-4B6B-4DAA-BB15-F0128435D1AE}" name="CANTIDADES A UTILIZAR  AÑO 3 9" dataDxfId="755">
      <calculatedColumnFormula>Tabla1[[#This Row],[CANTIDADES A UTILIZAR  AÑO 2 9]]*(1+Tabla1[[#This Row],[CAMBIO PORCENTUAL EN UNIDADES VENDIDAS AÑO 3 9]])</calculatedColumnFormula>
    </tableColumn>
    <tableColumn id="170" xr3:uid="{EEFB46D6-939B-4D1E-8434-71AADB86FCC4}" name="CAMBIO PORCENTUAL EN UNIDADES VENDIDAS AÑO 4 9 " dataDxfId="754">
      <calculatedColumnFormula>VLOOKUP(Tabla1[[#This Row],[CÓDIGO DEL PRODUCTO Y/O SERVICIO ]],Tabla3[],17)</calculatedColumnFormula>
    </tableColumn>
    <tableColumn id="171" xr3:uid="{CB4C88C9-77C9-4747-BEEA-BE99BE882E48}" name="CANTIDADES A UTILIZAR  AÑO 4  9" dataDxfId="753">
      <calculatedColumnFormula>Tabla1[[#This Row],[CANTIDADES A UTILIZAR  AÑO 3 9]]*(1+Tabla1[[#This Row],[CAMBIO PORCENTUAL EN UNIDADES VENDIDAS AÑO 4 9 ]])</calculatedColumnFormula>
    </tableColumn>
    <tableColumn id="172" xr3:uid="{9B507837-BA99-4A18-9170-885BB49FEC4B}" name="CAMBIO PORCENTUAL EN UNIDADES VENDIDAS AÑO 5 9" dataDxfId="752">
      <calculatedColumnFormula>VLOOKUP(Tabla1[[#This Row],[CÓDIGO DEL PRODUCTO Y/O SERVICIO ]],Tabla3[],21)</calculatedColumnFormula>
    </tableColumn>
    <tableColumn id="173" xr3:uid="{911D5BC4-3AA5-4D2E-AA22-1E6AE6C28877}" name="CANTIDADES A UTILIZAR AÑO 5 9" dataDxfId="751">
      <calculatedColumnFormula>Tabla1[[#This Row],[CANTIDADES A UTILIZAR  AÑO 4  9]]*(1+Tabla1[[#This Row],[CAMBIO PORCENTUAL EN UNIDADES VENDIDAS AÑO 5 9]])</calculatedColumnFormula>
    </tableColumn>
    <tableColumn id="174" xr3:uid="{75DF69CB-1E6C-408E-9261-2E8158C3629C}" name="COSTO POR UNIDAD DE PRODUCTO (9)" dataDxfId="750">
      <calculatedColumnFormula>IF(Tabla1[[#This Row],[CANTIDADES A UTILIZAR  AÑO 1 9]]=0,0,Tabla1[[#This Row],[CANTIDADES A UTILIZAR  AÑO 1 9]]*1/Tabla1[[#This Row],[UNIDADES PRODUCIDAS AÑO 1 9 ]])</calculatedColumnFormula>
    </tableColumn>
    <tableColumn id="175" xr3:uid="{9A832986-1BBA-4CF5-B4AB-D60EC36296EE}" name="COSTO UNITARIO AÑO 2 9" dataDxfId="749">
      <calculatedColumnFormula>$D$21*(1+BASES!$E$10)</calculatedColumnFormula>
    </tableColumn>
    <tableColumn id="176" xr3:uid="{150DEE1A-1F22-40A8-8A35-298C08D53D85}" name="COSTO UNITARIO AÑO 3 9" dataDxfId="748">
      <calculatedColumnFormula>Tabla1[[#This Row],[COSTO UNITARIO AÑO 2 9]]*(1+BASES!$F$10)</calculatedColumnFormula>
    </tableColumn>
    <tableColumn id="177" xr3:uid="{E6AA0B20-97E8-444A-BC47-6BB98DE4E34B}" name="COSTO UNITARIO AÑO 4 9" dataDxfId="747">
      <calculatedColumnFormula>Tabla1[[#This Row],[COSTO UNITARIO AÑO 3 9]]*(1+BASES!$G$10)</calculatedColumnFormula>
    </tableColumn>
    <tableColumn id="178" xr3:uid="{859D0C0C-6C9F-4CCF-B31B-8E7D05930192}" name="COSTO UNITARIO AÑO 5 9" dataDxfId="746">
      <calculatedColumnFormula>Tabla1[[#This Row],[COSTO UNITARIO AÑO 4 9]]*(1+BASES!$H$10)</calculatedColumnFormula>
    </tableColumn>
    <tableColumn id="179" xr3:uid="{AAE8211E-A434-48B5-A29F-6F5952F28060}" name="AÑO 1 9" dataDxfId="745">
      <calculatedColumnFormula>Tabla1[[#This Row],[COSTO POR UNIDAD DE PRODUCTO (9)]]*$D$21*VLOOKUP(Tabla1[[#This Row],[CÓDIGO DEL PRODUCTO Y/O SERVICIO ]],Tabla3[],3)</calculatedColumnFormula>
    </tableColumn>
    <tableColumn id="180" xr3:uid="{A52200C2-B581-4A94-B319-0EBD9628271D}" name="AÑO 2 9 " dataDxfId="744">
      <calculatedColumnFormula>Tabla1[[#This Row],[COSTO POR UNIDAD DE PRODUCTO (9)]]*Tabla1[[#This Row],[COSTO UNITARIO AÑO 2 9]]*VLOOKUP(Tabla1[[#This Row],[CÓDIGO DEL PRODUCTO Y/O SERVICIO ]],Tabla3[],6)</calculatedColumnFormula>
    </tableColumn>
    <tableColumn id="181" xr3:uid="{200455A9-8459-4C47-AA1E-3CF911C0B2A7}" name="AÑO 3 9" dataDxfId="743">
      <calculatedColumnFormula>Tabla1[[#This Row],[COSTO POR UNIDAD DE PRODUCTO (9)]]*Tabla1[[#This Row],[COSTO UNITARIO AÑO 3 9]]*VLOOKUP(Tabla1[[#This Row],[CÓDIGO DEL PRODUCTO Y/O SERVICIO ]],Tabla3[],10)</calculatedColumnFormula>
    </tableColumn>
    <tableColumn id="182" xr3:uid="{4C886D51-319D-4A45-94F2-CEA910A44010}" name="AÑO 4 9 " dataDxfId="742">
      <calculatedColumnFormula>Tabla1[[#This Row],[COSTO POR UNIDAD DE PRODUCTO (9)]]*Tabla1[[#This Row],[COSTO UNITARIO AÑO 4 9]]*VLOOKUP(Tabla1[[#This Row],[CÓDIGO DEL PRODUCTO Y/O SERVICIO ]],Tabla3[],14)</calculatedColumnFormula>
    </tableColumn>
    <tableColumn id="183" xr3:uid="{BBE6EA9C-C3B8-41D8-AD52-728BBC82943C}" name="AÑO 5 9 " dataDxfId="741">
      <calculatedColumnFormula>Tabla1[[#This Row],[COSTO POR UNIDAD DE PRODUCTO (9)]]*Tabla1[[#This Row],[COSTO UNITARIO AÑO 5 9]]*VLOOKUP(Tabla1[[#This Row],[CÓDIGO DEL PRODUCTO Y/O SERVICIO ]],Tabla3[],18)</calculatedColumnFormula>
    </tableColumn>
    <tableColumn id="184" xr3:uid="{601671DE-C001-487C-ADFD-8C7956A80ED6}" name="UNIDADES PRODUCIDAS AÑO 1 10" dataDxfId="740">
      <calculatedColumnFormula>VLOOKUP(Tabla1[[#This Row],[CÓDIGO DEL PRODUCTO Y/O SERVICIO ]],Tabla3[],3)</calculatedColumnFormula>
    </tableColumn>
    <tableColumn id="185" xr3:uid="{FAAA55EC-7ADE-43A9-AE12-8E5CDDBC5B0D}" name="CANTIDADES A UTILIZAR  AÑO 1 10" dataDxfId="739">
      <calculatedColumnFormula>Tabla1[[#This Row],[UNIDADES PRODUCIDAS AÑO 1 10]]*O40</calculatedColumnFormula>
    </tableColumn>
    <tableColumn id="186" xr3:uid="{D6CF2D20-8C0E-4644-822E-56D4F8838652}" name="CAMBIO PORCENTUAL EN UNIDADES VENDIDAS AÑO 2 10 " dataDxfId="738">
      <calculatedColumnFormula>VLOOKUP(Tabla1[[#This Row],[CÓDIGO DEL PRODUCTO Y/O SERVICIO ]],Tabla3[],9)</calculatedColumnFormula>
    </tableColumn>
    <tableColumn id="187" xr3:uid="{28B7D384-5963-4298-AF4A-FC8037F4119B}" name="CANTIDADES A UTILIZAR  AÑO 2 10" dataDxfId="737">
      <calculatedColumnFormula>Tabla1[[#This Row],[CANTIDADES A UTILIZAR  AÑO 1 10]]*(1+Tabla1[[#This Row],[CAMBIO PORCENTUAL EN UNIDADES VENDIDAS AÑO 2 10 ]])</calculatedColumnFormula>
    </tableColumn>
    <tableColumn id="188" xr3:uid="{82ABCB9C-F826-4830-9C3E-D67B42A16749}" name="CAMBIO PORCENTUAL EN UNIDADES VENDIDAS AÑO 3 10" dataDxfId="736">
      <calculatedColumnFormula>VLOOKUP(Tabla1[[#This Row],[CÓDIGO DEL PRODUCTO Y/O SERVICIO ]],Tabla3[],13)</calculatedColumnFormula>
    </tableColumn>
    <tableColumn id="189" xr3:uid="{71BC6351-EECC-4525-B13F-369376538793}" name="CANTIDADES A UTILIZAR AÑO 3 10 " dataDxfId="735">
      <calculatedColumnFormula>Tabla1[[#This Row],[CANTIDADES A UTILIZAR  AÑO 2 10]]*(1+Tabla1[[#This Row],[CAMBIO PORCENTUAL EN UNIDADES VENDIDAS AÑO 3 10]])</calculatedColumnFormula>
    </tableColumn>
    <tableColumn id="190" xr3:uid="{A3317309-B5D8-4461-816E-B0FB071AB67A}" name="CAMBIO PORCENTUAL EN UNIDADES VENDIDAS AÑO 4 10" dataDxfId="734">
      <calculatedColumnFormula>VLOOKUP(Tabla1[[#This Row],[CÓDIGO DEL PRODUCTO Y/O SERVICIO ]],Tabla3[],17)</calculatedColumnFormula>
    </tableColumn>
    <tableColumn id="191" xr3:uid="{C9443B56-7959-430D-9C2E-C9CCC6DAAD50}" name="CANTIDADES A UTILIZAR  AÑO 4 10 " dataDxfId="733">
      <calculatedColumnFormula>Tabla1[[#This Row],[CANTIDADES A UTILIZAR AÑO 3 10 ]]*(1+Tabla1[[#This Row],[CAMBIO PORCENTUAL EN UNIDADES VENDIDAS AÑO 4 10]])</calculatedColumnFormula>
    </tableColumn>
    <tableColumn id="192" xr3:uid="{3EF1CDB3-22A2-48F1-B6B6-C8D0A89198E1}" name="CAMBIO PORCENTUAL EN UNIDADES VENDIDAS AÑO 5 10" dataDxfId="732">
      <calculatedColumnFormula>VLOOKUP(Tabla1[[#This Row],[CÓDIGO DEL PRODUCTO Y/O SERVICIO ]],Tabla3[],21)</calculatedColumnFormula>
    </tableColumn>
    <tableColumn id="193" xr3:uid="{2F3574F6-8512-4C1A-B4C4-A592151E9FE1}" name="CANTIDADES A UTILIZAR AÑO 5 10" dataDxfId="731">
      <calculatedColumnFormula>Tabla1[[#This Row],[CANTIDADES A UTILIZAR  AÑO 4 10 ]]*(1+Tabla1[[#This Row],[CAMBIO PORCENTUAL EN UNIDADES VENDIDAS AÑO 5 10]])</calculatedColumnFormula>
    </tableColumn>
    <tableColumn id="194" xr3:uid="{57BDB813-A453-4F98-9559-C553BC662B35}" name="COSTO POR UNIDAD DE PRODUCTO (10)" dataDxfId="730">
      <calculatedColumnFormula>IF(Tabla1[[#This Row],[CANTIDADES A UTILIZAR  AÑO 1 10]]=0,0,Tabla1[[#This Row],[CANTIDADES A UTILIZAR  AÑO 1 10]]*1/Tabla1[[#This Row],[UNIDADES PRODUCIDAS AÑO 1 10]])</calculatedColumnFormula>
    </tableColumn>
    <tableColumn id="195" xr3:uid="{ED849F1F-1703-4E52-881C-4B8F94AEDC92}" name="COSTO UNITARIO AÑO 2 10 " dataDxfId="729">
      <calculatedColumnFormula>$D$22*(1+BASES!$E$10)</calculatedColumnFormula>
    </tableColumn>
    <tableColumn id="196" xr3:uid="{30C79E23-CD74-4C8F-91BD-F5E2A508822C}" name="COSTO UNITARIO AÑO 3 10" dataDxfId="728">
      <calculatedColumnFormula>Tabla1[[#This Row],[COSTO UNITARIO AÑO 2 10 ]]*(1+BASES!$F$10)</calculatedColumnFormula>
    </tableColumn>
    <tableColumn id="197" xr3:uid="{44BD3CE7-D89F-4B86-9950-0E31540E8D56}" name="COSTO UNITARIO AÑO 4 10" dataDxfId="727">
      <calculatedColumnFormula>Tabla1[[#This Row],[COSTO UNITARIO AÑO 3 10]]*(1+BASES!$G$10)</calculatedColumnFormula>
    </tableColumn>
    <tableColumn id="198" xr3:uid="{4CEDCC4E-B4DF-48B0-BA43-5428B4640CB8}" name="COSTO UNITARIO AÑO 5 10 " dataDxfId="726">
      <calculatedColumnFormula>Tabla1[[#This Row],[COSTO UNITARIO AÑO 4 10]]*(1+BASES!$H$10)</calculatedColumnFormula>
    </tableColumn>
    <tableColumn id="199" xr3:uid="{89F54A71-17C6-4F89-8D9B-19B5B608067D}" name="AÑO 1 10 " dataDxfId="725">
      <calculatedColumnFormula>Tabla1[[#This Row],[COSTO POR UNIDAD DE PRODUCTO (10)]]*$D$22*VLOOKUP(Tabla1[[#This Row],[CÓDIGO DEL PRODUCTO Y/O SERVICIO ]],Tabla3[],3)</calculatedColumnFormula>
    </tableColumn>
    <tableColumn id="200" xr3:uid="{AF888AA0-320D-422B-8243-4C4B3950B49A}" name="AÑO 2 10 " dataDxfId="724">
      <calculatedColumnFormula>Tabla1[[#This Row],[COSTO POR UNIDAD DE PRODUCTO (10)]]*Tabla1[[#This Row],[COSTO UNITARIO AÑO 2 10 ]]*VLOOKUP(Tabla1[[#This Row],[CÓDIGO DEL PRODUCTO Y/O SERVICIO ]],Tabla3[],6)</calculatedColumnFormula>
    </tableColumn>
    <tableColumn id="201" xr3:uid="{39D5A566-0521-40E7-84F8-D8D2AAC9CBF0}" name="AÑO 3 10 " dataDxfId="723">
      <calculatedColumnFormula>Tabla1[[#This Row],[COSTO POR UNIDAD DE PRODUCTO (10)]]*Tabla1[[#This Row],[COSTO UNITARIO AÑO 3 10]]*VLOOKUP(Tabla1[[#This Row],[CÓDIGO DEL PRODUCTO Y/O SERVICIO ]],Tabla3[],10)</calculatedColumnFormula>
    </tableColumn>
    <tableColumn id="202" xr3:uid="{F78C2937-1D55-41C7-BD18-99FA1461BF0F}" name="AÑO 4 10 " dataDxfId="722">
      <calculatedColumnFormula>Tabla1[[#This Row],[COSTO POR UNIDAD DE PRODUCTO (10)]]*Tabla1[[#This Row],[COSTO UNITARIO AÑO 4 10]]*VLOOKUP(Tabla1[[#This Row],[CÓDIGO DEL PRODUCTO Y/O SERVICIO ]],Tabla3[],14)</calculatedColumnFormula>
    </tableColumn>
    <tableColumn id="203" xr3:uid="{5DC69B0F-AE84-48E4-B56F-E0A47E4E1E8E}" name="AÑO 5 10 " dataDxfId="721">
      <calculatedColumnFormula>Tabla1[[#This Row],[COSTO POR UNIDAD DE PRODUCTO (10)]]*Tabla1[[#This Row],[COSTO UNITARIO AÑO 5 10 ]]*VLOOKUP(Tabla1[[#This Row],[CÓDIGO DEL PRODUCTO Y/O SERVICIO ]],Tabla3[],18)</calculatedColumnFormula>
    </tableColumn>
    <tableColumn id="204" xr3:uid="{5260A75C-FFDE-49B7-9878-3717ACA7136A}" name="UNIDADES PRODUCIDAS AÑO 1 11" dataDxfId="720">
      <calculatedColumnFormula>VLOOKUP(Tabla1[[#This Row],[CÓDIGO DEL PRODUCTO Y/O SERVICIO ]],Tabla3[],3)</calculatedColumnFormula>
    </tableColumn>
    <tableColumn id="205" xr3:uid="{5CF35206-B6A3-435B-AAB2-BD7DD15CE3F9}" name="CANTIDADES A UTILIZAR  AÑO 1 11 " dataDxfId="719">
      <calculatedColumnFormula>Tabla1[[#This Row],[UNIDADES PRODUCIDAS AÑO 1 11]]*P40</calculatedColumnFormula>
    </tableColumn>
    <tableColumn id="206" xr3:uid="{BFA57E43-2DDF-4561-B1AD-5944C5C4ED5F}" name="CAMBIO PORCENTUAL EN UNIDADES VENDIDAS AÑO 2 11 " dataDxfId="718">
      <calculatedColumnFormula>VLOOKUP(Tabla1[[#This Row],[CÓDIGO DEL PRODUCTO Y/O SERVICIO ]],Tabla3[],9)</calculatedColumnFormula>
    </tableColumn>
    <tableColumn id="207" xr3:uid="{85D260E0-38E6-4269-8B5D-A2B0BC54F0CD}" name="CANTIDADES A UTILIZAR  AÑO 2 11 " dataDxfId="717">
      <calculatedColumnFormula>Tabla1[[#This Row],[CANTIDADES A UTILIZAR  AÑO 1 11 ]]*(1+Tabla1[[#This Row],[CAMBIO PORCENTUAL EN UNIDADES VENDIDAS AÑO 2 11 ]])</calculatedColumnFormula>
    </tableColumn>
    <tableColumn id="208" xr3:uid="{37E38560-2B53-4AA0-974F-E9E2A5F7F782}" name="CAMBIO PORCENTUAL EN UNIDADES VENDIDAS AÑO 3 11" dataDxfId="716">
      <calculatedColumnFormula>VLOOKUP(Tabla1[[#This Row],[CÓDIGO DEL PRODUCTO Y/O SERVICIO ]],Tabla3[],13)</calculatedColumnFormula>
    </tableColumn>
    <tableColumn id="209" xr3:uid="{ED6BC352-F307-4987-ADFA-927D744E7730}" name="CANTIDADES A UTILIZAR  AÑO 3 11" dataDxfId="715">
      <calculatedColumnFormula>Tabla1[[#This Row],[CANTIDADES A UTILIZAR  AÑO 2 11 ]]*(1+Tabla1[[#This Row],[CAMBIO PORCENTUAL EN UNIDADES VENDIDAS AÑO 3 11]])</calculatedColumnFormula>
    </tableColumn>
    <tableColumn id="210" xr3:uid="{ADA2FA75-9692-4E1E-B47A-82A357BD0D5A}" name="CAMBIO PORCENTUAL EN UNIDADES VENDIDAS AÑO 4 11" dataDxfId="714">
      <calculatedColumnFormula>VLOOKUP(Tabla1[[#This Row],[CÓDIGO DEL PRODUCTO Y/O SERVICIO ]],Tabla3[],17)</calculatedColumnFormula>
    </tableColumn>
    <tableColumn id="211" xr3:uid="{3ED4DD5D-5A9A-4923-B059-BE4146F9D697}" name="CANTIDADES A UTILIZAR  AÑO 4 11" dataDxfId="713">
      <calculatedColumnFormula>Tabla1[[#This Row],[CANTIDADES A UTILIZAR  AÑO 3 11]]*(1+Tabla1[[#This Row],[CAMBIO PORCENTUAL EN UNIDADES VENDIDAS AÑO 4 11]])</calculatedColumnFormula>
    </tableColumn>
    <tableColumn id="212" xr3:uid="{93699AC5-6D87-4AD1-99F4-2A881306C061}" name="CAMBIO PORCENTUAL EN UNIDADES VENDIDAS AÑO 5 11 " dataDxfId="712">
      <calculatedColumnFormula>VLOOKUP(Tabla1[[#This Row],[CÓDIGO DEL PRODUCTO Y/O SERVICIO ]],Tabla3[],21)</calculatedColumnFormula>
    </tableColumn>
    <tableColumn id="213" xr3:uid="{E9277B96-1B44-417F-BDF9-83BE281881E6}" name="CANTIDADES A UTILIZAR AÑO 5 11" dataDxfId="711">
      <calculatedColumnFormula>Tabla1[[#This Row],[CANTIDADES A UTILIZAR  AÑO 4 11]]*(1+Tabla1[[#This Row],[CAMBIO PORCENTUAL EN UNIDADES VENDIDAS AÑO 5 11 ]])</calculatedColumnFormula>
    </tableColumn>
    <tableColumn id="214" xr3:uid="{36E028DE-911B-4C95-9265-C52CEE348101}" name="COSTO POR UNIDAD DE PRODUCTO (11)" dataDxfId="710">
      <calculatedColumnFormula>IF(Tabla1[[#This Row],[CANTIDADES A UTILIZAR  AÑO 1 11 ]]=0,0,Tabla1[[#This Row],[CANTIDADES A UTILIZAR  AÑO 1 11 ]]*1/Tabla1[[#This Row],[UNIDADES PRODUCIDAS AÑO 1 11]])</calculatedColumnFormula>
    </tableColumn>
    <tableColumn id="215" xr3:uid="{86348AE4-F260-4770-98A6-B3E0DDD076E5}" name="COSTO UNITARIO AÑO 2 11" dataDxfId="709">
      <calculatedColumnFormula>$D$23*(1+BASES!$E$10)</calculatedColumnFormula>
    </tableColumn>
    <tableColumn id="216" xr3:uid="{832EB30C-1785-49B5-AAE7-442326CC0C99}" name="COSTO UNITARIO AÑO 3 11 " dataDxfId="708">
      <calculatedColumnFormula>Tabla1[[#This Row],[COSTO UNITARIO AÑO 2 11]]*(1+BASES!$F$10)</calculatedColumnFormula>
    </tableColumn>
    <tableColumn id="217" xr3:uid="{95415817-2786-494C-A937-C598D23CDD5E}" name="COSTO UNITARIO AÑO 4 11 " dataDxfId="707">
      <calculatedColumnFormula>Tabla1[[#This Row],[COSTO UNITARIO AÑO 3 11 ]]*(1+BASES!$G$10)</calculatedColumnFormula>
    </tableColumn>
    <tableColumn id="218" xr3:uid="{4522A21A-642C-418A-903A-A74A884D6F61}" name="COSTO UNITARIO AÑO 5 11 " dataDxfId="706">
      <calculatedColumnFormula>Tabla1[[#This Row],[COSTO UNITARIO AÑO 4 11 ]]*(1+BASES!$H$10)</calculatedColumnFormula>
    </tableColumn>
    <tableColumn id="219" xr3:uid="{0BFB9D06-1350-476D-A640-F063F2D19674}" name="AÑO 1 11 " dataDxfId="705">
      <calculatedColumnFormula>Tabla1[[#This Row],[COSTO POR UNIDAD DE PRODUCTO (11)]]*$D$23*VLOOKUP(Tabla1[[#This Row],[CÓDIGO DEL PRODUCTO Y/O SERVICIO ]],Tabla3[],3)</calculatedColumnFormula>
    </tableColumn>
    <tableColumn id="220" xr3:uid="{9401DF69-97B1-4358-A51E-92871B56DC72}" name="AÑO 2 11 " dataDxfId="704">
      <calculatedColumnFormula>Tabla1[[#This Row],[COSTO POR UNIDAD DE PRODUCTO (11)]]*Tabla1[[#This Row],[COSTO UNITARIO AÑO 2 11]]*VLOOKUP(Tabla1[[#This Row],[CÓDIGO DEL PRODUCTO Y/O SERVICIO ]],Tabla3[],6)</calculatedColumnFormula>
    </tableColumn>
    <tableColumn id="221" xr3:uid="{93C1E5E7-4BC4-42AD-BF4E-93BCA29DFCD0}" name="AÑO 3 11" dataDxfId="703">
      <calculatedColumnFormula>Tabla1[[#This Row],[COSTO POR UNIDAD DE PRODUCTO (11)]]*Tabla1[[#This Row],[COSTO UNITARIO AÑO 3 11 ]]*VLOOKUP(Tabla1[[#This Row],[CÓDIGO DEL PRODUCTO Y/O SERVICIO ]],Tabla3[],10)</calculatedColumnFormula>
    </tableColumn>
    <tableColumn id="222" xr3:uid="{D2A34080-E303-4922-BBFC-F1DE28285B4B}" name="AÑO 4 11 " dataDxfId="702">
      <calculatedColumnFormula>Tabla1[[#This Row],[COSTO POR UNIDAD DE PRODUCTO (11)]]*Tabla1[[#This Row],[COSTO UNITARIO AÑO 4 11 ]]*VLOOKUP(Tabla1[[#This Row],[CÓDIGO DEL PRODUCTO Y/O SERVICIO ]],Tabla3[],14)</calculatedColumnFormula>
    </tableColumn>
    <tableColumn id="223" xr3:uid="{699C077B-6631-42C7-ACDD-FB9583DE15E3}" name="AÑO 5 11 " dataDxfId="701">
      <calculatedColumnFormula>Tabla1[[#This Row],[COSTO POR UNIDAD DE PRODUCTO (11)]]*Tabla1[[#This Row],[COSTO UNITARIO AÑO 5 11 ]]*VLOOKUP(Tabla1[[#This Row],[CÓDIGO DEL PRODUCTO Y/O SERVICIO ]],Tabla3[],18)</calculatedColumnFormula>
    </tableColumn>
    <tableColumn id="225" xr3:uid="{7D69CB8D-A4AF-4248-9801-FC5771C0F4D7}" name="UNIDADES PRODUCIDAS AÑO 1 12" dataDxfId="700">
      <calculatedColumnFormula>VLOOKUP(Tabla1[[#This Row],[CÓDIGO DEL PRODUCTO Y/O SERVICIO ]],Tabla3[],3)</calculatedColumnFormula>
    </tableColumn>
    <tableColumn id="226" xr3:uid="{EB063872-C082-4B79-9C2C-225203A28A4A}" name="CANTIDADES A UTILIZAR  AÑO 1 12" dataDxfId="699">
      <calculatedColumnFormula>Tabla1[[#This Row],[UNIDADES PRODUCIDAS AÑO 1 12]]*Q40</calculatedColumnFormula>
    </tableColumn>
    <tableColumn id="227" xr3:uid="{B70455DC-9462-4634-AF5B-9B4E447AE914}" name="CAMBIO PORCENTUAL EN UNIDADES VENDIDAS AÑO 2 12" dataDxfId="698">
      <calculatedColumnFormula>VLOOKUP(Tabla1[[#This Row],[CÓDIGO DEL PRODUCTO Y/O SERVICIO ]],Tabla3[],9)</calculatedColumnFormula>
    </tableColumn>
    <tableColumn id="228" xr3:uid="{4491C898-1D6E-4360-9866-830A4062F2F4}" name="CANTIDADES A UTILIZAR  AÑO 2 12" dataDxfId="697">
      <calculatedColumnFormula>Tabla1[[#This Row],[CANTIDADES A UTILIZAR  AÑO 1 12]]*(1+Tabla1[[#This Row],[CAMBIO PORCENTUAL EN UNIDADES VENDIDAS AÑO 2 12]])</calculatedColumnFormula>
    </tableColumn>
    <tableColumn id="229" xr3:uid="{97A7B264-E178-43B8-BC07-7B400727E029}" name="CAMBIO PORCENTUAL EN UNIDADES VENDIDAS AÑO 3 12" dataDxfId="696">
      <calculatedColumnFormula>VLOOKUP(Tabla1[[#This Row],[CÓDIGO DEL PRODUCTO Y/O SERVICIO ]],Tabla3[],13)</calculatedColumnFormula>
    </tableColumn>
    <tableColumn id="230" xr3:uid="{7BB19F0F-B2C3-4D59-90D5-5CB2AF713159}" name="CANTIDADES A UTILIZAR  AÑO 3 12" dataDxfId="695">
      <calculatedColumnFormula>Tabla1[[#This Row],[CANTIDADES A UTILIZAR  AÑO 2 12]]*(1+Tabla1[[#This Row],[CAMBIO PORCENTUAL EN UNIDADES VENDIDAS AÑO 3 12]])</calculatedColumnFormula>
    </tableColumn>
    <tableColumn id="231" xr3:uid="{19E31F82-5132-497D-9ED1-FC22F793C475}" name="CAMBIO PORCENTUAL EN UNIDADES VENDIDAS AÑO 4 12" dataDxfId="694">
      <calculatedColumnFormula>VLOOKUP(Tabla1[[#This Row],[CÓDIGO DEL PRODUCTO Y/O SERVICIO ]],Tabla3[],17)</calculatedColumnFormula>
    </tableColumn>
    <tableColumn id="232" xr3:uid="{90090696-2982-48BA-80C9-8C6CF3E141F1}" name="CANTIDADES A UTILIZAR  AÑO 4 12" dataDxfId="693">
      <calculatedColumnFormula>Tabla1[[#This Row],[CANTIDADES A UTILIZAR  AÑO 3 12]]*(1+Tabla1[[#This Row],[CAMBIO PORCENTUAL EN UNIDADES VENDIDAS AÑO 4 12]])</calculatedColumnFormula>
    </tableColumn>
    <tableColumn id="233" xr3:uid="{D0B95348-0A16-4224-A9A3-333878930413}" name="CAMBIO PORCENTUAL EN UNIDADES VENDIDAS AÑO 5 12" dataDxfId="692">
      <calculatedColumnFormula>VLOOKUP(Tabla1[[#This Row],[CÓDIGO DEL PRODUCTO Y/O SERVICIO ]],Tabla3[],21)</calculatedColumnFormula>
    </tableColumn>
    <tableColumn id="234" xr3:uid="{3989AECD-9AC2-4766-9170-2A77FF0A4CFD}" name="CANTIDADES A UTILIZAR AÑO 5 12" dataDxfId="691">
      <calculatedColumnFormula>Tabla1[[#This Row],[CANTIDADES A UTILIZAR  AÑO 4 12]]*(1+Tabla1[[#This Row],[CAMBIO PORCENTUAL EN UNIDADES VENDIDAS AÑO 5 12]])</calculatedColumnFormula>
    </tableColumn>
    <tableColumn id="235" xr3:uid="{50DE26A7-529D-486D-8FD0-3BE8E88BBD84}" name="COSTO POR UNIDAD DE PRODUCTO (12)" dataDxfId="690">
      <calculatedColumnFormula>IF(Tabla1[[#This Row],[CANTIDADES A UTILIZAR  AÑO 1 12]]=0,0,Tabla1[[#This Row],[CANTIDADES A UTILIZAR  AÑO 1 12]]*1/Tabla1[[#This Row],[UNIDADES PRODUCIDAS AÑO 1 12]])</calculatedColumnFormula>
    </tableColumn>
    <tableColumn id="236" xr3:uid="{111EEBB9-BE19-4A4B-8923-45104A77498A}" name="COSTO UNITARIO AÑO 2 12" dataDxfId="689">
      <calculatedColumnFormula>$D$24*(1+BASES!$E$10)</calculatedColumnFormula>
    </tableColumn>
    <tableColumn id="237" xr3:uid="{F7613A7D-D3F2-4435-AB7E-0A873E7DD323}" name="COSTO UNITARIO AÑO 3 12" dataDxfId="688">
      <calculatedColumnFormula>Tabla1[[#This Row],[COSTO UNITARIO AÑO 2 12]]*(1+BASES!$F$10)</calculatedColumnFormula>
    </tableColumn>
    <tableColumn id="238" xr3:uid="{378FAB71-57F0-4306-A742-3DB4D76E8439}" name="COSTO UNITARIO AÑO 4 12" dataDxfId="687">
      <calculatedColumnFormula>Tabla1[[#This Row],[COSTO UNITARIO AÑO 3 12]]*(1+BASES!$G$10)</calculatedColumnFormula>
    </tableColumn>
    <tableColumn id="239" xr3:uid="{1CAB0672-60DB-4A5D-BAE1-848E48771DE0}" name="COSTO UNITARIO AÑO 5 12" dataDxfId="686">
      <calculatedColumnFormula>Tabla1[[#This Row],[COSTO UNITARIO AÑO 4 12]]*(1+BASES!$H$10)</calculatedColumnFormula>
    </tableColumn>
    <tableColumn id="240" xr3:uid="{2ED437B5-AC91-4D99-A1BD-691DE3037267}" name="AÑO 1 12" dataDxfId="685">
      <calculatedColumnFormula>Tabla1[[#This Row],[COSTO POR UNIDAD DE PRODUCTO (12)]]*$D$24*VLOOKUP(Tabla1[[#This Row],[CÓDIGO DEL PRODUCTO Y/O SERVICIO ]],Tabla3[],3)</calculatedColumnFormula>
    </tableColumn>
    <tableColumn id="241" xr3:uid="{A46BB836-C624-4463-AA32-CCBD815A3C8C}" name="AÑO 2 12" dataDxfId="684">
      <calculatedColumnFormula>Tabla1[[#This Row],[COSTO POR UNIDAD DE PRODUCTO (12)]]*Tabla1[[#This Row],[COSTO UNITARIO AÑO 2 12]]*VLOOKUP(Tabla1[[#This Row],[CÓDIGO DEL PRODUCTO Y/O SERVICIO ]],Tabla3[],6)</calculatedColumnFormula>
    </tableColumn>
    <tableColumn id="242" xr3:uid="{782E4BA9-B759-4D38-94C5-864F87A6E621}" name="AÑO 3 12" dataDxfId="683">
      <calculatedColumnFormula>Tabla1[[#This Row],[COSTO POR UNIDAD DE PRODUCTO (12)]]*Tabla1[[#This Row],[COSTO UNITARIO AÑO 3 12]]*VLOOKUP(Tabla1[[#This Row],[CÓDIGO DEL PRODUCTO Y/O SERVICIO ]],Tabla3[],10)</calculatedColumnFormula>
    </tableColumn>
    <tableColumn id="243" xr3:uid="{58BCFF90-0888-4523-8F6D-F0434B49D97B}" name="AÑO 4 12" dataDxfId="682">
      <calculatedColumnFormula>Tabla1[[#This Row],[COSTO POR UNIDAD DE PRODUCTO (12)]]*Tabla1[[#This Row],[COSTO UNITARIO AÑO 4 12]]*VLOOKUP(Tabla1[[#This Row],[CÓDIGO DEL PRODUCTO Y/O SERVICIO ]],Tabla3[],14)</calculatedColumnFormula>
    </tableColumn>
    <tableColumn id="244" xr3:uid="{B4C452C1-4B69-45B3-B83F-9D91AC404CE3}" name="AÑO 5 12" dataDxfId="681">
      <calculatedColumnFormula>Tabla1[[#This Row],[COSTO POR UNIDAD DE PRODUCTO (12)]]*Tabla1[[#This Row],[COSTO UNITARIO AÑO 5 12]]*VLOOKUP(Tabla1[[#This Row],[CÓDIGO DEL PRODUCTO Y/O SERVICIO ]],Tabla3[],18)</calculatedColumnFormula>
    </tableColumn>
    <tableColumn id="224" xr3:uid="{CCB9A256-F498-48CE-9466-D2E45BCBD414}" name="UNIDADES PRODUCIDAS AÑO 1 13" dataDxfId="680">
      <calculatedColumnFormula>VLOOKUP(Tabla1[[#This Row],[CÓDIGO DEL PRODUCTO Y/O SERVICIO ]],Tabla3[],3)</calculatedColumnFormula>
    </tableColumn>
    <tableColumn id="245" xr3:uid="{3A6F64C8-9F71-46B5-9DB7-E2BC095802A7}" name="CANTIDADES A UTILIZAR  AÑO 1 13" dataDxfId="679">
      <calculatedColumnFormula>Tabla1[[#This Row],[UNIDADES PRODUCIDAS AÑO 1 13]]*R40</calculatedColumnFormula>
    </tableColumn>
    <tableColumn id="246" xr3:uid="{50849C14-FC67-4F92-B7D1-6AA8CE9EB8D5}" name="CAMBIO PORCENTUAL EN UNIDADES VENDIDAS AÑO 2 13" dataDxfId="678">
      <calculatedColumnFormula>VLOOKUP(Tabla1[[#This Row],[CÓDIGO DEL PRODUCTO Y/O SERVICIO ]],Tabla3[],9)</calculatedColumnFormula>
    </tableColumn>
    <tableColumn id="247" xr3:uid="{E5217A09-3585-405C-A320-3B9EB9788934}" name="CANTIDADES A UTILIZAR  AÑO 2 13" dataDxfId="677">
      <calculatedColumnFormula>Tabla1[[#This Row],[CANTIDADES A UTILIZAR  AÑO 1 13]]*(1+Tabla1[[#This Row],[CAMBIO PORCENTUAL EN UNIDADES VENDIDAS AÑO 2 13]])</calculatedColumnFormula>
    </tableColumn>
    <tableColumn id="248" xr3:uid="{C5E2C2F3-DA78-4A92-A221-930E4C215FC6}" name="CAMBIO PORCENTUAL EN UNIDADES VENDIDAS AÑO 3 13" dataDxfId="676">
      <calculatedColumnFormula>VLOOKUP(Tabla1[[#This Row],[CÓDIGO DEL PRODUCTO Y/O SERVICIO ]],Tabla3[],13)</calculatedColumnFormula>
    </tableColumn>
    <tableColumn id="249" xr3:uid="{ECDDF525-E258-4D67-A015-175CAB236B6C}" name="CANTIDADES A UTILIZAR  AÑO 3 13" dataDxfId="675">
      <calculatedColumnFormula>Tabla1[[#This Row],[CANTIDADES A UTILIZAR  AÑO 2 13]]*(1+Tabla1[[#This Row],[CAMBIO PORCENTUAL EN UNIDADES VENDIDAS AÑO 3 13]])</calculatedColumnFormula>
    </tableColumn>
    <tableColumn id="250" xr3:uid="{967ADF74-0E1C-4C4B-92E2-4998B2147E87}" name="CAMBIO PORCENTUAL EN UNIDADES VENDIDAS AÑO 4 13" dataDxfId="674">
      <calculatedColumnFormula>VLOOKUP(Tabla1[[#This Row],[CÓDIGO DEL PRODUCTO Y/O SERVICIO ]],Tabla3[],17)</calculatedColumnFormula>
    </tableColumn>
    <tableColumn id="251" xr3:uid="{62A53D15-E322-40B0-84FE-F4C6AA9F5C79}" name="CANTIDADES A UTILIZAR  AÑO 4 13" dataDxfId="673">
      <calculatedColumnFormula>Tabla1[[#This Row],[CANTIDADES A UTILIZAR  AÑO 3 13]]*(1+Tabla1[[#This Row],[CAMBIO PORCENTUAL EN UNIDADES VENDIDAS AÑO 4 13]])</calculatedColumnFormula>
    </tableColumn>
    <tableColumn id="252" xr3:uid="{DC9550E6-0251-4AF3-946F-408A5D6C4F2F}" name="CAMBIO PORCENTUAL EN UNIDADES VENDIDAS AÑO 5 13" dataDxfId="672">
      <calculatedColumnFormula>VLOOKUP(Tabla1[[#This Row],[CÓDIGO DEL PRODUCTO Y/O SERVICIO ]],Tabla3[],21)</calculatedColumnFormula>
    </tableColumn>
    <tableColumn id="253" xr3:uid="{84404F73-18E3-4B01-BCDB-A6A949FC636D}" name="CANTIDADES A UTILIZAR AÑO 5 13" dataDxfId="671">
      <calculatedColumnFormula>Tabla1[[#This Row],[CANTIDADES A UTILIZAR  AÑO 4 13]]*(1+Tabla1[[#This Row],[CAMBIO PORCENTUAL EN UNIDADES VENDIDAS AÑO 5 13]])</calculatedColumnFormula>
    </tableColumn>
    <tableColumn id="254" xr3:uid="{86BF2401-AA26-48A9-A310-385C2696DBE2}" name="COSTO POR UNIDAD DE PRODUCTO (13)" dataDxfId="670">
      <calculatedColumnFormula>IF(Tabla1[[#This Row],[CANTIDADES A UTILIZAR  AÑO 1 13]]=0,0,Tabla1[[#This Row],[CANTIDADES A UTILIZAR  AÑO 1 13]]*1/Tabla1[[#This Row],[UNIDADES PRODUCIDAS AÑO 1 13]])</calculatedColumnFormula>
    </tableColumn>
    <tableColumn id="255" xr3:uid="{182525EC-08FD-4A2F-B883-CAF4871EB042}" name="COSTO UNITARIO AÑO 2 13" dataDxfId="669">
      <calculatedColumnFormula>$D$25*(1+BASES!$E$10)</calculatedColumnFormula>
    </tableColumn>
    <tableColumn id="256" xr3:uid="{CB924E0C-FB0D-4FA9-B774-B053D0E4FB4A}" name="COSTO UNITARIO AÑO 3 13" dataDxfId="668">
      <calculatedColumnFormula>Tabla1[[#This Row],[COSTO UNITARIO AÑO 2 13]]*(1+BASES!$F$10)</calculatedColumnFormula>
    </tableColumn>
    <tableColumn id="257" xr3:uid="{5F046A72-56A7-4087-B29C-84641F21BBE9}" name="COSTO UNITARIO AÑO 4 13" dataDxfId="667">
      <calculatedColumnFormula>Tabla1[[#This Row],[COSTO UNITARIO AÑO 3 13]]*(1+BASES!$G$10)</calculatedColumnFormula>
    </tableColumn>
    <tableColumn id="258" xr3:uid="{155A9A17-1EEF-4DF0-816D-D0CB90FA02A1}" name="COSTO UNITARIO AÑO 5 13" dataDxfId="666">
      <calculatedColumnFormula>Tabla1[[#This Row],[COSTO UNITARIO AÑO 4 13]]*(1+BASES!$H$10)</calculatedColumnFormula>
    </tableColumn>
    <tableColumn id="259" xr3:uid="{718DC60E-72BB-4260-A129-C2D252C6EDDE}" name="AÑO 1 13" dataDxfId="665">
      <calculatedColumnFormula>Tabla1[[#This Row],[COSTO POR UNIDAD DE PRODUCTO (13)]]*$D$25*VLOOKUP(Tabla1[[#This Row],[CÓDIGO DEL PRODUCTO Y/O SERVICIO ]],Tabla3[],3)</calculatedColumnFormula>
    </tableColumn>
    <tableColumn id="260" xr3:uid="{4678BEC1-EE1F-418B-B1F8-6AD85E9B8D18}" name="AÑO 2 13" dataDxfId="664">
      <calculatedColumnFormula>Tabla1[[#This Row],[COSTO POR UNIDAD DE PRODUCTO (13)]]*Tabla1[[#This Row],[COSTO UNITARIO AÑO 2 13]]*VLOOKUP(Tabla1[[#This Row],[CÓDIGO DEL PRODUCTO Y/O SERVICIO ]],Tabla3[],6)</calculatedColumnFormula>
    </tableColumn>
    <tableColumn id="261" xr3:uid="{85F50602-14E6-4988-B0FE-978D10D2BAF8}" name="AÑO 3 13" dataDxfId="663">
      <calculatedColumnFormula>Tabla1[[#This Row],[COSTO POR UNIDAD DE PRODUCTO (13)]]*Tabla1[[#This Row],[COSTO UNITARIO AÑO 3 13]]*VLOOKUP(Tabla1[[#This Row],[CÓDIGO DEL PRODUCTO Y/O SERVICIO ]],Tabla3[],10)</calculatedColumnFormula>
    </tableColumn>
    <tableColumn id="262" xr3:uid="{A4C218D9-C50B-42F4-8FB1-7781CB071041}" name="AÑO 4 13" dataDxfId="662">
      <calculatedColumnFormula>Tabla1[[#This Row],[COSTO POR UNIDAD DE PRODUCTO (13)]]*Tabla1[[#This Row],[COSTO UNITARIO AÑO 4 13]]*VLOOKUP(Tabla1[[#This Row],[CÓDIGO DEL PRODUCTO Y/O SERVICIO ]],Tabla3[],14)</calculatedColumnFormula>
    </tableColumn>
    <tableColumn id="263" xr3:uid="{7C66E4C2-05A8-4521-BEC2-BF71ADFE3770}" name="AÑO 5 13" dataDxfId="661">
      <calculatedColumnFormula>Tabla1[[#This Row],[COSTO POR UNIDAD DE PRODUCTO (13)]]*Tabla1[[#This Row],[COSTO UNITARIO AÑO 5 13]]*VLOOKUP(Tabla1[[#This Row],[CÓDIGO DEL PRODUCTO Y/O SERVICIO ]],Tabla3[],18)</calculatedColumnFormula>
    </tableColumn>
    <tableColumn id="264" xr3:uid="{D2E88879-2391-4ADE-9235-E00FB899252E}" name="UNIDADES PRODUCIDAS AÑO 1 14" dataDxfId="660">
      <calculatedColumnFormula>VLOOKUP(Tabla1[[#This Row],[CÓDIGO DEL PRODUCTO Y/O SERVICIO ]],Tabla3[],3)</calculatedColumnFormula>
    </tableColumn>
    <tableColumn id="265" xr3:uid="{A8F72738-D7F6-41D9-98F3-8558A7767A30}" name="CANTIDADES A UTILIZAR  AÑO 1 14" dataDxfId="659">
      <calculatedColumnFormula>Tabla1[[#This Row],[UNIDADES PRODUCIDAS AÑO 1 14]]*S40</calculatedColumnFormula>
    </tableColumn>
    <tableColumn id="266" xr3:uid="{6B02DA32-933A-446D-A52B-0619662E0FE9}" name="CAMBIO PORCENTUAL EN UNIDADES VENDIDAS AÑO 2 14" dataDxfId="658">
      <calculatedColumnFormula>VLOOKUP(Tabla1[[#This Row],[CÓDIGO DEL PRODUCTO Y/O SERVICIO ]],Tabla3[],9)</calculatedColumnFormula>
    </tableColumn>
    <tableColumn id="267" xr3:uid="{E80EF59D-98E2-494D-AFBA-8808C8FE2505}" name="CANTIDADES A UTILIZAR  AÑO 2 14" dataDxfId="657">
      <calculatedColumnFormula>Tabla1[[#This Row],[CANTIDADES A UTILIZAR  AÑO 1 14]]*(1+Tabla1[[#This Row],[CAMBIO PORCENTUAL EN UNIDADES VENDIDAS AÑO 2 14]])</calculatedColumnFormula>
    </tableColumn>
    <tableColumn id="268" xr3:uid="{5A6968C8-D822-4A8A-95EC-81B8E0B3B53C}" name="CAMBIO PORCENTUAL EN UNIDADES VENDIDAS AÑO 3 14" dataDxfId="656">
      <calculatedColumnFormula>VLOOKUP(Tabla1[[#This Row],[CÓDIGO DEL PRODUCTO Y/O SERVICIO ]],Tabla3[],13)</calculatedColumnFormula>
    </tableColumn>
    <tableColumn id="283" xr3:uid="{E0CF1B45-5535-4A56-B06F-1C91E47541E2}" name="CANTIDADES A UTILIZAR AÑO 3 14" dataDxfId="655">
      <calculatedColumnFormula>Tabla1[[#This Row],[CANTIDADES A UTILIZAR  AÑO 2 14]]*(1+Tabla1[[#This Row],[CAMBIO PORCENTUAL EN UNIDADES VENDIDAS AÑO 3 14]])</calculatedColumnFormula>
    </tableColumn>
    <tableColumn id="269" xr3:uid="{0162B18D-AFC6-4A1A-9149-79F7D6E679B0}" name="CAMBIO PORCENTUAL EN UNIDADES VENDIDAS AÑO 4 14" dataDxfId="654">
      <calculatedColumnFormula>VLOOKUP(Tabla1[[#This Row],[CÓDIGO DEL PRODUCTO Y/O SERVICIO ]],Tabla3[],17)</calculatedColumnFormula>
    </tableColumn>
    <tableColumn id="270" xr3:uid="{D3676F52-BB38-4E0D-838B-880F12B787D0}" name="CANTIDADES A UTILIZAR  AÑO 4 14" dataDxfId="653">
      <calculatedColumnFormula>Tabla1[[#This Row],[CANTIDADES A UTILIZAR AÑO 3 14]]*(1+Tabla1[[#This Row],[CAMBIO PORCENTUAL EN UNIDADES VENDIDAS AÑO 4 14]])</calculatedColumnFormula>
    </tableColumn>
    <tableColumn id="271" xr3:uid="{22AD45F5-3437-4D78-9F73-99A073375F41}" name="CAMBIO PORCENTUAL EN UNIDADES VENDIDAS AÑO 5 14" dataDxfId="652">
      <calculatedColumnFormula>VLOOKUP(Tabla1[[#This Row],[CÓDIGO DEL PRODUCTO Y/O SERVICIO ]],Tabla3[],21)</calculatedColumnFormula>
    </tableColumn>
    <tableColumn id="272" xr3:uid="{18AF7008-16B1-4E6E-9D02-1B58AEA11317}" name="CANTIDADES A UTILIZAR AÑO 5 14" dataDxfId="651">
      <calculatedColumnFormula>Tabla1[[#This Row],[CANTIDADES A UTILIZAR  AÑO 4 14]]*(1+Tabla1[[#This Row],[CAMBIO PORCENTUAL EN UNIDADES VENDIDAS AÑO 5 14]])</calculatedColumnFormula>
    </tableColumn>
    <tableColumn id="273" xr3:uid="{103C23AF-5F14-463D-9E2C-BFD036F345F0}" name="COSTO POR UNIDAD DE PRODUCTO (14)" dataDxfId="650">
      <calculatedColumnFormula>IF(Tabla1[[#This Row],[CANTIDADES A UTILIZAR  AÑO 1 14]]=0,0,Tabla1[[#This Row],[CANTIDADES A UTILIZAR  AÑO 1 14]]*1/Tabla1[[#This Row],[UNIDADES PRODUCIDAS AÑO 1 14]])</calculatedColumnFormula>
    </tableColumn>
    <tableColumn id="274" xr3:uid="{C84C24B4-FB1E-407F-B45B-778BF749FB06}" name="COSTO UNITARIO AÑO 2 14" dataDxfId="649">
      <calculatedColumnFormula>$D$26*(1+BASES!$E$10)</calculatedColumnFormula>
    </tableColumn>
    <tableColumn id="275" xr3:uid="{7B4125C0-4FDD-4949-BBC7-5D42C6ECEDC7}" name="COSTO UNITARIO AÑO 3 14" dataDxfId="648">
      <calculatedColumnFormula>Tabla1[[#This Row],[COSTO UNITARIO AÑO 2 14]]*(1+BASES!$F$10)</calculatedColumnFormula>
    </tableColumn>
    <tableColumn id="276" xr3:uid="{BE8894A4-7418-413A-B7BF-7EACF4E42559}" name="COSTO UNITARIO AÑO 4 14" dataDxfId="647">
      <calculatedColumnFormula>Tabla1[[#This Row],[COSTO UNITARIO AÑO 3 14]]*(1+BASES!$G$10)</calculatedColumnFormula>
    </tableColumn>
    <tableColumn id="277" xr3:uid="{3D1BFADA-03EF-491F-B8F9-B68635A1CFFB}" name="COSTO UNITARIO AÑO 5 14" dataDxfId="646">
      <calculatedColumnFormula>Tabla1[[#This Row],[COSTO UNITARIO AÑO 4 14]]*(1+BASES!$H$10)</calculatedColumnFormula>
    </tableColumn>
    <tableColumn id="278" xr3:uid="{7BC82CB6-8087-49EC-BEEB-0609E5CE91A2}" name="AÑO 1 14" dataDxfId="645">
      <calculatedColumnFormula>Tabla1[[#This Row],[COSTO POR UNIDAD DE PRODUCTO (14)]]*$D$26*VLOOKUP(Tabla1[[#This Row],[CÓDIGO DEL PRODUCTO Y/O SERVICIO ]],Tabla3[],3)</calculatedColumnFormula>
    </tableColumn>
    <tableColumn id="279" xr3:uid="{E84AF671-2D38-4A6E-94C8-07829EE45ED3}" name="AÑO 2 14" dataDxfId="644">
      <calculatedColumnFormula>Tabla1[[#This Row],[COSTO POR UNIDAD DE PRODUCTO (14)]]*Tabla1[[#This Row],[COSTO UNITARIO AÑO 2 14]]*VLOOKUP(Tabla1[[#This Row],[CÓDIGO DEL PRODUCTO Y/O SERVICIO ]],Tabla3[],6)</calculatedColumnFormula>
    </tableColumn>
    <tableColumn id="280" xr3:uid="{C4A3FF66-84F1-42FB-AE9B-9923D179FC07}" name="AÑO 3 14" dataDxfId="643">
      <calculatedColumnFormula>Tabla1[[#This Row],[COSTO POR UNIDAD DE PRODUCTO (14)]]*Tabla1[[#This Row],[COSTO UNITARIO AÑO 3 14]]*VLOOKUP(Tabla1[[#This Row],[CÓDIGO DEL PRODUCTO Y/O SERVICIO ]],Tabla3[],10)</calculatedColumnFormula>
    </tableColumn>
    <tableColumn id="281" xr3:uid="{53CE93A0-F317-4A5B-B347-015CA4520ABB}" name="AÑO 4 14" dataDxfId="642">
      <calculatedColumnFormula>Tabla1[[#This Row],[COSTO POR UNIDAD DE PRODUCTO (14)]]*Tabla1[[#This Row],[COSTO UNITARIO AÑO 4 14]]*VLOOKUP(Tabla1[[#This Row],[CÓDIGO DEL PRODUCTO Y/O SERVICIO ]],Tabla3[],14)</calculatedColumnFormula>
    </tableColumn>
    <tableColumn id="282" xr3:uid="{CD5537E6-E658-4D61-A2A6-A7883A595CB1}" name="AÑO 5 14" dataDxfId="641">
      <calculatedColumnFormula>Tabla1[[#This Row],[COSTO POR UNIDAD DE PRODUCTO (14)]]*Tabla1[[#This Row],[COSTO UNITARIO AÑO 5 14]]*VLOOKUP(Tabla1[[#This Row],[CÓDIGO DEL PRODUCTO Y/O SERVICIO ]],Tabla3[],18)</calculatedColumnFormula>
    </tableColumn>
    <tableColumn id="284" xr3:uid="{B411BB12-A3CA-4B69-9850-3EB60BE6326A}" name="UNIDADES PRODUCIDAS AÑO 1 15" dataDxfId="640">
      <calculatedColumnFormula>VLOOKUP(Tabla1[[#This Row],[CÓDIGO DEL PRODUCTO Y/O SERVICIO ]],Tabla3[],3)</calculatedColumnFormula>
    </tableColumn>
    <tableColumn id="285" xr3:uid="{4C0885D5-17A6-47BC-8740-31C914C84020}" name="CANTIDADES A UTILIZAR  AÑO 1 15" dataDxfId="639">
      <calculatedColumnFormula>Tabla1[[#This Row],[UNIDADES PRODUCIDAS AÑO 1 15]]*T40</calculatedColumnFormula>
    </tableColumn>
    <tableColumn id="286" xr3:uid="{C996D3E7-0BD4-4A99-9725-8E383F7A1222}" name="CAMBIO PORCENTUAL EN UNIDADES VENDIDAS AÑO 2 15" dataDxfId="638">
      <calculatedColumnFormula>VLOOKUP(Tabla1[[#This Row],[CÓDIGO DEL PRODUCTO Y/O SERVICIO ]],Tabla3[],9)</calculatedColumnFormula>
    </tableColumn>
    <tableColumn id="287" xr3:uid="{81A3DB7C-9F60-44EE-B7F6-63808507B6B0}" name="CANTIDADES A UTILIZAR  AÑO 2 15" dataDxfId="637">
      <calculatedColumnFormula>Tabla1[[#This Row],[CANTIDADES A UTILIZAR  AÑO 1 15]]*(1+Tabla1[[#This Row],[CAMBIO PORCENTUAL EN UNIDADES VENDIDAS AÑO 2 15]])</calculatedColumnFormula>
    </tableColumn>
    <tableColumn id="288" xr3:uid="{67D7384C-7D37-4014-9947-E051FCF87BAF}" name="CAMBIO PORCENTUAL EN UNIDADES VENDIDAS AÑO 3 15" dataDxfId="636">
      <calculatedColumnFormula>VLOOKUP(Tabla1[[#This Row],[CÓDIGO DEL PRODUCTO Y/O SERVICIO ]],Tabla3[],13)</calculatedColumnFormula>
    </tableColumn>
    <tableColumn id="289" xr3:uid="{DA41E61A-B4AB-449B-9E54-C9BFDE6E5739}" name="CANTIDADES A UTILIZAR  AÑO 3 15" dataDxfId="635">
      <calculatedColumnFormula>Tabla1[[#This Row],[CANTIDADES A UTILIZAR  AÑO 2 15]]*(1+Tabla1[[#This Row],[CAMBIO PORCENTUAL EN UNIDADES VENDIDAS AÑO 3 15]])</calculatedColumnFormula>
    </tableColumn>
    <tableColumn id="290" xr3:uid="{AA80F2F7-BA35-4252-B169-D165D201C078}" name="CAMBIO PORCENTUAL EN UNIDADES VENDIDAS AÑO 4 15" dataDxfId="634">
      <calculatedColumnFormula>VLOOKUP(Tabla1[[#This Row],[CÓDIGO DEL PRODUCTO Y/O SERVICIO ]],Tabla3[],17)</calculatedColumnFormula>
    </tableColumn>
    <tableColumn id="291" xr3:uid="{14FF532E-D201-46C9-B970-69558109F12C}" name="CANTIDADES A UTILIZAR  AÑO 4 15" dataDxfId="633">
      <calculatedColumnFormula>Tabla1[[#This Row],[CANTIDADES A UTILIZAR  AÑO 3 15]]*(1+Tabla1[[#This Row],[CAMBIO PORCENTUAL EN UNIDADES VENDIDAS AÑO 4 15]])</calculatedColumnFormula>
    </tableColumn>
    <tableColumn id="292" xr3:uid="{823231D6-664F-48FB-84A4-355F7D20315B}" name="CAMBIO PORCENTUAL EN UNIDADES VENDIDAS AÑO 5 15" dataDxfId="632">
      <calculatedColumnFormula>VLOOKUP(Tabla1[[#This Row],[CÓDIGO DEL PRODUCTO Y/O SERVICIO ]],Tabla3[],21)</calculatedColumnFormula>
    </tableColumn>
    <tableColumn id="293" xr3:uid="{418431DC-F45D-40E6-BBD3-C839C83E3835}" name="CANTIDADES A UTILIZAR AÑO 5 15" dataDxfId="631">
      <calculatedColumnFormula>Tabla1[[#This Row],[CANTIDADES A UTILIZAR  AÑO 4 15]]*(1+Tabla1[[#This Row],[CAMBIO PORCENTUAL EN UNIDADES VENDIDAS AÑO 5 15]])</calculatedColumnFormula>
    </tableColumn>
    <tableColumn id="294" xr3:uid="{B8DB9C4C-C630-41D7-AFC4-2C48BC810FF9}" name="COSTO POR UNIDAD DE PRODUCTO (15)" dataDxfId="630">
      <calculatedColumnFormula>IF(Tabla1[[#This Row],[CANTIDADES A UTILIZAR  AÑO 1 15]]=0,0,Tabla1[[#This Row],[CANTIDADES A UTILIZAR  AÑO 1 15]]*1/Tabla1[[#This Row],[UNIDADES PRODUCIDAS AÑO 1 15]])</calculatedColumnFormula>
    </tableColumn>
    <tableColumn id="295" xr3:uid="{B0E7DC6B-5D5E-44BB-AC1A-33F70B5CC856}" name="COSTO UNITARIO AÑO 2 15" dataDxfId="629">
      <calculatedColumnFormula>$D$27*(1+BASES!$E$10)</calculatedColumnFormula>
    </tableColumn>
    <tableColumn id="296" xr3:uid="{3110E60E-C103-4CCE-BB76-E83619BB86F3}" name="COSTO UNITARIO AÑO 3 15" dataDxfId="628">
      <calculatedColumnFormula>Tabla1[[#This Row],[COSTO UNITARIO AÑO 2 15]]*(1+BASES!$F$10)</calculatedColumnFormula>
    </tableColumn>
    <tableColumn id="297" xr3:uid="{4885BEA8-A653-429F-9940-261986B630C6}" name="COSTO UNITARIO AÑO 4 15" dataDxfId="627">
      <calculatedColumnFormula>Tabla1[[#This Row],[COSTO UNITARIO AÑO 3 15]]*(1+BASES!$G$10)</calculatedColumnFormula>
    </tableColumn>
    <tableColumn id="298" xr3:uid="{87FE1726-0A5B-4FB5-95C3-FF4698CF81D5}" name="COSTO UNITARIO AÑO 5 15" dataDxfId="626">
      <calculatedColumnFormula>Tabla1[[#This Row],[COSTO UNITARIO AÑO 4 15]]*(1+BASES!$H$10)</calculatedColumnFormula>
    </tableColumn>
    <tableColumn id="299" xr3:uid="{BA5C99CA-E11E-4810-812B-67C96A71ED91}" name="AÑO 1 15" dataDxfId="625">
      <calculatedColumnFormula>Tabla1[[#This Row],[COSTO POR UNIDAD DE PRODUCTO (15)]]*$D$27*VLOOKUP(Tabla1[[#This Row],[CÓDIGO DEL PRODUCTO Y/O SERVICIO ]],Tabla3[],3)</calculatedColumnFormula>
    </tableColumn>
    <tableColumn id="300" xr3:uid="{928B3010-2E34-4C1B-B6C4-E0BE3B1FDEE0}" name="AÑO 2 15" dataDxfId="624">
      <calculatedColumnFormula>Tabla1[[#This Row],[COSTO POR UNIDAD DE PRODUCTO (15)]]*Tabla1[[#This Row],[COSTO UNITARIO AÑO 2 15]]*VLOOKUP(Tabla1[[#This Row],[CÓDIGO DEL PRODUCTO Y/O SERVICIO ]],Tabla3[],6)</calculatedColumnFormula>
    </tableColumn>
    <tableColumn id="301" xr3:uid="{58D12473-A341-46CC-BA7B-ABC7D1BDB946}" name="AÑO 3 15" dataDxfId="623">
      <calculatedColumnFormula>Tabla1[[#This Row],[COSTO POR UNIDAD DE PRODUCTO (15)]]*Tabla1[[#This Row],[COSTO UNITARIO AÑO 3 15]]*VLOOKUP(Tabla1[[#This Row],[CÓDIGO DEL PRODUCTO Y/O SERVICIO ]],Tabla3[],10)</calculatedColumnFormula>
    </tableColumn>
    <tableColumn id="302" xr3:uid="{B4019D41-A5D7-4DBC-9C2C-75F138D97C8A}" name="AÑO 4 15" dataDxfId="622">
      <calculatedColumnFormula>Tabla1[[#This Row],[COSTO POR UNIDAD DE PRODUCTO (15)]]*Tabla1[[#This Row],[COSTO UNITARIO AÑO 4 15]]*VLOOKUP(Tabla1[[#This Row],[CÓDIGO DEL PRODUCTO Y/O SERVICIO ]],Tabla3[],14)</calculatedColumnFormula>
    </tableColumn>
    <tableColumn id="303" xr3:uid="{270F0F7C-FC41-4304-8512-4BC013E0CC7D}" name="AÑO 5 15" dataDxfId="621">
      <calculatedColumnFormula>Tabla1[[#This Row],[COSTO POR UNIDAD DE PRODUCTO (15)]]*Tabla1[[#This Row],[COSTO UNITARIO AÑO 5 15]]*VLOOKUP(Tabla1[[#This Row],[CÓDIGO DEL PRODUCTO Y/O SERVICIO ]],Tabla3[],18)</calculatedColumnFormula>
    </tableColumn>
    <tableColumn id="304" xr3:uid="{4746A19B-F839-4054-AE52-331535864207}" name="UNIDADES PRODUCIDAS AÑO 1 16" dataDxfId="620">
      <calculatedColumnFormula>VLOOKUP(Tabla1[[#This Row],[CÓDIGO DEL PRODUCTO Y/O SERVICIO ]],Tabla3[],3)</calculatedColumnFormula>
    </tableColumn>
    <tableColumn id="305" xr3:uid="{4785E2F6-C1CB-41F1-8E7C-AE0D5AA4D5FB}" name="CANTIDADES A UTILIZAR  AÑO 1 16" dataDxfId="619">
      <calculatedColumnFormula>Tabla1[[#This Row],[UNIDADES PRODUCIDAS AÑO 1 16]]*U40</calculatedColumnFormula>
    </tableColumn>
    <tableColumn id="306" xr3:uid="{41EBA615-5B06-4928-8157-484F8B0CDBEE}" name="CAMBIO PORCENTUAL EN UNIDADES VENDIDAS AÑO 2 16" dataDxfId="618">
      <calculatedColumnFormula>VLOOKUP(Tabla1[[#This Row],[CÓDIGO DEL PRODUCTO Y/O SERVICIO ]],Tabla3[],9)</calculatedColumnFormula>
    </tableColumn>
    <tableColumn id="307" xr3:uid="{92C732B1-5E42-4B69-83DD-E34D801BCAC2}" name="CANTIDADES A UTILIZAR  AÑO 2 16" dataDxfId="617">
      <calculatedColumnFormula>Tabla1[[#This Row],[CANTIDADES A UTILIZAR  AÑO 1 16]]*(1+Tabla1[[#This Row],[CAMBIO PORCENTUAL EN UNIDADES VENDIDAS AÑO 2 16]])</calculatedColumnFormula>
    </tableColumn>
    <tableColumn id="308" xr3:uid="{A6E48C9B-170E-4A6D-898C-CF3762E1F94F}" name="CAMBIO PORCENTUAL EN UNIDADES VENDIDAS AÑO 3 16" dataDxfId="616">
      <calculatedColumnFormula>VLOOKUP(Tabla1[[#This Row],[CÓDIGO DEL PRODUCTO Y/O SERVICIO ]],Tabla3[],13)</calculatedColumnFormula>
    </tableColumn>
    <tableColumn id="309" xr3:uid="{A3E3B9B9-7AF9-4FAC-8A65-F09499753D15}" name="CANTIDADES A UTILIZAR  AÑO 3 16" dataDxfId="615">
      <calculatedColumnFormula>Tabla1[[#This Row],[CANTIDADES A UTILIZAR  AÑO 2 16]]*(1+Tabla1[[#This Row],[CAMBIO PORCENTUAL EN UNIDADES VENDIDAS AÑO 3 16]])</calculatedColumnFormula>
    </tableColumn>
    <tableColumn id="310" xr3:uid="{B27DEB98-243D-4AB3-B115-943853B31782}" name="CAMBIO PORCENTUAL EN UNIDADES VENDIDAS AÑO 4 16" dataDxfId="614">
      <calculatedColumnFormula>VLOOKUP(Tabla1[[#This Row],[CÓDIGO DEL PRODUCTO Y/O SERVICIO ]],Tabla3[],17)</calculatedColumnFormula>
    </tableColumn>
    <tableColumn id="311" xr3:uid="{6F2B99CF-0959-4D35-BE98-63C22E6704BD}" name="CANTIDADES A UTILIZAR  AÑO 4 16" dataDxfId="613">
      <calculatedColumnFormula>Tabla1[[#This Row],[CANTIDADES A UTILIZAR  AÑO 3 16]]*(1+Tabla1[[#This Row],[CAMBIO PORCENTUAL EN UNIDADES VENDIDAS AÑO 4 16]])</calculatedColumnFormula>
    </tableColumn>
    <tableColumn id="312" xr3:uid="{D5758C38-3202-4A52-BBCB-4560F4094491}" name="CAMBIO PORCENTUAL EN UNIDADES VENDIDAS AÑO 5 16" dataDxfId="612">
      <calculatedColumnFormula>VLOOKUP(Tabla1[[#This Row],[CÓDIGO DEL PRODUCTO Y/O SERVICIO ]],Tabla3[],21)</calculatedColumnFormula>
    </tableColumn>
    <tableColumn id="313" xr3:uid="{D457DAC9-1B81-4A9F-8E7F-0080115921CC}" name="CANTIDADES A UTILIZAR AÑO 5 16" dataDxfId="611">
      <calculatedColumnFormula>Tabla1[[#This Row],[CANTIDADES A UTILIZAR  AÑO 4 16]]*(1+Tabla1[[#This Row],[CAMBIO PORCENTUAL EN UNIDADES VENDIDAS AÑO 5 16]])</calculatedColumnFormula>
    </tableColumn>
    <tableColumn id="314" xr3:uid="{8BB4FB0E-7049-46B8-B668-9955C98A331A}" name="COSTO POR UNIDAD DE PRODUCTO (16)" dataDxfId="610">
      <calculatedColumnFormula>IF(Tabla1[[#This Row],[CANTIDADES A UTILIZAR  AÑO 1 16]]=0,0,Tabla1[[#This Row],[CANTIDADES A UTILIZAR  AÑO 1 16]]*1/Tabla1[[#This Row],[UNIDADES PRODUCIDAS AÑO 1 16]])</calculatedColumnFormula>
    </tableColumn>
    <tableColumn id="315" xr3:uid="{2EC25793-6195-4113-986D-79861B73D7AE}" name="COSTO UNITARIO AÑO 2 16" dataDxfId="609">
      <calculatedColumnFormula>$D$28*(1+BASES!$E$10)</calculatedColumnFormula>
    </tableColumn>
    <tableColumn id="316" xr3:uid="{0D18786E-12AA-4893-95EE-33806985FD5B}" name="COSTO UNITARIO AÑO 3 16" dataDxfId="608">
      <calculatedColumnFormula>Tabla1[[#This Row],[COSTO UNITARIO AÑO 2 16]]*(1+BASES!$F$10)</calculatedColumnFormula>
    </tableColumn>
    <tableColumn id="317" xr3:uid="{976C7170-63DA-4953-917B-14CA48071FB6}" name="COSTO UNITARIO AÑO 4 16" dataDxfId="607">
      <calculatedColumnFormula>Tabla1[[#This Row],[COSTO UNITARIO AÑO 3 16]]*(1+BASES!$G$10)</calculatedColumnFormula>
    </tableColumn>
    <tableColumn id="318" xr3:uid="{D3B88B27-BC3C-473C-A9A9-4601F91DAA34}" name="COSTO UNITARIO AÑO 5 16" dataDxfId="606">
      <calculatedColumnFormula>Tabla1[[#This Row],[COSTO UNITARIO AÑO 4 16]]*(1+BASES!$H$10)</calculatedColumnFormula>
    </tableColumn>
    <tableColumn id="319" xr3:uid="{16B4BE2E-F284-4935-90DC-A52876C92557}" name="AÑO 1 16" dataDxfId="605">
      <calculatedColumnFormula>Tabla1[[#This Row],[COSTO POR UNIDAD DE PRODUCTO (16)]]*$D$28*VLOOKUP(Tabla1[[#This Row],[CÓDIGO DEL PRODUCTO Y/O SERVICIO ]],Tabla3[],3)</calculatedColumnFormula>
    </tableColumn>
    <tableColumn id="320" xr3:uid="{20C43A3B-4983-4E5F-9A58-E68A9437F394}" name="AÑO 2 16" dataDxfId="604">
      <calculatedColumnFormula>Tabla1[[#This Row],[COSTO POR UNIDAD DE PRODUCTO (16)]]*Tabla1[[#This Row],[COSTO UNITARIO AÑO 2 16]]*VLOOKUP(Tabla1[[#This Row],[CÓDIGO DEL PRODUCTO Y/O SERVICIO ]],Tabla3[],6)</calculatedColumnFormula>
    </tableColumn>
    <tableColumn id="321" xr3:uid="{C33DC55D-85B9-4172-875E-1B4D38EA1E1C}" name="AÑO 3 16" dataDxfId="603">
      <calculatedColumnFormula>Tabla1[[#This Row],[COSTO POR UNIDAD DE PRODUCTO (16)]]*Tabla1[[#This Row],[COSTO UNITARIO AÑO 3 16]]*VLOOKUP(Tabla1[[#This Row],[CÓDIGO DEL PRODUCTO Y/O SERVICIO ]],Tabla3[],10)</calculatedColumnFormula>
    </tableColumn>
    <tableColumn id="322" xr3:uid="{B86664BD-D56F-4132-83D1-65CF68251C28}" name="AÑO 4 16" dataDxfId="602">
      <calculatedColumnFormula>Tabla1[[#This Row],[COSTO POR UNIDAD DE PRODUCTO (16)]]*Tabla1[[#This Row],[COSTO UNITARIO AÑO 4 16]]*VLOOKUP(Tabla1[[#This Row],[CÓDIGO DEL PRODUCTO Y/O SERVICIO ]],Tabla3[],14)</calculatedColumnFormula>
    </tableColumn>
    <tableColumn id="323" xr3:uid="{99EFD5B1-73A1-4BB7-9C80-47550DF8B8AC}" name="AÑO 5 16" dataDxfId="601">
      <calculatedColumnFormula>Tabla1[[#This Row],[COSTO POR UNIDAD DE PRODUCTO (16)]]*Tabla1[[#This Row],[COSTO UNITARIO AÑO 5 16]]*VLOOKUP(Tabla1[[#This Row],[CÓDIGO DEL PRODUCTO Y/O SERVICIO ]],Tabla3[],18)</calculatedColumnFormula>
    </tableColumn>
    <tableColumn id="324" xr3:uid="{6ED4CE5D-BB9A-46D6-9839-AB0FF2849F9F}" name="UNIDADES PRODUCIDAS AÑO 1 17" dataDxfId="600">
      <calculatedColumnFormula>VLOOKUP(Tabla1[[#This Row],[CÓDIGO DEL PRODUCTO Y/O SERVICIO ]],Tabla3[],3)</calculatedColumnFormula>
    </tableColumn>
    <tableColumn id="325" xr3:uid="{ADAB675E-1018-4AEC-9999-D1B6A3A863E2}" name="CANTIDADES A UTILIZAR  AÑO 1 17" dataDxfId="599">
      <calculatedColumnFormula>Tabla1[[#This Row],[UNIDADES PRODUCIDAS AÑO 1 17]]*V40</calculatedColumnFormula>
    </tableColumn>
    <tableColumn id="326" xr3:uid="{F3C5F369-146A-4D39-9DBC-22CCEC4F1773}" name="CAMBIO PORCENTUAL EN UNIDADES VENDIDAS AÑO 2 17" dataDxfId="598">
      <calculatedColumnFormula>VLOOKUP(Tabla1[[#This Row],[CÓDIGO DEL PRODUCTO Y/O SERVICIO ]],Tabla3[],9)</calculatedColumnFormula>
    </tableColumn>
    <tableColumn id="327" xr3:uid="{8DEAC6E8-281C-4CCB-9A0C-B1CF621D7952}" name="CANTIDADES A UTILIZAR  AÑO 2 17" dataDxfId="597">
      <calculatedColumnFormula>Tabla1[[#This Row],[CANTIDADES A UTILIZAR  AÑO 1 17]]*(1+Tabla1[[#This Row],[CAMBIO PORCENTUAL EN UNIDADES VENDIDAS AÑO 2 17]])</calculatedColumnFormula>
    </tableColumn>
    <tableColumn id="328" xr3:uid="{5263CEED-4EFB-4ABA-9385-A5AB412DA4FE}" name="CAMBIO PORCENTUAL EN UNIDADES VENDIDAS AÑO 3 17" dataDxfId="596">
      <calculatedColumnFormula>VLOOKUP(Tabla1[[#This Row],[CÓDIGO DEL PRODUCTO Y/O SERVICIO ]],Tabla3[],13)</calculatedColumnFormula>
    </tableColumn>
    <tableColumn id="329" xr3:uid="{31318520-EFAD-4C1F-A23D-5B1AF29342A5}" name="CANTIDADES A UTILIZAR  AÑO 3 17" dataDxfId="595">
      <calculatedColumnFormula>Tabla1[[#This Row],[CANTIDADES A UTILIZAR  AÑO 2 17]]*(1+Tabla1[[#This Row],[CAMBIO PORCENTUAL EN UNIDADES VENDIDAS AÑO 3 17]])</calculatedColumnFormula>
    </tableColumn>
    <tableColumn id="330" xr3:uid="{DEE0F3B1-A3B4-48EA-98BF-8911424BFDB8}" name="CAMBIO PORCENTUAL EN UNIDADES VENDIDAS AÑO 4 17 " dataDxfId="594">
      <calculatedColumnFormula>VLOOKUP(Tabla1[[#This Row],[CÓDIGO DEL PRODUCTO Y/O SERVICIO ]],Tabla3[],17)</calculatedColumnFormula>
    </tableColumn>
    <tableColumn id="331" xr3:uid="{E07A9A81-0721-4FCC-8251-1C7D12549B07}" name="CANTIDADES A UTILIZAR  AÑO 4 17" dataDxfId="593">
      <calculatedColumnFormula>Tabla1[[#This Row],[CANTIDADES A UTILIZAR  AÑO 3 17]]*(1+Tabla1[[#This Row],[CAMBIO PORCENTUAL EN UNIDADES VENDIDAS AÑO 4 17 ]])</calculatedColumnFormula>
    </tableColumn>
    <tableColumn id="332" xr3:uid="{EB7E8B63-371A-42B5-8B1B-9F25AED10C0D}" name="CAMBIO PORCENTUAL EN UNIDADES VENDIDAS AÑO 5 17" dataDxfId="592">
      <calculatedColumnFormula>VLOOKUP(Tabla1[[#This Row],[CÓDIGO DEL PRODUCTO Y/O SERVICIO ]],Tabla3[],21)</calculatedColumnFormula>
    </tableColumn>
    <tableColumn id="333" xr3:uid="{F5EF2F2F-B39E-4D22-99F4-A522CFE7CC88}" name="CANTIDADES A UTILIZAR AÑO 5 17" dataDxfId="591">
      <calculatedColumnFormula>Tabla1[[#This Row],[CANTIDADES A UTILIZAR  AÑO 4 17]]*(1+Tabla1[[#This Row],[CAMBIO PORCENTUAL EN UNIDADES VENDIDAS AÑO 5 17]])</calculatedColumnFormula>
    </tableColumn>
    <tableColumn id="334" xr3:uid="{39350D8A-EA75-4562-B536-E9EF094F26BE}" name="COSTO POR UNIDAD DE PRODUCTO (17)" dataDxfId="590">
      <calculatedColumnFormula>IF(Tabla1[[#This Row],[CANTIDADES A UTILIZAR  AÑO 1 17]]=0,0,Tabla1[[#This Row],[CANTIDADES A UTILIZAR  AÑO 1 17]]*1/Tabla1[[#This Row],[UNIDADES PRODUCIDAS AÑO 1 17]])</calculatedColumnFormula>
    </tableColumn>
    <tableColumn id="335" xr3:uid="{F655A597-5D5A-4631-A86A-B9EEEAC219DB}" name="COSTO UNITARIO AÑO 2 17" dataDxfId="589">
      <calculatedColumnFormula>$D$29*(1+BASES!$E$10)</calculatedColumnFormula>
    </tableColumn>
    <tableColumn id="336" xr3:uid="{B9D25BBD-0A60-49FD-9EEA-8074E8CC13A2}" name="COSTO UNITARIO AÑO 3 17" dataDxfId="588">
      <calculatedColumnFormula>Tabla1[[#This Row],[COSTO UNITARIO AÑO 2 17]]*(1+BASES!$F$10)</calculatedColumnFormula>
    </tableColumn>
    <tableColumn id="337" xr3:uid="{1548E061-E729-4B07-A0A2-19A2B1855398}" name="COSTO UNITARIO AÑO 4 17" dataDxfId="587">
      <calculatedColumnFormula>Tabla1[[#This Row],[COSTO UNITARIO AÑO 3 17]]*(1+BASES!$G$10)</calculatedColumnFormula>
    </tableColumn>
    <tableColumn id="338" xr3:uid="{0504272C-A8D1-424A-99F9-9C3387B81528}" name="COSTO UNITARIO AÑO 5 17" dataDxfId="586">
      <calculatedColumnFormula>Tabla1[[#This Row],[COSTO UNITARIO AÑO 4 17]]*(1+BASES!$H$10)</calculatedColumnFormula>
    </tableColumn>
    <tableColumn id="339" xr3:uid="{80E009D3-135B-4957-A469-34EC1E0E18A1}" name="AÑO 1 17" dataDxfId="585">
      <calculatedColumnFormula>Tabla1[[#This Row],[COSTO POR UNIDAD DE PRODUCTO (17)]]*$D$29*VLOOKUP(Tabla1[[#This Row],[CÓDIGO DEL PRODUCTO Y/O SERVICIO ]],Tabla3[],3)</calculatedColumnFormula>
    </tableColumn>
    <tableColumn id="340" xr3:uid="{FF11464C-EDC2-4416-BAC5-518EF2B3070A}" name="AÑO 2 17" dataDxfId="584">
      <calculatedColumnFormula>Tabla1[[#This Row],[COSTO POR UNIDAD DE PRODUCTO (17)]]*Tabla1[[#This Row],[COSTO UNITARIO AÑO 2 17]]*VLOOKUP(Tabla1[[#This Row],[CÓDIGO DEL PRODUCTO Y/O SERVICIO ]],Tabla3[],6)</calculatedColumnFormula>
    </tableColumn>
    <tableColumn id="341" xr3:uid="{AB5B44FC-6D4D-440A-95AD-374D99E33A52}" name="AÑO 3 17" dataDxfId="583">
      <calculatedColumnFormula>Tabla1[[#This Row],[COSTO POR UNIDAD DE PRODUCTO (17)]]*Tabla1[[#This Row],[COSTO UNITARIO AÑO 3 17]]*VLOOKUP(Tabla1[[#This Row],[CÓDIGO DEL PRODUCTO Y/O SERVICIO ]],Tabla3[],10)</calculatedColumnFormula>
    </tableColumn>
    <tableColumn id="342" xr3:uid="{DCCACE1A-F281-462A-A919-84E16F858A9D}" name="AÑO 4 17" dataDxfId="582">
      <calculatedColumnFormula>Tabla1[[#This Row],[COSTO POR UNIDAD DE PRODUCTO (17)]]*Tabla1[[#This Row],[COSTO UNITARIO AÑO 4 17]]*VLOOKUP(Tabla1[[#This Row],[CÓDIGO DEL PRODUCTO Y/O SERVICIO ]],Tabla3[],14)</calculatedColumnFormula>
    </tableColumn>
    <tableColumn id="343" xr3:uid="{E6AF6897-83E0-44AD-BEAF-5D10FD533806}" name="AÑO 5 17" dataDxfId="581">
      <calculatedColumnFormula>Tabla1[[#This Row],[COSTO POR UNIDAD DE PRODUCTO (17)]]*Tabla1[[#This Row],[COSTO UNITARIO AÑO 5 17]]*VLOOKUP(Tabla1[[#This Row],[CÓDIGO DEL PRODUCTO Y/O SERVICIO ]],Tabla3[],18)</calculatedColumnFormula>
    </tableColumn>
    <tableColumn id="344" xr3:uid="{2FFD169D-B09B-4790-921F-F328D7938789}" name="UNIDADES PRODUCIDAS AÑO 1 18 " dataDxfId="580">
      <calculatedColumnFormula>VLOOKUP(Tabla1[[#This Row],[CÓDIGO DEL PRODUCTO Y/O SERVICIO ]],Tabla3[],3)</calculatedColumnFormula>
    </tableColumn>
    <tableColumn id="345" xr3:uid="{6BFF6427-A7BB-446E-B925-DA0C2EAC8A1C}" name="CANTIDADES A UTILIZAR  AÑO 1 18" dataDxfId="579">
      <calculatedColumnFormula>Tabla1[[#This Row],[UNIDADES PRODUCIDAS AÑO 1 18 ]]*W40</calculatedColumnFormula>
    </tableColumn>
    <tableColumn id="346" xr3:uid="{4F3ADA3A-280E-47A5-89B8-9AEDAE740CE8}" name="CAMBIO PORCENTUAL EN UNIDADES VENDIDAS AÑO 2 18" dataDxfId="578">
      <calculatedColumnFormula>VLOOKUP(Tabla1[[#This Row],[CÓDIGO DEL PRODUCTO Y/O SERVICIO ]],Tabla3[],9)</calculatedColumnFormula>
    </tableColumn>
    <tableColumn id="347" xr3:uid="{30BFFAA2-697A-4D4B-A7E5-89B01BF663CB}" name="CANTIDADES A UTILIZAR AÑO 2 18" dataDxfId="577">
      <calculatedColumnFormula>Tabla1[[#This Row],[CANTIDADES A UTILIZAR  AÑO 1 18]]*(1+Tabla1[[#This Row],[CAMBIO PORCENTUAL EN UNIDADES VENDIDAS AÑO 2 18]])</calculatedColumnFormula>
    </tableColumn>
    <tableColumn id="348" xr3:uid="{6D8EDFA8-F6AD-4C30-85D8-4E58C11629BA}" name="CAMBIO PORCENTUAL EN UNIDADES VENDIDAS AÑO 3 18 " dataDxfId="576">
      <calculatedColumnFormula>VLOOKUP(Tabla1[[#This Row],[CÓDIGO DEL PRODUCTO Y/O SERVICIO ]],Tabla3[],13)</calculatedColumnFormula>
    </tableColumn>
    <tableColumn id="349" xr3:uid="{7786846B-9932-47FF-B28A-F20179804E2A}" name="CANTIDADES A UTILIZAR  AÑO 3 18" dataDxfId="575">
      <calculatedColumnFormula>Tabla1[[#This Row],[CANTIDADES A UTILIZAR AÑO 2 18]]*(1+Tabla1[[#This Row],[CAMBIO PORCENTUAL EN UNIDADES VENDIDAS AÑO 3 18 ]])</calculatedColumnFormula>
    </tableColumn>
    <tableColumn id="350" xr3:uid="{922B344D-43D7-414F-AEF9-3EE9899DCD64}" name="CAMBIO PORCENTUAL EN UNIDADES VENDIDAS AÑO 4 18" dataDxfId="574">
      <calculatedColumnFormula>VLOOKUP(Tabla1[[#This Row],[CÓDIGO DEL PRODUCTO Y/O SERVICIO ]],Tabla3[],17)</calculatedColumnFormula>
    </tableColumn>
    <tableColumn id="351" xr3:uid="{8F9922EC-B290-4BD5-8767-FF117B828066}" name="CANTIDADES A UTILIZAR  AÑO 4 18 " dataDxfId="573">
      <calculatedColumnFormula>Tabla1[[#This Row],[CANTIDADES A UTILIZAR  AÑO 3 18]]*(1+Tabla1[[#This Row],[CAMBIO PORCENTUAL EN UNIDADES VENDIDAS AÑO 4 18]])</calculatedColumnFormula>
    </tableColumn>
    <tableColumn id="352" xr3:uid="{D2177DC5-46FC-4494-9A8A-AB66C68D8986}" name="CAMBIO PORCENTUAL EN UNIDADES VENDIDAS AÑO 5 18 " dataDxfId="572">
      <calculatedColumnFormula>VLOOKUP(Tabla1[[#This Row],[CÓDIGO DEL PRODUCTO Y/O SERVICIO ]],Tabla3[],21)</calculatedColumnFormula>
    </tableColumn>
    <tableColumn id="353" xr3:uid="{6E6827DD-D785-46A4-A1D8-6A2B47BA12F0}" name="CANTIDADES A UTILIZAR AÑO 5 18 " dataDxfId="571">
      <calculatedColumnFormula>Tabla1[[#This Row],[CANTIDADES A UTILIZAR  AÑO 4 18 ]]*(1+Tabla1[[#This Row],[CAMBIO PORCENTUAL EN UNIDADES VENDIDAS AÑO 5 18 ]])</calculatedColumnFormula>
    </tableColumn>
    <tableColumn id="354" xr3:uid="{190DE047-1F87-4833-B54D-EDEC0A073976}" name="COSTO POR UNIDAD DE PRODUCTO (18)" dataDxfId="570">
      <calculatedColumnFormula>IF(Tabla1[[#This Row],[CANTIDADES A UTILIZAR  AÑO 1 18]]=0,0,Tabla1[[#This Row],[CANTIDADES A UTILIZAR  AÑO 1 18]]*1/Tabla1[[#This Row],[UNIDADES PRODUCIDAS AÑO 1 18 ]])</calculatedColumnFormula>
    </tableColumn>
    <tableColumn id="355" xr3:uid="{AA5B7168-B7F6-474D-B889-793CF3F3BC60}" name="COSTO UNITARIO AÑO 2 18" dataDxfId="569">
      <calculatedColumnFormula>$D$30*(1+BASES!$E$10)</calculatedColumnFormula>
    </tableColumn>
    <tableColumn id="356" xr3:uid="{481C0F89-B23E-4577-80C0-6707C313F8EE}" name="COSTO UNITARIO AÑO 3 18 " dataDxfId="568">
      <calculatedColumnFormula>Tabla1[[#This Row],[COSTO UNITARIO AÑO 2 18]]*(1+BASES!$F$10)</calculatedColumnFormula>
    </tableColumn>
    <tableColumn id="357" xr3:uid="{7D955E74-5943-4C46-8F5E-5CE97D8D3459}" name="COSTO UNITARIO AÑO 4 18 " dataDxfId="567">
      <calculatedColumnFormula>Tabla1[[#This Row],[COSTO UNITARIO AÑO 3 18 ]]*(1+BASES!$G$10)</calculatedColumnFormula>
    </tableColumn>
    <tableColumn id="358" xr3:uid="{B1BDA27C-F52E-477C-AD03-01BC4CD7612F}" name="COSTO UNITARIO AÑO 5 18 " dataDxfId="566">
      <calculatedColumnFormula>Tabla1[[#This Row],[COSTO UNITARIO AÑO 4 18 ]]*(1+BASES!$H$10)</calculatedColumnFormula>
    </tableColumn>
    <tableColumn id="359" xr3:uid="{D405C151-3650-41D4-8CB0-FFA2A77E730F}" name="AÑO 1 18 " dataDxfId="565">
      <calculatedColumnFormula>Tabla1[[#This Row],[COSTO POR UNIDAD DE PRODUCTO (18)]]*$D$30*VLOOKUP(Tabla1[[#This Row],[CÓDIGO DEL PRODUCTO Y/O SERVICIO ]],Tabla3[],3)</calculatedColumnFormula>
    </tableColumn>
    <tableColumn id="360" xr3:uid="{14DE90A7-F8FE-48C3-8097-CABF1F62FB41}" name="AÑO 2 18 " dataDxfId="564">
      <calculatedColumnFormula>Tabla1[[#This Row],[COSTO POR UNIDAD DE PRODUCTO (18)]]*Tabla1[[#This Row],[COSTO UNITARIO AÑO 2 18]]*VLOOKUP(Tabla1[[#This Row],[CÓDIGO DEL PRODUCTO Y/O SERVICIO ]],Tabla3[],6)</calculatedColumnFormula>
    </tableColumn>
    <tableColumn id="361" xr3:uid="{746DDEAC-7D16-4AF0-918F-7229CD47FEB2}" name="AÑO 3 18 " dataDxfId="563">
      <calculatedColumnFormula>Tabla1[[#This Row],[COSTO POR UNIDAD DE PRODUCTO (18)]]*Tabla1[[#This Row],[COSTO UNITARIO AÑO 3 18 ]]*VLOOKUP(Tabla1[[#This Row],[CÓDIGO DEL PRODUCTO Y/O SERVICIO ]],Tabla3[],10)</calculatedColumnFormula>
    </tableColumn>
    <tableColumn id="362" xr3:uid="{1479C389-8367-42FC-8F1E-7B5B110FA6B8}" name="AÑO 4 18 " dataDxfId="562">
      <calculatedColumnFormula>Tabla1[[#This Row],[COSTO POR UNIDAD DE PRODUCTO (18)]]*Tabla1[[#This Row],[COSTO UNITARIO AÑO 4 18 ]]*VLOOKUP(Tabla1[[#This Row],[CÓDIGO DEL PRODUCTO Y/O SERVICIO ]],Tabla3[],14)</calculatedColumnFormula>
    </tableColumn>
    <tableColumn id="363" xr3:uid="{51A705B7-4F33-4DD0-9E8E-9D343B8B135E}" name="AÑO 5 18 " dataDxfId="561">
      <calculatedColumnFormula>Tabla1[[#This Row],[COSTO POR UNIDAD DE PRODUCTO (18)]]*Tabla1[[#This Row],[COSTO UNITARIO AÑO 5 18 ]]*VLOOKUP(Tabla1[[#This Row],[CÓDIGO DEL PRODUCTO Y/O SERVICIO ]],Tabla3[],18)</calculatedColumnFormula>
    </tableColumn>
    <tableColumn id="364" xr3:uid="{A799F861-A0F7-4523-912B-650B4F1AA7BA}" name="UNIDADES PRODUCIDAS AÑO 1 19" dataDxfId="560">
      <calculatedColumnFormula>VLOOKUP(Tabla1[[#This Row],[CÓDIGO DEL PRODUCTO Y/O SERVICIO ]],Tabla3[],3)</calculatedColumnFormula>
    </tableColumn>
    <tableColumn id="365" xr3:uid="{F02D146B-D93F-4509-9D5D-1ACAD9B55C74}" name="CANTIDADES A UTILIZAR  AÑO 1 19 " dataDxfId="559">
      <calculatedColumnFormula>Tabla1[[#This Row],[UNIDADES PRODUCIDAS AÑO 1 19]]*X40</calculatedColumnFormula>
    </tableColumn>
    <tableColumn id="366" xr3:uid="{0BC7F7C0-5DD6-486D-9D07-0B9D62667D22}" name="CAMBIO PORCENTUAL EN UNIDADES VENDIDAS AÑO 2 19" dataDxfId="558">
      <calculatedColumnFormula>VLOOKUP(Tabla1[[#This Row],[CÓDIGO DEL PRODUCTO Y/O SERVICIO ]],Tabla3[],9)</calculatedColumnFormula>
    </tableColumn>
    <tableColumn id="367" xr3:uid="{FA6B6601-B1EC-4212-9491-3241A31D690C}" name="CANTIDADES A UTILIZAR  AÑO 2 19 " dataDxfId="557">
      <calculatedColumnFormula>Tabla1[[#This Row],[CANTIDADES A UTILIZAR  AÑO 1 19 ]]*(1+Tabla1[[#This Row],[CAMBIO PORCENTUAL EN UNIDADES VENDIDAS AÑO 2 19]])</calculatedColumnFormula>
    </tableColumn>
    <tableColumn id="368" xr3:uid="{24D3BB33-19C5-45F1-A97B-FBF16042C5C9}" name="CAMBIO PORCENTUAL EN UNIDADES VENDIDAS AÑO 3 19 " dataDxfId="556">
      <calculatedColumnFormula>VLOOKUP(Tabla1[[#This Row],[CÓDIGO DEL PRODUCTO Y/O SERVICIO ]],Tabla3[],13)</calculatedColumnFormula>
    </tableColumn>
    <tableColumn id="369" xr3:uid="{233F7B38-340B-4C52-898A-53CFA428E420}" name="CANTIDADES A UTILIZAR  AÑO 3 19 " dataDxfId="555">
      <calculatedColumnFormula>Tabla1[[#This Row],[CANTIDADES A UTILIZAR  AÑO 2 19 ]]*(1+Tabla1[[#This Row],[CAMBIO PORCENTUAL EN UNIDADES VENDIDAS AÑO 3 19 ]])</calculatedColumnFormula>
    </tableColumn>
    <tableColumn id="370" xr3:uid="{1E5DCB31-BEA8-4619-8DF5-19C375E5013D}" name="CAMBIO PORCENTUAL EN UNIDADES VENDIDAS AÑO 4 19 " dataDxfId="554">
      <calculatedColumnFormula>VLOOKUP(Tabla1[[#This Row],[CÓDIGO DEL PRODUCTO Y/O SERVICIO ]],Tabla3[],17)</calculatedColumnFormula>
    </tableColumn>
    <tableColumn id="371" xr3:uid="{D5854CE1-B313-4D4C-B6B8-9F79918D1879}" name="CANTIDADES A UTILIZAR AÑO 4 19 " dataDxfId="553">
      <calculatedColumnFormula>Tabla1[[#This Row],[CANTIDADES A UTILIZAR  AÑO 3 19 ]]*(1+Tabla1[[#This Row],[CAMBIO PORCENTUAL EN UNIDADES VENDIDAS AÑO 4 19 ]])</calculatedColumnFormula>
    </tableColumn>
    <tableColumn id="372" xr3:uid="{958898DC-904F-4648-9197-44AF16DBBEF1}" name="CAMBIO PORCENTUAL EN UNIDADES VENDIDAS AÑO 5 19 " dataDxfId="552">
      <calculatedColumnFormula>VLOOKUP(Tabla1[[#This Row],[CÓDIGO DEL PRODUCTO Y/O SERVICIO ]],Tabla3[],21)</calculatedColumnFormula>
    </tableColumn>
    <tableColumn id="373" xr3:uid="{7D188172-14CF-42AD-9718-50CD00319E1F}" name="CANTIDADES A UTILIZAR AÑO 5 19 " dataDxfId="551">
      <calculatedColumnFormula>Tabla1[[#This Row],[CANTIDADES A UTILIZAR AÑO 4 19 ]]*(1+Tabla1[[#This Row],[CAMBIO PORCENTUAL EN UNIDADES VENDIDAS AÑO 5 19 ]])</calculatedColumnFormula>
    </tableColumn>
    <tableColumn id="374" xr3:uid="{FA992C7A-E370-4A3E-A50D-0E1894DE6907}" name="COSTO POR UNIDAD DE PRODUCTO (19)" dataDxfId="550">
      <calculatedColumnFormula>IF(Tabla1[[#This Row],[CANTIDADES A UTILIZAR  AÑO 1 19 ]]=0,0,Tabla1[[#This Row],[CANTIDADES A UTILIZAR  AÑO 1 19 ]]*1/Tabla1[[#This Row],[UNIDADES PRODUCIDAS AÑO 1 19]])</calculatedColumnFormula>
    </tableColumn>
    <tableColumn id="375" xr3:uid="{CDC3B721-F614-4410-872A-4698CDD196AD}" name="COSTO UNITARIO AÑO 2 19 " dataDxfId="549">
      <calculatedColumnFormula>$D$31*(1+BASES!$E$10)</calculatedColumnFormula>
    </tableColumn>
    <tableColumn id="376" xr3:uid="{9DA3D613-8D55-4CB3-9151-C256518D88D4}" name="COSTO UNITARIO AÑO 3 19 " dataDxfId="548">
      <calculatedColumnFormula>Tabla1[[#This Row],[COSTO UNITARIO AÑO 2 19 ]]*(1+BASES!$F$10)</calculatedColumnFormula>
    </tableColumn>
    <tableColumn id="377" xr3:uid="{33DC975C-A754-4ECA-8D5B-6314BF8D8B59}" name="COSTO UNITARIO AÑO 4 19 " dataDxfId="547">
      <calculatedColumnFormula>Tabla1[[#This Row],[COSTO UNITARIO AÑO 3 19 ]]*(1+BASES!$G$10)</calculatedColumnFormula>
    </tableColumn>
    <tableColumn id="378" xr3:uid="{A1C0E91D-03B6-4696-830C-93CEE9063317}" name="COSTO UNITARIO AÑO 5 19 " dataDxfId="546">
      <calculatedColumnFormula>Tabla1[[#This Row],[COSTO UNITARIO AÑO 4 19 ]]*(1+BASES!$H$10)</calculatedColumnFormula>
    </tableColumn>
    <tableColumn id="379" xr3:uid="{AA6B61A9-DB18-4E4D-BC57-C4DD8A83BE20}" name="AÑO 1 19 " dataDxfId="545">
      <calculatedColumnFormula>Tabla1[[#This Row],[COSTO POR UNIDAD DE PRODUCTO (19)]]*$D$31*VLOOKUP(Tabla1[[#This Row],[CÓDIGO DEL PRODUCTO Y/O SERVICIO ]],Tabla3[],3)</calculatedColumnFormula>
    </tableColumn>
    <tableColumn id="380" xr3:uid="{8E26A371-68F8-4D2F-B288-E03C6C090847}" name="AÑO 2 19 " dataDxfId="544">
      <calculatedColumnFormula>Tabla1[[#This Row],[COSTO POR UNIDAD DE PRODUCTO (19)]]*Tabla1[[#This Row],[COSTO UNITARIO AÑO 2 19 ]]*VLOOKUP(Tabla1[[#This Row],[CÓDIGO DEL PRODUCTO Y/O SERVICIO ]],Tabla3[],6)</calculatedColumnFormula>
    </tableColumn>
    <tableColumn id="381" xr3:uid="{F5D34B8B-8042-4F05-B618-C8558AFE18D5}" name="AÑO 3 19 " dataDxfId="543">
      <calculatedColumnFormula>Tabla1[[#This Row],[COSTO POR UNIDAD DE PRODUCTO (19)]]*Tabla1[[#This Row],[COSTO UNITARIO AÑO 3 19 ]]*VLOOKUP(Tabla1[[#This Row],[CÓDIGO DEL PRODUCTO Y/O SERVICIO ]],Tabla3[],10)</calculatedColumnFormula>
    </tableColumn>
    <tableColumn id="382" xr3:uid="{CA7879AA-2DDC-4F6C-A78B-54B927BD5352}" name="AÑO 4 19 " dataDxfId="542">
      <calculatedColumnFormula>Tabla1[[#This Row],[COSTO POR UNIDAD DE PRODUCTO (19)]]*Tabla1[[#This Row],[COSTO UNITARIO AÑO 4 19 ]]*VLOOKUP(Tabla1[[#This Row],[CÓDIGO DEL PRODUCTO Y/O SERVICIO ]],Tabla3[],14)</calculatedColumnFormula>
    </tableColumn>
    <tableColumn id="383" xr3:uid="{BA71D533-910B-4E4A-90E2-D541C807E210}" name="AÑO 5 19 " dataDxfId="541">
      <calculatedColumnFormula>Tabla1[[#This Row],[COSTO POR UNIDAD DE PRODUCTO (19)]]*Tabla1[[#This Row],[COSTO UNITARIO AÑO 5 19 ]]*VLOOKUP(Tabla1[[#This Row],[CÓDIGO DEL PRODUCTO Y/O SERVICIO ]],Tabla3[],18)</calculatedColumnFormula>
    </tableColumn>
    <tableColumn id="384" xr3:uid="{14E8761A-03F3-4BD9-97DB-BE52BF168327}" name="UNIDADES PRODUCIDAS AÑO 1 20 " dataDxfId="540">
      <calculatedColumnFormula>VLOOKUP(Tabla1[[#This Row],[CÓDIGO DEL PRODUCTO Y/O SERVICIO ]],Tabla3[],3)</calculatedColumnFormula>
    </tableColumn>
    <tableColumn id="385" xr3:uid="{BAB9FFA5-8FF8-446F-A4CD-F31C9F5A2C34}" name="CANTIDADES A UTILIZAR AÑO 1 20" dataDxfId="539">
      <calculatedColumnFormula>Tabla1[[#This Row],[UNIDADES PRODUCIDAS AÑO 1 20 ]]*Y40</calculatedColumnFormula>
    </tableColumn>
    <tableColumn id="386" xr3:uid="{B66A8904-7353-45AB-A8E5-3AA19A702351}" name="CAMBIO PORCENTUAL EN UNIDADES VENDIDAS AÑO 2 20 " dataDxfId="538">
      <calculatedColumnFormula>VLOOKUP(Tabla1[[#This Row],[CÓDIGO DEL PRODUCTO Y/O SERVICIO ]],Tabla3[],9)</calculatedColumnFormula>
    </tableColumn>
    <tableColumn id="387" xr3:uid="{3CC752B4-84ED-4FE9-9C30-9E9FA440C573}" name="CANTIDADES A UTILIZAR  AÑO 2 20 " dataDxfId="537">
      <calculatedColumnFormula>Tabla1[[#This Row],[CANTIDADES A UTILIZAR AÑO 1 20]]*(1+Tabla1[[#This Row],[CAMBIO PORCENTUAL EN UNIDADES VENDIDAS AÑO 2 20 ]])</calculatedColumnFormula>
    </tableColumn>
    <tableColumn id="388" xr3:uid="{72EE2D9E-6C97-4577-897F-BA1A560585C0}" name="CAMBIO PORCENTUAL EN UNIDADES VENDIDAS AÑO 3 20 " dataDxfId="536">
      <calculatedColumnFormula>VLOOKUP(Tabla1[[#This Row],[CÓDIGO DEL PRODUCTO Y/O SERVICIO ]],Tabla3[],13)</calculatedColumnFormula>
    </tableColumn>
    <tableColumn id="389" xr3:uid="{2B383759-6AFE-4CC9-B519-B79E18BB4540}" name="CANTIDADES A UTILIZAR  AÑO 3 20 " dataDxfId="535">
      <calculatedColumnFormula>Tabla1[[#This Row],[CANTIDADES A UTILIZAR  AÑO 2 20 ]]*(1+Tabla1[[#This Row],[CAMBIO PORCENTUAL EN UNIDADES VENDIDAS AÑO 3 20 ]])</calculatedColumnFormula>
    </tableColumn>
    <tableColumn id="390" xr3:uid="{7554BD99-26FF-408E-B572-B59C1839C573}" name="CAMBIO PORCENTUAL EN UNIDADES VENDIDAS AÑO 4 20 " dataDxfId="534">
      <calculatedColumnFormula>VLOOKUP(Tabla1[[#This Row],[CÓDIGO DEL PRODUCTO Y/O SERVICIO ]],Tabla3[],17)</calculatedColumnFormula>
    </tableColumn>
    <tableColumn id="391" xr3:uid="{B13173EB-5EE5-41D6-9DBC-08CDAA8B2BED}" name="CANTIDADES A UTILIZAR  AÑO 4 20 " dataDxfId="533">
      <calculatedColumnFormula>Tabla1[[#This Row],[CANTIDADES A UTILIZAR  AÑO 3 20 ]]*(1+Tabla1[[#This Row],[CAMBIO PORCENTUAL EN UNIDADES VENDIDAS AÑO 4 20 ]])</calculatedColumnFormula>
    </tableColumn>
    <tableColumn id="392" xr3:uid="{ABC37F85-B3B4-4491-8D1D-5C354FC4900E}" name="CAMBIO PORCENTUAL EN UNIDADES VENDIDAS AÑO 5 20 " dataDxfId="532">
      <calculatedColumnFormula>VLOOKUP(Tabla1[[#This Row],[CÓDIGO DEL PRODUCTO Y/O SERVICIO ]],Tabla3[],21)</calculatedColumnFormula>
    </tableColumn>
    <tableColumn id="393" xr3:uid="{AA9CDA1B-D703-4C5F-B495-E5B1F71FC387}" name="CANTIDADES A UTILIZAR AÑO 5 20 " dataDxfId="531">
      <calculatedColumnFormula>Tabla1[[#This Row],[CANTIDADES A UTILIZAR  AÑO 4 20 ]]*(1+Tabla1[[#This Row],[CAMBIO PORCENTUAL EN UNIDADES VENDIDAS AÑO 5 20 ]])</calculatedColumnFormula>
    </tableColumn>
    <tableColumn id="394" xr3:uid="{BDABAE6C-DE4B-41F4-A61E-C1CFE97B360C}" name="COSTO POR UNIDAD DE PRODUCTO (20)" dataDxfId="530">
      <calculatedColumnFormula>IF(Tabla1[[#This Row],[CANTIDADES A UTILIZAR AÑO 1 20]]=0,0,Tabla1[[#This Row],[CANTIDADES A UTILIZAR AÑO 1 20]]*1/Tabla1[[#This Row],[UNIDADES PRODUCIDAS AÑO 1 20 ]])</calculatedColumnFormula>
    </tableColumn>
    <tableColumn id="395" xr3:uid="{F928E89F-9681-4774-B23F-B88FDAA39EB6}" name="COSTO UNITARIO AÑO 2 20 " dataDxfId="529">
      <calculatedColumnFormula>$D$32*(1+BASES!$E$10)</calculatedColumnFormula>
    </tableColumn>
    <tableColumn id="396" xr3:uid="{0C3DAD74-BD2F-4005-8ADD-52890211C64C}" name="COSTO UNITARIO AÑO 3 20 " dataDxfId="528">
      <calculatedColumnFormula>Tabla1[[#This Row],[COSTO UNITARIO AÑO 2 20 ]]*(1+BASES!$F$10)</calculatedColumnFormula>
    </tableColumn>
    <tableColumn id="397" xr3:uid="{F07D2D8F-979F-44E7-810A-4DC284E5DFFA}" name="COSTO UNITARIO AÑO 4 20 " dataDxfId="527">
      <calculatedColumnFormula>Tabla1[[#This Row],[COSTO UNITARIO AÑO 3 20 ]]*(1+BASES!$G$10)</calculatedColumnFormula>
    </tableColumn>
    <tableColumn id="398" xr3:uid="{F63630FC-14CC-45E1-B8F5-831A7A827ADF}" name="COSTO UNITARIO AÑO 5 20 " dataDxfId="526">
      <calculatedColumnFormula>Tabla1[[#This Row],[COSTO UNITARIO AÑO 4 20 ]]*(1+BASES!$H$10)</calculatedColumnFormula>
    </tableColumn>
    <tableColumn id="399" xr3:uid="{9DC8731F-6548-42A9-9F40-76B54128A18D}" name="AÑO 1 20 " dataDxfId="525">
      <calculatedColumnFormula>Tabla1[[#This Row],[COSTO POR UNIDAD DE PRODUCTO (20)]]*$D$32*VLOOKUP(Tabla1[[#This Row],[CÓDIGO DEL PRODUCTO Y/O SERVICIO ]],Tabla3[],3)</calculatedColumnFormula>
    </tableColumn>
    <tableColumn id="400" xr3:uid="{C83823D6-F1D1-4B80-A5C5-B20534588312}" name="AÑO 2 20 " dataDxfId="524">
      <calculatedColumnFormula>Tabla1[[#This Row],[COSTO POR UNIDAD DE PRODUCTO (20)]]*Tabla1[[#This Row],[COSTO UNITARIO AÑO 2 20 ]]*VLOOKUP(Tabla1[[#This Row],[CÓDIGO DEL PRODUCTO Y/O SERVICIO ]],Tabla3[],6)</calculatedColumnFormula>
    </tableColumn>
    <tableColumn id="401" xr3:uid="{E3DABACD-4F7C-4AD2-BD03-B06CD11E5A7C}" name="AÑO 3 20 " dataDxfId="523">
      <calculatedColumnFormula>Tabla1[[#This Row],[COSTO POR UNIDAD DE PRODUCTO (20)]]*Tabla1[[#This Row],[COSTO UNITARIO AÑO 3 20 ]]*VLOOKUP(Tabla1[[#This Row],[CÓDIGO DEL PRODUCTO Y/O SERVICIO ]],Tabla3[],10)</calculatedColumnFormula>
    </tableColumn>
    <tableColumn id="402" xr3:uid="{B84F2B60-5852-4DCC-A22A-17A52B55F3B5}" name="AÑO 4 20 " dataDxfId="522">
      <calculatedColumnFormula>Tabla1[[#This Row],[COSTO POR UNIDAD DE PRODUCTO (20)]]*Tabla1[[#This Row],[COSTO UNITARIO AÑO 4 20 ]]*VLOOKUP(Tabla1[[#This Row],[CÓDIGO DEL PRODUCTO Y/O SERVICIO ]],Tabla3[],14)</calculatedColumnFormula>
    </tableColumn>
    <tableColumn id="403" xr3:uid="{367091D5-C425-4CAC-A68B-1405C6E826D1}" name="AÑO 5 20 " dataDxfId="521">
      <calculatedColumnFormula>Tabla1[[#This Row],[COSTO POR UNIDAD DE PRODUCTO (20)]]*Tabla1[[#This Row],[COSTO UNITARIO AÑO 5 20 ]]*VLOOKUP(Tabla1[[#This Row],[CÓDIGO DEL PRODUCTO Y/O SERVICIO ]],Tabla3[],18)</calculatedColumnFormula>
    </tableColumn>
    <tableColumn id="404" xr3:uid="{02A4EB10-361E-4DE4-B721-9C7109E283B7}" name="AÑO 1 21" dataDxfId="520">
      <calculatedColumnFormula>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calculatedColumnFormula>
    </tableColumn>
    <tableColumn id="405" xr3:uid="{BA060B05-B621-453D-9894-7A0DDE26D3E3}" name="AÑO 2 21" dataDxfId="519">
      <calculatedColumnFormula>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calculatedColumnFormula>
    </tableColumn>
    <tableColumn id="406" xr3:uid="{7AF491C8-941F-4557-9B10-766CEC53EFF0}" name="AÑO 3 21" dataDxfId="518">
      <calculatedColumnFormula>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calculatedColumnFormula>
    </tableColumn>
    <tableColumn id="407" xr3:uid="{2760C21E-84AA-4BD7-9289-F459A3AAEDD3}" name="AÑO 4 21" dataDxfId="517">
      <calculatedColumnFormula>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calculatedColumnFormula>
    </tableColumn>
    <tableColumn id="408" xr3:uid="{4D769BC8-A683-4929-ACB5-F9179C7E5D50}" name="AÑO 5 21" dataDxfId="516">
      <calculatedColumnFormula>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calculatedColumnFormula>
    </tableColumn>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2D17FE-3F44-47A1-9732-9107B74BBD57}" name="Tabla4" displayName="Tabla4" ref="B72:C82" totalsRowShown="0" headerRowDxfId="515" dataDxfId="514">
  <autoFilter ref="B72:C82" xr:uid="{CF47DD9D-76B6-4A45-AC25-B4F2FF81B07F}"/>
  <tableColumns count="2">
    <tableColumn id="1" xr3:uid="{F1C9D181-5CDC-4BB5-B089-7CD5EFFAFC78}" name="MANO DE OBRA DIRECTA " dataDxfId="513"/>
    <tableColumn id="2" xr3:uid="{B8F61B49-C689-4166-B4DD-24C5388ADC47}" name="COSTO UNITARIO PARA EL AÑO 1 " dataDxfId="51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6E3C1B6-2B63-4F7D-9527-00F4D552A6D7}" name="Tabla10" displayName="Tabla10" ref="C89:D91" totalsRowShown="0" headerRowDxfId="511" dataDxfId="510">
  <autoFilter ref="C89:D91" xr:uid="{5AC3035C-B0FE-44CA-A89F-34C1F88B1D25}"/>
  <tableColumns count="2">
    <tableColumn id="1" xr3:uid="{AA76CECF-950A-4E75-8475-6F67ABB03C54}" name="CÓDIGO DEL PRODUCTO Y/O SERVICIO " dataDxfId="509"/>
    <tableColumn id="2" xr3:uid="{4EB64DBA-4A2A-44B7-A422-066B42DD6900}" name="NOMBRE DEL PRODUCTO Y/O SERVICIO " dataDxfId="508">
      <calculatedColumnFormula>VLOOKUP(Tabla10[[#This Row],[CÓDIGO DEL PRODUCTO Y/O SERVICIO ]],Tabla3[],2,0)</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46A519-5CA9-4E55-8D78-BCBE0E28ABC0}" name="Tabla13" displayName="Tabla13" ref="B127:C137" totalsRowShown="0" headerRowDxfId="507" dataDxfId="506">
  <autoFilter ref="B127:C137" xr:uid="{AC1DEA97-0629-4357-AA53-7931826FC080}"/>
  <tableColumns count="2">
    <tableColumn id="1" xr3:uid="{DA6A728F-3570-41C9-A01A-22CB62DBA101}" name="COSTO INDIRECTO" dataDxfId="505"/>
    <tableColumn id="2" xr3:uid="{E69B7657-6445-45AC-B9D3-C593CE287E88}" name="COSTO UNITARIO PARA EL AÑO 1 " dataDxfId="50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D666229-1DB2-45B2-949E-AE1419E51B2E}" name="Tabla14" displayName="Tabla14" ref="C144:D146" totalsRowShown="0" headerRowDxfId="503" dataDxfId="502">
  <autoFilter ref="C144:D146" xr:uid="{5F3DDDE0-1B5D-45B3-8B1D-02B463DCEB01}"/>
  <tableColumns count="2">
    <tableColumn id="1" xr3:uid="{4BCDA98F-1C30-4435-A207-D843B3C6CD80}" name="CÓDIGO DEL PRODUCTO Y/O SERVICIO " dataDxfId="501"/>
    <tableColumn id="2" xr3:uid="{38455D50-F196-40D4-8CE2-C39A669F4131}" name="NOMBRE DEL PRODUCTO Y/O SERVICIO " dataDxfId="500">
      <calculatedColumnFormula>VLOOKUP(Tabla14[[#This Row],[CÓDIGO DEL PRODUCTO Y/O SERVICIO ]],Tabla3[],2,0)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1D0645-3B59-47E4-B276-15ABDEA40C6F}" name="Tabla16" displayName="Tabla16" ref="C106:HB108" totalsRowShown="0" headerRowDxfId="499" dataDxfId="498">
  <autoFilter ref="C106:HB108" xr:uid="{2BB20568-6FB4-4F66-BA91-2BDC5D690B61}"/>
  <tableColumns count="208">
    <tableColumn id="1" xr3:uid="{9187F3B9-36D7-404D-A347-0EBF4B8A4D24}" name="CÓDIGO DEL PRODUCTO Y/O SERVICIO " dataDxfId="497"/>
    <tableColumn id="2" xr3:uid="{AA74ACB2-5B81-4DEF-B635-F042268DC397}" name="NOMBRE DEL PRODUCTO Y/O SERVICIO " dataDxfId="496">
      <calculatedColumnFormula>VLOOKUP(Tabla16[[#This Row],[CÓDIGO DEL PRODUCTO Y/O SERVICIO ]],Tabla3[],2,0)</calculatedColumnFormula>
    </tableColumn>
    <tableColumn id="3" xr3:uid="{172465DE-749E-46C2-A320-E552AE78CB6B}" name="Columna1" dataDxfId="495"/>
    <tableColumn id="4" xr3:uid="{0443F505-3FC7-4F7D-95A6-FA3E72FFD188}" name="UNIDADES PRODUCIDAS AÑO 1 1" dataDxfId="494">
      <calculatedColumnFormula>VLOOKUP(Tabla16[[#This Row],[CÓDIGO DEL PRODUCTO Y/O SERVICIO ]],Tabla3[],3)</calculatedColumnFormula>
    </tableColumn>
    <tableColumn id="5" xr3:uid="{9FF02C1A-8835-45DF-A3A1-A215EC0AA624}" name="CANTIDADES A UTILIZAR EN EL AÑO 1 1" dataDxfId="493">
      <calculatedColumnFormula>Tabla16[[#This Row],[UNIDADES PRODUCIDAS AÑO 1 1]]*F90</calculatedColumnFormula>
    </tableColumn>
    <tableColumn id="6" xr3:uid="{AF7B89C3-E37F-4074-87B5-1F31FEB3A7CC}" name="CAMBIO PORCENTUAL EN UNIDADES VENDIDAS AÑO 2 1" dataDxfId="492">
      <calculatedColumnFormula>VLOOKUP(Tabla16[[#This Row],[CÓDIGO DEL PRODUCTO Y/O SERVICIO ]],Tabla3[],9)</calculatedColumnFormula>
    </tableColumn>
    <tableColumn id="7" xr3:uid="{9FC91EA1-8F18-48CC-BDB6-52FC61D6985E}" name="CANTIDADES  A UTILIZAR EN EL AÑO 2 1" dataDxfId="491">
      <calculatedColumnFormula>Tabla16[[#This Row],[CANTIDADES A UTILIZAR EN EL AÑO 1 1]]*(1+Tabla16[[#This Row],[CAMBIO PORCENTUAL EN UNIDADES VENDIDAS AÑO 2 1]])</calculatedColumnFormula>
    </tableColumn>
    <tableColumn id="8" xr3:uid="{2240C0D9-08FD-4DD7-B46A-965F78BFF0BD}" name="CAMBIO PORCENTUAL EN UNIDADES VENDIDAS AÑO 3 1" dataDxfId="490">
      <calculatedColumnFormula>VLOOKUP(Tabla16[[#This Row],[CÓDIGO DEL PRODUCTO Y/O SERVICIO ]],Tabla3[],13)</calculatedColumnFormula>
    </tableColumn>
    <tableColumn id="9" xr3:uid="{6DDE2460-3654-4FDF-A823-0FA6CF9BCAAE}" name="CANTIDADES A UTILIZAR EN EL AÑO 3 1" dataDxfId="489">
      <calculatedColumnFormula>Tabla16[[#This Row],[CANTIDADES  A UTILIZAR EN EL AÑO 2 1]]*(1+Tabla16[[#This Row],[CAMBIO PORCENTUAL EN UNIDADES VENDIDAS AÑO 3 1]])</calculatedColumnFormula>
    </tableColumn>
    <tableColumn id="10" xr3:uid="{63E07F96-E7D0-4F10-90E3-2D15445E546B}" name="CAMBIO PORCENTUAL EN UNIDADES VENDIDAS AÑO 4 1" dataDxfId="488">
      <calculatedColumnFormula>VLOOKUP(Tabla16[[#This Row],[CÓDIGO DEL PRODUCTO Y/O SERVICIO ]],Tabla3[],17)</calculatedColumnFormula>
    </tableColumn>
    <tableColumn id="11" xr3:uid="{2C80579B-CC74-4790-875A-581A4E45A6F1}" name="CANTIDADES A UTILIZAR EN EL AÑO 4 1 " dataDxfId="487">
      <calculatedColumnFormula>Tabla16[[#This Row],[CANTIDADES A UTILIZAR EN EL AÑO 3 1]]*(1+Tabla16[[#This Row],[CAMBIO PORCENTUAL EN UNIDADES VENDIDAS AÑO 4 1]])</calculatedColumnFormula>
    </tableColumn>
    <tableColumn id="12" xr3:uid="{8C7B343D-8B60-4126-A00D-8ABD532BDEFD}" name="CAMBIO PORCENTUAL EN UNIDADES VENDIDAS AÑO 5 1" dataDxfId="486">
      <calculatedColumnFormula>VLOOKUP(Tabla16[[#This Row],[CÓDIGO DEL PRODUCTO Y/O SERVICIO ]],Tabla3[],21)</calculatedColumnFormula>
    </tableColumn>
    <tableColumn id="13" xr3:uid="{527550A3-8B3C-4B42-85BB-70ED60E13B39}" name="CANTIDADES A UTILIZAR AÑO 5 1" dataDxfId="485">
      <calculatedColumnFormula>Tabla16[[#This Row],[CANTIDADES A UTILIZAR EN EL AÑO 4 1 ]]*(1+Tabla16[[#This Row],[CAMBIO PORCENTUAL EN UNIDADES VENDIDAS AÑO 5 1]])</calculatedColumnFormula>
    </tableColumn>
    <tableColumn id="14" xr3:uid="{C68CB925-525E-48D5-BC67-6EFE7BAEA83C}" name="COSTO POR UNIDAD DE PRODUCTO (1)" dataDxfId="484">
      <calculatedColumnFormula>IF(Tabla16[[#This Row],[CANTIDADES A UTILIZAR EN EL AÑO 1 1]]=0,0,Tabla16[[#This Row],[CANTIDADES A UTILIZAR EN EL AÑO 1 1]]*1/Tabla16[[#This Row],[UNIDADES PRODUCIDAS AÑO 1 1]])</calculatedColumnFormula>
    </tableColumn>
    <tableColumn id="15" xr3:uid="{9C74A34F-7F9A-4950-AE0B-C5818D7D38FE}" name="COSTO UNITARIO AÑO 2 1" dataDxfId="483">
      <calculatedColumnFormula>$C$73*(1+BASES!$E$10)</calculatedColumnFormula>
    </tableColumn>
    <tableColumn id="16" xr3:uid="{7EDB5148-C308-4507-9690-7B8A356DCA0E}" name="COSTO UNITARIO AÑO 3 1" dataDxfId="482">
      <calculatedColumnFormula>Tabla16[[#This Row],[COSTO UNITARIO AÑO 2 1]]*(1+BASES!$F$10)</calculatedColumnFormula>
    </tableColumn>
    <tableColumn id="17" xr3:uid="{A8EE67BC-647C-4338-9D62-9BC2B93DD95D}" name="COSTO UNITARIO AÑO 4 1" dataDxfId="481">
      <calculatedColumnFormula>Tabla16[[#This Row],[COSTO UNITARIO AÑO 3 1]]*(1+BASES!$G$10)</calculatedColumnFormula>
    </tableColumn>
    <tableColumn id="18" xr3:uid="{55A86F48-7CB3-4F7C-BEF5-673E9CA0DC59}" name="COSTO UNITARIO AÑO 5 1" dataDxfId="480">
      <calculatedColumnFormula>Tabla16[[#This Row],[COSTO UNITARIO AÑO 4 1]]*(1+BASES!$H$10)</calculatedColumnFormula>
    </tableColumn>
    <tableColumn id="19" xr3:uid="{0A963C25-31E2-4F95-B907-00ACE403CF1F}" name="AÑO 1 1" dataDxfId="479">
      <calculatedColumnFormula>Tabla16[[#This Row],[COSTO POR UNIDAD DE PRODUCTO (1)]]*$C$73*VLOOKUP(Tabla16[[#This Row],[CÓDIGO DEL PRODUCTO Y/O SERVICIO ]],Tabla3[],3)</calculatedColumnFormula>
    </tableColumn>
    <tableColumn id="20" xr3:uid="{AE749520-4580-4537-8DBC-CDEB5BBE2D93}" name="AÑO 2 1" dataDxfId="478">
      <calculatedColumnFormula>Tabla16[[#This Row],[COSTO POR UNIDAD DE PRODUCTO (1)]]*Tabla16[[#This Row],[COSTO UNITARIO AÑO 2 1]]*VLOOKUP(Tabla16[[#This Row],[CÓDIGO DEL PRODUCTO Y/O SERVICIO ]],Tabla3[],6)</calculatedColumnFormula>
    </tableColumn>
    <tableColumn id="21" xr3:uid="{540A8F54-4684-49C2-A6B4-1540AA407C9D}" name="AÑO 3 1" dataDxfId="477">
      <calculatedColumnFormula>Tabla16[[#This Row],[COSTO POR UNIDAD DE PRODUCTO (1)]]*Tabla16[[#This Row],[COSTO UNITARIO AÑO 3 1]]*VLOOKUP(Tabla16[[#This Row],[CÓDIGO DEL PRODUCTO Y/O SERVICIO ]],Tabla3[],10)</calculatedColumnFormula>
    </tableColumn>
    <tableColumn id="22" xr3:uid="{E839EAED-84C8-4223-83D3-B0500519A8EE}" name="AÑO 4 1" dataDxfId="476">
      <calculatedColumnFormula>Tabla16[[#This Row],[COSTO POR UNIDAD DE PRODUCTO (1)]]*Tabla16[[#This Row],[COSTO UNITARIO AÑO 4 1]]*VLOOKUP(Tabla16[[#This Row],[CÓDIGO DEL PRODUCTO Y/O SERVICIO ]],Tabla3[],14)</calculatedColumnFormula>
    </tableColumn>
    <tableColumn id="23" xr3:uid="{513C4D53-CF75-42D1-8C18-41F8779154B5}" name="AÑO 5 1" dataDxfId="475">
      <calculatedColumnFormula>Tabla16[[#This Row],[COSTO POR UNIDAD DE PRODUCTO (1)]]*Tabla16[[#This Row],[COSTO UNITARIO AÑO 5 1]]*VLOOKUP(Tabla16[[#This Row],[CÓDIGO DEL PRODUCTO Y/O SERVICIO ]],Tabla3[],18)</calculatedColumnFormula>
    </tableColumn>
    <tableColumn id="24" xr3:uid="{D9F84BDF-B170-4D1A-A706-EF415EC71488}" name="UNIDADES PRODUCIDAS AÑO 1 2" dataDxfId="474">
      <calculatedColumnFormula>VLOOKUP(Tabla16[[#This Row],[CÓDIGO DEL PRODUCTO Y/O SERVICIO ]],Tabla3[],3)</calculatedColumnFormula>
    </tableColumn>
    <tableColumn id="25" xr3:uid="{124D0783-F47E-4BA7-BE1E-5A55CC883B19}" name="CANTIDADES A UTILIZAR EN EL AÑO 1 2" dataDxfId="473">
      <calculatedColumnFormula>Tabla16[[#This Row],[UNIDADES PRODUCIDAS AÑO 1 2]]*G90</calculatedColumnFormula>
    </tableColumn>
    <tableColumn id="26" xr3:uid="{409AAA1B-C9B0-4A4E-89A9-76C534E9CBBB}" name="CAMBIO PORCENTUAL EN UNIDADES VENDIDAS AÑO 2 2" dataDxfId="472">
      <calculatedColumnFormula>VLOOKUP(Tabla16[[#This Row],[CÓDIGO DEL PRODUCTO Y/O SERVICIO ]],Tabla3[],9)</calculatedColumnFormula>
    </tableColumn>
    <tableColumn id="27" xr3:uid="{8CA819CF-29BB-4641-967D-A3B09DDF663F}" name="CANTIDADES A UTILIZAR EN EL AÑO 2 2" dataDxfId="471">
      <calculatedColumnFormula>Tabla16[[#This Row],[CANTIDADES A UTILIZAR EN EL AÑO 1 2]]*(1+Tabla16[[#This Row],[CAMBIO PORCENTUAL EN UNIDADES VENDIDAS AÑO 2 2]])</calculatedColumnFormula>
    </tableColumn>
    <tableColumn id="28" xr3:uid="{61276636-4324-4870-8F56-48BD8560ADAD}" name="CAMBIO PORCENTUAL EN UNIDADES VENDIDAS AÑO 3 2 " dataDxfId="470">
      <calculatedColumnFormula>VLOOKUP(Tabla16[[#This Row],[CÓDIGO DEL PRODUCTO Y/O SERVICIO ]],Tabla3[],13)</calculatedColumnFormula>
    </tableColumn>
    <tableColumn id="29" xr3:uid="{4793C33A-B954-4638-BEA3-28104C87BD7A}" name="CANTIDADES A UTILIZAR EN EL AÑO 3 2" dataDxfId="469">
      <calculatedColumnFormula>Tabla16[[#This Row],[CANTIDADES A UTILIZAR EN EL AÑO 2 2]]*(1+Tabla16[[#This Row],[CAMBIO PORCENTUAL EN UNIDADES VENDIDAS AÑO 3 2 ]])</calculatedColumnFormula>
    </tableColumn>
    <tableColumn id="30" xr3:uid="{211A0839-0448-4C50-9213-9EB34330F027}" name="CAMBIO PORCENTUAL EN UNIDADES VENDIDAS AÑO 4 2" dataDxfId="468">
      <calculatedColumnFormula>VLOOKUP(Tabla16[[#This Row],[CÓDIGO DEL PRODUCTO Y/O SERVICIO ]],Tabla3[],17)</calculatedColumnFormula>
    </tableColumn>
    <tableColumn id="31" xr3:uid="{6264F66E-7ACE-409E-A553-6E198499F26B}" name="CANTIDADES A UTILIZAR EN EL AÑO 4 2" dataDxfId="467">
      <calculatedColumnFormula>Tabla16[[#This Row],[CANTIDADES A UTILIZAR EN EL AÑO 3 2]]*(1+Tabla16[[#This Row],[CAMBIO PORCENTUAL EN UNIDADES VENDIDAS AÑO 4 2]])</calculatedColumnFormula>
    </tableColumn>
    <tableColumn id="32" xr3:uid="{868E4BC0-4575-4470-880E-F7CFAB689A80}" name="CAMBIO PORCENTUAL EN UNIDADES VENDIDAS AÑO 5 2" dataDxfId="466">
      <calculatedColumnFormula>VLOOKUP(Tabla16[[#This Row],[CÓDIGO DEL PRODUCTO Y/O SERVICIO ]],Tabla3[],21)</calculatedColumnFormula>
    </tableColumn>
    <tableColumn id="33" xr3:uid="{C5409D6F-ED81-47FA-9FB2-99B3662069F3}" name="CANTIDADES A UTILIZAR AÑO 5 2" dataDxfId="465">
      <calculatedColumnFormula>Tabla16[[#This Row],[CANTIDADES A UTILIZAR EN EL AÑO 4 2]]*(1+Tabla16[[#This Row],[CAMBIO PORCENTUAL EN UNIDADES VENDIDAS AÑO 5 2]])</calculatedColumnFormula>
    </tableColumn>
    <tableColumn id="34" xr3:uid="{DB04D2DF-DE32-4E8A-A182-46071C9E45BE}" name="COSTO POR UNIDAD DE PRODUCTO (2) " dataDxfId="464">
      <calculatedColumnFormula>IF(Tabla16[[#This Row],[CANTIDADES A UTILIZAR EN EL AÑO 1 2]]=0,0,Tabla16[[#This Row],[CANTIDADES A UTILIZAR EN EL AÑO 1 2]]*1/Tabla16[[#This Row],[UNIDADES PRODUCIDAS AÑO 1 2]])</calculatedColumnFormula>
    </tableColumn>
    <tableColumn id="35" xr3:uid="{531CE08D-B361-4112-8EA9-749120BBD2A9}" name="COSTO UNITARIO AÑO 2 2" dataDxfId="463">
      <calculatedColumnFormula>$C$74*(1+BASES!$E$10)</calculatedColumnFormula>
    </tableColumn>
    <tableColumn id="36" xr3:uid="{9262D71B-71C3-4498-9075-9E7B4ACDDA61}" name="COSTO UNITARIO AÑO 3 2" dataDxfId="462">
      <calculatedColumnFormula>Tabla16[[#This Row],[COSTO UNITARIO AÑO 2 2]]*(1+BASES!$F$10)</calculatedColumnFormula>
    </tableColumn>
    <tableColumn id="37" xr3:uid="{1229C892-2EC8-4DE4-9C66-7E9B5DABE140}" name="COSTO UNITARIO AÑO 4 2" dataDxfId="461">
      <calculatedColumnFormula>Tabla16[[#This Row],[COSTO UNITARIO AÑO 3 2]]*(1+BASES!$G$10)</calculatedColumnFormula>
    </tableColumn>
    <tableColumn id="38" xr3:uid="{A81310B8-F879-4A61-9C49-88B04ECA2623}" name="COSTO UNITARIO AÑO 5 2 " dataDxfId="460">
      <calculatedColumnFormula>Tabla16[[#This Row],[COSTO UNITARIO AÑO 4 2]]*(1+BASES!$H$10)</calculatedColumnFormula>
    </tableColumn>
    <tableColumn id="39" xr3:uid="{13C62BC5-4B01-4BB8-B87D-FBF645C5E39C}" name="AÑO 1 2" dataDxfId="459">
      <calculatedColumnFormula>Tabla16[[#This Row],[COSTO POR UNIDAD DE PRODUCTO (2) ]]*$C$74*VLOOKUP(Tabla16[[#This Row],[CÓDIGO DEL PRODUCTO Y/O SERVICIO ]],Tabla3[],3)</calculatedColumnFormula>
    </tableColumn>
    <tableColumn id="40" xr3:uid="{B94876D7-237D-4ECF-8F06-3C4D7148B434}" name="AÑO 2 2" dataDxfId="458">
      <calculatedColumnFormula>Tabla16[[#This Row],[COSTO POR UNIDAD DE PRODUCTO (2) ]]*Tabla16[[#This Row],[COSTO UNITARIO AÑO 2 2]]*VLOOKUP(Tabla16[[#This Row],[CÓDIGO DEL PRODUCTO Y/O SERVICIO ]],Tabla3[],6)</calculatedColumnFormula>
    </tableColumn>
    <tableColumn id="41" xr3:uid="{B327B586-E966-4AA7-9638-56BA91775D18}" name="AÑO 3 2" dataDxfId="457">
      <calculatedColumnFormula>Tabla16[[#This Row],[COSTO POR UNIDAD DE PRODUCTO (2) ]]*Tabla16[[#This Row],[COSTO UNITARIO AÑO 3 2]]*VLOOKUP(Tabla16[[#This Row],[CÓDIGO DEL PRODUCTO Y/O SERVICIO ]],Tabla3[],10)</calculatedColumnFormula>
    </tableColumn>
    <tableColumn id="42" xr3:uid="{029409CF-6B88-49FC-9137-DED8AD15D88D}" name="AÑO 4 2" dataDxfId="456">
      <calculatedColumnFormula>Tabla16[[#This Row],[COSTO POR UNIDAD DE PRODUCTO (2) ]]*Tabla16[[#This Row],[COSTO UNITARIO AÑO 4 2]]*VLOOKUP(Tabla16[[#This Row],[CÓDIGO DEL PRODUCTO Y/O SERVICIO ]],Tabla3[],14)</calculatedColumnFormula>
    </tableColumn>
    <tableColumn id="43" xr3:uid="{772C9DFD-5EBE-4479-8E7C-685D54433E82}" name="AÑO 5 2" dataDxfId="455">
      <calculatedColumnFormula>Tabla16[[#This Row],[COSTO POR UNIDAD DE PRODUCTO (2) ]]*Tabla16[[#This Row],[COSTO UNITARIO AÑO 5 2 ]]*VLOOKUP(Tabla16[[#This Row],[CÓDIGO DEL PRODUCTO Y/O SERVICIO ]],Tabla3[],18)</calculatedColumnFormula>
    </tableColumn>
    <tableColumn id="44" xr3:uid="{DEBC9B1C-D413-45E0-A103-953E558BE764}" name="UNIDADES PRODUCIDAS AÑO 1 3" dataDxfId="454">
      <calculatedColumnFormula>VLOOKUP(Tabla16[[#This Row],[CÓDIGO DEL PRODUCTO Y/O SERVICIO ]],Tabla3[],3)</calculatedColumnFormula>
    </tableColumn>
    <tableColumn id="45" xr3:uid="{15FB877C-9717-4222-B5F9-4676DAA5DFDB}" name="CANTIDADES A UTILIZAR EN EL AÑO 1 3" dataDxfId="453">
      <calculatedColumnFormula>Tabla16[[#This Row],[UNIDADES PRODUCIDAS AÑO 1 3]]*H90</calculatedColumnFormula>
    </tableColumn>
    <tableColumn id="46" xr3:uid="{1437E036-F7D8-4410-B5E4-627C36EFEF40}" name="CAMBIO PORCENTUAL EN UNIDADES VENDIDAS AÑO 2 3" dataDxfId="452">
      <calculatedColumnFormula>VLOOKUP(Tabla16[[#This Row],[CÓDIGO DEL PRODUCTO Y/O SERVICIO ]],Tabla3[],9)</calculatedColumnFormula>
    </tableColumn>
    <tableColumn id="47" xr3:uid="{98277C8F-B6D9-4225-B919-3EBBBB549408}" name="CANTIDADES A UTILIZAR EN EL AÑO 2 3" dataDxfId="451">
      <calculatedColumnFormula>Tabla16[[#This Row],[CANTIDADES A UTILIZAR EN EL AÑO 1 3]]*(1+Tabla16[[#This Row],[CAMBIO PORCENTUAL EN UNIDADES VENDIDAS AÑO 2 3]])</calculatedColumnFormula>
    </tableColumn>
    <tableColumn id="48" xr3:uid="{053A83E0-8876-4119-B691-EC638D6436F0}" name="CAMBIO PORCENTUAL EN UNIDADES VENDIDAS AÑO 3 3" dataDxfId="450">
      <calculatedColumnFormula>VLOOKUP(Tabla16[[#This Row],[CÓDIGO DEL PRODUCTO Y/O SERVICIO ]],Tabla3[],13)</calculatedColumnFormula>
    </tableColumn>
    <tableColumn id="49" xr3:uid="{72970C05-BEB4-47EE-8447-D104D55EA94C}" name="CANTIDADES A UTILIZAR EN EL AÑO 3 3" dataDxfId="449">
      <calculatedColumnFormula>Tabla16[[#This Row],[CANTIDADES A UTILIZAR EN EL AÑO 2 3]]*(1+Tabla16[[#This Row],[CAMBIO PORCENTUAL EN UNIDADES VENDIDAS AÑO 3 3]])</calculatedColumnFormula>
    </tableColumn>
    <tableColumn id="50" xr3:uid="{4C77F7F1-8E4F-468A-BBA8-A455DB2AF340}" name="CAMBIO PORCENTUAL EN UNIDADES VENDIDAS AÑO 4 3" dataDxfId="448">
      <calculatedColumnFormula>VLOOKUP(Tabla16[[#This Row],[CÓDIGO DEL PRODUCTO Y/O SERVICIO ]],Tabla3[],17)</calculatedColumnFormula>
    </tableColumn>
    <tableColumn id="51" xr3:uid="{31F36C46-65A7-4566-9459-BB1926FA9869}" name="CANTIDADES A UTILIZAR EN EL AÑO 4 3" dataDxfId="447">
      <calculatedColumnFormula>Tabla16[[#This Row],[CANTIDADES A UTILIZAR EN EL AÑO 3 3]]*(1+Tabla16[[#This Row],[CAMBIO PORCENTUAL EN UNIDADES VENDIDAS AÑO 4 3]])</calculatedColumnFormula>
    </tableColumn>
    <tableColumn id="52" xr3:uid="{736369D0-E1BA-49CD-8F53-DC6ABBF7ED9C}" name="CAMBIO PORCENTUAL EN UNIDADES VENDIDAS AÑO 5 3" dataDxfId="446">
      <calculatedColumnFormula>VLOOKUP(Tabla16[[#This Row],[CÓDIGO DEL PRODUCTO Y/O SERVICIO ]],Tabla3[],21)</calculatedColumnFormula>
    </tableColumn>
    <tableColumn id="53" xr3:uid="{20D58F7A-4A0A-40FB-A80A-FA8FE192C336}" name="CANTIDADES A UTILIZAR AÑO 5 3" dataDxfId="445">
      <calculatedColumnFormula>Tabla16[[#This Row],[CANTIDADES A UTILIZAR EN EL AÑO 4 3]]*(1+Tabla16[[#This Row],[CAMBIO PORCENTUAL EN UNIDADES VENDIDAS AÑO 5 3]])</calculatedColumnFormula>
    </tableColumn>
    <tableColumn id="54" xr3:uid="{58282D38-1FCC-4FBE-A89A-B58999576FB6}" name="COSTO POR UNIDAD DE PRODUCTO (3) " dataDxfId="444">
      <calculatedColumnFormula>IF(Tabla16[[#This Row],[CANTIDADES A UTILIZAR EN EL AÑO 1 3]]=0,0,Tabla16[[#This Row],[CANTIDADES A UTILIZAR EN EL AÑO 1 3]]*1/Tabla16[[#This Row],[UNIDADES PRODUCIDAS AÑO 1 3]])</calculatedColumnFormula>
    </tableColumn>
    <tableColumn id="55" xr3:uid="{AEBEBB54-1542-43D5-9805-28DD07066280}" name="COSTO UNITARIO AÑO 2 3" dataDxfId="443">
      <calculatedColumnFormula>$C$75*(1+BASES!$E$10)</calculatedColumnFormula>
    </tableColumn>
    <tableColumn id="56" xr3:uid="{C99218A6-1776-4B1B-BFD8-CBB1A84B4920}" name="COSTO UNITARIO AÑO 3 3" dataDxfId="442">
      <calculatedColumnFormula>Tabla16[[#This Row],[COSTO UNITARIO AÑO 2 3]]*(1+BASES!$F$10)</calculatedColumnFormula>
    </tableColumn>
    <tableColumn id="57" xr3:uid="{78DB5E33-07C7-4F02-A113-365715327B53}" name="COSTO UNITARIO AÑO 4 3" dataDxfId="441">
      <calculatedColumnFormula>Tabla16[[#This Row],[COSTO UNITARIO AÑO 3 3]]*(1+BASES!$G$10)</calculatedColumnFormula>
    </tableColumn>
    <tableColumn id="58" xr3:uid="{780360F5-9AE6-4C8E-BC71-BE6D2F2DC3FA}" name="COSTO UNITARIO AÑO 5 3" dataDxfId="440">
      <calculatedColumnFormula>Tabla16[[#This Row],[COSTO UNITARIO AÑO 4 3]]*(1+BASES!$H$10)</calculatedColumnFormula>
    </tableColumn>
    <tableColumn id="59" xr3:uid="{8CF95F5C-CD45-4727-9251-E06BE963F212}" name="AÑO 1 3" dataDxfId="439">
      <calculatedColumnFormula>Tabla16[[#This Row],[COSTO POR UNIDAD DE PRODUCTO (3) ]]*$C$75*VLOOKUP(Tabla16[[#This Row],[CÓDIGO DEL PRODUCTO Y/O SERVICIO ]],Tabla3[],3)</calculatedColumnFormula>
    </tableColumn>
    <tableColumn id="60" xr3:uid="{1CA70EF4-C99B-4C71-B8ED-34AC1155AE3F}" name="AÑO 2 3" dataDxfId="438">
      <calculatedColumnFormula>Tabla16[[#This Row],[COSTO POR UNIDAD DE PRODUCTO (3) ]]*Tabla16[[#This Row],[COSTO UNITARIO AÑO 2 3]]*VLOOKUP(Tabla16[[#This Row],[CÓDIGO DEL PRODUCTO Y/O SERVICIO ]],Tabla3[],6)</calculatedColumnFormula>
    </tableColumn>
    <tableColumn id="61" xr3:uid="{4ABDF556-A449-406B-83B6-20CE5822C60C}" name="AÑO 3 3" dataDxfId="437">
      <calculatedColumnFormula>Tabla16[[#This Row],[COSTO POR UNIDAD DE PRODUCTO (3) ]]*Tabla16[[#This Row],[COSTO UNITARIO AÑO 3 3]]*VLOOKUP(Tabla16[[#This Row],[CÓDIGO DEL PRODUCTO Y/O SERVICIO ]],Tabla3[],10)</calculatedColumnFormula>
    </tableColumn>
    <tableColumn id="62" xr3:uid="{086EC009-2677-4478-8F98-7EAE73300F30}" name="AÑO 4 3" dataDxfId="436">
      <calculatedColumnFormula>Tabla16[[#This Row],[COSTO POR UNIDAD DE PRODUCTO (3) ]]*Tabla16[[#This Row],[COSTO UNITARIO AÑO 4 3]]*VLOOKUP(Tabla16[[#This Row],[CÓDIGO DEL PRODUCTO Y/O SERVICIO ]],Tabla3[],14)</calculatedColumnFormula>
    </tableColumn>
    <tableColumn id="63" xr3:uid="{0D7A7684-90D0-4677-BB4A-487778D7D83F}" name="AÑO 5 3" dataDxfId="435">
      <calculatedColumnFormula>Tabla16[[#This Row],[COSTO POR UNIDAD DE PRODUCTO (3) ]]*Tabla16[[#This Row],[COSTO UNITARIO AÑO 5 3]]*VLOOKUP(Tabla16[[#This Row],[CÓDIGO DEL PRODUCTO Y/O SERVICIO ]],Tabla3[],18)</calculatedColumnFormula>
    </tableColumn>
    <tableColumn id="64" xr3:uid="{8F1A7FC9-39EB-4CCB-B967-4694C96D3830}" name="UNIDADES PRODUCIDAS AÑO 1 4" dataDxfId="434">
      <calculatedColumnFormula>VLOOKUP(Tabla16[[#This Row],[CÓDIGO DEL PRODUCTO Y/O SERVICIO ]],Tabla3[],3)</calculatedColumnFormula>
    </tableColumn>
    <tableColumn id="65" xr3:uid="{D1328A2D-33F8-4E34-B04B-8123E398FCD4}" name="CANTIDADES A UTILIZAR EN EL AÑO 1 4" dataDxfId="433">
      <calculatedColumnFormula>Tabla16[[#This Row],[UNIDADES PRODUCIDAS AÑO 1 4]]*I90</calculatedColumnFormula>
    </tableColumn>
    <tableColumn id="66" xr3:uid="{2859EA28-87FC-4482-B4B3-9AA447F1FB72}" name="CAMBIO PORCENTUAL EN UNIDADES VENDIDAS AÑO 2 4" dataDxfId="432">
      <calculatedColumnFormula>VLOOKUP(Tabla16[[#This Row],[CÓDIGO DEL PRODUCTO Y/O SERVICIO ]],Tabla3[],9)</calculatedColumnFormula>
    </tableColumn>
    <tableColumn id="67" xr3:uid="{1EFD632D-1656-43B6-9255-BB47674982ED}" name="CANTIDADES A UTILIZAR EN EL AÑO 2 4" dataDxfId="431">
      <calculatedColumnFormula>Tabla16[[#This Row],[CANTIDADES A UTILIZAR EN EL AÑO 1 4]]*(1+Tabla16[[#This Row],[CAMBIO PORCENTUAL EN UNIDADES VENDIDAS AÑO 2 4]])</calculatedColumnFormula>
    </tableColumn>
    <tableColumn id="68" xr3:uid="{51B4C5B1-766D-4305-8ED7-70688663085C}" name="CAMBIO PORCENTUAL EN UNIDADES VENDIDAS AÑO 3 4" dataDxfId="430">
      <calculatedColumnFormula>VLOOKUP(Tabla16[[#This Row],[CÓDIGO DEL PRODUCTO Y/O SERVICIO ]],Tabla3[],13)</calculatedColumnFormula>
    </tableColumn>
    <tableColumn id="69" xr3:uid="{B2226AAD-E20F-41A3-AA93-A366D2F7150A}" name="CANTIDADES A UTILIZAR EN EL AÑO 3 4" dataDxfId="429">
      <calculatedColumnFormula>Tabla16[[#This Row],[CANTIDADES A UTILIZAR EN EL AÑO 2 4]]*(1+Tabla16[[#This Row],[CAMBIO PORCENTUAL EN UNIDADES VENDIDAS AÑO 3 4]])</calculatedColumnFormula>
    </tableColumn>
    <tableColumn id="70" xr3:uid="{D9A1C3E5-8657-4E66-8495-85BB6D1CCF02}" name="CAMBIO PORCENTUAL EN UNIDADES VENDIDAS AÑO 4 4" dataDxfId="428">
      <calculatedColumnFormula>VLOOKUP(Tabla16[[#This Row],[CÓDIGO DEL PRODUCTO Y/O SERVICIO ]],Tabla3[],17)</calculatedColumnFormula>
    </tableColumn>
    <tableColumn id="71" xr3:uid="{A3FBA6DE-7695-4B5D-B6E2-5221847112D9}" name="CANTIDADES A UTILIZAR EN EL AÑO 4 4" dataDxfId="427">
      <calculatedColumnFormula>Tabla16[[#This Row],[CANTIDADES A UTILIZAR EN EL AÑO 3 4]]*(1+Tabla16[[#This Row],[CAMBIO PORCENTUAL EN UNIDADES VENDIDAS AÑO 4 4]])</calculatedColumnFormula>
    </tableColumn>
    <tableColumn id="72" xr3:uid="{356210DD-790D-4A77-A89D-77FD4AF3CC48}" name="CAMBIO PORCENTUAL EN UNIDADES VENDIDAS AÑO 5 4" dataDxfId="426">
      <calculatedColumnFormula>VLOOKUP(Tabla16[[#This Row],[CÓDIGO DEL PRODUCTO Y/O SERVICIO ]],Tabla3[],21)</calculatedColumnFormula>
    </tableColumn>
    <tableColumn id="73" xr3:uid="{EE61E3D3-C459-423A-A3C0-76ACBA4301CA}" name="CANTIDADES A UTILIZAR AÑO 5 4 " dataDxfId="425">
      <calculatedColumnFormula>Tabla16[[#This Row],[CANTIDADES A UTILIZAR EN EL AÑO 4 4]]*(1+Tabla16[[#This Row],[CAMBIO PORCENTUAL EN UNIDADES VENDIDAS AÑO 5 4]])</calculatedColumnFormula>
    </tableColumn>
    <tableColumn id="74" xr3:uid="{7EEB02BC-2933-4E5E-A63B-D2D171124D87}" name="COSTO POR UNIDAD DE PRODUCTO (4)" dataDxfId="424">
      <calculatedColumnFormula>IF(Tabla16[[#This Row],[CANTIDADES A UTILIZAR EN EL AÑO 1 4]]=0,0,Tabla16[[#This Row],[CANTIDADES A UTILIZAR EN EL AÑO 1 4]]*1/Tabla16[[#This Row],[UNIDADES PRODUCIDAS AÑO 1 4]])</calculatedColumnFormula>
    </tableColumn>
    <tableColumn id="75" xr3:uid="{422281E1-AE4F-41A7-8B9A-8EFB26621947}" name="COSTO UNITARIO AÑO 2 4" dataDxfId="423">
      <calculatedColumnFormula>$C$76*(1+BASES!$E$10)</calculatedColumnFormula>
    </tableColumn>
    <tableColumn id="76" xr3:uid="{823B32F3-7F62-4E46-B729-373DEB7A5411}" name="COSTO UNITARIO AÑO 3 4 " dataDxfId="422">
      <calculatedColumnFormula>Tabla16[[#This Row],[COSTO UNITARIO AÑO 2 4]]*(1+BASES!$F$10)</calculatedColumnFormula>
    </tableColumn>
    <tableColumn id="77" xr3:uid="{67BCECB7-0DE4-497C-A890-664745FFA0B1}" name="COSTO UNITARIO AÑO 4 4" dataDxfId="421">
      <calculatedColumnFormula>Tabla16[[#This Row],[COSTO UNITARIO AÑO 3 4 ]]*(1+BASES!$G$10)</calculatedColumnFormula>
    </tableColumn>
    <tableColumn id="78" xr3:uid="{1A21634B-C5BD-47CC-B386-FB5899FD7677}" name="COSTO UNITARIO AÑO 5 4 " dataDxfId="420">
      <calculatedColumnFormula>Tabla16[[#This Row],[COSTO UNITARIO AÑO 4 4]]*(1+BASES!$H$10)</calculatedColumnFormula>
    </tableColumn>
    <tableColumn id="79" xr3:uid="{4B8E23B7-2EFA-47EA-8CF3-E2EA955E4CB9}" name="AÑO 1 4" dataDxfId="419">
      <calculatedColumnFormula>Tabla16[[#This Row],[COSTO POR UNIDAD DE PRODUCTO (4)]]*$C$76*VLOOKUP(Tabla16[[#This Row],[CÓDIGO DEL PRODUCTO Y/O SERVICIO ]],Tabla3[],3)</calculatedColumnFormula>
    </tableColumn>
    <tableColumn id="80" xr3:uid="{1EC195A9-06BB-406D-AEF8-12D95E6917F8}" name="AÑO 2 4" dataDxfId="418">
      <calculatedColumnFormula>Tabla16[[#This Row],[COSTO POR UNIDAD DE PRODUCTO (4)]]*Tabla16[[#This Row],[COSTO UNITARIO AÑO 2 4]]*VLOOKUP(Tabla16[[#This Row],[CÓDIGO DEL PRODUCTO Y/O SERVICIO ]],Tabla3[],6)</calculatedColumnFormula>
    </tableColumn>
    <tableColumn id="81" xr3:uid="{0D0BA6C3-32DB-4AAA-B8AE-A16779319F37}" name="AÑO 3 4" dataDxfId="417">
      <calculatedColumnFormula>Tabla16[[#This Row],[COSTO POR UNIDAD DE PRODUCTO (4)]]*Tabla16[[#This Row],[COSTO UNITARIO AÑO 3 4 ]]*VLOOKUP(Tabla16[[#This Row],[CÓDIGO DEL PRODUCTO Y/O SERVICIO ]],Tabla3[],10)</calculatedColumnFormula>
    </tableColumn>
    <tableColumn id="82" xr3:uid="{462CC512-9DDA-4078-8017-C4A1BB1E9D31}" name="AÑO 4 4 " dataDxfId="416">
      <calculatedColumnFormula>Tabla16[[#This Row],[COSTO POR UNIDAD DE PRODUCTO (4)]]*Tabla16[[#This Row],[COSTO UNITARIO AÑO 4 4]]*VLOOKUP(Tabla16[[#This Row],[CÓDIGO DEL PRODUCTO Y/O SERVICIO ]],Tabla3[],14)</calculatedColumnFormula>
    </tableColumn>
    <tableColumn id="83" xr3:uid="{F7619456-FAE6-4870-82E4-0F6E964855E9}" name="AÑO 5 4" dataDxfId="415">
      <calculatedColumnFormula>Tabla16[[#This Row],[COSTO POR UNIDAD DE PRODUCTO (4)]]*Tabla16[[#This Row],[COSTO UNITARIO AÑO 5 4 ]]*VLOOKUP(Tabla16[[#This Row],[CÓDIGO DEL PRODUCTO Y/O SERVICIO ]],Tabla3[],18)</calculatedColumnFormula>
    </tableColumn>
    <tableColumn id="84" xr3:uid="{482C2840-BCD9-4A2B-99C7-671689ABA7BF}" name="UNIDADES PRODUCIDAS AÑO 1 5" dataDxfId="414">
      <calculatedColumnFormula>VLOOKUP(Tabla16[[#This Row],[CÓDIGO DEL PRODUCTO Y/O SERVICIO ]],Tabla3[],3)</calculatedColumnFormula>
    </tableColumn>
    <tableColumn id="85" xr3:uid="{BD46E856-198B-40FE-9652-95F033BC55CC}" name="CANTIDADES A UTILIZAR EN EL AÑO 1 5" dataDxfId="413">
      <calculatedColumnFormula>Tabla16[[#This Row],[UNIDADES PRODUCIDAS AÑO 1 5]]*J90</calculatedColumnFormula>
    </tableColumn>
    <tableColumn id="86" xr3:uid="{28C51E14-64D4-4606-9F7F-16E4F718FD0C}" name="CAMBIO PORCENTUAL EN UNIDADES VENDIDAS AÑO 2 5" dataDxfId="412">
      <calculatedColumnFormula>VLOOKUP(Tabla16[[#This Row],[CÓDIGO DEL PRODUCTO Y/O SERVICIO ]],Tabla3[],9)</calculatedColumnFormula>
    </tableColumn>
    <tableColumn id="87" xr3:uid="{85D572F8-7E12-4C6E-B98C-829AB87089A3}" name="CANTIDADES A UTILIZAR EN EL AÑO 2 5" dataDxfId="411">
      <calculatedColumnFormula>Tabla16[[#This Row],[CANTIDADES A UTILIZAR EN EL AÑO 1 5]]*(1+Tabla16[[#This Row],[CAMBIO PORCENTUAL EN UNIDADES VENDIDAS AÑO 2 5]])</calculatedColumnFormula>
    </tableColumn>
    <tableColumn id="88" xr3:uid="{E117BB3D-2F19-4A46-99FB-0142BAFD5849}" name="CAMBIO PORCENTUAL EN UNIDADES VENDIDAS AÑO 3 5" dataDxfId="410">
      <calculatedColumnFormula>VLOOKUP(Tabla16[[#This Row],[CÓDIGO DEL PRODUCTO Y/O SERVICIO ]],Tabla3[],13)</calculatedColumnFormula>
    </tableColumn>
    <tableColumn id="89" xr3:uid="{263A1061-3DC8-4E01-B667-6770C8370DB6}" name="CANTIDADES A UTILIZAR EN EL AÑO 3 5 " dataDxfId="409">
      <calculatedColumnFormula>Tabla16[[#This Row],[CANTIDADES A UTILIZAR EN EL AÑO 2 5]]*(1+Tabla16[[#This Row],[CAMBIO PORCENTUAL EN UNIDADES VENDIDAS AÑO 3 5]])</calculatedColumnFormula>
    </tableColumn>
    <tableColumn id="90" xr3:uid="{A4AA1606-2FE9-44D5-898D-56449144DCAD}" name="CAMBIO PORCENTUAL EN UNIDADES VENDIDAS AÑO 4 5" dataDxfId="408">
      <calculatedColumnFormula>VLOOKUP(Tabla16[[#This Row],[CÓDIGO DEL PRODUCTO Y/O SERVICIO ]],Tabla3[],17)</calculatedColumnFormula>
    </tableColumn>
    <tableColumn id="91" xr3:uid="{63E9DFE3-B1AC-44A4-A1EC-BE5D6B36165F}" name="CANTIDADES A UTILIZAR EN EL AÑO 4 5" dataDxfId="407">
      <calculatedColumnFormula>Tabla16[[#This Row],[CANTIDADES A UTILIZAR EN EL AÑO 3 5 ]]*(1+Tabla16[[#This Row],[CAMBIO PORCENTUAL EN UNIDADES VENDIDAS AÑO 4 5]])</calculatedColumnFormula>
    </tableColumn>
    <tableColumn id="92" xr3:uid="{49A27A92-1E11-433A-A8E9-F204A7CF99C6}" name="CAMBIO PORCENTUAL EN UNIDADES VENDIDAS AÑO 5 5" dataDxfId="406">
      <calculatedColumnFormula>VLOOKUP(Tabla16[[#This Row],[CÓDIGO DEL PRODUCTO Y/O SERVICIO ]],Tabla3[],21)</calculatedColumnFormula>
    </tableColumn>
    <tableColumn id="93" xr3:uid="{0CF82162-80CD-47E4-8318-BB556160189F}" name="CANTIDADES A UTILIZAR AÑO 5 5" dataDxfId="405">
      <calculatedColumnFormula>Tabla16[[#This Row],[CANTIDADES A UTILIZAR EN EL AÑO 4 5]]*(1+Tabla16[[#This Row],[CAMBIO PORCENTUAL EN UNIDADES VENDIDAS AÑO 5 5]])</calculatedColumnFormula>
    </tableColumn>
    <tableColumn id="94" xr3:uid="{5F76DADC-7C3E-4D2B-A284-58AB3E45EB8F}" name="COSTO POR UNIDAD DE PRODUCTO (5) " dataDxfId="404">
      <calculatedColumnFormula>IF(Tabla16[[#This Row],[CANTIDADES A UTILIZAR EN EL AÑO 1 5]]=0,0,Tabla16[[#This Row],[CANTIDADES A UTILIZAR EN EL AÑO 1 5]]*1/Tabla16[[#This Row],[UNIDADES PRODUCIDAS AÑO 1 5]])</calculatedColumnFormula>
    </tableColumn>
    <tableColumn id="95" xr3:uid="{82A7396A-1545-47ED-A71F-C8DA2840E3D3}" name="COSTO UNITARIO AÑO 2 5" dataDxfId="403">
      <calculatedColumnFormula>$C$77*(1+BASES!$E$10)</calculatedColumnFormula>
    </tableColumn>
    <tableColumn id="96" xr3:uid="{5ED75F6A-0A32-45AD-91C0-653E687C0037}" name="COSTO UNITARIO AÑO 3 5" dataDxfId="402">
      <calculatedColumnFormula>Tabla16[[#This Row],[COSTO UNITARIO AÑO 2 5]]*(1+BASES!$F$10)</calculatedColumnFormula>
    </tableColumn>
    <tableColumn id="97" xr3:uid="{F005DE08-DA4E-4A51-A5B3-F336FA2A5C28}" name="COSTO UNITARIO AÑO 4 5" dataDxfId="401">
      <calculatedColumnFormula>Tabla16[[#This Row],[COSTO UNITARIO AÑO 3 5]]*(1+BASES!$G$10)</calculatedColumnFormula>
    </tableColumn>
    <tableColumn id="98" xr3:uid="{9F1613C4-6E75-4CD3-A5A2-7D3F924B85C6}" name="COSTO UNITARIO AÑO 5 5" dataDxfId="400">
      <calculatedColumnFormula>Tabla16[[#This Row],[COSTO UNITARIO AÑO 4 5]]*(1+BASES!$H$10)</calculatedColumnFormula>
    </tableColumn>
    <tableColumn id="99" xr3:uid="{E15C5AEE-DB7C-4C6D-8D61-940B950C136E}" name="AÑO 1 5" dataDxfId="399">
      <calculatedColumnFormula>Tabla16[[#This Row],[COSTO POR UNIDAD DE PRODUCTO (5) ]]*$C$77*VLOOKUP(Tabla16[[#This Row],[CÓDIGO DEL PRODUCTO Y/O SERVICIO ]],Tabla3[],3)</calculatedColumnFormula>
    </tableColumn>
    <tableColumn id="100" xr3:uid="{310F7505-09E3-4559-B459-16300ABF8B1F}" name="AÑO 2 5" dataDxfId="398">
      <calculatedColumnFormula>Tabla16[[#This Row],[COSTO POR UNIDAD DE PRODUCTO (5) ]]*Tabla16[[#This Row],[COSTO UNITARIO AÑO 2 5]]*VLOOKUP(Tabla16[[#This Row],[CÓDIGO DEL PRODUCTO Y/O SERVICIO ]],Tabla3[],6)</calculatedColumnFormula>
    </tableColumn>
    <tableColumn id="101" xr3:uid="{84B5CC2E-6B54-46A0-8EF2-CF3FF61D6B10}" name="AÑO 3 5" dataDxfId="397">
      <calculatedColumnFormula>Tabla16[[#This Row],[COSTO POR UNIDAD DE PRODUCTO (5) ]]*Tabla16[[#This Row],[COSTO UNITARIO AÑO 3 5]]*VLOOKUP(Tabla16[[#This Row],[CÓDIGO DEL PRODUCTO Y/O SERVICIO ]],Tabla3[],10)</calculatedColumnFormula>
    </tableColumn>
    <tableColumn id="102" xr3:uid="{8840AF81-371E-44E9-930E-8CB272420588}" name="AÑO 4 5" dataDxfId="396">
      <calculatedColumnFormula>Tabla16[[#This Row],[COSTO POR UNIDAD DE PRODUCTO (5) ]]*Tabla16[[#This Row],[COSTO UNITARIO AÑO 4 5]]*VLOOKUP(Tabla16[[#This Row],[CÓDIGO DEL PRODUCTO Y/O SERVICIO ]],Tabla3[],14)</calculatedColumnFormula>
    </tableColumn>
    <tableColumn id="103" xr3:uid="{22B117FA-C022-416E-9C11-A89AE2D3C7EC}" name="AÑO 5 5" dataDxfId="395">
      <calculatedColumnFormula>Tabla16[[#This Row],[COSTO POR UNIDAD DE PRODUCTO (5) ]]*Tabla16[[#This Row],[COSTO UNITARIO AÑO 5 5]]*VLOOKUP(Tabla16[[#This Row],[CÓDIGO DEL PRODUCTO Y/O SERVICIO ]],Tabla3[],18)</calculatedColumnFormula>
    </tableColumn>
    <tableColumn id="104" xr3:uid="{7196EA97-7822-4618-A3F6-4ADCFAD94575}" name="UNIDADES PRODUCIDAS AÑO 1 6" dataDxfId="394">
      <calculatedColumnFormula>VLOOKUP(Tabla16[[#This Row],[CÓDIGO DEL PRODUCTO Y/O SERVICIO ]],Tabla3[],3)</calculatedColumnFormula>
    </tableColumn>
    <tableColumn id="105" xr3:uid="{CB0A67D8-FCA5-4726-BAE3-E72740C32B13}" name="CANTIDADES A UTILIZAR EN EL AÑO 1 6" dataDxfId="393">
      <calculatedColumnFormula>Tabla16[[#This Row],[UNIDADES PRODUCIDAS AÑO 1 6]]*K90</calculatedColumnFormula>
    </tableColumn>
    <tableColumn id="106" xr3:uid="{21D13AB6-21B1-49D3-8A0C-17CC2BCC9F0B}" name="CAMBIO PORCENTUAL EN UNIDADES VENDIDAS AÑO 2 6" dataDxfId="392">
      <calculatedColumnFormula>VLOOKUP(Tabla16[[#This Row],[CÓDIGO DEL PRODUCTO Y/O SERVICIO ]],Tabla3[],9)</calculatedColumnFormula>
    </tableColumn>
    <tableColumn id="107" xr3:uid="{FA0080DF-CE73-4524-9C65-CDA1A0203578}" name="CANTIDADES A UTILIZAR EN EL AÑO 2 6" dataDxfId="391">
      <calculatedColumnFormula>Tabla16[[#This Row],[CANTIDADES A UTILIZAR EN EL AÑO 1 6]]*(1+Tabla16[[#This Row],[CAMBIO PORCENTUAL EN UNIDADES VENDIDAS AÑO 2 6]])</calculatedColumnFormula>
    </tableColumn>
    <tableColumn id="108" xr3:uid="{BA5125C8-ED86-4B04-8ED8-8C90BC2C11D6}" name="CAMBIO PORCENTUAL EN UNIDADES VENDIDAS AÑO 3 6" dataDxfId="390">
      <calculatedColumnFormula>VLOOKUP(Tabla16[[#This Row],[CÓDIGO DEL PRODUCTO Y/O SERVICIO ]],Tabla3[],13)</calculatedColumnFormula>
    </tableColumn>
    <tableColumn id="109" xr3:uid="{16C9FD5A-061C-441E-90BF-941CB76DAABA}" name="CANTIDADES A UTILIZAR EN EL AÑO 3 6" dataDxfId="389">
      <calculatedColumnFormula>Tabla16[[#This Row],[CANTIDADES A UTILIZAR EN EL AÑO 2 6]]*(1+Tabla16[[#This Row],[CAMBIO PORCENTUAL EN UNIDADES VENDIDAS AÑO 3 6]])</calculatedColumnFormula>
    </tableColumn>
    <tableColumn id="110" xr3:uid="{24E44047-0360-4892-BFFC-00C5C01D9B53}" name="CAMBIO PORCENTUAL EN UNIDADES VENDIDAS AÑO 4 6" dataDxfId="388">
      <calculatedColumnFormula>VLOOKUP(Tabla16[[#This Row],[CÓDIGO DEL PRODUCTO Y/O SERVICIO ]],Tabla3[],17)</calculatedColumnFormula>
    </tableColumn>
    <tableColumn id="111" xr3:uid="{BF77E86B-236F-42D8-AC22-B9075B9F7410}" name="CANTIDADES A UTILIZAR EN EL AÑO 4 6" dataDxfId="387">
      <calculatedColumnFormula>Tabla16[[#This Row],[CANTIDADES A UTILIZAR EN EL AÑO 3 6]]*(1+Tabla16[[#This Row],[CAMBIO PORCENTUAL EN UNIDADES VENDIDAS AÑO 4 6]])</calculatedColumnFormula>
    </tableColumn>
    <tableColumn id="112" xr3:uid="{91C23FF2-7131-4BF7-8855-BC3C7BED058A}" name="CAMBIO PORCENTUAL EN UNIDADES VENDIDAS AÑO 5 6" dataDxfId="386">
      <calculatedColumnFormula>VLOOKUP(Tabla16[[#This Row],[CÓDIGO DEL PRODUCTO Y/O SERVICIO ]],Tabla3[],21)</calculatedColumnFormula>
    </tableColumn>
    <tableColumn id="113" xr3:uid="{9525533A-491E-4A19-A4F2-D2DE26BE28E9}" name="CANTIDADES A UTILIZAR AÑO 5 6" dataDxfId="385">
      <calculatedColumnFormula>Tabla16[[#This Row],[CANTIDADES A UTILIZAR EN EL AÑO 4 6]]*(1+Tabla16[[#This Row],[CAMBIO PORCENTUAL EN UNIDADES VENDIDAS AÑO 5 6]])</calculatedColumnFormula>
    </tableColumn>
    <tableColumn id="114" xr3:uid="{F491860A-7257-45F9-AE5A-184A21EFC43E}" name="COSTO POR UNIDAD DE PRODUCTO (6) " dataDxfId="384">
      <calculatedColumnFormula>IF(Tabla16[[#This Row],[CANTIDADES A UTILIZAR EN EL AÑO 1 6]]=0,0,Tabla16[[#This Row],[CANTIDADES A UTILIZAR EN EL AÑO 1 6]]*1/Tabla16[[#This Row],[UNIDADES PRODUCIDAS AÑO 1 6]])</calculatedColumnFormula>
    </tableColumn>
    <tableColumn id="115" xr3:uid="{091EC66E-F1A1-48A1-B4C0-729FB4045505}" name="COSTO UNITARIO AÑO 2 6" dataDxfId="383">
      <calculatedColumnFormula>$C$78*(1+BASES!$E$10)</calculatedColumnFormula>
    </tableColumn>
    <tableColumn id="116" xr3:uid="{BD81ED1C-DB6E-4CA9-9CA4-5312EBB12B93}" name="COSTO UNITARIO AÑO 3 6" dataDxfId="382">
      <calculatedColumnFormula>Tabla16[[#This Row],[COSTO UNITARIO AÑO 2 6]]*(1+BASES!$F$10)</calculatedColumnFormula>
    </tableColumn>
    <tableColumn id="117" xr3:uid="{78959C5E-FF7F-41DC-B6EB-D2EBA35D4432}" name="COSTO UNITARIO AÑO 4 6" dataDxfId="381">
      <calculatedColumnFormula>Tabla16[[#This Row],[COSTO UNITARIO AÑO 3 6]]*(1+BASES!$G$10)</calculatedColumnFormula>
    </tableColumn>
    <tableColumn id="118" xr3:uid="{C4213E78-0314-4EFC-A7EF-28FE6E07EA7D}" name="COSTO UNITARIO AÑO 5 6" dataDxfId="380">
      <calculatedColumnFormula>Tabla16[[#This Row],[COSTO UNITARIO AÑO 4 6]]*(1+BASES!$H$10)</calculatedColumnFormula>
    </tableColumn>
    <tableColumn id="119" xr3:uid="{59506B77-E685-47D9-92B8-6EA5AAEDE884}" name="AÑO 1 6" dataDxfId="379">
      <calculatedColumnFormula>Tabla16[[#This Row],[COSTO POR UNIDAD DE PRODUCTO (6) ]]*$C$78*VLOOKUP(Tabla16[[#This Row],[CÓDIGO DEL PRODUCTO Y/O SERVICIO ]],Tabla3[],3)</calculatedColumnFormula>
    </tableColumn>
    <tableColumn id="120" xr3:uid="{3B4EE0DD-C332-4E3C-A742-FAAB10F4B271}" name="AÑO 2 6" dataDxfId="378">
      <calculatedColumnFormula>Tabla16[[#This Row],[COSTO POR UNIDAD DE PRODUCTO (6) ]]*Tabla16[[#This Row],[COSTO UNITARIO AÑO 2 6]]*VLOOKUP(Tabla16[[#This Row],[CÓDIGO DEL PRODUCTO Y/O SERVICIO ]],Tabla3[],6)</calculatedColumnFormula>
    </tableColumn>
    <tableColumn id="121" xr3:uid="{33C17944-B90A-47FF-A8CF-09BB040F4420}" name="AÑO 3 6" dataDxfId="377">
      <calculatedColumnFormula>Tabla16[[#This Row],[COSTO POR UNIDAD DE PRODUCTO (6) ]]*Tabla16[[#This Row],[COSTO UNITARIO AÑO 3 6]]*VLOOKUP(Tabla16[[#This Row],[CÓDIGO DEL PRODUCTO Y/O SERVICIO ]],Tabla3[],10)</calculatedColumnFormula>
    </tableColumn>
    <tableColumn id="122" xr3:uid="{C73E1F41-7742-43DA-AE95-D076D237CEDC}" name="AÑO 4 6" dataDxfId="376">
      <calculatedColumnFormula>Tabla16[[#This Row],[COSTO POR UNIDAD DE PRODUCTO (6) ]]*Tabla16[[#This Row],[COSTO UNITARIO AÑO 4 6]]*VLOOKUP(Tabla16[[#This Row],[CÓDIGO DEL PRODUCTO Y/O SERVICIO ]],Tabla3[],14)</calculatedColumnFormula>
    </tableColumn>
    <tableColumn id="123" xr3:uid="{0A578F9A-539A-4044-93D2-929849AA20C5}" name="AÑO 5 6" dataDxfId="375">
      <calculatedColumnFormula>Tabla16[[#This Row],[COSTO POR UNIDAD DE PRODUCTO (6) ]]*Tabla16[[#This Row],[COSTO UNITARIO AÑO 5 6]]*VLOOKUP(Tabla16[[#This Row],[CÓDIGO DEL PRODUCTO Y/O SERVICIO ]],Tabla3[],18)</calculatedColumnFormula>
    </tableColumn>
    <tableColumn id="124" xr3:uid="{4EEA0C88-F5C4-4103-8D4F-1A5F25B7E7D6}" name="UNIDADES PRODUCIDAS AÑO 1 7" dataDxfId="374">
      <calculatedColumnFormula>VLOOKUP(Tabla16[[#This Row],[CÓDIGO DEL PRODUCTO Y/O SERVICIO ]],Tabla3[],3)</calculatedColumnFormula>
    </tableColumn>
    <tableColumn id="125" xr3:uid="{42240BF4-739E-400B-B460-E3A08F08041A}" name="CANTIDADES A UTILIZAR EN EL AÑO 1 7" dataDxfId="373">
      <calculatedColumnFormula>Tabla16[[#This Row],[UNIDADES PRODUCIDAS AÑO 1 7]]*L90</calculatedColumnFormula>
    </tableColumn>
    <tableColumn id="126" xr3:uid="{94DFF873-095D-4A24-A80C-FD44975921E1}" name="CAMBIO PORCENTUAL EN UNIDADES VENDIDAS AÑO 2 7" dataDxfId="372">
      <calculatedColumnFormula>VLOOKUP(Tabla16[[#This Row],[CÓDIGO DEL PRODUCTO Y/O SERVICIO ]],Tabla3[],9)</calculatedColumnFormula>
    </tableColumn>
    <tableColumn id="127" xr3:uid="{186F3474-8A32-4A4F-A0DF-9859A69D22B1}" name="CANTIDADES A UTILIZAR EN EL AÑO 2 7" dataDxfId="371">
      <calculatedColumnFormula>Tabla16[[#This Row],[CANTIDADES A UTILIZAR EN EL AÑO 1 7]]*(1+Tabla16[[#This Row],[CAMBIO PORCENTUAL EN UNIDADES VENDIDAS AÑO 2 7]])</calculatedColumnFormula>
    </tableColumn>
    <tableColumn id="128" xr3:uid="{A311AF4E-610B-44B7-B320-94F2B9DBF696}" name="CAMBIO PORCENTUAL EN UNIDADES VENDIDAS AÑO 3 7" dataDxfId="370">
      <calculatedColumnFormula>VLOOKUP(Tabla16[[#This Row],[CÓDIGO DEL PRODUCTO Y/O SERVICIO ]],Tabla3[],13)</calculatedColumnFormula>
    </tableColumn>
    <tableColumn id="129" xr3:uid="{427484B0-44A4-407F-9FCD-83492D662830}" name="CANTIDADES A UTILIZAR EN EL AÑO 3 7" dataDxfId="369">
      <calculatedColumnFormula>Tabla16[[#This Row],[CANTIDADES A UTILIZAR EN EL AÑO 2 7]]*(1+Tabla16[[#This Row],[CAMBIO PORCENTUAL EN UNIDADES VENDIDAS AÑO 3 7]])</calculatedColumnFormula>
    </tableColumn>
    <tableColumn id="130" xr3:uid="{8D132562-A25D-4F88-9E83-6D0919CF3EC9}" name="CAMBIO PORCENTUAL EN UNIDADES VENDIDAS AÑO 4 7" dataDxfId="368">
      <calculatedColumnFormula>VLOOKUP(Tabla16[[#This Row],[CÓDIGO DEL PRODUCTO Y/O SERVICIO ]],Tabla3[],17)</calculatedColumnFormula>
    </tableColumn>
    <tableColumn id="131" xr3:uid="{4C9372DF-DAC0-4F27-80A9-FFDA69D3466F}" name="CANTIDADES A UTILIZAR EN EL AÑO 4 7" dataDxfId="367">
      <calculatedColumnFormula>Tabla16[[#This Row],[CANTIDADES A UTILIZAR EN EL AÑO 3 7]]*(1+Tabla16[[#This Row],[CAMBIO PORCENTUAL EN UNIDADES VENDIDAS AÑO 4 7]])</calculatedColumnFormula>
    </tableColumn>
    <tableColumn id="132" xr3:uid="{E87B606F-8330-438B-9712-BBB5A3A73D3F}" name="CAMBIO PORCENTUAL EN UNIDADES VENDIDAS AÑO 5 7" dataDxfId="366">
      <calculatedColumnFormula>VLOOKUP(Tabla16[[#This Row],[CÓDIGO DEL PRODUCTO Y/O SERVICIO ]],Tabla3[],21)</calculatedColumnFormula>
    </tableColumn>
    <tableColumn id="133" xr3:uid="{B2A90202-3254-4B11-97E2-FCD0ABCAF3C0}" name="CANTIDADES A UTILIZAR AÑO 5 7" dataDxfId="365">
      <calculatedColumnFormula>Tabla16[[#This Row],[CANTIDADES A UTILIZAR EN EL AÑO 4 7]]*(1+Tabla16[[#This Row],[CAMBIO PORCENTUAL EN UNIDADES VENDIDAS AÑO 5 7]])</calculatedColumnFormula>
    </tableColumn>
    <tableColumn id="134" xr3:uid="{9B55705B-FEA5-43BC-95CD-65AE158D6E40}" name="COSTO POR UNIDAD DE PRODUCTO (7) " dataDxfId="364">
      <calculatedColumnFormula>IF(Tabla16[[#This Row],[CANTIDADES A UTILIZAR EN EL AÑO 1 7]]=0,0,Tabla16[[#This Row],[CANTIDADES A UTILIZAR EN EL AÑO 1 7]]*1/Tabla16[[#This Row],[UNIDADES PRODUCIDAS AÑO 1 7]])</calculatedColumnFormula>
    </tableColumn>
    <tableColumn id="135" xr3:uid="{FF721511-8E78-44CC-945E-A3EBB3099133}" name="COSTO UNITARIO AÑO 2 7" dataDxfId="363">
      <calculatedColumnFormula>$C$79*(1+BASES!$E$10)</calculatedColumnFormula>
    </tableColumn>
    <tableColumn id="136" xr3:uid="{B4536906-06B4-420F-B223-36945B8F384F}" name="COSTO UNITARIO AÑO 3 7" dataDxfId="362">
      <calculatedColumnFormula>Tabla16[[#This Row],[COSTO UNITARIO AÑO 2 7]]*(1+BASES!$F$10)</calculatedColumnFormula>
    </tableColumn>
    <tableColumn id="137" xr3:uid="{54651C8D-7F5A-40F1-A8BB-AEE8120FEAA8}" name="COSTO UNITARIO AÑO 4 7" dataDxfId="361">
      <calculatedColumnFormula>Tabla16[[#This Row],[COSTO UNITARIO AÑO 3 7]]*(1+BASES!$G$10)</calculatedColumnFormula>
    </tableColumn>
    <tableColumn id="138" xr3:uid="{89191E08-E13F-4F80-8DA4-7C2CBF83131D}" name="COSTO UNITARIO AÑO 5 7" dataDxfId="360">
      <calculatedColumnFormula>Tabla16[[#This Row],[COSTO UNITARIO AÑO 4 7]]*(1+BASES!$H$10)</calculatedColumnFormula>
    </tableColumn>
    <tableColumn id="139" xr3:uid="{D87AC894-1833-4ACE-AB64-69A3A3BB5711}" name="AÑO 1 7" dataDxfId="359">
      <calculatedColumnFormula>Tabla16[[#This Row],[COSTO POR UNIDAD DE PRODUCTO (7) ]]*$C$79*VLOOKUP(Tabla16[[#This Row],[CÓDIGO DEL PRODUCTO Y/O SERVICIO ]],Tabla3[],3)</calculatedColumnFormula>
    </tableColumn>
    <tableColumn id="140" xr3:uid="{77EC8869-CAF7-40C2-9771-C229B70000ED}" name="AÑO 2 7" dataDxfId="358">
      <calculatedColumnFormula>Tabla16[[#This Row],[COSTO POR UNIDAD DE PRODUCTO (7) ]]*Tabla16[[#This Row],[COSTO UNITARIO AÑO 2 7]]*VLOOKUP(Tabla16[[#This Row],[CÓDIGO DEL PRODUCTO Y/O SERVICIO ]],Tabla3[],6)</calculatedColumnFormula>
    </tableColumn>
    <tableColumn id="141" xr3:uid="{835A70F3-18B9-4A31-80D6-7E0187BF7EB9}" name="AÑO 3 7" dataDxfId="357">
      <calculatedColumnFormula>Tabla16[[#This Row],[COSTO POR UNIDAD DE PRODUCTO (7) ]]*Tabla16[[#This Row],[COSTO UNITARIO AÑO 3 7]]*VLOOKUP(Tabla16[[#This Row],[CÓDIGO DEL PRODUCTO Y/O SERVICIO ]],Tabla3[],10)</calculatedColumnFormula>
    </tableColumn>
    <tableColumn id="142" xr3:uid="{E5160343-A51C-4E51-9424-477C64A706C9}" name="AÑO 4 7" dataDxfId="356">
      <calculatedColumnFormula>Tabla16[[#This Row],[COSTO POR UNIDAD DE PRODUCTO (7) ]]*Tabla16[[#This Row],[COSTO UNITARIO AÑO 4 7]]*VLOOKUP(Tabla16[[#This Row],[CÓDIGO DEL PRODUCTO Y/O SERVICIO ]],Tabla3[],14)</calculatedColumnFormula>
    </tableColumn>
    <tableColumn id="143" xr3:uid="{DE3BF67B-FC2A-4008-B436-5F3419B9E45D}" name="AÑO 5 7" dataDxfId="355">
      <calculatedColumnFormula>Tabla16[[#This Row],[COSTO POR UNIDAD DE PRODUCTO (7) ]]*Tabla16[[#This Row],[COSTO UNITARIO AÑO 5 7]]*VLOOKUP(Tabla16[[#This Row],[CÓDIGO DEL PRODUCTO Y/O SERVICIO ]],Tabla3[],18)</calculatedColumnFormula>
    </tableColumn>
    <tableColumn id="144" xr3:uid="{5883F8D3-96CE-4397-98E7-E5A661530616}" name="UNIDADES PRODUCIDAS AÑO 1 8" dataDxfId="354">
      <calculatedColumnFormula>VLOOKUP(Tabla16[[#This Row],[CÓDIGO DEL PRODUCTO Y/O SERVICIO ]],Tabla3[],3)</calculatedColumnFormula>
    </tableColumn>
    <tableColumn id="145" xr3:uid="{0B539555-C586-47B2-B368-14E70A0B4E60}" name="CANTIDADES A UTILIZAR EN EL AÑO 1 8" dataDxfId="353">
      <calculatedColumnFormula>Tabla16[[#This Row],[UNIDADES PRODUCIDAS AÑO 1 8]]*M90</calculatedColumnFormula>
    </tableColumn>
    <tableColumn id="146" xr3:uid="{7E26A0EA-DB07-4B5B-AAB2-954802D8A23F}" name="CAMBIO PORCENTUAL EN UNIDADES VENDIDAS AÑO 2 8" dataDxfId="352">
      <calculatedColumnFormula>VLOOKUP(Tabla16[[#This Row],[CÓDIGO DEL PRODUCTO Y/O SERVICIO ]],Tabla3[],9)</calculatedColumnFormula>
    </tableColumn>
    <tableColumn id="147" xr3:uid="{C8D8E8E7-B983-4120-8975-0B59E2E03E4C}" name="CANTIDADES A UTILIZAR EN EL AÑO 2 8" dataDxfId="351">
      <calculatedColumnFormula>Tabla16[[#This Row],[CANTIDADES A UTILIZAR EN EL AÑO 1 8]]*(1+Tabla16[[#This Row],[CAMBIO PORCENTUAL EN UNIDADES VENDIDAS AÑO 2 8]])</calculatedColumnFormula>
    </tableColumn>
    <tableColumn id="148" xr3:uid="{CE700710-EDD6-4A3C-B8E5-7265A0EAA686}" name="CAMBIO PORCENTUAL EN UNIDADES VENDIDAS AÑO 3 8" dataDxfId="350">
      <calculatedColumnFormula>VLOOKUP(Tabla16[[#This Row],[CÓDIGO DEL PRODUCTO Y/O SERVICIO ]],Tabla3[],13)</calculatedColumnFormula>
    </tableColumn>
    <tableColumn id="149" xr3:uid="{101893A1-EF69-46E9-B7C0-DE23398F604A}" name="CANTIDADES A UTILIZAR EN EL AÑO 3 8" dataDxfId="349">
      <calculatedColumnFormula>Tabla16[[#This Row],[CANTIDADES A UTILIZAR EN EL AÑO 2 8]]*(1+Tabla16[[#This Row],[CAMBIO PORCENTUAL EN UNIDADES VENDIDAS AÑO 3 8]])</calculatedColumnFormula>
    </tableColumn>
    <tableColumn id="150" xr3:uid="{72C8AA65-DCD6-4CD4-8936-6206D98CCB31}" name="CAMBIO PORCENTUAL EN UNIDADES VENDIDAS AÑO 4 8" dataDxfId="348">
      <calculatedColumnFormula>VLOOKUP(Tabla16[[#This Row],[CÓDIGO DEL PRODUCTO Y/O SERVICIO ]],Tabla3[],17)</calculatedColumnFormula>
    </tableColumn>
    <tableColumn id="151" xr3:uid="{E3A1B29C-35C4-4820-AED6-22B2A50AFD8C}" name="CANTIDADES A UTILIZAR EN EL AÑO 4 8" dataDxfId="347">
      <calculatedColumnFormula>Tabla16[[#This Row],[CANTIDADES A UTILIZAR EN EL AÑO 3 8]]*(1+Tabla16[[#This Row],[CAMBIO PORCENTUAL EN UNIDADES VENDIDAS AÑO 4 8]])</calculatedColumnFormula>
    </tableColumn>
    <tableColumn id="152" xr3:uid="{060A240E-F7E0-4D6D-B567-15BA079F6F74}" name="CAMBIO PORCENTUAL EN UNIDADES VENDIDAS AÑO 5 8" dataDxfId="346">
      <calculatedColumnFormula>VLOOKUP(Tabla16[[#This Row],[CÓDIGO DEL PRODUCTO Y/O SERVICIO ]],Tabla3[],21)</calculatedColumnFormula>
    </tableColumn>
    <tableColumn id="153" xr3:uid="{E9B4A93A-D0F9-43DE-8877-7377EC33D8C1}" name="CANTIDADES A UTILIZAR AÑO 5 8" dataDxfId="345">
      <calculatedColumnFormula>Tabla16[[#This Row],[CANTIDADES A UTILIZAR EN EL AÑO 4 8]]*(1+Tabla16[[#This Row],[CAMBIO PORCENTUAL EN UNIDADES VENDIDAS AÑO 5 8]])</calculatedColumnFormula>
    </tableColumn>
    <tableColumn id="154" xr3:uid="{A6C4F466-34FB-45AD-828F-727FEA6D93CB}" name="COSTO POR UNIDAD DE PRODUCTO (8) " dataDxfId="344">
      <calculatedColumnFormula>IF(Tabla16[[#This Row],[CANTIDADES A UTILIZAR EN EL AÑO 1 8]]=0,0,Tabla16[[#This Row],[CANTIDADES A UTILIZAR EN EL AÑO 1 8]]*1/Tabla16[[#This Row],[UNIDADES PRODUCIDAS AÑO 1 8]])</calculatedColumnFormula>
    </tableColumn>
    <tableColumn id="155" xr3:uid="{D91653D5-1A1C-4BAC-BF70-AD37FD790C13}" name="COSTO UNITARIO AÑO 2 8" dataDxfId="343">
      <calculatedColumnFormula>$C$80*(1+BASES!$E$10)</calculatedColumnFormula>
    </tableColumn>
    <tableColumn id="156" xr3:uid="{E763B37D-055C-465B-9F44-F9B94DA60DEF}" name="COSTO UNITARIO AÑO 3 8" dataDxfId="342">
      <calculatedColumnFormula>Tabla16[[#This Row],[COSTO UNITARIO AÑO 2 8]]*(1+BASES!$F$10)</calculatedColumnFormula>
    </tableColumn>
    <tableColumn id="157" xr3:uid="{B53A858E-3B94-4F82-8C4C-0C48612027C5}" name="COSTO UNITARIO AÑO 4 8" dataDxfId="341">
      <calculatedColumnFormula>Tabla16[[#This Row],[COSTO UNITARIO AÑO 3 8]]*(1+BASES!$G$10)</calculatedColumnFormula>
    </tableColumn>
    <tableColumn id="158" xr3:uid="{FC16161C-8DE1-4703-938B-9661F4DCA355}" name="COSTO UNITARIO AÑO 5 8" dataDxfId="340">
      <calculatedColumnFormula>Tabla16[[#This Row],[COSTO UNITARIO AÑO 4 8]]*(1+BASES!$H$10)</calculatedColumnFormula>
    </tableColumn>
    <tableColumn id="159" xr3:uid="{15B696C1-BAA8-40F6-9946-545F78B5CD18}" name="AÑO 1 8" dataDxfId="339">
      <calculatedColumnFormula>Tabla16[[#This Row],[COSTO POR UNIDAD DE PRODUCTO (8) ]]*$C$80*VLOOKUP(Tabla16[[#This Row],[CÓDIGO DEL PRODUCTO Y/O SERVICIO ]],Tabla3[],3)</calculatedColumnFormula>
    </tableColumn>
    <tableColumn id="160" xr3:uid="{256BA217-C77B-410B-977F-3659F73EBF60}" name="AÑO 2 8" dataDxfId="338">
      <calculatedColumnFormula>Tabla16[[#This Row],[COSTO POR UNIDAD DE PRODUCTO (8) ]]*Tabla16[[#This Row],[COSTO UNITARIO AÑO 2 8]]*VLOOKUP(Tabla16[[#This Row],[CÓDIGO DEL PRODUCTO Y/O SERVICIO ]],Tabla3[],6)</calculatedColumnFormula>
    </tableColumn>
    <tableColumn id="161" xr3:uid="{84335DDA-F73E-431E-8460-B8B58C6E49C5}" name="AÑO 3 8" dataDxfId="337">
      <calculatedColumnFormula>Tabla16[[#This Row],[COSTO POR UNIDAD DE PRODUCTO (8) ]]*Tabla16[[#This Row],[COSTO UNITARIO AÑO 3 8]]*VLOOKUP(Tabla16[[#This Row],[CÓDIGO DEL PRODUCTO Y/O SERVICIO ]],Tabla3[],10)</calculatedColumnFormula>
    </tableColumn>
    <tableColumn id="162" xr3:uid="{4EFBD193-CA02-4A87-A1E4-4A8B4BE6A41E}" name="AÑO 4 8" dataDxfId="336">
      <calculatedColumnFormula>Tabla16[[#This Row],[COSTO POR UNIDAD DE PRODUCTO (8) ]]*Tabla16[[#This Row],[COSTO UNITARIO AÑO 4 8]]*VLOOKUP(Tabla16[[#This Row],[CÓDIGO DEL PRODUCTO Y/O SERVICIO ]],Tabla3[],14)</calculatedColumnFormula>
    </tableColumn>
    <tableColumn id="163" xr3:uid="{666233E4-F03A-4964-B81C-4ECCA79F0A33}" name="AÑO 5 8" dataDxfId="335">
      <calculatedColumnFormula>Tabla16[[#This Row],[COSTO POR UNIDAD DE PRODUCTO (8) ]]*Tabla16[[#This Row],[COSTO UNITARIO AÑO 5 8]]*VLOOKUP(Tabla16[[#This Row],[CÓDIGO DEL PRODUCTO Y/O SERVICIO ]],Tabla3[],18)</calculatedColumnFormula>
    </tableColumn>
    <tableColumn id="164" xr3:uid="{4293B87D-5A47-4C0F-A04E-0F310BA91A70}" name="UNIDADES PRODUCIDAS AÑO 1 9" dataDxfId="334">
      <calculatedColumnFormula>VLOOKUP(Tabla16[[#This Row],[CÓDIGO DEL PRODUCTO Y/O SERVICIO ]],Tabla3[],3)</calculatedColumnFormula>
    </tableColumn>
    <tableColumn id="165" xr3:uid="{4D61F16D-3817-4311-89FC-E72DABECA08A}" name="CANTIDADES A UTILIZAR EN EL AÑO 1 9" dataDxfId="333">
      <calculatedColumnFormula>Tabla16[[#This Row],[UNIDADES PRODUCIDAS AÑO 1 9]]*N90</calculatedColumnFormula>
    </tableColumn>
    <tableColumn id="166" xr3:uid="{DE92933D-E9A7-4E3F-BD28-4E3346DF0FA9}" name="CAMBIO PORCENTUAL EN UNIDADES VENDIDAS AÑO 2 9" dataDxfId="332">
      <calculatedColumnFormula>VLOOKUP(Tabla16[[#This Row],[CÓDIGO DEL PRODUCTO Y/O SERVICIO ]],Tabla3[],9)</calculatedColumnFormula>
    </tableColumn>
    <tableColumn id="167" xr3:uid="{E98B716B-FB2A-4ACA-A619-68C1B37D261B}" name="CANTIDADES A UTILIZAR EN EL AÑO 2 9" dataDxfId="331">
      <calculatedColumnFormula>Tabla16[[#This Row],[CANTIDADES A UTILIZAR EN EL AÑO 1 9]]*(1+Tabla16[[#This Row],[CAMBIO PORCENTUAL EN UNIDADES VENDIDAS AÑO 2 9]])</calculatedColumnFormula>
    </tableColumn>
    <tableColumn id="168" xr3:uid="{CE7D15D4-B4B2-4541-B84E-9FEE097FC2A3}" name="CAMBIO PORCENTUAL EN UNIDADES VENDIDAS AÑO 3 9" dataDxfId="330">
      <calculatedColumnFormula>VLOOKUP(Tabla16[[#This Row],[CÓDIGO DEL PRODUCTO Y/O SERVICIO ]],Tabla3[],13)</calculatedColumnFormula>
    </tableColumn>
    <tableColumn id="169" xr3:uid="{F179904F-3E7F-4743-BA78-595C5435D64A}" name="CANTIDADES A UTILIZAR EN EL AÑO 3 9" dataDxfId="329">
      <calculatedColumnFormula>Tabla16[[#This Row],[CANTIDADES A UTILIZAR EN EL AÑO 2 9]]*(1+Tabla16[[#This Row],[CAMBIO PORCENTUAL EN UNIDADES VENDIDAS AÑO 3 9]])</calculatedColumnFormula>
    </tableColumn>
    <tableColumn id="170" xr3:uid="{1BC2208B-D7D1-44FB-A090-940155C26CE5}" name="CAMBIO PORCENTUAL EN UNIDADES VENDIDAS AÑO 4 9" dataDxfId="328">
      <calculatedColumnFormula>VLOOKUP(Tabla16[[#This Row],[CÓDIGO DEL PRODUCTO Y/O SERVICIO ]],Tabla3[],17)</calculatedColumnFormula>
    </tableColumn>
    <tableColumn id="171" xr3:uid="{19447175-9E49-47D2-92FB-F00332543B5D}" name="CANTIDADES A UTILIZAR EN EL AÑO 4 9" dataDxfId="327">
      <calculatedColumnFormula>Tabla16[[#This Row],[CANTIDADES A UTILIZAR EN EL AÑO 3 9]]*(1+Tabla16[[#This Row],[CAMBIO PORCENTUAL EN UNIDADES VENDIDAS AÑO 4 9]])</calculatedColumnFormula>
    </tableColumn>
    <tableColumn id="172" xr3:uid="{D69C8C29-CAAD-42AB-A09D-B35233015F09}" name="CAMBIO PORCENTUAL EN UNIDADES VENDIDAS AÑO 5 9" dataDxfId="326">
      <calculatedColumnFormula>VLOOKUP(Tabla16[[#This Row],[CÓDIGO DEL PRODUCTO Y/O SERVICIO ]],Tabla3[],21)</calculatedColumnFormula>
    </tableColumn>
    <tableColumn id="173" xr3:uid="{B83160F1-0EEF-48F3-99B3-6DC407A93C4D}" name="CANTIDADES A UTILIZAR AÑO 5 9" dataDxfId="325">
      <calculatedColumnFormula>Tabla16[[#This Row],[CANTIDADES A UTILIZAR EN EL AÑO 4 9]]*(1+Tabla16[[#This Row],[CAMBIO PORCENTUAL EN UNIDADES VENDIDAS AÑO 5 9]])</calculatedColumnFormula>
    </tableColumn>
    <tableColumn id="174" xr3:uid="{CDF3A39B-2186-49C0-9975-72759C6819A3}" name="COSTO POR UNIDAD DE PRODUCTO (9) " dataDxfId="324">
      <calculatedColumnFormula>IF(Tabla16[[#This Row],[CANTIDADES A UTILIZAR EN EL AÑO 1 9]]=0,0,Tabla16[[#This Row],[CANTIDADES A UTILIZAR EN EL AÑO 1 9]]*1/Tabla16[[#This Row],[UNIDADES PRODUCIDAS AÑO 1 9]])</calculatedColumnFormula>
    </tableColumn>
    <tableColumn id="175" xr3:uid="{F98A7D3F-BAE3-4874-9FBE-92539486CF35}" name="COSTO UNITARIO AÑO 2 9" dataDxfId="323">
      <calculatedColumnFormula>$C$81*(1+BASES!$E$10)</calculatedColumnFormula>
    </tableColumn>
    <tableColumn id="176" xr3:uid="{595F05C5-7E53-4C1B-AF17-9FF4C6905303}" name="COSTO UNITARIO AÑO 3 9" dataDxfId="322">
      <calculatedColumnFormula>Tabla16[[#This Row],[COSTO UNITARIO AÑO 2 9]]*(1+BASES!$F$10)</calculatedColumnFormula>
    </tableColumn>
    <tableColumn id="177" xr3:uid="{7DBA84D0-6B7B-4D87-92AF-7ECC61ACE0D8}" name="COSTO UNITARIO AÑO 4 9" dataDxfId="321">
      <calculatedColumnFormula>Tabla16[[#This Row],[COSTO UNITARIO AÑO 3 9]]*(1+BASES!$G$10)</calculatedColumnFormula>
    </tableColumn>
    <tableColumn id="178" xr3:uid="{9C0D27E1-D1C5-4530-BC9D-46EA49744D59}" name="COSTO UNITARIO AÑO 5 9" dataDxfId="320">
      <calculatedColumnFormula>Tabla16[[#This Row],[COSTO UNITARIO AÑO 4 9]]*(1+BASES!$H$10)</calculatedColumnFormula>
    </tableColumn>
    <tableColumn id="179" xr3:uid="{FC3FAB8C-3B61-42CC-84A5-A0C30DB52475}" name="AÑO 1 9" dataDxfId="319">
      <calculatedColumnFormula>Tabla16[[#This Row],[COSTO POR UNIDAD DE PRODUCTO (9) ]]*$C$81*VLOOKUP(Tabla16[[#This Row],[CÓDIGO DEL PRODUCTO Y/O SERVICIO ]],Tabla3[],3)</calculatedColumnFormula>
    </tableColumn>
    <tableColumn id="180" xr3:uid="{611E4CF5-AC29-4B46-AEFB-3FAECC07EC85}" name="AÑO 2 9" dataDxfId="318">
      <calculatedColumnFormula>Tabla16[[#This Row],[COSTO POR UNIDAD DE PRODUCTO (9) ]]*Tabla16[[#This Row],[COSTO UNITARIO AÑO 2 9]]*VLOOKUP(Tabla16[[#This Row],[CÓDIGO DEL PRODUCTO Y/O SERVICIO ]],Tabla3[],6)</calculatedColumnFormula>
    </tableColumn>
    <tableColumn id="181" xr3:uid="{759DDEA8-0C1D-488A-99FB-04A7BFA82C77}" name="AÑO 3 9" dataDxfId="317">
      <calculatedColumnFormula>Tabla16[[#This Row],[COSTO POR UNIDAD DE PRODUCTO (9) ]]*Tabla16[[#This Row],[COSTO UNITARIO AÑO 3 9]]*VLOOKUP(Tabla16[[#This Row],[CÓDIGO DEL PRODUCTO Y/O SERVICIO ]],Tabla3[],10)</calculatedColumnFormula>
    </tableColumn>
    <tableColumn id="182" xr3:uid="{693A83A7-2173-46E3-BE52-A5F8D65F27EA}" name="AÑO 4 9" dataDxfId="316">
      <calculatedColumnFormula>Tabla16[[#This Row],[COSTO POR UNIDAD DE PRODUCTO (9) ]]*Tabla16[[#This Row],[COSTO UNITARIO AÑO 4 9]]*VLOOKUP(Tabla16[[#This Row],[CÓDIGO DEL PRODUCTO Y/O SERVICIO ]],Tabla3[],14)</calculatedColumnFormula>
    </tableColumn>
    <tableColumn id="183" xr3:uid="{70910D41-A5CD-48AD-82F2-5BDE5354B38A}" name="AÑO 5 9" dataDxfId="315">
      <calculatedColumnFormula>Tabla16[[#This Row],[COSTO POR UNIDAD DE PRODUCTO (9) ]]*Tabla16[[#This Row],[COSTO UNITARIO AÑO 5 9]]*VLOOKUP(Tabla16[[#This Row],[CÓDIGO DEL PRODUCTO Y/O SERVICIO ]],Tabla3[],18)</calculatedColumnFormula>
    </tableColumn>
    <tableColumn id="184" xr3:uid="{4E3A1367-48D1-4399-B09F-B443D89B7BE1}" name="UNIDADES PRODUCIDAS AÑO 1 10" dataDxfId="314">
      <calculatedColumnFormula>VLOOKUP(Tabla16[[#This Row],[CÓDIGO DEL PRODUCTO Y/O SERVICIO ]],Tabla3[],3)</calculatedColumnFormula>
    </tableColumn>
    <tableColumn id="185" xr3:uid="{2305F3AC-39F9-4B6E-82C6-A1A9DB3E4C69}" name="CANTIDADES A UTILIZAR EN EL AÑO 1 10" dataDxfId="313">
      <calculatedColumnFormula>Tabla16[[#This Row],[UNIDADES PRODUCIDAS AÑO 1 10]]*O90</calculatedColumnFormula>
    </tableColumn>
    <tableColumn id="186" xr3:uid="{41131F7C-86D9-4B53-B19B-691AAB564653}" name="CAMBIO PORCENTUAL EN UNIDADES VENDIDAS AÑO 2 10" dataDxfId="312">
      <calculatedColumnFormula>VLOOKUP(Tabla16[[#This Row],[CÓDIGO DEL PRODUCTO Y/O SERVICIO ]],Tabla3[],9)</calculatedColumnFormula>
    </tableColumn>
    <tableColumn id="187" xr3:uid="{4DAEE7A4-5B96-4CE3-8427-C89F4BF7EE6C}" name="CANTIDADES A UTILIZAR EN EL AÑO 2 10" dataDxfId="311">
      <calculatedColumnFormula>Tabla16[[#This Row],[CANTIDADES A UTILIZAR EN EL AÑO 1 10]]*(1+Tabla16[[#This Row],[CAMBIO PORCENTUAL EN UNIDADES VENDIDAS AÑO 2 10]])</calculatedColumnFormula>
    </tableColumn>
    <tableColumn id="188" xr3:uid="{E9F7FB5B-B2E9-40CA-B4B5-45275974A05A}" name="CAMBIO PORCENTUAL EN UNIDADES VENDIDAS AÑO 3 10" dataDxfId="310">
      <calculatedColumnFormula>VLOOKUP(Tabla16[[#This Row],[CÓDIGO DEL PRODUCTO Y/O SERVICIO ]],Tabla3[],13)</calculatedColumnFormula>
    </tableColumn>
    <tableColumn id="189" xr3:uid="{569C241B-A8CE-483E-9EA1-656B78EA4815}" name="CANTIDADES A UTILIZAR EN EL AÑO 3 10" dataDxfId="309">
      <calculatedColumnFormula>Tabla16[[#This Row],[CANTIDADES A UTILIZAR EN EL AÑO 2 10]]*(1+Tabla16[[#This Row],[CAMBIO PORCENTUAL EN UNIDADES VENDIDAS AÑO 3 10]])</calculatedColumnFormula>
    </tableColumn>
    <tableColumn id="190" xr3:uid="{F26CC5F2-4E0F-4384-8572-5D64D41D766D}" name="CAMBIO PORCENTUAL EN UNIDADES VENDIDAS AÑO 4 10 " dataDxfId="308">
      <calculatedColumnFormula>VLOOKUP(Tabla16[[#This Row],[CÓDIGO DEL PRODUCTO Y/O SERVICIO ]],Tabla3[],17)</calculatedColumnFormula>
    </tableColumn>
    <tableColumn id="191" xr3:uid="{4513807D-9B7B-484C-BD5A-4341417106ED}" name="CANTIDADES A UTILIZAR EN EL AÑO 4 10" dataDxfId="307">
      <calculatedColumnFormula>Tabla16[[#This Row],[CANTIDADES A UTILIZAR EN EL AÑO 3 10]]*(1+Tabla16[[#This Row],[CAMBIO PORCENTUAL EN UNIDADES VENDIDAS AÑO 4 10 ]])</calculatedColumnFormula>
    </tableColumn>
    <tableColumn id="192" xr3:uid="{F645EEAC-B6F6-4126-AA65-1229E5514070}" name="CAMBIO PORCENTUAL EN UNIDADES VENDIDAS AÑO 5 10" dataDxfId="306">
      <calculatedColumnFormula>VLOOKUP(Tabla16[[#This Row],[CÓDIGO DEL PRODUCTO Y/O SERVICIO ]],Tabla3[],21)</calculatedColumnFormula>
    </tableColumn>
    <tableColumn id="193" xr3:uid="{C42A9F8D-D66A-4E2C-89B4-67F3EFEF4629}" name="CANTIDADES A UTILIZAR AÑO 5 10" dataDxfId="305">
      <calculatedColumnFormula>Tabla16[[#This Row],[CANTIDADES A UTILIZAR EN EL AÑO 4 10]]*(1+Tabla16[[#This Row],[CAMBIO PORCENTUAL EN UNIDADES VENDIDAS AÑO 5 10]])</calculatedColumnFormula>
    </tableColumn>
    <tableColumn id="194" xr3:uid="{A23AFC2E-EBEC-421B-823E-65EBC4D26BAC}" name="COSTO POR UNIDAD DE PRODUCTO (10) " dataDxfId="304">
      <calculatedColumnFormula>IF(Tabla16[[#This Row],[CANTIDADES A UTILIZAR EN EL AÑO 1 10]]=0,0,Tabla16[[#This Row],[CANTIDADES A UTILIZAR EN EL AÑO 1 10]]*1/Tabla16[[#This Row],[UNIDADES PRODUCIDAS AÑO 1 10]])</calculatedColumnFormula>
    </tableColumn>
    <tableColumn id="195" xr3:uid="{59E90354-1EE4-472C-925D-BC3B60B0A5C8}" name="COSTO UNITARIO AÑO 2 10" dataDxfId="303">
      <calculatedColumnFormula>$C$82*(1+BASES!$E$10)</calculatedColumnFormula>
    </tableColumn>
    <tableColumn id="196" xr3:uid="{BD11A68B-34FD-4A5F-A4D2-4A92017924B9}" name="COSTO UNITARIO AÑO 3 10" dataDxfId="302">
      <calculatedColumnFormula>Tabla16[[#This Row],[COSTO UNITARIO AÑO 2 10]]*(1+BASES!$F$10)</calculatedColumnFormula>
    </tableColumn>
    <tableColumn id="197" xr3:uid="{94827F2B-F112-4BFF-A5F4-1BF4C029F935}" name="COSTO UNITARIO AÑO 4 10" dataDxfId="301">
      <calculatedColumnFormula>Tabla16[[#This Row],[COSTO UNITARIO AÑO 3 10]]*(1+BASES!$G$10)</calculatedColumnFormula>
    </tableColumn>
    <tableColumn id="198" xr3:uid="{78E8BDFB-4473-45F7-B293-03453BB2C5B7}" name="COSTO UNITARIO AÑO 5 10" dataDxfId="300">
      <calculatedColumnFormula>Tabla16[[#This Row],[COSTO UNITARIO AÑO 4 10]]*(1+BASES!$H$10)</calculatedColumnFormula>
    </tableColumn>
    <tableColumn id="199" xr3:uid="{EEAD8B9C-9B3F-4C1A-B623-561C1F6AB355}" name="AÑO 1 10" dataDxfId="299">
      <calculatedColumnFormula>Tabla16[[#This Row],[COSTO POR UNIDAD DE PRODUCTO (10) ]]*C82*VLOOKUP(Tabla16[[#This Row],[CÓDIGO DEL PRODUCTO Y/O SERVICIO ]],Tabla3[],3)</calculatedColumnFormula>
    </tableColumn>
    <tableColumn id="200" xr3:uid="{A29E3CF7-221F-486B-8869-136861C5934E}" name="AÑO 2 10" dataDxfId="298">
      <calculatedColumnFormula>Tabla16[[#This Row],[COSTO POR UNIDAD DE PRODUCTO (10) ]]*Tabla16[[#This Row],[COSTO UNITARIO AÑO 2 10]]*VLOOKUP(Tabla16[[#This Row],[CÓDIGO DEL PRODUCTO Y/O SERVICIO ]],Tabla3[],6)</calculatedColumnFormula>
    </tableColumn>
    <tableColumn id="201" xr3:uid="{911D3468-52D2-4F72-97E6-8B7FB7E34B2E}" name="AÑO 3 10" dataDxfId="297">
      <calculatedColumnFormula>Tabla16[[#This Row],[COSTO POR UNIDAD DE PRODUCTO (10) ]]*Tabla16[[#This Row],[COSTO UNITARIO AÑO 3 10]]*VLOOKUP(Tabla16[[#This Row],[CÓDIGO DEL PRODUCTO Y/O SERVICIO ]],Tabla3[],10)</calculatedColumnFormula>
    </tableColumn>
    <tableColumn id="202" xr3:uid="{1972820F-DA3D-4A93-906E-459451217190}" name="AÑO 4 10" dataDxfId="296">
      <calculatedColumnFormula>Tabla16[[#This Row],[COSTO POR UNIDAD DE PRODUCTO (10) ]]*Tabla16[[#This Row],[COSTO UNITARIO AÑO 4 10]]*VLOOKUP(Tabla16[[#This Row],[CÓDIGO DEL PRODUCTO Y/O SERVICIO ]],Tabla3[],14)</calculatedColumnFormula>
    </tableColumn>
    <tableColumn id="203" xr3:uid="{70C05DCF-F2D4-4E1A-B4CB-2288F9BFBC26}" name="AÑO 5 10" dataDxfId="295">
      <calculatedColumnFormula>Tabla16[[#This Row],[COSTO POR UNIDAD DE PRODUCTO (10) ]]*Tabla16[[#This Row],[COSTO UNITARIO AÑO 5 10]]*VLOOKUP(Tabla16[[#This Row],[CÓDIGO DEL PRODUCTO Y/O SERVICIO ]],Tabla3[],18)</calculatedColumnFormula>
    </tableColumn>
    <tableColumn id="204" xr3:uid="{AE3F8B97-A3A7-4BC2-86B9-C4AA2B949C00}" name="AÑO 1 11" dataDxfId="294">
      <calculatedColumnFormula>Tabla16[[#This Row],[AÑO 1 10]]+Tabla16[[#This Row],[AÑO 1 9]]+Tabla16[[#This Row],[AÑO 1 8]]+Tabla16[[#This Row],[AÑO 1 7]]+Tabla16[[#This Row],[AÑO 1 6]]+Tabla16[[#This Row],[AÑO 1 5]]+Tabla16[[#This Row],[AÑO 1 4]]+Tabla16[[#This Row],[AÑO 1 3]]+Tabla16[[#This Row],[AÑO 1 2]]+Tabla16[[#This Row],[AÑO 1 1]]</calculatedColumnFormula>
    </tableColumn>
    <tableColumn id="205" xr3:uid="{502C8C02-82E5-4F64-87B8-44CE99A614F0}" name="AÑO 2 11" dataDxfId="293">
      <calculatedColumnFormula>Tabla16[[#This Row],[AÑO 2 10]]+Tabla16[[#This Row],[AÑO 2 9]]+Tabla16[[#This Row],[AÑO 2 8]]+Tabla16[[#This Row],[AÑO 2 7]]+Tabla16[[#This Row],[AÑO 2 6]]+Tabla16[[#This Row],[AÑO 2 5]]+Tabla16[[#This Row],[AÑO 2 4]]+Tabla16[[#This Row],[AÑO 2 3]]+Tabla16[[#This Row],[AÑO 2 2]]+Tabla16[[#This Row],[AÑO 2 1]]</calculatedColumnFormula>
    </tableColumn>
    <tableColumn id="206" xr3:uid="{551FF94C-8899-45EF-B415-A62B4B8F6B69}" name="AÑO 3 11" dataDxfId="292">
      <calculatedColumnFormula>Tabla16[[#This Row],[AÑO 3 10]]+Tabla16[[#This Row],[AÑO 3 9]]+Tabla16[[#This Row],[AÑO 3 8]]+Tabla16[[#This Row],[AÑO 3 7]]+Tabla16[[#This Row],[AÑO 3 6]]+Tabla16[[#This Row],[AÑO 3 5]]+Tabla16[[#This Row],[AÑO 3 4]]+Tabla16[[#This Row],[AÑO 3 3]]+Tabla16[[#This Row],[AÑO 3 2]]+Tabla16[[#This Row],[AÑO 3 1]]</calculatedColumnFormula>
    </tableColumn>
    <tableColumn id="207" xr3:uid="{598112E8-B044-4CB6-93F8-3814882BD185}" name="AÑO 4 11 " dataDxfId="291">
      <calculatedColumnFormula>Tabla16[[#This Row],[AÑO 4 10]]+Tabla16[[#This Row],[AÑO 4 9]]+Tabla16[[#This Row],[AÑO 4 8]]+Tabla16[[#This Row],[AÑO 4 7]]+Tabla16[[#This Row],[AÑO 4 6]]+Tabla16[[#This Row],[AÑO 4 5]]+Tabla16[[#This Row],[AÑO 4 4 ]]+Tabla16[[#This Row],[AÑO 4 3]]+Tabla16[[#This Row],[AÑO 4 2]]+Tabla16[[#This Row],[AÑO 4 1]]</calculatedColumnFormula>
    </tableColumn>
    <tableColumn id="208" xr3:uid="{18DBACEA-CDF2-4A02-98BD-42F4B90C4C79}" name="AÑO 5 11" dataDxfId="290">
      <calculatedColumnFormula>Tabla16[[#This Row],[AÑO 5 10]]+Tabla16[[#This Row],[AÑO 5 9]]+Tabla16[[#This Row],[AÑO 5 8]]+Tabla16[[#This Row],[AÑO 5 7]]+Tabla16[[#This Row],[AÑO 5 6]]+Tabla16[[#This Row],[AÑO 5 5]]+Tabla16[[#This Row],[AÑO 5 4]]+Tabla16[[#This Row],[AÑO 5 3]]+Tabla16[[#This Row],[AÑO 5 2]]+Tabla16[[#This Row],[AÑO 5 1]]</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A13012B-DA4B-4DE6-9648-4DA8844CD249}" name="Tabla12" displayName="Tabla12" ref="C163:HB165" totalsRowShown="0" headerRowDxfId="289" dataDxfId="288">
  <autoFilter ref="C163:HB165" xr:uid="{EDC1A1A3-464B-4B66-92F0-1ABE08756469}"/>
  <tableColumns count="208">
    <tableColumn id="1" xr3:uid="{24B30079-F384-4AE2-8673-40647ED34EB2}" name="CÓDIGO DEL PRODUCTO Y/O SERVICIO " dataDxfId="287"/>
    <tableColumn id="2" xr3:uid="{307C8293-2B1D-43BF-BD6F-F8EFD3EE0ADC}" name="NOMBRE DEL PRODUCTO Y/O SERVICIO " dataDxfId="286">
      <calculatedColumnFormula>VLOOKUP(Tabla12[[#This Row],[CÓDIGO DEL PRODUCTO Y/O SERVICIO ]],Tabla3[],2,0)</calculatedColumnFormula>
    </tableColumn>
    <tableColumn id="3" xr3:uid="{DB8595CD-53F1-4CCD-B4FD-A2416AC0297A}" name="Columna1" dataDxfId="285"/>
    <tableColumn id="4" xr3:uid="{3569348D-0095-45F7-82A9-2B29D47CB67B}" name="UNIDADES PRODUCIDAS AÑO 1 1 " dataDxfId="284">
      <calculatedColumnFormula>VLOOKUP(Tabla12[[#This Row],[CÓDIGO DEL PRODUCTO Y/O SERVICIO ]],Tabla3[],3)</calculatedColumnFormula>
    </tableColumn>
    <tableColumn id="5" xr3:uid="{A4D0F0D7-32EC-47B6-BCD8-601786CE25C4}" name="CANTIDADES A UTILIZAR EN EL AÑO 1 1" dataDxfId="283">
      <calculatedColumnFormula>Tabla12[[#This Row],[UNIDADES PRODUCIDAS AÑO 1 1 ]]*$F$145</calculatedColumnFormula>
    </tableColumn>
    <tableColumn id="6" xr3:uid="{08C5A45F-3F9A-46D9-8C9C-E2574EF4335D}" name="CAMBIO PORCENTUAL EN UNIDADES VENDIDAS AÑO 2 1 " dataDxfId="282">
      <calculatedColumnFormula>VLOOKUP(Tabla12[[#This Row],[CÓDIGO DEL PRODUCTO Y/O SERVICIO ]],Tabla3[],9)</calculatedColumnFormula>
    </tableColumn>
    <tableColumn id="7" xr3:uid="{48A57D7A-6AE0-4809-9B40-CF063C881F0F}" name="CANTIDADES A UTILIZAR EN EL AÑO 2 1" dataDxfId="281">
      <calculatedColumnFormula>Tabla12[[#This Row],[CANTIDADES A UTILIZAR EN EL AÑO 1 1]]*(1+Tabla12[[#This Row],[CAMBIO PORCENTUAL EN UNIDADES VENDIDAS AÑO 2 1 ]])</calculatedColumnFormula>
    </tableColumn>
    <tableColumn id="8" xr3:uid="{9277AE84-3477-4AE7-8732-FE211A931EC2}" name="CAMBIO PORCENTUAL EN UNIDADES VENDIDAS AÑO 3 1 " dataDxfId="280">
      <calculatedColumnFormula>VLOOKUP(Tabla12[[#This Row],[CÓDIGO DEL PRODUCTO Y/O SERVICIO ]],Tabla3[],13)</calculatedColumnFormula>
    </tableColumn>
    <tableColumn id="9" xr3:uid="{90EDD9B1-A508-406E-AD9D-755073F341A4}" name="CANTIDADES A UTILIZAR EN EL AÑO 3 1 " dataDxfId="279">
      <calculatedColumnFormula>Tabla12[[#This Row],[CANTIDADES A UTILIZAR EN EL AÑO 2 1]]*(1+Tabla12[[#This Row],[CAMBIO PORCENTUAL EN UNIDADES VENDIDAS AÑO 3 1 ]])</calculatedColumnFormula>
    </tableColumn>
    <tableColumn id="10" xr3:uid="{C4E702E2-14C7-457D-BAF6-72E4D84890B0}" name="CAMBIO PORCENTUAL EN UNIDADES VENDIDAS AÑO 4 1" dataDxfId="278">
      <calculatedColumnFormula>VLOOKUP(Tabla12[[#This Row],[CÓDIGO DEL PRODUCTO Y/O SERVICIO ]],Tabla3[],17)</calculatedColumnFormula>
    </tableColumn>
    <tableColumn id="11" xr3:uid="{3D02C715-0946-42EA-8308-4B3ECD795ACF}" name="CANTIDADES A UTILIZAR EN EL AÑO 4 1 " dataDxfId="277">
      <calculatedColumnFormula>Tabla12[[#This Row],[CANTIDADES A UTILIZAR EN EL AÑO 3 1 ]]*(1+Tabla12[[#This Row],[CAMBIO PORCENTUAL EN UNIDADES VENDIDAS AÑO 4 1]])</calculatedColumnFormula>
    </tableColumn>
    <tableColumn id="12" xr3:uid="{287C026D-AD42-43F8-A515-B3A253C9F7C1}" name="CAMBIO PORCENTUAL EN UNIDADES VENDIDAS AÑO 5 1 " dataDxfId="276">
      <calculatedColumnFormula>VLOOKUP(Tabla12[[#This Row],[CÓDIGO DEL PRODUCTO Y/O SERVICIO ]],Tabla3[],21)</calculatedColumnFormula>
    </tableColumn>
    <tableColumn id="13" xr3:uid="{F3A0F137-E19A-4AD2-A1FD-1B425D5DD563}" name="CANTIDADES A UTILIZAR AÑO 5 1 " dataDxfId="275">
      <calculatedColumnFormula>Tabla12[[#This Row],[CANTIDADES A UTILIZAR EN EL AÑO 4 1 ]]*(1+Tabla12[[#This Row],[CAMBIO PORCENTUAL EN UNIDADES VENDIDAS AÑO 5 1 ]])</calculatedColumnFormula>
    </tableColumn>
    <tableColumn id="14" xr3:uid="{4FA899AE-E477-44AA-8DCC-8C5105D6A9B0}" name="COSTO POR UNIDAD DE PRODUCTO (1)" dataDxfId="274">
      <calculatedColumnFormula>IF(Tabla12[[#This Row],[CANTIDADES A UTILIZAR EN EL AÑO 1 1]]=0,0,Tabla12[[#This Row],[CANTIDADES A UTILIZAR EN EL AÑO 1 1]]*1/Tabla12[[#This Row],[UNIDADES PRODUCIDAS AÑO 1 1 ]])</calculatedColumnFormula>
    </tableColumn>
    <tableColumn id="15" xr3:uid="{CC4B74BE-B279-49C5-8255-8D227B3F0B8D}" name="COSTO UNITARIO AÑO 2 1 " dataDxfId="273">
      <calculatedColumnFormula>$C$128*(1+BASES!$E$10)</calculatedColumnFormula>
    </tableColumn>
    <tableColumn id="16" xr3:uid="{DEC482FB-A47E-4A45-AD43-17495D38535E}" name="COSTO UNITARIO AÑO 3 1 " dataDxfId="272">
      <calculatedColumnFormula>Tabla12[[#This Row],[COSTO UNITARIO AÑO 2 1 ]]*(1+BASES!$F$10)</calculatedColumnFormula>
    </tableColumn>
    <tableColumn id="17" xr3:uid="{74451941-D991-4D24-B193-79B28E2B6490}" name="COSTO UNITARIO AÑO 4 1 " dataDxfId="271">
      <calculatedColumnFormula>Tabla12[[#This Row],[COSTO UNITARIO AÑO 3 1 ]]*(1+BASES!$G$10)</calculatedColumnFormula>
    </tableColumn>
    <tableColumn id="18" xr3:uid="{04205AFB-2F0D-44A7-8C42-5D36974605D6}" name="COSTO UNITARIO AÑO 5 1 " dataDxfId="270">
      <calculatedColumnFormula>Tabla12[[#This Row],[COSTO UNITARIO AÑO 4 1 ]]*(1+BASES!$H$10)</calculatedColumnFormula>
    </tableColumn>
    <tableColumn id="19" xr3:uid="{D4D61F37-0540-4EAF-9F44-D3DE1CF22D69}" name="AÑO 1 1" dataDxfId="269">
      <calculatedColumnFormula>Tabla12[[#This Row],[COSTO POR UNIDAD DE PRODUCTO (1)]]*$C$128*VLOOKUP(Tabla12[[#This Row],[CÓDIGO DEL PRODUCTO Y/O SERVICIO ]],Tabla3[],3)</calculatedColumnFormula>
    </tableColumn>
    <tableColumn id="20" xr3:uid="{88C63B24-6161-4476-B64A-E3C2DB1B897F}" name="AÑO 2 1 " dataDxfId="268">
      <calculatedColumnFormula>Tabla12[[#This Row],[COSTO POR UNIDAD DE PRODUCTO (1)]]*Tabla12[[#This Row],[COSTO UNITARIO AÑO 2 1 ]]*VLOOKUP(Tabla12[[#This Row],[CÓDIGO DEL PRODUCTO Y/O SERVICIO ]],Tabla3[],6)</calculatedColumnFormula>
    </tableColumn>
    <tableColumn id="21" xr3:uid="{0C8E1682-962C-421A-BCB0-3D5F6DAE3A23}" name="AÑO 3 1 " dataDxfId="267">
      <calculatedColumnFormula>Tabla12[[#This Row],[COSTO POR UNIDAD DE PRODUCTO (1)]]*Tabla12[[#This Row],[COSTO UNITARIO AÑO 3 1 ]]*VLOOKUP(Tabla12[[#This Row],[CÓDIGO DEL PRODUCTO Y/O SERVICIO ]],Tabla3[],10)</calculatedColumnFormula>
    </tableColumn>
    <tableColumn id="22" xr3:uid="{EE8C398D-9848-4AAE-8CD9-453CD44624B1}" name="AÑO 4 1 " dataDxfId="266">
      <calculatedColumnFormula>Tabla12[[#This Row],[COSTO POR UNIDAD DE PRODUCTO (1)]]*Tabla12[[#This Row],[COSTO UNITARIO AÑO 4 1 ]]*VLOOKUP(Tabla12[[#This Row],[CÓDIGO DEL PRODUCTO Y/O SERVICIO ]],Tabla3[],14)</calculatedColumnFormula>
    </tableColumn>
    <tableColumn id="23" xr3:uid="{77F8E5DB-210B-4DFF-92F6-F778BD1AC666}" name="AÑO 5 1 " dataDxfId="265">
      <calculatedColumnFormula>Tabla12[[#This Row],[COSTO POR UNIDAD DE PRODUCTO (1)]]*Tabla12[[#This Row],[COSTO UNITARIO AÑO 5 1 ]]*VLOOKUP(Tabla12[[#This Row],[CÓDIGO DEL PRODUCTO Y/O SERVICIO ]],Tabla3[],18)</calculatedColumnFormula>
    </tableColumn>
    <tableColumn id="24" xr3:uid="{24EFB5F7-656B-4B7F-B503-961F19598B53}" name="UNIDADES PRODUCIDAS AÑO 1 2" dataDxfId="264">
      <calculatedColumnFormula>VLOOKUP(Tabla12[[#This Row],[CÓDIGO DEL PRODUCTO Y/O SERVICIO ]],Tabla3[],3)</calculatedColumnFormula>
    </tableColumn>
    <tableColumn id="25" xr3:uid="{8B412697-5A85-490F-8E3A-71B85BA1C2B2}" name="CANTIDADES A UTILIZAR EN EL AÑO 1 2 " dataDxfId="263">
      <calculatedColumnFormula>Tabla12[[#This Row],[UNIDADES PRODUCIDAS AÑO 1 2]]*G145</calculatedColumnFormula>
    </tableColumn>
    <tableColumn id="26" xr3:uid="{77062859-44B3-4396-835A-42D51DF58D30}" name="CAMBIO PORCENTUAL EN UNIDADES VENDIDAS AÑO 2 2 " dataDxfId="262">
      <calculatedColumnFormula>VLOOKUP(Tabla12[[#This Row],[CÓDIGO DEL PRODUCTO Y/O SERVICIO ]],Tabla3[],9)</calculatedColumnFormula>
    </tableColumn>
    <tableColumn id="27" xr3:uid="{07A34753-6472-4919-A43F-0855E97D1EE9}" name="CANTIDADES A UTILIZAR EN EL AÑO 2 2 " dataDxfId="261">
      <calculatedColumnFormula>Tabla12[[#This Row],[CANTIDADES A UTILIZAR EN EL AÑO 1 2 ]]*(1+Tabla12[[#This Row],[CAMBIO PORCENTUAL EN UNIDADES VENDIDAS AÑO 2 2 ]])</calculatedColumnFormula>
    </tableColumn>
    <tableColumn id="28" xr3:uid="{3B95378E-75A3-4D35-988D-EDCA9AB49A19}" name="CAMBIO PORCENTUAL EN UNIDADES VENDIDAS AÑO 3 2" dataDxfId="260">
      <calculatedColumnFormula>VLOOKUP(Tabla12[[#This Row],[CÓDIGO DEL PRODUCTO Y/O SERVICIO ]],Tabla3[],13)</calculatedColumnFormula>
    </tableColumn>
    <tableColumn id="29" xr3:uid="{1C9F6A78-D3E0-41C6-8BD2-AC25379B773E}" name="CANTIDADES A UTILIZAR EN EL AÑO 3 2" dataDxfId="259">
      <calculatedColumnFormula>Tabla12[[#This Row],[CANTIDADES A UTILIZAR EN EL AÑO 2 2 ]]*(1+Tabla12[[#This Row],[CAMBIO PORCENTUAL EN UNIDADES VENDIDAS AÑO 3 2]])</calculatedColumnFormula>
    </tableColumn>
    <tableColumn id="30" xr3:uid="{31E77007-B63C-42F1-96D4-0D7BAADD0D6A}" name="CAMBIO PORCENTUAL EN UNIDADES VENDIDAS AÑO 4 2" dataDxfId="258">
      <calculatedColumnFormula>VLOOKUP(Tabla12[[#This Row],[CÓDIGO DEL PRODUCTO Y/O SERVICIO ]],Tabla3[],17)</calculatedColumnFormula>
    </tableColumn>
    <tableColumn id="31" xr3:uid="{30A01186-F734-467A-828B-458ADDE5DE44}" name="CANTIDADES A UTILIZAR EN EL AÑO 4 2" dataDxfId="257">
      <calculatedColumnFormula>Tabla12[[#This Row],[CANTIDADES A UTILIZAR EN EL AÑO 3 2]]*(1+Tabla12[[#This Row],[CAMBIO PORCENTUAL EN UNIDADES VENDIDAS AÑO 4 2]])</calculatedColumnFormula>
    </tableColumn>
    <tableColumn id="32" xr3:uid="{062583AF-8345-4E8A-94C2-DFF6D8E453AF}" name="CAMBIO PORCENTUAL EN UNIDADES VENDIDAS AÑO 5 2" dataDxfId="256">
      <calculatedColumnFormula>VLOOKUP(Tabla12[[#This Row],[CÓDIGO DEL PRODUCTO Y/O SERVICIO ]],Tabla3[],21)</calculatedColumnFormula>
    </tableColumn>
    <tableColumn id="33" xr3:uid="{559CBCF3-1903-46AC-85C7-5FEBC0501BFD}" name="CANTIDADES A UTILIZAR AÑO 5 2 " dataDxfId="255">
      <calculatedColumnFormula>Tabla12[[#This Row],[CANTIDADES A UTILIZAR EN EL AÑO 4 2]]*(1+Tabla12[[#This Row],[CAMBIO PORCENTUAL EN UNIDADES VENDIDAS AÑO 5 2]])</calculatedColumnFormula>
    </tableColumn>
    <tableColumn id="34" xr3:uid="{C9A87AC9-181F-4F7E-95F5-9297CEDA7DA2}" name="COSTO POR UNIDAD DE PRODUCTO (2)" dataDxfId="254">
      <calculatedColumnFormula>IF(Tabla12[[#This Row],[CANTIDADES A UTILIZAR EN EL AÑO 1 2 ]]=0,0,Tabla12[[#This Row],[CANTIDADES A UTILIZAR EN EL AÑO 1 2 ]]*1/Tabla12[[#This Row],[UNIDADES PRODUCIDAS AÑO 1 2]])</calculatedColumnFormula>
    </tableColumn>
    <tableColumn id="35" xr3:uid="{180B6F0C-1CFC-4BC8-A53C-BEB68FF7D8CE}" name="COSTO UNITARIO AÑO 2 2" dataDxfId="253">
      <calculatedColumnFormula>$C$129*(1+BASES!$E$10)</calculatedColumnFormula>
    </tableColumn>
    <tableColumn id="36" xr3:uid="{D1C59865-C813-4B56-A484-F527DBD8900D}" name="COSTO UNITARIO AÑO 3 2 " dataDxfId="252">
      <calculatedColumnFormula>Tabla12[[#This Row],[COSTO UNITARIO AÑO 2 2]]*(1+BASES!$F$10)</calculatedColumnFormula>
    </tableColumn>
    <tableColumn id="37" xr3:uid="{767D251D-259D-4CC1-B29C-17289FB3AFA5}" name="COSTO UNITARIO AÑO 4 2 " dataDxfId="251">
      <calculatedColumnFormula>Tabla12[[#This Row],[COSTO UNITARIO AÑO 3 2 ]]*(1+BASES!$G$10)</calculatedColumnFormula>
    </tableColumn>
    <tableColumn id="38" xr3:uid="{9C5B5C2D-054D-4226-AB40-BD3388B30BBA}" name="COSTO UNITARIO AÑO 5 2 " dataDxfId="250">
      <calculatedColumnFormula>Tabla12[[#This Row],[COSTO UNITARIO AÑO 4 2 ]]*(1+BASES!$H$10)</calculatedColumnFormula>
    </tableColumn>
    <tableColumn id="39" xr3:uid="{547CA2A3-F419-42DB-84B0-1E8D7598F6B1}" name="AÑO 1 2" dataDxfId="249">
      <calculatedColumnFormula>Tabla12[[#This Row],[COSTO POR UNIDAD DE PRODUCTO (2)]]*$C$129*VLOOKUP(Tabla12[[#This Row],[CÓDIGO DEL PRODUCTO Y/O SERVICIO ]],Tabla3[],3)</calculatedColumnFormula>
    </tableColumn>
    <tableColumn id="40" xr3:uid="{B6541165-E162-476F-868F-D062C04E271E}" name="AÑO 2 2 " dataDxfId="248">
      <calculatedColumnFormula>Tabla12[[#This Row],[COSTO POR UNIDAD DE PRODUCTO (2)]]*Tabla12[[#This Row],[COSTO UNITARIO AÑO 2 2]]*VLOOKUP(Tabla12[[#This Row],[CÓDIGO DEL PRODUCTO Y/O SERVICIO ]],Tabla3[],6)</calculatedColumnFormula>
    </tableColumn>
    <tableColumn id="41" xr3:uid="{8E0F1917-6258-4193-BC55-C8F9E7CA586F}" name="AÑO 3 2 " dataDxfId="247">
      <calculatedColumnFormula>Tabla12[[#This Row],[COSTO POR UNIDAD DE PRODUCTO (2)]]*Tabla12[[#This Row],[COSTO UNITARIO AÑO 3 2 ]]*VLOOKUP(Tabla12[[#This Row],[CÓDIGO DEL PRODUCTO Y/O SERVICIO ]],Tabla3[],10)</calculatedColumnFormula>
    </tableColumn>
    <tableColumn id="42" xr3:uid="{66B37779-E9A6-413F-BBCD-2082C13A4CE7}" name="AÑO 4 2 " dataDxfId="246">
      <calculatedColumnFormula>Tabla12[[#This Row],[COSTO POR UNIDAD DE PRODUCTO (2)]]*Tabla12[[#This Row],[COSTO UNITARIO AÑO 4 2 ]]*VLOOKUP(Tabla12[[#This Row],[CÓDIGO DEL PRODUCTO Y/O SERVICIO ]],Tabla3[],14)</calculatedColumnFormula>
    </tableColumn>
    <tableColumn id="43" xr3:uid="{1A3D4113-3386-4C70-821E-E4FEB3DCB543}" name="AÑO 5 2 " dataDxfId="245">
      <calculatedColumnFormula>Tabla12[[#This Row],[COSTO POR UNIDAD DE PRODUCTO (2)]]*Tabla12[[#This Row],[COSTO UNITARIO AÑO 5 2 ]]*VLOOKUP(Tabla12[[#This Row],[CÓDIGO DEL PRODUCTO Y/O SERVICIO ]],Tabla3[],18)</calculatedColumnFormula>
    </tableColumn>
    <tableColumn id="44" xr3:uid="{1C28DC0F-1B64-4F4D-940C-39FC2A6C8767}" name="UNIDADES PRODUCIDAS AÑO 1 3" dataDxfId="244">
      <calculatedColumnFormula>VLOOKUP(Tabla12[[#This Row],[CÓDIGO DEL PRODUCTO Y/O SERVICIO ]],Tabla3[],3)</calculatedColumnFormula>
    </tableColumn>
    <tableColumn id="45" xr3:uid="{18993298-089B-4565-8923-A1178D24261E}" name="CANTIDADES A UTILIZAR EN EL AÑO 1 3" dataDxfId="243">
      <calculatedColumnFormula>Tabla12[[#This Row],[UNIDADES PRODUCIDAS AÑO 1 3]]*H145</calculatedColumnFormula>
    </tableColumn>
    <tableColumn id="46" xr3:uid="{3391DBC9-C6E4-43B3-84B5-662100F9FB81}" name="CAMBIO PORCENTUAL EN UNIDADES VENDIDAS AÑO 2 3" dataDxfId="242">
      <calculatedColumnFormula>VLOOKUP(Tabla12[[#This Row],[CÓDIGO DEL PRODUCTO Y/O SERVICIO ]],Tabla3[],9)</calculatedColumnFormula>
    </tableColumn>
    <tableColumn id="47" xr3:uid="{FEBC3C38-3F6B-47A0-9094-79CE5B75B2F0}" name="CANTIDADES A UTILIZAR EN EL AÑO 2 3" dataDxfId="241">
      <calculatedColumnFormula>Tabla12[[#This Row],[CANTIDADES A UTILIZAR EN EL AÑO 1 3]]*(1+Tabla12[[#This Row],[CAMBIO PORCENTUAL EN UNIDADES VENDIDAS AÑO 2 3]])</calculatedColumnFormula>
    </tableColumn>
    <tableColumn id="48" xr3:uid="{8CDD42B1-691D-4FFE-8525-1ED1A7F94759}" name="CAMBIO PORCENTUAL EN UNIDADES VENDIDAS AÑO 3 3" dataDxfId="240">
      <calculatedColumnFormula>VLOOKUP(Tabla12[[#This Row],[CÓDIGO DEL PRODUCTO Y/O SERVICIO ]],Tabla3[],13)</calculatedColumnFormula>
    </tableColumn>
    <tableColumn id="49" xr3:uid="{91E77FCC-2511-4282-B646-F08E7A0EF336}" name="CANTIDADES A UTILIZAR EN EL AÑO 3 3" dataDxfId="239">
      <calculatedColumnFormula>Tabla12[[#This Row],[CANTIDADES A UTILIZAR EN EL AÑO 2 3]]*(1+Tabla12[[#This Row],[CAMBIO PORCENTUAL EN UNIDADES VENDIDAS AÑO 3 3]])</calculatedColumnFormula>
    </tableColumn>
    <tableColumn id="50" xr3:uid="{0C76602B-91AC-40AB-8572-831C7F81A0AD}" name="CAMBIO PORCENTUAL EN UNIDADES VENDIDAS AÑO 4 3" dataDxfId="238">
      <calculatedColumnFormula>VLOOKUP(Tabla12[[#This Row],[CÓDIGO DEL PRODUCTO Y/O SERVICIO ]],Tabla3[],17)</calculatedColumnFormula>
    </tableColumn>
    <tableColumn id="51" xr3:uid="{D044BBBF-5851-45FE-BCC0-6D04190A3AD8}" name="CANTIDADES A UTILIZAR EN EL AÑO 4 3" dataDxfId="237">
      <calculatedColumnFormula>Tabla12[[#This Row],[CANTIDADES A UTILIZAR EN EL AÑO 3 3]]*(1+Tabla12[[#This Row],[CAMBIO PORCENTUAL EN UNIDADES VENDIDAS AÑO 4 3]])</calculatedColumnFormula>
    </tableColumn>
    <tableColumn id="52" xr3:uid="{91CCCD20-B3BD-4200-A066-7E52F691128A}" name="CAMBIO PORCENTUAL EN UNIDADES VENDIDAS AÑO 5 3" dataDxfId="236">
      <calculatedColumnFormula>VLOOKUP(Tabla12[[#This Row],[CÓDIGO DEL PRODUCTO Y/O SERVICIO ]],Tabla3[],21)</calculatedColumnFormula>
    </tableColumn>
    <tableColumn id="53" xr3:uid="{9002761A-81A1-45DD-AF70-77FC95F12BD5}" name="CANTIDADES A UTILIZAR AÑO 5 3 " dataDxfId="235">
      <calculatedColumnFormula>Tabla12[[#This Row],[CANTIDADES A UTILIZAR EN EL AÑO 4 3]]*(1+Tabla12[[#This Row],[CAMBIO PORCENTUAL EN UNIDADES VENDIDAS AÑO 5 3]])</calculatedColumnFormula>
    </tableColumn>
    <tableColumn id="54" xr3:uid="{6AE71E22-1578-4125-93CF-9B558BECC377}" name="COSTO POR UNIDAD DE PRODUCTO (3)" dataDxfId="234">
      <calculatedColumnFormula>IF(Tabla12[[#This Row],[CANTIDADES A UTILIZAR EN EL AÑO 1 3]]=0,0,Tabla12[[#This Row],[CANTIDADES A UTILIZAR EN EL AÑO 1 3]]*1/Tabla12[[#This Row],[UNIDADES PRODUCIDAS AÑO 1 3]])</calculatedColumnFormula>
    </tableColumn>
    <tableColumn id="55" xr3:uid="{9D4F583B-24A3-45A9-839D-E9913AAF5304}" name="COSTO UNITARIO AÑO 2 3" dataDxfId="233">
      <calculatedColumnFormula>$C$130*(1+BASES!$E$10)</calculatedColumnFormula>
    </tableColumn>
    <tableColumn id="56" xr3:uid="{BA56C3B4-1C63-40F2-A533-A75A8BE97468}" name="COSTO UNITARIO AÑO 3 3 " dataDxfId="232">
      <calculatedColumnFormula>Tabla12[[#This Row],[COSTO UNITARIO AÑO 2 3]]*(1+BASES!$F$10)</calculatedColumnFormula>
    </tableColumn>
    <tableColumn id="57" xr3:uid="{4266E7C7-9EF3-48C2-A45C-DE90F81CB386}" name="COSTO UNITARIO AÑO 4 3" dataDxfId="231">
      <calculatedColumnFormula>Tabla12[[#This Row],[COSTO UNITARIO AÑO 3 3 ]]*(1+BASES!$G$10)</calculatedColumnFormula>
    </tableColumn>
    <tableColumn id="58" xr3:uid="{58F8277D-1062-4829-B946-1052458B6422}" name="COSTO UNITARIO AÑO 5 3 " dataDxfId="230">
      <calculatedColumnFormula>Tabla12[[#This Row],[COSTO UNITARIO AÑO 4 3]]*(1+BASES!$H$10)</calculatedColumnFormula>
    </tableColumn>
    <tableColumn id="59" xr3:uid="{2A767D3A-63B5-47BE-84D4-7F92A44AEE31}" name="AÑO 1 3" dataDxfId="229">
      <calculatedColumnFormula>Tabla12[[#This Row],[COSTO POR UNIDAD DE PRODUCTO (3)]]*$C$130*VLOOKUP(Tabla12[[#This Row],[CÓDIGO DEL PRODUCTO Y/O SERVICIO ]],Tabla3[],3)</calculatedColumnFormula>
    </tableColumn>
    <tableColumn id="60" xr3:uid="{7A92791D-79F2-48E9-B754-7BA7003684D3}" name="AÑO 2 3" dataDxfId="228">
      <calculatedColumnFormula>Tabla12[[#This Row],[COSTO POR UNIDAD DE PRODUCTO (3)]]*Tabla12[[#This Row],[COSTO UNITARIO AÑO 2 3]]*VLOOKUP(Tabla12[[#This Row],[CÓDIGO DEL PRODUCTO Y/O SERVICIO ]],Tabla3[],6)</calculatedColumnFormula>
    </tableColumn>
    <tableColumn id="61" xr3:uid="{0E9A563D-B3E0-4669-822B-1BADACC8F481}" name="AÑO 3 3 " dataDxfId="227">
      <calculatedColumnFormula>Tabla12[[#This Row],[COSTO POR UNIDAD DE PRODUCTO (3)]]*Tabla12[[#This Row],[COSTO UNITARIO AÑO 3 3 ]]*VLOOKUP(Tabla12[[#This Row],[CÓDIGO DEL PRODUCTO Y/O SERVICIO ]],Tabla3[],10)</calculatedColumnFormula>
    </tableColumn>
    <tableColumn id="62" xr3:uid="{7D05CA99-4D23-4C32-B485-41062BFE9EB4}" name="AÑO 4 3 " dataDxfId="226">
      <calculatedColumnFormula>Tabla12[[#This Row],[COSTO POR UNIDAD DE PRODUCTO (3)]]*Tabla12[[#This Row],[COSTO UNITARIO AÑO 4 3]]*VLOOKUP(Tabla12[[#This Row],[CÓDIGO DEL PRODUCTO Y/O SERVICIO ]],Tabla3[],14)</calculatedColumnFormula>
    </tableColumn>
    <tableColumn id="63" xr3:uid="{E51BEB9B-C3C4-4386-AA44-BEF2B1D44E70}" name="AÑO 5 3 " dataDxfId="225">
      <calculatedColumnFormula>Tabla12[[#This Row],[COSTO POR UNIDAD DE PRODUCTO (3)]]*Tabla12[[#This Row],[COSTO UNITARIO AÑO 5 3 ]]*VLOOKUP(Tabla12[[#This Row],[CÓDIGO DEL PRODUCTO Y/O SERVICIO ]],Tabla3[],18)</calculatedColumnFormula>
    </tableColumn>
    <tableColumn id="64" xr3:uid="{1463FADF-8C4B-4394-A584-863C6758C188}" name="UNIDADES PRODUCIDAS AÑO 1 4" dataDxfId="224">
      <calculatedColumnFormula>VLOOKUP(Tabla12[[#This Row],[CÓDIGO DEL PRODUCTO Y/O SERVICIO ]],Tabla3[],3)</calculatedColumnFormula>
    </tableColumn>
    <tableColumn id="65" xr3:uid="{E304BC21-66B4-49BA-BC5A-FCA0C23A107D}" name="CANTIDADES A UTILIZAR EN EL AÑO 1 4" dataDxfId="223">
      <calculatedColumnFormula>Tabla12[[#This Row],[UNIDADES PRODUCIDAS AÑO 1 4]]*I145</calculatedColumnFormula>
    </tableColumn>
    <tableColumn id="66" xr3:uid="{FD040857-70DA-41F2-BF3C-9D0FAA01EACA}" name="CAMBIO PORCENTUAL EN UNIDADES VENDIDAS AÑO 2 4" dataDxfId="222">
      <calculatedColumnFormula>VLOOKUP(Tabla12[[#This Row],[CÓDIGO DEL PRODUCTO Y/O SERVICIO ]],Tabla3[],9)</calculatedColumnFormula>
    </tableColumn>
    <tableColumn id="67" xr3:uid="{B9D54BB2-8966-4DB7-8142-314D27288339}" name="CANTIDADES A UTILIZAR EN EL AÑO 2 4" dataDxfId="221">
      <calculatedColumnFormula>Tabla12[[#This Row],[CANTIDADES A UTILIZAR EN EL AÑO 1 4]]*(1+Tabla12[[#This Row],[CAMBIO PORCENTUAL EN UNIDADES VENDIDAS AÑO 2 4]])</calculatedColumnFormula>
    </tableColumn>
    <tableColumn id="68" xr3:uid="{97650F6F-BCFD-4D70-9CDC-54A5755CFC05}" name="CAMBIO PORCENTUAL EN UNIDADES VENDIDAS AÑO 3 4" dataDxfId="220">
      <calculatedColumnFormula>VLOOKUP(Tabla12[[#This Row],[CÓDIGO DEL PRODUCTO Y/O SERVICIO ]],Tabla3[],13)</calculatedColumnFormula>
    </tableColumn>
    <tableColumn id="69" xr3:uid="{7AD88719-EC29-4EDD-8452-B6079215B561}" name="CANTIDADES A UTILIZAR EN EL AÑO 3 4 " dataDxfId="219">
      <calculatedColumnFormula>Tabla12[[#This Row],[CANTIDADES A UTILIZAR EN EL AÑO 2 4]]*(1+Tabla12[[#This Row],[CAMBIO PORCENTUAL EN UNIDADES VENDIDAS AÑO 3 4]])</calculatedColumnFormula>
    </tableColumn>
    <tableColumn id="70" xr3:uid="{5C567562-A449-436E-AF2D-44ADDC8E0E32}" name="CAMBIO PORCENTUAL EN UNIDADES VENDIDAS AÑO 4 4 " dataDxfId="218">
      <calculatedColumnFormula>VLOOKUP(Tabla12[[#This Row],[CÓDIGO DEL PRODUCTO Y/O SERVICIO ]],Tabla3[],17)</calculatedColumnFormula>
    </tableColumn>
    <tableColumn id="71" xr3:uid="{0C335EB1-ABDA-4A1C-8B40-50CB6D7B5F00}" name="CANTIDADES A UTILIZAR EN EL AÑO 4 4 " dataDxfId="217">
      <calculatedColumnFormula>Tabla12[[#This Row],[CANTIDADES A UTILIZAR EN EL AÑO 3 4 ]]*(1+Tabla12[[#This Row],[CAMBIO PORCENTUAL EN UNIDADES VENDIDAS AÑO 4 4 ]])</calculatedColumnFormula>
    </tableColumn>
    <tableColumn id="72" xr3:uid="{FE8754ED-DC3B-488D-8E06-27FFB76E76A8}" name="CAMBIO PORCENTUAL EN UNIDADES VENDIDAS AÑO 5 4 " dataDxfId="216">
      <calculatedColumnFormula>VLOOKUP(Tabla12[[#This Row],[CÓDIGO DEL PRODUCTO Y/O SERVICIO ]],Tabla3[],21)</calculatedColumnFormula>
    </tableColumn>
    <tableColumn id="73" xr3:uid="{6A991A76-0F75-4109-81C9-1283206C1133}" name="CANTIDADES A UTILIZAR AÑO 5 4" dataDxfId="215">
      <calculatedColumnFormula>Tabla12[[#This Row],[CANTIDADES A UTILIZAR EN EL AÑO 4 4 ]]*(1+Tabla12[[#This Row],[CAMBIO PORCENTUAL EN UNIDADES VENDIDAS AÑO 5 4 ]])</calculatedColumnFormula>
    </tableColumn>
    <tableColumn id="74" xr3:uid="{C1DA9AE4-BDF0-4F14-A9FF-BCB61EA6DB89}" name="COSTO POR UNIDAD DE PRODUCTO (4)" dataDxfId="214">
      <calculatedColumnFormula>IF(Tabla12[[#This Row],[CANTIDADES A UTILIZAR EN EL AÑO 1 4]]=0,0,Tabla12[[#This Row],[CANTIDADES A UTILIZAR EN EL AÑO 1 4]]*1/Tabla12[[#This Row],[UNIDADES PRODUCIDAS AÑO 1 4]])</calculatedColumnFormula>
    </tableColumn>
    <tableColumn id="75" xr3:uid="{B9BD1C60-3F4D-4D81-8C80-B3690F8084E6}" name="COSTO UNITARIO AÑO 2 4 " dataDxfId="213">
      <calculatedColumnFormula>$C$131*(1+BASES!$E$10)</calculatedColumnFormula>
    </tableColumn>
    <tableColumn id="76" xr3:uid="{BC011DEC-66AD-4432-BB87-D55C58C9CDF1}" name="COSTO UNITARIO AÑO 3 4 " dataDxfId="212">
      <calculatedColumnFormula>Tabla12[[#This Row],[COSTO UNITARIO AÑO 2 4 ]]*(1+BASES!$F$10)</calculatedColumnFormula>
    </tableColumn>
    <tableColumn id="77" xr3:uid="{E2AB733A-534E-4159-AE0A-7E4FCBFE0F4D}" name="COSTO UNITARIO AÑO 4 4 " dataDxfId="211">
      <calculatedColumnFormula>Tabla12[[#This Row],[COSTO UNITARIO AÑO 3 4 ]]*(1+BASES!$G$10)</calculatedColumnFormula>
    </tableColumn>
    <tableColumn id="78" xr3:uid="{08C69AFB-DB35-4A26-9B57-ACB0616B53AD}" name="COSTO UNITARIO AÑO 5 4 " dataDxfId="210">
      <calculatedColumnFormula>Tabla12[[#This Row],[COSTO UNITARIO AÑO 4 4 ]]*(1+BASES!$H$10)</calculatedColumnFormula>
    </tableColumn>
    <tableColumn id="79" xr3:uid="{1E3CC1C3-CE42-473C-96E5-0BC1CEE3CED6}" name="AÑO 1 4 " dataDxfId="209">
      <calculatedColumnFormula>Tabla12[[#This Row],[COSTO POR UNIDAD DE PRODUCTO (4)]]*$C$131*VLOOKUP(Tabla12[[#This Row],[CÓDIGO DEL PRODUCTO Y/O SERVICIO ]],Tabla3[],3)</calculatedColumnFormula>
    </tableColumn>
    <tableColumn id="80" xr3:uid="{6496F246-0A78-4227-B57E-F80E03C7A784}" name="AÑO 2 4 " dataDxfId="208">
      <calculatedColumnFormula>Tabla12[[#This Row],[COSTO POR UNIDAD DE PRODUCTO (4)]]*Tabla12[[#This Row],[COSTO UNITARIO AÑO 2 4 ]]*VLOOKUP(Tabla12[[#This Row],[CÓDIGO DEL PRODUCTO Y/O SERVICIO ]],Tabla3[],6)</calculatedColumnFormula>
    </tableColumn>
    <tableColumn id="81" xr3:uid="{EE512941-8A82-4B7C-90D9-87C6D1E681BC}" name="AÑO 3 4 " dataDxfId="207">
      <calculatedColumnFormula>Tabla12[[#This Row],[COSTO POR UNIDAD DE PRODUCTO (4)]]*Tabla12[[#This Row],[COSTO UNITARIO AÑO 3 4 ]]*VLOOKUP(Tabla12[[#This Row],[CÓDIGO DEL PRODUCTO Y/O SERVICIO ]],Tabla3[],10)</calculatedColumnFormula>
    </tableColumn>
    <tableColumn id="82" xr3:uid="{BA8624CE-6521-46BD-BC80-92CE08C36778}" name="AÑO 4 4 " dataDxfId="206">
      <calculatedColumnFormula>Tabla12[[#This Row],[COSTO POR UNIDAD DE PRODUCTO (4)]]*Tabla12[[#This Row],[COSTO UNITARIO AÑO 4 4 ]]*VLOOKUP(Tabla12[[#This Row],[CÓDIGO DEL PRODUCTO Y/O SERVICIO ]],Tabla3[],14)</calculatedColumnFormula>
    </tableColumn>
    <tableColumn id="83" xr3:uid="{BC098201-901D-47B5-9D25-2B8699672B57}" name="AÑO 5 4 " dataDxfId="205">
      <calculatedColumnFormula>Tabla12[[#This Row],[COSTO POR UNIDAD DE PRODUCTO (4)]]*Tabla12[[#This Row],[COSTO UNITARIO AÑO 5 4 ]]*VLOOKUP(Tabla12[[#This Row],[CÓDIGO DEL PRODUCTO Y/O SERVICIO ]],Tabla3[],18)</calculatedColumnFormula>
    </tableColumn>
    <tableColumn id="84" xr3:uid="{5E0749A8-545A-493E-9C34-B1911F3763C2}" name="UNIDADES PRODUCIDAS AÑO 1 5" dataDxfId="204">
      <calculatedColumnFormula>VLOOKUP(Tabla12[[#This Row],[CÓDIGO DEL PRODUCTO Y/O SERVICIO ]],Tabla3[],3)</calculatedColumnFormula>
    </tableColumn>
    <tableColumn id="85" xr3:uid="{C822C6C6-700A-499A-9E61-832E1E4767F4}" name="CANTIDADES A UTILIZAR EN EL AÑO 1 5" dataDxfId="203">
      <calculatedColumnFormula>Tabla12[[#This Row],[UNIDADES PRODUCIDAS AÑO 1 5]]*J145</calculatedColumnFormula>
    </tableColumn>
    <tableColumn id="86" xr3:uid="{59A73DA8-F22B-403B-81C0-DAEFF34C5E41}" name="CAMBIO PORCENTUAL EN UNIDADES VENDIDAS AÑO 2 5 " dataDxfId="202">
      <calculatedColumnFormula>VLOOKUP(Tabla12[[#This Row],[CÓDIGO DEL PRODUCTO Y/O SERVICIO ]],Tabla3[],9)</calculatedColumnFormula>
    </tableColumn>
    <tableColumn id="87" xr3:uid="{1AF4877F-E5E1-4963-AF4D-BCE4FF1574C5}" name="CANTIDADES A UTILIZAR EN EL AÑO 2 5" dataDxfId="201">
      <calculatedColumnFormula>Tabla12[[#This Row],[CANTIDADES A UTILIZAR EN EL AÑO 1 5]]*(1+Tabla12[[#This Row],[CAMBIO PORCENTUAL EN UNIDADES VENDIDAS AÑO 2 5 ]])</calculatedColumnFormula>
    </tableColumn>
    <tableColumn id="88" xr3:uid="{70243BC8-18D8-4A96-9390-016841A5977F}" name="CAMBIO PORCENTUAL EN UNIDADES VENDIDAS AÑO 3 5 " dataDxfId="200">
      <calculatedColumnFormula>VLOOKUP(Tabla12[[#This Row],[CÓDIGO DEL PRODUCTO Y/O SERVICIO ]],Tabla3[],13)</calculatedColumnFormula>
    </tableColumn>
    <tableColumn id="89" xr3:uid="{AD7386E6-1AEF-48B3-A1EB-00229DEEAC95}" name="CANTIDADES A UTILIZAR EN EL AÑO 3 5 " dataDxfId="199">
      <calculatedColumnFormula>Tabla12[[#This Row],[CANTIDADES A UTILIZAR EN EL AÑO 2 5]]*(1+Tabla12[[#This Row],[CAMBIO PORCENTUAL EN UNIDADES VENDIDAS AÑO 3 5 ]])</calculatedColumnFormula>
    </tableColumn>
    <tableColumn id="90" xr3:uid="{592E0EDE-CB21-472D-AB84-CD1B0FE830C4}" name="CAMBIO PORCENTUAL EN UNIDADES VENDIDAS AÑO 4 5 " dataDxfId="198">
      <calculatedColumnFormula>VLOOKUP(Tabla12[[#This Row],[CÓDIGO DEL PRODUCTO Y/O SERVICIO ]],Tabla3[],17)</calculatedColumnFormula>
    </tableColumn>
    <tableColumn id="91" xr3:uid="{9EED1501-918F-4A1E-97F4-F7C3F133A539}" name="CANTIDADES A UTILIZAR EN EL AÑO 4 5 " dataDxfId="197">
      <calculatedColumnFormula>Tabla12[[#This Row],[CANTIDADES A UTILIZAR EN EL AÑO 3 5 ]]*(1+Tabla12[[#This Row],[CAMBIO PORCENTUAL EN UNIDADES VENDIDAS AÑO 4 5 ]])</calculatedColumnFormula>
    </tableColumn>
    <tableColumn id="92" xr3:uid="{41585EC7-C4EB-4279-8E46-E854B5B2CF5C}" name="CAMBIO PORCENTUAL EN UNIDADES VENDIDAS AÑO 5 5" dataDxfId="196">
      <calculatedColumnFormula>VLOOKUP(Tabla12[[#This Row],[CÓDIGO DEL PRODUCTO Y/O SERVICIO ]],Tabla3[],21)</calculatedColumnFormula>
    </tableColumn>
    <tableColumn id="93" xr3:uid="{B3A0DCA8-194C-4DDC-9F4D-E5345EE58A9D}" name="CANTIDADES A UTILIZAR AÑO 5 5 " dataDxfId="195">
      <calculatedColumnFormula>Tabla12[[#This Row],[CANTIDADES A UTILIZAR EN EL AÑO 4 5 ]]*(1+Tabla12[[#This Row],[CAMBIO PORCENTUAL EN UNIDADES VENDIDAS AÑO 5 5]])</calculatedColumnFormula>
    </tableColumn>
    <tableColumn id="94" xr3:uid="{1E673565-1CA4-4B69-A7CF-AAD08682A05A}" name="COSTO POR UNIDAD DE PRODUCTO (5)" dataDxfId="194">
      <calculatedColumnFormula>IF(Tabla12[[#This Row],[CANTIDADES A UTILIZAR EN EL AÑO 1 5]]=0,0,Tabla12[[#This Row],[CANTIDADES A UTILIZAR EN EL AÑO 1 5]]*1/Tabla12[[#This Row],[UNIDADES PRODUCIDAS AÑO 1 5]])</calculatedColumnFormula>
    </tableColumn>
    <tableColumn id="95" xr3:uid="{8AFF984C-E6F6-4D42-A9A8-A80678AFED18}" name="COSTO UNITARIO AÑO 2 5" dataDxfId="193">
      <calculatedColumnFormula>$C$132*(1+BASES!$E$10)</calculatedColumnFormula>
    </tableColumn>
    <tableColumn id="96" xr3:uid="{5CCE363C-85C4-48D1-9289-1379F96AED44}" name="COSTO UNITARIO AÑO 3 5" dataDxfId="192">
      <calculatedColumnFormula>Tabla12[[#This Row],[COSTO UNITARIO AÑO 2 5]]*(1+BASES!$F$10)</calculatedColumnFormula>
    </tableColumn>
    <tableColumn id="97" xr3:uid="{7FAC1C3A-F55F-49B1-8968-B96B489D58D9}" name="COSTO UNITARIO AÑO 4 5" dataDxfId="191">
      <calculatedColumnFormula>Tabla12[[#This Row],[COSTO UNITARIO AÑO 3 5]]*(1+BASES!$G$10)</calculatedColumnFormula>
    </tableColumn>
    <tableColumn id="98" xr3:uid="{84C6A5DC-D1A7-4E5E-899D-E4266E926C0A}" name="COSTO UNITARIO AÑO 5 5 " dataDxfId="190">
      <calculatedColumnFormula>Tabla12[[#This Row],[COSTO UNITARIO AÑO 4 5]]*(1+BASES!$H$10)</calculatedColumnFormula>
    </tableColumn>
    <tableColumn id="99" xr3:uid="{E09FA210-FEB4-4D0F-9CCE-9E9D82161E36}" name="AÑO 1 5" dataDxfId="189">
      <calculatedColumnFormula>Tabla12[[#This Row],[COSTO POR UNIDAD DE PRODUCTO (5)]]*$C$132*VLOOKUP(Tabla12[[#This Row],[CÓDIGO DEL PRODUCTO Y/O SERVICIO ]],Tabla3[],3)</calculatedColumnFormula>
    </tableColumn>
    <tableColumn id="100" xr3:uid="{9ED45AE1-06A2-443B-90DE-56EE94594D89}" name="AÑO 2 5" dataDxfId="188">
      <calculatedColumnFormula>Tabla12[[#This Row],[COSTO POR UNIDAD DE PRODUCTO (5)]]*Tabla12[[#This Row],[COSTO UNITARIO AÑO 2 5]]*VLOOKUP(Tabla12[[#This Row],[CÓDIGO DEL PRODUCTO Y/O SERVICIO ]],Tabla3[],6)</calculatedColumnFormula>
    </tableColumn>
    <tableColumn id="101" xr3:uid="{F3F76FF9-5095-4A74-8B8E-C1FDD8AB22D0}" name="AÑO 3 5" dataDxfId="187">
      <calculatedColumnFormula>Tabla12[[#This Row],[COSTO POR UNIDAD DE PRODUCTO (5)]]*Tabla12[[#This Row],[COSTO UNITARIO AÑO 3 5]]*VLOOKUP(Tabla12[[#This Row],[CÓDIGO DEL PRODUCTO Y/O SERVICIO ]],Tabla3[],10)</calculatedColumnFormula>
    </tableColumn>
    <tableColumn id="102" xr3:uid="{5CC0E70C-CD0F-43E3-9641-30E44F5D67C8}" name="AÑO 4 5" dataDxfId="186">
      <calculatedColumnFormula>Tabla12[[#This Row],[COSTO POR UNIDAD DE PRODUCTO (5)]]*Tabla12[[#This Row],[COSTO UNITARIO AÑO 4 5]]*VLOOKUP(Tabla12[[#This Row],[CÓDIGO DEL PRODUCTO Y/O SERVICIO ]],Tabla3[],14)</calculatedColumnFormula>
    </tableColumn>
    <tableColumn id="103" xr3:uid="{DF458AD0-8217-4A50-BE9F-BA67E06849D1}" name="AÑO 5 5" dataDxfId="185">
      <calculatedColumnFormula>Tabla12[[#This Row],[COSTO POR UNIDAD DE PRODUCTO (5)]]*Tabla12[[#This Row],[COSTO UNITARIO AÑO 5 5 ]]*VLOOKUP(Tabla12[[#This Row],[CÓDIGO DEL PRODUCTO Y/O SERVICIO ]],Tabla3[],18)</calculatedColumnFormula>
    </tableColumn>
    <tableColumn id="104" xr3:uid="{4C9AC1ED-35B7-43C3-9474-D2F90115FBF9}" name="UNIDADES PRODUCIDAS AÑO 1 6" dataDxfId="184">
      <calculatedColumnFormula>VLOOKUP(Tabla12[[#This Row],[CÓDIGO DEL PRODUCTO Y/O SERVICIO ]],Tabla3[],3)</calculatedColumnFormula>
    </tableColumn>
    <tableColumn id="105" xr3:uid="{B39B623F-79BF-45AD-8D4D-1C9579254D28}" name="CANTIDADES A UTILIZAR EN EL AÑO 1 6" dataDxfId="183">
      <calculatedColumnFormula>Tabla12[[#This Row],[UNIDADES PRODUCIDAS AÑO 1 6]]*K145</calculatedColumnFormula>
    </tableColumn>
    <tableColumn id="106" xr3:uid="{0ED53AC4-49EA-43A9-B206-0FD9480EADE3}" name="CAMBIO PORCENTUAL EN UNIDADES VENDIDAS AÑO 2 6" dataDxfId="182">
      <calculatedColumnFormula>VLOOKUP(Tabla12[[#This Row],[CÓDIGO DEL PRODUCTO Y/O SERVICIO ]],Tabla3[],9)</calculatedColumnFormula>
    </tableColumn>
    <tableColumn id="107" xr3:uid="{05875B9E-CFB0-43C4-90EF-0443D8E1E5DE}" name="CANTIDADES A UTILIZAR EN EL AÑO 2 6" dataDxfId="181">
      <calculatedColumnFormula>Tabla12[[#This Row],[CANTIDADES A UTILIZAR EN EL AÑO 1 6]]*(1+Tabla12[[#This Row],[CAMBIO PORCENTUAL EN UNIDADES VENDIDAS AÑO 2 6]])</calculatedColumnFormula>
    </tableColumn>
    <tableColumn id="108" xr3:uid="{113A7863-054D-4545-92C0-4859FE716789}" name="CAMBIO PORCENTUAL EN UNIDADES VENDIDAS AÑO 3 6" dataDxfId="180">
      <calculatedColumnFormula>VLOOKUP(Tabla12[[#This Row],[CÓDIGO DEL PRODUCTO Y/O SERVICIO ]],Tabla3[],13)</calculatedColumnFormula>
    </tableColumn>
    <tableColumn id="109" xr3:uid="{89C5E4FD-B309-44DA-81D2-0EEB987074E2}" name="CANTIDADES A UTILIZAR EN EL AÑO 3 6" dataDxfId="179">
      <calculatedColumnFormula>Tabla12[[#This Row],[CANTIDADES A UTILIZAR EN EL AÑO 2 6]]*(1+Tabla12[[#This Row],[CAMBIO PORCENTUAL EN UNIDADES VENDIDAS AÑO 3 6]])</calculatedColumnFormula>
    </tableColumn>
    <tableColumn id="110" xr3:uid="{DBAAEC11-A74A-4771-A901-C9CC5A3F3910}" name="CAMBIO PORCENTUAL EN UNIDADES VENDIDAS AÑO 4 6" dataDxfId="178">
      <calculatedColumnFormula>VLOOKUP(Tabla12[[#This Row],[CÓDIGO DEL PRODUCTO Y/O SERVICIO ]],Tabla3[],17)</calculatedColumnFormula>
    </tableColumn>
    <tableColumn id="111" xr3:uid="{A326C026-189C-4C1D-ACF1-B8F0EE571113}" name="CANTIDADES A UTILIZAR EN EL AÑO 4 6" dataDxfId="177">
      <calculatedColumnFormula>Tabla12[[#This Row],[CANTIDADES A UTILIZAR EN EL AÑO 3 6]]*(1+Tabla12[[#This Row],[CAMBIO PORCENTUAL EN UNIDADES VENDIDAS AÑO 4 6]])</calculatedColumnFormula>
    </tableColumn>
    <tableColumn id="112" xr3:uid="{B5116E98-84DB-40FC-97D7-8556C0EE8FB7}" name="CAMBIO PORCENTUAL EN UNIDADES VENDIDAS AÑO 5 6" dataDxfId="176">
      <calculatedColumnFormula>VLOOKUP(Tabla12[[#This Row],[CÓDIGO DEL PRODUCTO Y/O SERVICIO ]],Tabla3[],21)</calculatedColumnFormula>
    </tableColumn>
    <tableColumn id="113" xr3:uid="{0F7E6FB4-4004-412E-9662-950607911E22}" name="CANTIDADES A UTILIZAR AÑO 5 6" dataDxfId="175">
      <calculatedColumnFormula>Tabla12[[#This Row],[CANTIDADES A UTILIZAR EN EL AÑO 4 6]]*(1+Tabla12[[#This Row],[CAMBIO PORCENTUAL EN UNIDADES VENDIDAS AÑO 5 6]])</calculatedColumnFormula>
    </tableColumn>
    <tableColumn id="114" xr3:uid="{DC0DCD4C-0102-44C6-858B-5D3716256FD7}" name="COSTO POR UNIDAD DE PRODUCTO (6)" dataDxfId="174">
      <calculatedColumnFormula>IF(Tabla12[[#This Row],[CANTIDADES A UTILIZAR EN EL AÑO 1 6]]=0,0,Tabla12[[#This Row],[CANTIDADES A UTILIZAR EN EL AÑO 1 6]]*1/Tabla12[[#This Row],[UNIDADES PRODUCIDAS AÑO 1 6]])</calculatedColumnFormula>
    </tableColumn>
    <tableColumn id="115" xr3:uid="{C9F85E56-F2FB-45AB-BC65-139B7705A54C}" name="COSTO UNITARIO AÑO 2 6" dataDxfId="173">
      <calculatedColumnFormula>$C$133*(1+BASES!$E$10)</calculatedColumnFormula>
    </tableColumn>
    <tableColumn id="116" xr3:uid="{2043CD96-C554-4561-B34F-64D9736FA675}" name="COSTO UNITARIO AÑO 3 6" dataDxfId="172">
      <calculatedColumnFormula>Tabla12[[#This Row],[COSTO UNITARIO AÑO 2 6]]*(1+BASES!$F$10)</calculatedColumnFormula>
    </tableColumn>
    <tableColumn id="117" xr3:uid="{921BB09D-55B5-45C5-B553-FBAB5C5CA115}" name="COSTO UNITARIO AÑO 4 6" dataDxfId="171">
      <calculatedColumnFormula>Tabla12[[#This Row],[COSTO UNITARIO AÑO 3 6]]*(1+BASES!$G$10)</calculatedColumnFormula>
    </tableColumn>
    <tableColumn id="118" xr3:uid="{1316A977-22F4-4CD7-AB2A-BF194C516C1D}" name="COSTO UNITARIO AÑO 5 6" dataDxfId="170">
      <calculatedColumnFormula>Tabla12[[#This Row],[COSTO UNITARIO AÑO 4 6]]*(1+BASES!$H$10)</calculatedColumnFormula>
    </tableColumn>
    <tableColumn id="119" xr3:uid="{B466E257-AECC-48C4-A398-62CA91A9FBAC}" name="AÑO 1 6" dataDxfId="169">
      <calculatedColumnFormula>Tabla12[[#This Row],[COSTO POR UNIDAD DE PRODUCTO (6)]]*$C$133*VLOOKUP(Tabla12[[#This Row],[CÓDIGO DEL PRODUCTO Y/O SERVICIO ]],Tabla3[],3)</calculatedColumnFormula>
    </tableColumn>
    <tableColumn id="120" xr3:uid="{EC605500-EBFB-47ED-84CA-976CC036754E}" name="AÑO 2 6" dataDxfId="168">
      <calculatedColumnFormula>Tabla12[[#This Row],[COSTO POR UNIDAD DE PRODUCTO (6)]]*Tabla12[[#This Row],[COSTO UNITARIO AÑO 2 6]]*VLOOKUP(Tabla12[[#This Row],[CÓDIGO DEL PRODUCTO Y/O SERVICIO ]],Tabla3[],6)</calculatedColumnFormula>
    </tableColumn>
    <tableColumn id="121" xr3:uid="{9401C32D-B429-4AAA-B485-520EF27C5F9C}" name="AÑO 3 6" dataDxfId="167">
      <calculatedColumnFormula>Tabla12[[#This Row],[COSTO POR UNIDAD DE PRODUCTO (6)]]*Tabla12[[#This Row],[COSTO UNITARIO AÑO 3 6]]*VLOOKUP(Tabla12[[#This Row],[CÓDIGO DEL PRODUCTO Y/O SERVICIO ]],Tabla3[],10)</calculatedColumnFormula>
    </tableColumn>
    <tableColumn id="122" xr3:uid="{8EB91234-26D1-49D4-82F1-503063912608}" name="AÑO 4 6" dataDxfId="166">
      <calculatedColumnFormula>Tabla12[[#This Row],[COSTO POR UNIDAD DE PRODUCTO (6)]]*Tabla12[[#This Row],[COSTO UNITARIO AÑO 4 6]]*VLOOKUP(Tabla12[[#This Row],[CÓDIGO DEL PRODUCTO Y/O SERVICIO ]],Tabla3[],14)</calculatedColumnFormula>
    </tableColumn>
    <tableColumn id="123" xr3:uid="{14875BC8-5688-4A3A-91C7-E4829092CED8}" name="AÑO 5 6" dataDxfId="165">
      <calculatedColumnFormula>Tabla12[[#This Row],[COSTO POR UNIDAD DE PRODUCTO (6)]]*Tabla12[[#This Row],[COSTO UNITARIO AÑO 5 6]]*VLOOKUP(Tabla12[[#This Row],[CÓDIGO DEL PRODUCTO Y/O SERVICIO ]],Tabla3[],18)</calculatedColumnFormula>
    </tableColumn>
    <tableColumn id="124" xr3:uid="{00FA32E7-07E0-4537-968B-2EE263E80CFD}" name="UNIDADES PRODUCIDAS AÑO 1 7" dataDxfId="164">
      <calculatedColumnFormula>VLOOKUP(Tabla12[[#This Row],[CÓDIGO DEL PRODUCTO Y/O SERVICIO ]],Tabla3[],3)</calculatedColumnFormula>
    </tableColumn>
    <tableColumn id="125" xr3:uid="{F9034C8F-1F46-4EE7-B2AC-1DC43120F3D7}" name="CANTIDADES A UTILIZAR EN EL AÑO 1 7" dataDxfId="163">
      <calculatedColumnFormula>Tabla12[[#This Row],[UNIDADES PRODUCIDAS AÑO 1 7]]*L145</calculatedColumnFormula>
    </tableColumn>
    <tableColumn id="126" xr3:uid="{EF1B5840-10EA-4175-8751-677B49918B9E}" name="CAMBIO PORCENTUAL EN UNIDADES VENDIDAS AÑO 2 7" dataDxfId="162">
      <calculatedColumnFormula>VLOOKUP(Tabla12[[#This Row],[CÓDIGO DEL PRODUCTO Y/O SERVICIO ]],Tabla3[],9)</calculatedColumnFormula>
    </tableColumn>
    <tableColumn id="127" xr3:uid="{7ED4F880-76DE-4593-835E-3D57EFB205D2}" name="CANTIDADES A UTILIZAR EN EL AÑO 2 7" dataDxfId="161">
      <calculatedColumnFormula>Tabla12[[#This Row],[CANTIDADES A UTILIZAR EN EL AÑO 1 7]]*(1+Tabla12[[#This Row],[CAMBIO PORCENTUAL EN UNIDADES VENDIDAS AÑO 2 7]])</calculatedColumnFormula>
    </tableColumn>
    <tableColumn id="128" xr3:uid="{289A5B8D-6B98-4720-94DC-0D47169094C0}" name="CAMBIO PORCENTUAL EN UNIDADES VENDIDAS AÑO 3 7" dataDxfId="160">
      <calculatedColumnFormula>VLOOKUP(Tabla12[[#This Row],[CÓDIGO DEL PRODUCTO Y/O SERVICIO ]],Tabla3[],13)</calculatedColumnFormula>
    </tableColumn>
    <tableColumn id="129" xr3:uid="{000A2DE9-EA66-49F0-A8D7-DBF954E78F1C}" name="CANTIDADES A UTILIZAR EN EL AÑO 3 7" dataDxfId="159">
      <calculatedColumnFormula>Tabla12[[#This Row],[CANTIDADES A UTILIZAR EN EL AÑO 2 7]]*(1+Tabla12[[#This Row],[CAMBIO PORCENTUAL EN UNIDADES VENDIDAS AÑO 3 7]])</calculatedColumnFormula>
    </tableColumn>
    <tableColumn id="130" xr3:uid="{1FFD6B96-6101-49EB-B1FC-0F24381E29B7}" name="CAMBIO PORCENTUAL EN UNIDADES VENDIDAS AÑO 4 7" dataDxfId="158">
      <calculatedColumnFormula>VLOOKUP(Tabla12[[#This Row],[CÓDIGO DEL PRODUCTO Y/O SERVICIO ]],Tabla3[],17)</calculatedColumnFormula>
    </tableColumn>
    <tableColumn id="131" xr3:uid="{EC703610-217A-4CEB-B8F9-51C37DD090E7}" name="CANTIDADES A UTILIZAR EN EL AÑO 4 7" dataDxfId="157">
      <calculatedColumnFormula>Tabla12[[#This Row],[CANTIDADES A UTILIZAR EN EL AÑO 3 7]]*(1+Tabla12[[#This Row],[CAMBIO PORCENTUAL EN UNIDADES VENDIDAS AÑO 4 7]])</calculatedColumnFormula>
    </tableColumn>
    <tableColumn id="132" xr3:uid="{0DAC248B-C2FD-40FF-909A-74D6BF4587F1}" name="CAMBIO PORCENTUAL EN UNIDADES VENDIDAS AÑO 5 7" dataDxfId="156">
      <calculatedColumnFormula>VLOOKUP(Tabla12[[#This Row],[CÓDIGO DEL PRODUCTO Y/O SERVICIO ]],Tabla3[],21)</calculatedColumnFormula>
    </tableColumn>
    <tableColumn id="133" xr3:uid="{7E30159F-5A3C-4870-94AF-B8E9A6E63023}" name="CANTIDADES A UTILIZAR AÑO 5 7" dataDxfId="155">
      <calculatedColumnFormula>Tabla12[[#This Row],[CANTIDADES A UTILIZAR EN EL AÑO 4 7]]*(1+Tabla12[[#This Row],[CAMBIO PORCENTUAL EN UNIDADES VENDIDAS AÑO 5 7]])</calculatedColumnFormula>
    </tableColumn>
    <tableColumn id="134" xr3:uid="{75CB1816-84B4-47D3-B706-C5B0C402B1D6}" name="COSTO POR UNIDAD DE PRODUCTO (7)" dataDxfId="154">
      <calculatedColumnFormula>IF(Tabla12[[#This Row],[CANTIDADES A UTILIZAR EN EL AÑO 1 7]]=0,0,Tabla12[[#This Row],[CANTIDADES A UTILIZAR EN EL AÑO 1 7]]*1/Tabla12[[#This Row],[UNIDADES PRODUCIDAS AÑO 1 7]])</calculatedColumnFormula>
    </tableColumn>
    <tableColumn id="135" xr3:uid="{D8001464-DAEF-4DE7-A0D1-04F7BC674BDD}" name="COSTO UNITARIO AÑO 2 7" dataDxfId="153">
      <calculatedColumnFormula>$C$134*(1+BASES!$E$10)</calculatedColumnFormula>
    </tableColumn>
    <tableColumn id="136" xr3:uid="{3FC6B1AC-CA9C-46F6-8F22-5E2B079BC9C4}" name="COSTO UNITARIO AÑO 3 7" dataDxfId="152">
      <calculatedColumnFormula>Tabla12[[#This Row],[COSTO UNITARIO AÑO 2 7]]*(1+BASES!$F$10)</calculatedColumnFormula>
    </tableColumn>
    <tableColumn id="137" xr3:uid="{040C3497-CC21-40C7-A46D-6D09B5420A00}" name="COSTO UNITARIO AÑO 4 7" dataDxfId="151">
      <calculatedColumnFormula>Tabla12[[#This Row],[COSTO UNITARIO AÑO 3 7]]*(1+BASES!$G$10)</calculatedColumnFormula>
    </tableColumn>
    <tableColumn id="138" xr3:uid="{5F1A05F7-7652-4CE3-BF8F-829F2E11B4FA}" name="COSTO UNITARIO AÑO 5 7" dataDxfId="150">
      <calculatedColumnFormula>Tabla12[[#This Row],[COSTO UNITARIO AÑO 4 7]]*(1+BASES!$H$10)</calculatedColumnFormula>
    </tableColumn>
    <tableColumn id="139" xr3:uid="{32F7E596-D190-4B57-AB52-898C5C3BAD2A}" name="AÑO 1 7" dataDxfId="149">
      <calculatedColumnFormula>Tabla12[[#This Row],[COSTO POR UNIDAD DE PRODUCTO (7)]]*$C$134*VLOOKUP(Tabla12[[#This Row],[CÓDIGO DEL PRODUCTO Y/O SERVICIO ]],Tabla3[],3)</calculatedColumnFormula>
    </tableColumn>
    <tableColumn id="140" xr3:uid="{CC401696-D405-41A5-98C3-FC2853E34976}" name="AÑO 2 7" dataDxfId="148">
      <calculatedColumnFormula>Tabla12[[#This Row],[COSTO POR UNIDAD DE PRODUCTO (7)]]*Tabla12[[#This Row],[COSTO UNITARIO AÑO 2 7]]*VLOOKUP(Tabla12[[#This Row],[CÓDIGO DEL PRODUCTO Y/O SERVICIO ]],Tabla3[],6)</calculatedColumnFormula>
    </tableColumn>
    <tableColumn id="141" xr3:uid="{D2A8EDB0-DB00-4990-9F62-DCD23523CD19}" name="AÑO 3 7" dataDxfId="147">
      <calculatedColumnFormula>Tabla12[[#This Row],[COSTO POR UNIDAD DE PRODUCTO (7)]]*Tabla12[[#This Row],[COSTO UNITARIO AÑO 3 7]]*VLOOKUP(Tabla12[[#This Row],[CÓDIGO DEL PRODUCTO Y/O SERVICIO ]],Tabla3[],10)</calculatedColumnFormula>
    </tableColumn>
    <tableColumn id="142" xr3:uid="{EEE1E232-9883-4B35-A940-13E566650D52}" name="AÑO 4 7" dataDxfId="146">
      <calculatedColumnFormula>Tabla12[[#This Row],[COSTO POR UNIDAD DE PRODUCTO (7)]]*Tabla12[[#This Row],[COSTO UNITARIO AÑO 4 7]]*VLOOKUP(Tabla12[[#This Row],[CÓDIGO DEL PRODUCTO Y/O SERVICIO ]],Tabla3[],14)</calculatedColumnFormula>
    </tableColumn>
    <tableColumn id="143" xr3:uid="{BCC4CAFC-84B5-4A69-96A1-7DB076181020}" name="AÑO 5 7" dataDxfId="145">
      <calculatedColumnFormula>Tabla12[[#This Row],[COSTO POR UNIDAD DE PRODUCTO (7)]]*Tabla12[[#This Row],[COSTO UNITARIO AÑO 5 7]]*VLOOKUP(Tabla12[[#This Row],[CÓDIGO DEL PRODUCTO Y/O SERVICIO ]],Tabla3[],18)</calculatedColumnFormula>
    </tableColumn>
    <tableColumn id="144" xr3:uid="{197790CA-8C9B-46A4-B26A-5ACB5550D5D2}" name="UNIDADES PRODUCIDAS AÑO 1 8" dataDxfId="144">
      <calculatedColumnFormula>VLOOKUP(Tabla12[[#This Row],[CÓDIGO DEL PRODUCTO Y/O SERVICIO ]],Tabla3[],3)</calculatedColumnFormula>
    </tableColumn>
    <tableColumn id="145" xr3:uid="{58F53C86-4686-447B-A636-BCC65A487B3F}" name="CANTIDADES A UTILIZAR EN EL AÑO 1 8" dataDxfId="143">
      <calculatedColumnFormula>Tabla12[[#This Row],[UNIDADES PRODUCIDAS AÑO 1 8]]*M145</calculatedColumnFormula>
    </tableColumn>
    <tableColumn id="146" xr3:uid="{5B77EB4D-3438-4292-B3B3-0D7417226DA9}" name="CAMBIO PORCENTUAL EN UNIDADES VENDIDAS AÑO 2 8" dataDxfId="142">
      <calculatedColumnFormula>VLOOKUP(Tabla12[[#This Row],[CÓDIGO DEL PRODUCTO Y/O SERVICIO ]],Tabla3[],9)</calculatedColumnFormula>
    </tableColumn>
    <tableColumn id="147" xr3:uid="{92850B45-6200-465D-B351-48887DE0F590}" name="CANTIDADES A UTILIZAR EN EL AÑO 2 8" dataDxfId="141">
      <calculatedColumnFormula>Tabla12[[#This Row],[CANTIDADES A UTILIZAR EN EL AÑO 1 8]]*(1+Tabla12[[#This Row],[CAMBIO PORCENTUAL EN UNIDADES VENDIDAS AÑO 2 8]])</calculatedColumnFormula>
    </tableColumn>
    <tableColumn id="148" xr3:uid="{AF6BDFA0-D78B-4F5D-BED9-3275075B78B8}" name="CAMBIO PORCENTUAL EN UNIDADES VENDIDAS AÑO 3 8" dataDxfId="140">
      <calculatedColumnFormula>VLOOKUP(Tabla12[[#This Row],[CÓDIGO DEL PRODUCTO Y/O SERVICIO ]],Tabla3[],13)</calculatedColumnFormula>
    </tableColumn>
    <tableColumn id="149" xr3:uid="{62FFF6AE-35D0-4F9D-AE27-EB0DB3DBACB4}" name="CANTIDADES A UTILIZAR EN EL AÑO 3 8" dataDxfId="139">
      <calculatedColumnFormula>Tabla12[[#This Row],[CANTIDADES A UTILIZAR EN EL AÑO 2 8]]*(1+Tabla12[[#This Row],[CAMBIO PORCENTUAL EN UNIDADES VENDIDAS AÑO 3 8]])</calculatedColumnFormula>
    </tableColumn>
    <tableColumn id="150" xr3:uid="{7FCEA148-BACB-415D-BF94-3B308AFB671D}" name="CAMBIO PORCENTUAL EN UNIDADES VENDIDAS AÑO 4 8" dataDxfId="138">
      <calculatedColumnFormula>VLOOKUP(Tabla12[[#This Row],[CÓDIGO DEL PRODUCTO Y/O SERVICIO ]],Tabla3[],17)</calculatedColumnFormula>
    </tableColumn>
    <tableColumn id="151" xr3:uid="{FE3A03F7-AD24-456D-AEF5-8FA99429842A}" name="CANTIDADES A UTILIZAR EN EL AÑO 4 8" dataDxfId="137">
      <calculatedColumnFormula>Tabla12[[#This Row],[CANTIDADES A UTILIZAR EN EL AÑO 3 8]]*(1+Tabla12[[#This Row],[CAMBIO PORCENTUAL EN UNIDADES VENDIDAS AÑO 4 8]])</calculatedColumnFormula>
    </tableColumn>
    <tableColumn id="152" xr3:uid="{1F7349C2-E961-4CA8-98EC-B3A9D91CABDD}" name="CAMBIO PORCENTUAL EN UNIDADES VENDIDAS AÑO 5 8" dataDxfId="136">
      <calculatedColumnFormula>VLOOKUP(Tabla12[[#This Row],[CÓDIGO DEL PRODUCTO Y/O SERVICIO ]],Tabla3[],21)</calculatedColumnFormula>
    </tableColumn>
    <tableColumn id="153" xr3:uid="{5260B70C-34F1-4911-AE84-0A6557C72611}" name="CANTIDADES A UTILIZAR AÑO 5 8" dataDxfId="135">
      <calculatedColumnFormula>Tabla12[[#This Row],[CANTIDADES A UTILIZAR EN EL AÑO 4 8]]*(1+Tabla12[[#This Row],[CAMBIO PORCENTUAL EN UNIDADES VENDIDAS AÑO 5 8]])</calculatedColumnFormula>
    </tableColumn>
    <tableColumn id="154" xr3:uid="{92B161FD-DEB4-4499-8034-D1AADB5319F6}" name="COSTO POR UNIDAD DE PRODUCTO (8)" dataDxfId="134">
      <calculatedColumnFormula>IF(Tabla12[[#This Row],[CANTIDADES A UTILIZAR EN EL AÑO 1 8]]=0,0,Tabla12[[#This Row],[CANTIDADES A UTILIZAR EN EL AÑO 1 8]]*1/Tabla12[[#This Row],[UNIDADES PRODUCIDAS AÑO 1 8]])</calculatedColumnFormula>
    </tableColumn>
    <tableColumn id="155" xr3:uid="{90DABCB0-FFB7-45F0-82C8-F19A728E7546}" name="COSTO UNITARIO AÑO 2 8" dataDxfId="133">
      <calculatedColumnFormula>$C$135*(1+BASES!$E$10)</calculatedColumnFormula>
    </tableColumn>
    <tableColumn id="156" xr3:uid="{34EBBAA7-BB06-4997-907E-B2788A766FB0}" name="COSTO UNITARIO AÑO 3 8" dataDxfId="132">
      <calculatedColumnFormula>Tabla12[[#This Row],[COSTO UNITARIO AÑO 2 8]]*(1+BASES!$F$10)</calculatedColumnFormula>
    </tableColumn>
    <tableColumn id="157" xr3:uid="{D548E757-048A-427B-AA2D-0C6F91334456}" name="COSTO UNITARIO AÑO 4 8" dataDxfId="131">
      <calculatedColumnFormula>Tabla12[[#This Row],[COSTO UNITARIO AÑO 3 8]]*(1+BASES!$G$10)</calculatedColumnFormula>
    </tableColumn>
    <tableColumn id="158" xr3:uid="{FBDE8D88-92D8-4C96-9A15-A49FC0A00BC0}" name="COSTO UNITARIO AÑO 5 8" dataDxfId="130">
      <calculatedColumnFormula>Tabla12[[#This Row],[COSTO UNITARIO AÑO 4 8]]*(1+BASES!$H$10)</calculatedColumnFormula>
    </tableColumn>
    <tableColumn id="159" xr3:uid="{BAA4141F-1434-4B26-85C5-3670314B3D2E}" name="AÑO 1 8" dataDxfId="129">
      <calculatedColumnFormula>Tabla12[[#This Row],[COSTO POR UNIDAD DE PRODUCTO (8)]]*$C$135*VLOOKUP(Tabla12[[#This Row],[CÓDIGO DEL PRODUCTO Y/O SERVICIO ]],Tabla3[],3)</calculatedColumnFormula>
    </tableColumn>
    <tableColumn id="160" xr3:uid="{E4E1A613-ED3B-4D0F-A9FC-0D7939B702DE}" name="AÑO 2 8" dataDxfId="128">
      <calculatedColumnFormula>Tabla12[[#This Row],[COSTO POR UNIDAD DE PRODUCTO (8)]]*Tabla12[[#This Row],[COSTO UNITARIO AÑO 2 8]]*VLOOKUP(Tabla12[[#This Row],[CÓDIGO DEL PRODUCTO Y/O SERVICIO ]],Tabla3[],6)</calculatedColumnFormula>
    </tableColumn>
    <tableColumn id="161" xr3:uid="{8ACE6CFA-74DF-493D-819D-A1818690EEED}" name="AÑO 3 8" dataDxfId="127">
      <calculatedColumnFormula>Tabla12[[#This Row],[COSTO POR UNIDAD DE PRODUCTO (8)]]*Tabla12[[#This Row],[COSTO UNITARIO AÑO 3 8]]*VLOOKUP(Tabla12[[#This Row],[CÓDIGO DEL PRODUCTO Y/O SERVICIO ]],Tabla3[],10)</calculatedColumnFormula>
    </tableColumn>
    <tableColumn id="162" xr3:uid="{1A4C5951-AA8E-4079-8D5F-DE8E741A8F40}" name="AÑO 4 8" dataDxfId="126">
      <calculatedColumnFormula>Tabla12[[#This Row],[COSTO POR UNIDAD DE PRODUCTO (8)]]*Tabla12[[#This Row],[COSTO UNITARIO AÑO 4 8]]*VLOOKUP(Tabla12[[#This Row],[CÓDIGO DEL PRODUCTO Y/O SERVICIO ]],Tabla3[],14)</calculatedColumnFormula>
    </tableColumn>
    <tableColumn id="163" xr3:uid="{F0E1EA3D-B77C-442D-8173-0E48748B5044}" name="AÑO 5 8" dataDxfId="125">
      <calculatedColumnFormula>Tabla12[[#This Row],[COSTO POR UNIDAD DE PRODUCTO (8)]]*Tabla12[[#This Row],[COSTO UNITARIO AÑO 5 8]]*VLOOKUP(Tabla12[[#This Row],[CÓDIGO DEL PRODUCTO Y/O SERVICIO ]],Tabla3[],18)</calculatedColumnFormula>
    </tableColumn>
    <tableColumn id="164" xr3:uid="{DC046B05-7A8C-423D-84CF-AA317AAACC61}" name="UNIDADES PRODUCIDAS AÑO 1 9 " dataDxfId="124">
      <calculatedColumnFormula>VLOOKUP(Tabla12[[#This Row],[CÓDIGO DEL PRODUCTO Y/O SERVICIO ]],Tabla3[],3)</calculatedColumnFormula>
    </tableColumn>
    <tableColumn id="165" xr3:uid="{A81D071E-F0AF-4A96-91A0-3E3BE05A1116}" name="CANTIDADES A UTILIZAR EN EL AÑO 1 9" dataDxfId="123">
      <calculatedColumnFormula>Tabla12[[#This Row],[UNIDADES PRODUCIDAS AÑO 1 9 ]]*N145</calculatedColumnFormula>
    </tableColumn>
    <tableColumn id="166" xr3:uid="{D6EDC391-9EF0-4618-8D79-6001F9120164}" name="CAMBIO PORCENTUAL UNIDADES VENDIDAS AÑO 2 9 " dataDxfId="122">
      <calculatedColumnFormula>VLOOKUP(Tabla12[[#This Row],[CÓDIGO DEL PRODUCTO Y/O SERVICIO ]],Tabla3[],9)</calculatedColumnFormula>
    </tableColumn>
    <tableColumn id="167" xr3:uid="{90B7E3BA-7802-4186-8220-74936C1232C4}" name="CANTIDADES A UTILIZAR EN EL AÑO 2 9 " dataDxfId="121">
      <calculatedColumnFormula>Tabla12[[#This Row],[CANTIDADES A UTILIZAR EN EL AÑO 1 9]]*(1+Tabla12[[#This Row],[CAMBIO PORCENTUAL UNIDADES VENDIDAS AÑO 2 9 ]])</calculatedColumnFormula>
    </tableColumn>
    <tableColumn id="168" xr3:uid="{2C41BD85-4017-4BD7-A385-3D629924A2E1}" name="CAMBIO PORCENTUAL EN UNIDADES VENDIDAS AÑO 3 9 " dataDxfId="120">
      <calculatedColumnFormula>VLOOKUP(Tabla12[[#This Row],[CÓDIGO DEL PRODUCTO Y/O SERVICIO ]],Tabla3[],13)</calculatedColumnFormula>
    </tableColumn>
    <tableColumn id="169" xr3:uid="{2FEE9DC6-9208-4F48-9D10-DCCC11E51C06}" name="CANTIDADES A UTILIZAR EN EL AÑO 3 9 " dataDxfId="119">
      <calculatedColumnFormula>Tabla12[[#This Row],[CANTIDADES A UTILIZAR EN EL AÑO 2 9 ]]*(1+Tabla12[[#This Row],[CAMBIO PORCENTUAL EN UNIDADES VENDIDAS AÑO 3 9 ]])</calculatedColumnFormula>
    </tableColumn>
    <tableColumn id="170" xr3:uid="{5E91492F-9EFF-47EE-A341-9AFB7966485D}" name="CAMBIO PORCENTUAL EN UNIDADES VENDIDAS AÑO 4 9 " dataDxfId="118">
      <calculatedColumnFormula>VLOOKUP(Tabla12[[#This Row],[CÓDIGO DEL PRODUCTO Y/O SERVICIO ]],Tabla3[],17)</calculatedColumnFormula>
    </tableColumn>
    <tableColumn id="171" xr3:uid="{1A271FCC-7129-4C72-B489-B04FF4EE2FD7}" name="CANTIDADES A UTILIZAR EN EL AÑO 4 9" dataDxfId="117">
      <calculatedColumnFormula>Tabla12[[#This Row],[CANTIDADES A UTILIZAR EN EL AÑO 3 9 ]]*(1+Tabla12[[#This Row],[CAMBIO PORCENTUAL EN UNIDADES VENDIDAS AÑO 4 9 ]])</calculatedColumnFormula>
    </tableColumn>
    <tableColumn id="172" xr3:uid="{F3C5D06B-1E82-4097-A64B-910A0328861B}" name="CAMBIO PORCENTUAL EN UNIDADES VENDIDAS AÑO 5 9" dataDxfId="116">
      <calculatedColumnFormula>VLOOKUP(Tabla12[[#This Row],[CÓDIGO DEL PRODUCTO Y/O SERVICIO ]],Tabla3[],21)</calculatedColumnFormula>
    </tableColumn>
    <tableColumn id="173" xr3:uid="{DBA9218E-A3AE-4C37-8B94-474B9D62A72E}" name="CANTIDADES A UTILIZAR AÑO 5 9" dataDxfId="115">
      <calculatedColumnFormula>Tabla12[[#This Row],[CANTIDADES A UTILIZAR EN EL AÑO 4 9]]*(1+Tabla12[[#This Row],[CAMBIO PORCENTUAL EN UNIDADES VENDIDAS AÑO 5 9]])</calculatedColumnFormula>
    </tableColumn>
    <tableColumn id="174" xr3:uid="{1B11023F-CA50-4FAF-859B-18DC965767D5}" name="COSTO POR UNIDAD DE PRODUCTO (9)" dataDxfId="114">
      <calculatedColumnFormula>IF(Tabla12[[#This Row],[CANTIDADES A UTILIZAR EN EL AÑO 1 9]]=0,0,Tabla12[[#This Row],[CANTIDADES A UTILIZAR EN EL AÑO 1 9]]*1/Tabla12[[#This Row],[UNIDADES PRODUCIDAS AÑO 1 9 ]])</calculatedColumnFormula>
    </tableColumn>
    <tableColumn id="175" xr3:uid="{CFDE6CA6-4037-437A-9260-7BE09221B118}" name="COSTO UNITARIO AÑO 2 9" dataDxfId="113">
      <calculatedColumnFormula>$C$136*(1+BASES!$E$10)</calculatedColumnFormula>
    </tableColumn>
    <tableColumn id="176" xr3:uid="{0D52B884-B58D-44C0-B5B0-434E0BDF1F9B}" name="COSTO UNITARIO AÑO 3 9" dataDxfId="112">
      <calculatedColumnFormula>Tabla12[[#This Row],[COSTO UNITARIO AÑO 2 9]]*(1+BASES!$F$10)</calculatedColumnFormula>
    </tableColumn>
    <tableColumn id="177" xr3:uid="{614FA485-118D-4D70-A220-9E5FABB46AC9}" name="COSTO UNITARIO AÑO 4 9" dataDxfId="111">
      <calculatedColumnFormula>Tabla12[[#This Row],[COSTO UNITARIO AÑO 3 9]]*(1+BASES!$G$10)</calculatedColumnFormula>
    </tableColumn>
    <tableColumn id="178" xr3:uid="{F9D90582-4AAA-41E1-8F26-DAE8BBE56CA7}" name="COSTO UNITARIO AÑO 5 9" dataDxfId="110">
      <calculatedColumnFormula>Tabla12[[#This Row],[COSTO UNITARIO AÑO 4 9]]*(1+BASES!$H$10)</calculatedColumnFormula>
    </tableColumn>
    <tableColumn id="179" xr3:uid="{3012D8A7-7566-493A-8BBB-D24D2A813F67}" name="AÑO 1 9 " dataDxfId="109">
      <calculatedColumnFormula>Tabla12[[#This Row],[COSTO POR UNIDAD DE PRODUCTO (9)]]*$C$136*VLOOKUP(Tabla12[[#This Row],[CÓDIGO DEL PRODUCTO Y/O SERVICIO ]],Tabla3[],3)</calculatedColumnFormula>
    </tableColumn>
    <tableColumn id="180" xr3:uid="{9A601251-20E6-42E2-AD4C-4444D40372A9}" name="AÑO 2 9 " dataDxfId="108">
      <calculatedColumnFormula>Tabla12[[#This Row],[COSTO POR UNIDAD DE PRODUCTO (9)]]*Tabla12[[#This Row],[COSTO UNITARIO AÑO 2 9]]*VLOOKUP(Tabla12[[#This Row],[CÓDIGO DEL PRODUCTO Y/O SERVICIO ]],Tabla3[],6)</calculatedColumnFormula>
    </tableColumn>
    <tableColumn id="181" xr3:uid="{4D47BBBD-E51F-460F-ABF6-E3B4EA02F7A9}" name="AÑO 3 9" dataDxfId="107">
      <calculatedColumnFormula>Tabla12[[#This Row],[COSTO POR UNIDAD DE PRODUCTO (9)]]*Tabla12[[#This Row],[COSTO UNITARIO AÑO 3 9]]*VLOOKUP(Tabla12[[#This Row],[CÓDIGO DEL PRODUCTO Y/O SERVICIO ]],Tabla3[],10)</calculatedColumnFormula>
    </tableColumn>
    <tableColumn id="182" xr3:uid="{1B77713E-2EA4-4959-88CD-92E5B8863AA1}" name="AÑO 4 9" dataDxfId="106">
      <calculatedColumnFormula>Tabla12[[#This Row],[COSTO POR UNIDAD DE PRODUCTO (9)]]*Tabla12[[#This Row],[COSTO UNITARIO AÑO 4 9]]*VLOOKUP(Tabla12[[#This Row],[CÓDIGO DEL PRODUCTO Y/O SERVICIO ]],Tabla3[],14)</calculatedColumnFormula>
    </tableColumn>
    <tableColumn id="183" xr3:uid="{A79C2B8D-EF82-4E97-88D3-A8DF00DA9B92}" name="AÑO 5 9" dataDxfId="105">
      <calculatedColumnFormula>Tabla12[[#This Row],[COSTO POR UNIDAD DE PRODUCTO (9)]]*Tabla12[[#This Row],[COSTO UNITARIO AÑO 5 9]]*VLOOKUP(Tabla12[[#This Row],[CÓDIGO DEL PRODUCTO Y/O SERVICIO ]],Tabla3[],18)</calculatedColumnFormula>
    </tableColumn>
    <tableColumn id="184" xr3:uid="{C777C89A-B19E-4842-B710-147CC68FF87F}" name="UNIDADES PRODUCIDAS AÑO 1 10 " dataDxfId="104">
      <calculatedColumnFormula>VLOOKUP(Tabla12[[#This Row],[CÓDIGO DEL PRODUCTO Y/O SERVICIO ]],Tabla3[],3)</calculatedColumnFormula>
    </tableColumn>
    <tableColumn id="185" xr3:uid="{88E2E94D-FCC9-4501-8346-880128E38633}" name="CANTIDADES A UTILIZAR EN EL AÑO 1 10 " dataDxfId="103">
      <calculatedColumnFormula>Tabla12[[#This Row],[UNIDADES PRODUCIDAS AÑO 1 10 ]]*O145</calculatedColumnFormula>
    </tableColumn>
    <tableColumn id="186" xr3:uid="{17E4B515-2A6E-46AC-88BE-E48C4408DBFF}" name="CAMBIO PORCENTUAL EN UNIDADES VENDIDAS AÑO 2 10 " dataDxfId="102">
      <calculatedColumnFormula>VLOOKUP(Tabla12[[#This Row],[CÓDIGO DEL PRODUCTO Y/O SERVICIO ]],Tabla3[],9)</calculatedColumnFormula>
    </tableColumn>
    <tableColumn id="187" xr3:uid="{3A2FCD63-270C-4781-A212-C0E85BC13332}" name="CANTIDADES A UTILIZAR EN EL AÑO 2 10" dataDxfId="101">
      <calculatedColumnFormula>Tabla12[[#This Row],[CANTIDADES A UTILIZAR EN EL AÑO 1 10 ]]*(1+Tabla12[[#This Row],[CAMBIO PORCENTUAL EN UNIDADES VENDIDAS AÑO 2 10 ]])</calculatedColumnFormula>
    </tableColumn>
    <tableColumn id="188" xr3:uid="{857C2BA9-E6B3-4C1F-85E4-DD8E330793C9}" name="CAMBIO PORCENTUAL EN UNIDADES VENDIDAS AÑO 3 10 " dataDxfId="100">
      <calculatedColumnFormula>VLOOKUP(Tabla12[[#This Row],[CÓDIGO DEL PRODUCTO Y/O SERVICIO ]],Tabla3[],13)</calculatedColumnFormula>
    </tableColumn>
    <tableColumn id="189" xr3:uid="{9147B23F-E207-45B0-9AF2-1BE1888800E8}" name="CANTIDADES A UTILIZAR EN EL AÑO 3 10" dataDxfId="99">
      <calculatedColumnFormula>Tabla12[[#This Row],[CANTIDADES A UTILIZAR EN EL AÑO 2 10]]*(1+Tabla12[[#This Row],[CAMBIO PORCENTUAL EN UNIDADES VENDIDAS AÑO 3 10 ]])</calculatedColumnFormula>
    </tableColumn>
    <tableColumn id="190" xr3:uid="{028A2862-D9E7-4906-8EB7-B4769DDA1389}" name="CAMBIO PORCENTUAL EN UNIDADES VENDIDAS AÑO 4 10 " dataDxfId="98">
      <calculatedColumnFormula>VLOOKUP(Tabla12[[#This Row],[CÓDIGO DEL PRODUCTO Y/O SERVICIO ]],Tabla3[],17)</calculatedColumnFormula>
    </tableColumn>
    <tableColumn id="191" xr3:uid="{55EB26E7-664F-425C-96BE-E0D6B8BB0A65}" name="CANTIDADES A UTILIZAR EN EL AÑO 4 10 " dataDxfId="97">
      <calculatedColumnFormula>Tabla12[[#This Row],[CANTIDADES A UTILIZAR EN EL AÑO 3 10]]*(1+Tabla12[[#This Row],[CAMBIO PORCENTUAL EN UNIDADES VENDIDAS AÑO 4 10 ]])</calculatedColumnFormula>
    </tableColumn>
    <tableColumn id="192" xr3:uid="{14B139C4-10D3-482F-AC9A-1E3998020826}" name="CAMBIO PORCENTUAL EN UNIDADES VENDIDAS AÑO 5 10 " dataDxfId="96">
      <calculatedColumnFormula>VLOOKUP(Tabla12[[#This Row],[CÓDIGO DEL PRODUCTO Y/O SERVICIO ]],Tabla3[],21)</calculatedColumnFormula>
    </tableColumn>
    <tableColumn id="193" xr3:uid="{305DE2C6-6177-4181-AD5C-8AF28F6E78FE}" name="CANTIDADES A UTILIZAR AÑO 5 10 " dataDxfId="95">
      <calculatedColumnFormula>Tabla12[[#This Row],[CANTIDADES A UTILIZAR EN EL AÑO 4 10 ]]*(1+Tabla12[[#This Row],[CAMBIO PORCENTUAL EN UNIDADES VENDIDAS AÑO 5 10 ]])</calculatedColumnFormula>
    </tableColumn>
    <tableColumn id="194" xr3:uid="{ED69EE5B-9177-4EF2-80CB-D81F88F39355}" name="COSTO POR UNIDAD DE PRODUCTO (10)" dataDxfId="94">
      <calculatedColumnFormula>IF(Tabla12[[#This Row],[CANTIDADES A UTILIZAR EN EL AÑO 1 10 ]]=0,0,Tabla12[[#This Row],[CANTIDADES A UTILIZAR EN EL AÑO 1 10 ]]*1/Tabla12[[#This Row],[UNIDADES PRODUCIDAS AÑO 1 10 ]])</calculatedColumnFormula>
    </tableColumn>
    <tableColumn id="195" xr3:uid="{729A85F5-A818-43DF-8482-47542679679D}" name="COSTO UNITARIO AÑO 2 10 " dataDxfId="93">
      <calculatedColumnFormula>$C$137*(1+BASES!$E$10)</calculatedColumnFormula>
    </tableColumn>
    <tableColumn id="196" xr3:uid="{A1837FB4-DB95-436C-AE9C-C7A88F409C5F}" name="COSTO UNITARIO AÑO 3 10 " dataDxfId="92">
      <calculatedColumnFormula>Tabla12[[#This Row],[COSTO UNITARIO AÑO 2 10 ]]*(1+BASES!$F$10)</calculatedColumnFormula>
    </tableColumn>
    <tableColumn id="197" xr3:uid="{01C22CCF-17FC-4E71-9AF9-22C4B4A29916}" name="COSTO UNITARIO AÑO 4 10" dataDxfId="91">
      <calculatedColumnFormula>Tabla12[[#This Row],[COSTO UNITARIO AÑO 3 10 ]]*(1+BASES!$G$10)</calculatedColumnFormula>
    </tableColumn>
    <tableColumn id="198" xr3:uid="{655F253E-47A0-4B9C-B48B-12AC34C8A2B8}" name="COSTO UNITARIO AÑO 5 10 " dataDxfId="90">
      <calculatedColumnFormula>Tabla12[[#This Row],[COSTO UNITARIO AÑO 4 10]]*(1+BASES!$H$10)</calculatedColumnFormula>
    </tableColumn>
    <tableColumn id="199" xr3:uid="{DFFD16D6-CF0C-43BF-B291-6010A922DADD}" name="AÑO 1 10 " dataDxfId="89">
      <calculatedColumnFormula>Tabla12[[#This Row],[COSTO POR UNIDAD DE PRODUCTO (10)]]*$C$137*VLOOKUP(Tabla12[[#This Row],[CÓDIGO DEL PRODUCTO Y/O SERVICIO ]],Tabla3[],3)</calculatedColumnFormula>
    </tableColumn>
    <tableColumn id="200" xr3:uid="{42D9E6A9-DC2D-451A-8AD2-CE4EADB7B723}" name="AÑO 2 10 " dataDxfId="88">
      <calculatedColumnFormula>Tabla12[[#This Row],[COSTO POR UNIDAD DE PRODUCTO (10)]]*Tabla12[[#This Row],[COSTO UNITARIO AÑO 2 10 ]]*VLOOKUP(Tabla12[[#This Row],[CÓDIGO DEL PRODUCTO Y/O SERVICIO ]],Tabla3[],6)</calculatedColumnFormula>
    </tableColumn>
    <tableColumn id="201" xr3:uid="{C9EC917C-E4A8-420A-AE3C-9D880F702E10}" name="AÑO 3 10 " dataDxfId="87">
      <calculatedColumnFormula>Tabla12[[#This Row],[COSTO POR UNIDAD DE PRODUCTO (10)]]*Tabla12[[#This Row],[COSTO UNITARIO AÑO 3 10 ]]*VLOOKUP(Tabla12[[#This Row],[CÓDIGO DEL PRODUCTO Y/O SERVICIO ]],Tabla3[],10)</calculatedColumnFormula>
    </tableColumn>
    <tableColumn id="202" xr3:uid="{9A5A4C27-9DE1-4202-A04D-DC2722732847}" name="AÑO 4 10 " dataDxfId="86">
      <calculatedColumnFormula>Tabla12[[#This Row],[COSTO POR UNIDAD DE PRODUCTO (10)]]*Tabla12[[#This Row],[COSTO UNITARIO AÑO 4 10]]*VLOOKUP(Tabla12[[#This Row],[CÓDIGO DEL PRODUCTO Y/O SERVICIO ]],Tabla3[],14)</calculatedColumnFormula>
    </tableColumn>
    <tableColumn id="203" xr3:uid="{D88BE6EC-E1E9-4612-A9FE-F63AC4F25E72}" name="AÑO 5 10 " dataDxfId="85">
      <calculatedColumnFormula>Tabla12[[#This Row],[COSTO POR UNIDAD DE PRODUCTO (10)]]*Tabla12[[#This Row],[COSTO UNITARIO AÑO 5 10 ]]*VLOOKUP(Tabla12[[#This Row],[CÓDIGO DEL PRODUCTO Y/O SERVICIO ]],Tabla3[],18)</calculatedColumnFormula>
    </tableColumn>
    <tableColumn id="204" xr3:uid="{72AABEAA-B48A-4863-A2A5-D54D07C34CD0}" name="AÑO 1 11" dataDxfId="84">
      <calculatedColumnFormula>Tabla12[[#This Row],[AÑO 1 10 ]]+Tabla12[[#This Row],[AÑO 1 9 ]]+Tabla12[[#This Row],[AÑO 1 8]]+Tabla12[[#This Row],[AÑO 1 7]]+Tabla12[[#This Row],[AÑO 1 6]]+Tabla12[[#This Row],[AÑO 1 5]]+Tabla12[[#This Row],[AÑO 1 4 ]]+Tabla12[[#This Row],[AÑO 1 3]]+Tabla12[[#This Row],[AÑO 1 2]]+Tabla12[[#This Row],[AÑO 1 1]]</calculatedColumnFormula>
    </tableColumn>
    <tableColumn id="205" xr3:uid="{4DCA12D4-23C8-417E-B641-5FB4AC32AFB2}" name="AÑO 2 11" dataDxfId="83">
      <calculatedColumnFormula>Tabla12[[#This Row],[AÑO 2 10 ]]+Tabla12[[#This Row],[AÑO 2 9 ]]+Tabla12[[#This Row],[AÑO 2 8]]+Tabla12[[#This Row],[AÑO 2 7]]+Tabla12[[#This Row],[AÑO 2 6]]+Tabla12[[#This Row],[AÑO 2 5]]+Tabla12[[#This Row],[AÑO 2 4 ]]+Tabla12[[#This Row],[AÑO 2 3]]+Tabla12[[#This Row],[AÑO 2 2 ]]+Tabla12[[#This Row],[AÑO 2 1 ]]</calculatedColumnFormula>
    </tableColumn>
    <tableColumn id="206" xr3:uid="{61C676FE-68B3-40D7-B071-F57089A6BF3E}" name="AÑO 3 11" dataDxfId="82">
      <calculatedColumnFormula>Tabla12[[#This Row],[AÑO 3 10 ]]+Tabla12[[#This Row],[AÑO 3 9]]+Tabla12[[#This Row],[AÑO 3 8]]+Tabla12[[#This Row],[AÑO 3 7]]+Tabla12[[#This Row],[AÑO 3 6]]+Tabla12[[#This Row],[AÑO 3 5]]+Tabla12[[#This Row],[AÑO 3 4 ]]+Tabla12[[#This Row],[AÑO 3 3 ]]+Tabla12[[#This Row],[AÑO 3 2 ]]+Tabla12[[#This Row],[AÑO 3 1 ]]</calculatedColumnFormula>
    </tableColumn>
    <tableColumn id="207" xr3:uid="{F6B3F02B-C550-4A08-9B78-DBF58151FD60}" name="AÑO 4 11 " dataDxfId="81">
      <calculatedColumnFormula>Tabla12[[#This Row],[AÑO 4 10 ]]+Tabla12[[#This Row],[AÑO 4 9]]+Tabla12[[#This Row],[AÑO 4 8]]+Tabla12[[#This Row],[AÑO 4 7]]+Tabla12[[#This Row],[AÑO 4 6]]+Tabla12[[#This Row],[AÑO 4 5]]+Tabla12[[#This Row],[AÑO 4 4 ]]+Tabla12[[#This Row],[AÑO 4 3 ]]+Tabla12[[#This Row],[AÑO 4 2 ]]+Tabla12[[#This Row],[AÑO 4 1 ]]</calculatedColumnFormula>
    </tableColumn>
    <tableColumn id="208" xr3:uid="{7E026275-EFC1-4620-9AE8-08D48CB3CB3A}" name="AÑO 5 11 " dataDxfId="80">
      <calculatedColumnFormula>Tabla12[[#This Row],[AÑO 5 10 ]]+Tabla12[[#This Row],[AÑO 5 9]]+Tabla12[[#This Row],[AÑO 5 8]]+Tabla12[[#This Row],[AÑO 5 7]]+Tabla12[[#This Row],[AÑO 5 6]]+Tabla12[[#This Row],[AÑO 5 5]]+Tabla12[[#This Row],[AÑO 5 4 ]]+Tabla12[[#This Row],[AÑO 5 3 ]]+Tabla12[[#This Row],[AÑO 5 2 ]]+Tabla12[[#This Row],[AÑO 5 1 ]]</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537686-68FD-43B5-B3AF-7B86155BD96A}" name="Tabla15" displayName="Tabla15" ref="C191:Y193" totalsRowShown="0" headerRowDxfId="79" dataDxfId="78">
  <autoFilter ref="C191:Y193" xr:uid="{E0A04C7D-FB85-4F39-8A4E-E172623E765D}"/>
  <tableColumns count="23">
    <tableColumn id="1" xr3:uid="{882019F7-640B-468D-B753-5899BF42D5C0}" name="CÓDIGO DEL PRODUCTO Y/O SERVICIO " dataDxfId="77"/>
    <tableColumn id="2" xr3:uid="{EF5C92EA-79B6-4AC8-9670-23EB41C4792C}" name="NOMBRE DEL PRODUCTO Y/O SERVICIO " dataDxfId="76">
      <calculatedColumnFormula>VLOOKUP(Tabla15[[#This Row],[CÓDIGO DEL PRODUCTO Y/O SERVICIO ]],Tabla3[],2,0)</calculatedColumnFormula>
    </tableColumn>
    <tableColumn id="3" xr3:uid="{6B06B968-2EBA-40F1-8082-D6F45AC20F64}" name="Columna1" dataDxfId="75"/>
    <tableColumn id="4" xr3:uid="{2F4FCF6F-8CB5-46F0-BB94-7366C9D769F6}" name="AÑO 1 " dataDxfId="74">
      <calculatedColumnFormula>IF(F55=0,0,OP55/F55)</calculatedColumnFormula>
    </tableColumn>
    <tableColumn id="5" xr3:uid="{C57CE18E-B915-454C-A082-99A83775CF1F}" name="AÑO 2 " dataDxfId="73">
      <calculatedColumnFormula>IF(PRODUCTO_O_SERVICIO!G20=0,0,COSTOS_DE_PRODUCCION!OQ55/PRODUCTO_O_SERVICIO!G20)</calculatedColumnFormula>
    </tableColumn>
    <tableColumn id="6" xr3:uid="{27D306CA-6D96-47E4-A3DA-1E067FD98F67}" name="AÑO 3 " dataDxfId="72">
      <calculatedColumnFormula>IF(PRODUCTO_O_SERVICIO!K20=0,0,COSTOS_DE_PRODUCCION!OR55/PRODUCTO_O_SERVICIO!K20)</calculatedColumnFormula>
    </tableColumn>
    <tableColumn id="7" xr3:uid="{E58904D3-9DAE-47B1-9A7F-9A082EC78FFF}" name="AÑO 4" dataDxfId="71">
      <calculatedColumnFormula>IF(PRODUCTO_O_SERVICIO!O20=0,0,COSTOS_DE_PRODUCCION!OS55/PRODUCTO_O_SERVICIO!O20)</calculatedColumnFormula>
    </tableColumn>
    <tableColumn id="8" xr3:uid="{8F3023BE-6C47-4E76-89D3-0291C352F942}" name="AÑO 5 " dataDxfId="70">
      <calculatedColumnFormula>IF(PRODUCTO_O_SERVICIO!S20=0,0,COSTOS_DE_PRODUCCION!OT55/PRODUCTO_O_SERVICIO!S20)</calculatedColumnFormula>
    </tableColumn>
    <tableColumn id="9" xr3:uid="{75DB7F2E-2FB5-4388-9DD1-E69CBE524179}" name="AÑO 1 2" dataDxfId="69">
      <calculatedColumnFormula>IF(PRODUCTO_O_SERVICIO!D20=0,0,COSTOS_DE_PRODUCCION!GX107/PRODUCTO_O_SERVICIO!D20)</calculatedColumnFormula>
    </tableColumn>
    <tableColumn id="10" xr3:uid="{45CE1FE9-4F4D-4E3E-B269-DFA6B596A378}" name="AÑO 2 2" dataDxfId="68">
      <calculatedColumnFormula>IF(PRODUCTO_O_SERVICIO!G20=0,0,COSTOS_DE_PRODUCCION!GY107/PRODUCTO_O_SERVICIO!G20)</calculatedColumnFormula>
    </tableColumn>
    <tableColumn id="11" xr3:uid="{D7C76F0B-F43E-44FD-8DDA-96E4310E7410}" name="AÑO 3 2" dataDxfId="67">
      <calculatedColumnFormula>IF(PRODUCTO_O_SERVICIO!K20=0,0,COSTOS_DE_PRODUCCION!GZ107/PRODUCTO_O_SERVICIO!K20)</calculatedColumnFormula>
    </tableColumn>
    <tableColumn id="12" xr3:uid="{CCF1515F-2DE1-4C1B-A0F6-819772D5E28D}" name="AÑO 4 2" dataDxfId="66">
      <calculatedColumnFormula>IF(PRODUCTO_O_SERVICIO!O20=0,0,COSTOS_DE_PRODUCCION!HA107/PRODUCTO_O_SERVICIO!O20)</calculatedColumnFormula>
    </tableColumn>
    <tableColumn id="13" xr3:uid="{47D9F6F0-B17E-4F09-A79C-34A019FB96A4}" name="AÑO 5 2" dataDxfId="65">
      <calculatedColumnFormula>IF(PRODUCTO_O_SERVICIO!S20=0,0,COSTOS_DE_PRODUCCION!HB107/PRODUCTO_O_SERVICIO!S20)</calculatedColumnFormula>
    </tableColumn>
    <tableColumn id="14" xr3:uid="{C066EDE4-3C68-4CDD-972F-C9B4252CA429}" name="AÑO 1 3" dataDxfId="64">
      <calculatedColumnFormula>IF(PRODUCTO_O_SERVICIO!D20=0,0,COSTOS_DE_PRODUCCION!GX164/PRODUCTO_O_SERVICIO!D20)</calculatedColumnFormula>
    </tableColumn>
    <tableColumn id="15" xr3:uid="{C2455697-185B-4D02-A25A-EA9AD41BB78D}" name="AÑO 2 3" dataDxfId="63">
      <calculatedColumnFormula>IF(PRODUCTO_O_SERVICIO!G20=0,0,COSTOS_DE_PRODUCCION!GY164/PRODUCTO_O_SERVICIO!G20)</calculatedColumnFormula>
    </tableColumn>
    <tableColumn id="16" xr3:uid="{3296F73A-383A-4903-8519-D5F279E72FEC}" name="AÑO 3 3" dataDxfId="62">
      <calculatedColumnFormula>IF(PRODUCTO_O_SERVICIO!K20=0,0,COSTOS_DE_PRODUCCION!GZ164/PRODUCTO_O_SERVICIO!K20)</calculatedColumnFormula>
    </tableColumn>
    <tableColumn id="17" xr3:uid="{5CDBC2C6-4E1B-4DB8-890A-5A7A71CCBC53}" name="AÑO 4 3 " dataDxfId="61">
      <calculatedColumnFormula>IF(PRODUCTO_O_SERVICIO!O20=0,0,COSTOS_DE_PRODUCCION!HA164/PRODUCTO_O_SERVICIO!O20)</calculatedColumnFormula>
    </tableColumn>
    <tableColumn id="18" xr3:uid="{B36C44BE-EEEF-4779-A17E-BCDD15941819}" name="AÑO 5 3" dataDxfId="60">
      <calculatedColumnFormula>IF(PRODUCTO_O_SERVICIO!S20=0,0,COSTOS_DE_PRODUCCION!HB164/PRODUCTO_O_SERVICIO!S20)</calculatedColumnFormula>
    </tableColumn>
    <tableColumn id="19" xr3:uid="{E708BC36-69A3-4964-91D8-2543725D13D2}" name="AÑO 1 4" dataDxfId="59">
      <calculatedColumnFormula>Tabla15[[#This Row],[AÑO 1 ]]+Tabla15[[#This Row],[AÑO 1 2]]+Tabla15[[#This Row],[AÑO 1 3]]</calculatedColumnFormula>
    </tableColumn>
    <tableColumn id="20" xr3:uid="{5297CB68-4F5E-4013-B3EF-7603FAFB10AD}" name="AÑO 2 4" dataDxfId="58">
      <calculatedColumnFormula>Tabla15[[#This Row],[AÑO 2 ]]+Tabla15[[#This Row],[AÑO 2 2]]+Tabla15[[#This Row],[AÑO 2 3]]</calculatedColumnFormula>
    </tableColumn>
    <tableColumn id="21" xr3:uid="{BA9BD60A-DE3F-48C2-8D96-DB0CFD1EA4F0}" name="AÑO 3 4" dataDxfId="57">
      <calculatedColumnFormula>Tabla15[[#This Row],[AÑO 3 ]]+Tabla15[[#This Row],[AÑO 3 2]]+Tabla15[[#This Row],[AÑO 3 3]]</calculatedColumnFormula>
    </tableColumn>
    <tableColumn id="22" xr3:uid="{0A60B9D5-8AF6-4A93-853B-607DA918EF99}" name="AÑO 4 4 " dataDxfId="56">
      <calculatedColumnFormula>Tabla15[[#This Row],[AÑO 4]]+Tabla15[[#This Row],[AÑO 4 2]]+Tabla15[[#This Row],[AÑO 4 3 ]]</calculatedColumnFormula>
    </tableColumn>
    <tableColumn id="23" xr3:uid="{A73B3EFA-2751-4C2C-AD14-4DAD3D4918DF}" name="AÑO 5 4" dataDxfId="55">
      <calculatedColumnFormula>Tabla15[[#This Row],[AÑO 5 ]]+Tabla15[[#This Row],[AÑO 5 2]]+Tabla15[[#This Row],[AÑO 5 3]]</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D53C0D-2A87-4926-A0E9-DC3A2885B77B}" name="Tabla2" displayName="Tabla2" ref="D8:O10" totalsRowShown="0" headerRowDxfId="54" dataDxfId="53">
  <autoFilter ref="D8:O10" xr:uid="{9B3D302D-4CDD-4B2D-B326-1BDE679ECB62}"/>
  <tableColumns count="12">
    <tableColumn id="1" xr3:uid="{F5F060AD-43A7-4794-82B1-EC4067234622}" name="CÓDIGO " dataDxfId="52"/>
    <tableColumn id="2" xr3:uid="{A65CD31F-2A30-4E55-A571-CB9E0B3FAB96}" name="Producto y/o servicio " dataDxfId="51">
      <calculatedColumnFormula>VLOOKUP(Tabla2[[#This Row],[CÓDIGO ]],Tabla3[],2,FALSE)</calculatedColumnFormula>
    </tableColumn>
    <tableColumn id="3" xr3:uid="{3356F61D-2104-4994-B000-140C4F970870}" name="Precio de venta año 1 " dataDxfId="50">
      <calculatedColumnFormula>VLOOKUP(Tabla2[[#This Row],[CÓDIGO ]],Tabla3[],4,FALSE)</calculatedColumnFormula>
    </tableColumn>
    <tableColumn id="4" xr3:uid="{50A8B792-F0BA-4A00-9F05-A5F5C83493E3}" name="Ingresos totales año 1" dataDxfId="49">
      <calculatedColumnFormula>Tabla2[[#This Row],[Precio de venta año 1 ]]*VLOOKUP(Tabla2[[#This Row],[CÓDIGO ]],Tabla3[],3,FALSE)</calculatedColumnFormula>
    </tableColumn>
    <tableColumn id="5" xr3:uid="{7DAD203E-C194-4D65-9ED8-FEB8D4FAD109}" name="Precio de venta año 2 " dataDxfId="48">
      <calculatedColumnFormula>VLOOKUP(Tabla2[[#This Row],[CÓDIGO ]],Tabla3[],7,FALSE)</calculatedColumnFormula>
    </tableColumn>
    <tableColumn id="6" xr3:uid="{569C77A4-8AF0-43BC-9806-A0F634EAD358}" name="Ingresos totales año 2 " dataDxfId="47">
      <calculatedColumnFormula>Tabla2[[#This Row],[Precio de venta año 2 ]]*VLOOKUP(Tabla2[[#This Row],[CÓDIGO ]],Tabla3[],6,FALSE)</calculatedColumnFormula>
    </tableColumn>
    <tableColumn id="7" xr3:uid="{B1FF55E4-99B0-429C-9D3E-DC83156BDA7F}" name="Precio de venta año 3 " dataDxfId="46">
      <calculatedColumnFormula>VLOOKUP(Tabla2[[#This Row],[CÓDIGO ]],Tabla3[],11,FALSE)</calculatedColumnFormula>
    </tableColumn>
    <tableColumn id="8" xr3:uid="{7AEE6964-1003-4C2D-8751-80C8BD7A3365}" name="Ingresos totales año 3 " dataDxfId="45">
      <calculatedColumnFormula>Tabla2[[#This Row],[Precio de venta año 3 ]]*VLOOKUP(Tabla2[[#This Row],[CÓDIGO ]],Tabla3[],10,FALSE)</calculatedColumnFormula>
    </tableColumn>
    <tableColumn id="9" xr3:uid="{33C77107-CE26-4F16-8BBC-D955C929B0D4}" name="Precio de venta año 4 " dataDxfId="44">
      <calculatedColumnFormula>VLOOKUP(Tabla2[[#This Row],[CÓDIGO ]],Tabla3[],15,FALSE)</calculatedColumnFormula>
    </tableColumn>
    <tableColumn id="10" xr3:uid="{F66B203D-39C7-4D88-96B1-3C9681344D18}" name="Ingresos totales año 4" dataDxfId="43">
      <calculatedColumnFormula>Tabla2[[#This Row],[Precio de venta año 4 ]]*VLOOKUP(Tabla2[[#This Row],[CÓDIGO ]],Tabla3[],14,FALSE)</calculatedColumnFormula>
    </tableColumn>
    <tableColumn id="11" xr3:uid="{DEAE33E3-3D6D-4650-BCC2-EDB2BD417FD7}" name="Precio de venta año 5" dataDxfId="42">
      <calculatedColumnFormula>VLOOKUP(Tabla2[[#This Row],[CÓDIGO ]],Tabla3[],19,FALSE)</calculatedColumnFormula>
    </tableColumn>
    <tableColumn id="12" xr3:uid="{92942E89-5238-4917-8C6D-F965F1B3CB44}" name="Ingresos totales año 5" dataDxfId="41">
      <calculatedColumnFormula>Tabla2[[#This Row],[Precio de venta año 5]]*VLOOKUP(Tabla2[[#This Row],[CÓDIGO ]],Tabla3[],18,FALSE)</calculatedColumnFormula>
    </tableColumn>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64F146-B2F7-4D78-9D43-F3172ED961ED}" name="Tabla5" displayName="Tabla5" ref="D22:T24" totalsRowShown="0" headerRowDxfId="40" dataDxfId="39">
  <autoFilter ref="D22:T24" xr:uid="{991172E2-B068-4858-B48B-CE1B7940C75D}"/>
  <tableColumns count="17">
    <tableColumn id="1" xr3:uid="{91E81F2B-5B2A-4A65-A310-8E92F1399D7F}" name="CÓDIGO " dataDxfId="38"/>
    <tableColumn id="2" xr3:uid="{7A39D6FF-627C-47CB-97C7-CDB23E90B9C7}" name="Producto y/o servicio " dataDxfId="37">
      <calculatedColumnFormula>VLOOKUP(Tabla5[[#This Row],[CÓDIGO ]],Tabla3[],2,0)</calculatedColumnFormula>
    </tableColumn>
    <tableColumn id="3" xr3:uid="{648E0A4E-18DA-4264-BB9A-CD025964C64C}" name="Precio de venta unitario año 1" dataDxfId="36">
      <calculatedColumnFormula>VLOOKUP(Tabla5[[#This Row],[CÓDIGO ]],Tabla3[],4,0)</calculatedColumnFormula>
    </tableColumn>
    <tableColumn id="4" xr3:uid="{41971353-6744-47FF-8105-AEF1E3039CE3}" name="(-) Costo de producción unitario año 1" dataDxfId="35">
      <calculatedColumnFormula>VLOOKUP(Tabla5[[#This Row],[CÓDIGO ]],Tabla15[],18)</calculatedColumnFormula>
    </tableColumn>
    <tableColumn id="5" xr3:uid="{1CCA5C03-0C7C-4563-B698-04A4ADC1811F}" name="Margen de contribución unitario año 1" dataDxfId="34">
      <calculatedColumnFormula>Tabla5[[#This Row],[Precio de venta unitario año 1]]-Tabla5[[#This Row],[(-) Costo de producción unitario año 1]]</calculatedColumnFormula>
    </tableColumn>
    <tableColumn id="6" xr3:uid="{94751116-2A4A-4FD5-B7AF-914990FF72CC}" name="Precio de venta unitario año 2" dataDxfId="33">
      <calculatedColumnFormula>VLOOKUP(Tabla5[[#This Row],[CÓDIGO ]],Tabla3[],7,0)</calculatedColumnFormula>
    </tableColumn>
    <tableColumn id="7" xr3:uid="{31CC67F3-15B0-4215-8B30-59A923A1C17A}" name="(-) Costo de producción unitario año 2" dataDxfId="32">
      <calculatedColumnFormula>VLOOKUP(Tabla5[[#This Row],[CÓDIGO ]],Tabla15[],19)</calculatedColumnFormula>
    </tableColumn>
    <tableColumn id="8" xr3:uid="{1B75B426-D02D-4542-8FF4-FFF3D10D5909}" name="Margen de contribución unitario año 2" dataDxfId="31">
      <calculatedColumnFormula>Tabla5[[#This Row],[Precio de venta unitario año 2]]-Tabla5[[#This Row],[(-) Costo de producción unitario año 2]]</calculatedColumnFormula>
    </tableColumn>
    <tableColumn id="9" xr3:uid="{08F85E58-A22B-49EA-90D6-56511593719E}" name="Precio de venta unitario año 3" dataDxfId="30">
      <calculatedColumnFormula>VLOOKUP(Tabla5[[#This Row],[CÓDIGO ]],Tabla3[],11,0)</calculatedColumnFormula>
    </tableColumn>
    <tableColumn id="10" xr3:uid="{16BA973F-517E-4F55-B972-E82CE6BF38E6}" name="(-) Costo de producción unitario año 3" dataDxfId="29">
      <calculatedColumnFormula>VLOOKUP(Tabla5[[#This Row],[CÓDIGO ]],Tabla15[],20)</calculatedColumnFormula>
    </tableColumn>
    <tableColumn id="11" xr3:uid="{CDE286F4-F209-4055-BFFF-751F7F928C9D}" name="Margen de contribución unitario año 3" dataDxfId="28">
      <calculatedColumnFormula>Tabla5[[#This Row],[Precio de venta unitario año 3]]-Tabla5[[#This Row],[(-) Costo de producción unitario año 3]]</calculatedColumnFormula>
    </tableColumn>
    <tableColumn id="12" xr3:uid="{E24CD506-761D-471B-9ACB-4217150E1025}" name="Precio de venta unitario año 4" dataDxfId="27">
      <calculatedColumnFormula>VLOOKUP(Tabla5[[#This Row],[CÓDIGO ]],Tabla3[],15,0)</calculatedColumnFormula>
    </tableColumn>
    <tableColumn id="13" xr3:uid="{A0934D96-47A4-40AA-BF76-57059F892C2F}" name="(-) Costo de producción unitario año 4" dataDxfId="26">
      <calculatedColumnFormula>VLOOKUP(Tabla5[[#This Row],[CÓDIGO ]],Tabla15[],21)</calculatedColumnFormula>
    </tableColumn>
    <tableColumn id="14" xr3:uid="{52A7C197-88E6-4893-AA6B-E309C9FCF776}" name="Margen de contribución unitario año 4" dataDxfId="25">
      <calculatedColumnFormula>Tabla5[[#This Row],[Precio de venta unitario año 4]]-Tabla5[[#This Row],[(-) Costo de producción unitario año 4]]</calculatedColumnFormula>
    </tableColumn>
    <tableColumn id="15" xr3:uid="{6F9FA346-AD29-4B39-B8CB-1E4D1492E392}" name="Precio de venta unitario año 5" dataDxfId="24">
      <calculatedColumnFormula>VLOOKUP(Tabla5[[#This Row],[CÓDIGO ]],Tabla3[],19,0)</calculatedColumnFormula>
    </tableColumn>
    <tableColumn id="16" xr3:uid="{45F06967-C010-4A36-9A6C-221B9172E5A0}" name="(-) Costo de producción unitario año 5" dataDxfId="23">
      <calculatedColumnFormula>VLOOKUP(Tabla5[[#This Row],[CÓDIGO ]],Tabla15[],22)</calculatedColumnFormula>
    </tableColumn>
    <tableColumn id="17" xr3:uid="{5CA86D20-FD6B-4D5D-BCAB-F4D464363D28}" name="Margen de contribución unitario año 5" dataDxfId="22">
      <calculatedColumnFormula>Tabla5[[#This Row],[Precio de venta unitario año 5]]-Tabla5[[#This Row],[(-) Costo de producción unitario año 5]]</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8435B87-4D5C-4BC2-AAED-CCD332421923}" name="Tabla6" displayName="Tabla6" ref="E8:K10" totalsRowShown="0" headerRowDxfId="21" dataDxfId="20">
  <autoFilter ref="E8:K10" xr:uid="{E21B02D9-F632-4410-BF28-D12D7E976C83}"/>
  <tableColumns count="7">
    <tableColumn id="1" xr3:uid="{CEF04158-098E-4F8C-8025-F4E796A6C601}" name="CÓDIGO " dataDxfId="19"/>
    <tableColumn id="2" xr3:uid="{0BB47822-4C75-4831-B2D9-23E64C8F3039}" name="PRODUCTO Y/O SERVICIO " dataDxfId="18">
      <calculatedColumnFormula>VLOOKUP(Tabla6[[#This Row],[CÓDIGO ]],Tabla3[],2,0)</calculatedColumnFormula>
    </tableColumn>
    <tableColumn id="3" xr3:uid="{23B49039-2496-401B-BBD4-8D57BA7D6FD6}" name="INGRESOS TOTALES" dataDxfId="17">
      <calculatedColumnFormula>VLOOKUP(Tabla6[[#This Row],[CÓDIGO ]],Tabla2[],4,0)</calculatedColumnFormula>
    </tableColumn>
    <tableColumn id="4" xr3:uid="{90128B54-7119-4AB5-98CC-1FCBA322599F}" name="PRECIO DE VENTA " dataDxfId="16">
      <calculatedColumnFormula>VLOOKUP(Tabla6[[#This Row],[CÓDIGO ]],Tabla3[],4)</calculatedColumnFormula>
    </tableColumn>
    <tableColumn id="5" xr3:uid="{58C60E4B-3C76-4970-83CA-FD5C9BB43FD6}" name="COSTOS DE PRODUCCIÓN " dataDxfId="15">
      <calculatedColumnFormula>VLOOKUP(Tabla6[[#This Row],[CÓDIGO ]],Tabla15[],18)</calculatedColumnFormula>
    </tableColumn>
    <tableColumn id="6" xr3:uid="{3D1D6BAA-813F-402F-9F6C-05373B89CD29}" name="MARGEN DE CONTRIBUCIÓN UNITARIO " dataDxfId="14">
      <calculatedColumnFormula>Tabla6[[#This Row],[PRECIO DE VENTA ]]-Tabla6[[#This Row],[COSTOS DE PRODUCCIÓN ]]</calculatedColumnFormula>
    </tableColumn>
    <tableColumn id="7" xr3:uid="{043D08E7-2197-468E-B012-AA398B2E6B55}" name="PARTICIPACIÓN PORCENTUAL DE LAS VENTAS " dataDxfId="13">
      <calculatedColumnFormula>IF($G$12=0,0,G9/$G$12)</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3DCB530-08A8-46F5-B2AB-4C75DCD66A9E}" name="Tabla7" displayName="Tabla7" ref="E19:I21" totalsRowShown="0" headerRowDxfId="12" dataDxfId="11">
  <autoFilter ref="E19:I21" xr:uid="{96167AA7-D40D-48E8-A98C-3CAF49C4035E}"/>
  <tableColumns count="5">
    <tableColumn id="1" xr3:uid="{2968B154-B141-4A24-82AF-0B40437C28F7}" name="CÓDIGO " dataDxfId="10"/>
    <tableColumn id="2" xr3:uid="{F476F082-0D42-448F-A130-D9FF46303E35}" name="PRODUCTO Y/O SERVICIO " dataDxfId="9">
      <calculatedColumnFormula>VLOOKUP(Tabla7[[#This Row],[CÓDIGO ]],Tabla3[],2)</calculatedColumnFormula>
    </tableColumn>
    <tableColumn id="3" xr3:uid="{DFF9B1CB-7791-48F1-9D21-8E1850E3CFDF}" name="MARGEN DE CONTRIBUCIÓN UNITARIO " dataDxfId="8">
      <calculatedColumnFormula>VLOOKUP(Tabla7[[#This Row],[CÓDIGO ]],Tabla6[],6,0)</calculatedColumnFormula>
    </tableColumn>
    <tableColumn id="4" xr3:uid="{0DBE7B6A-A652-450B-A034-C648BBD1A290}" name="PARTICIPACIÓN % EN VENTAS " dataDxfId="7">
      <calculatedColumnFormula>VLOOKUP(Tabla7[[#This Row],[CÓDIGO ]],Tabla6[],7,0)</calculatedColumnFormula>
    </tableColumn>
    <tableColumn id="5" xr3:uid="{939A2592-B9BC-411C-938E-C80B4B61FD09}" name="MARGEN PONDERADO " dataDxfId="6">
      <calculatedColumnFormula>Tabla7[[#This Row],[MARGEN DE CONTRIBUCIÓN UNITARIO ]]*Tabla7[[#This Row],[PARTICIPACIÓN % EN VENTAS ]]</calculatedColumn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EE677D-C3CC-4A51-B373-07DE51806E1E}" name="Tabla8" displayName="Tabla8" ref="E40:H42" totalsRowShown="0" headerRowDxfId="5" dataDxfId="4">
  <autoFilter ref="E40:H42" xr:uid="{9D0CC8D5-0D1F-4B22-940D-C504562B5A6B}"/>
  <tableColumns count="4">
    <tableColumn id="1" xr3:uid="{8A24DBF5-913A-4318-B6F6-FE58CE1081B5}" name="CÓDIGO " dataDxfId="3"/>
    <tableColumn id="2" xr3:uid="{DDFADD33-14DB-4A78-A5E3-703C11DF64B3}" name="PRODUCTO Y/O SERVICIO " dataDxfId="2">
      <calculatedColumnFormula>VLOOKUP(Tabla8[[#This Row],[CÓDIGO ]],Tabla3[],2)</calculatedColumnFormula>
    </tableColumn>
    <tableColumn id="3" xr3:uid="{03E62207-E36D-44C9-B157-C8A77DEBB42C}" name="-" dataDxfId="1">
      <calculatedColumnFormula>$G$33*VLOOKUP(Tabla8[[#This Row],[CÓDIGO ]],Tabla6[],7,0)</calculatedColumnFormula>
    </tableColumn>
    <tableColumn id="4" xr3:uid="{876FC78B-2BA3-4A09-8993-056E80DB55F0}" name="UNIDADES CALCULADAS PARA EL GRÁFICO " dataDxfId="0">
      <calculatedColumnFormula>$Q$24*VLOOKUP(Tabla8[[#This Row],[CÓDIGO ]],Tabla6[],7,0)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Naranja">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oleObject" Target="../embeddings/oleObject1.bin"/><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image" Target="../media/image2.emf"/><Relationship Id="rId4" Type="http://schemas.openxmlformats.org/officeDocument/2006/relationships/package" Target="../embeddings/Microsoft_Word_Macro-Enabled_Document.docm"/></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3.xml"/><Relationship Id="rId18" Type="http://schemas.openxmlformats.org/officeDocument/2006/relationships/table" Target="../tables/table8.xml"/><Relationship Id="rId3" Type="http://schemas.openxmlformats.org/officeDocument/2006/relationships/vmlDrawing" Target="../drawings/vmlDrawing5.vml"/><Relationship Id="rId21" Type="http://schemas.openxmlformats.org/officeDocument/2006/relationships/table" Target="../tables/table11.xml"/><Relationship Id="rId7" Type="http://schemas.openxmlformats.org/officeDocument/2006/relationships/ctrlProp" Target="../ctrlProps/ctrlProp22.xml"/><Relationship Id="rId12" Type="http://schemas.openxmlformats.org/officeDocument/2006/relationships/table" Target="../tables/table2.xml"/><Relationship Id="rId17" Type="http://schemas.openxmlformats.org/officeDocument/2006/relationships/table" Target="../tables/table7.xml"/><Relationship Id="rId2" Type="http://schemas.openxmlformats.org/officeDocument/2006/relationships/drawing" Target="../drawings/drawing5.xml"/><Relationship Id="rId16" Type="http://schemas.openxmlformats.org/officeDocument/2006/relationships/table" Target="../tables/table6.xml"/><Relationship Id="rId20" Type="http://schemas.openxmlformats.org/officeDocument/2006/relationships/table" Target="../tables/table10.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table" Target="../tables/table5.xml"/><Relationship Id="rId10" Type="http://schemas.openxmlformats.org/officeDocument/2006/relationships/ctrlProp" Target="../ctrlProps/ctrlProp25.xml"/><Relationship Id="rId19" Type="http://schemas.openxmlformats.org/officeDocument/2006/relationships/table" Target="../tables/table9.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table" Target="../tables/table4.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10" Type="http://schemas.openxmlformats.org/officeDocument/2006/relationships/table" Target="../tables/table16.xml"/><Relationship Id="rId4" Type="http://schemas.openxmlformats.org/officeDocument/2006/relationships/ctrlProp" Target="../ctrlProps/ctrlProp33.xml"/><Relationship Id="rId9"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DFC57-B4B7-4854-8F9F-63432295E129}">
  <sheetPr codeName="Hoja1"/>
  <dimension ref="R16"/>
  <sheetViews>
    <sheetView showGridLines="0" tabSelected="1" zoomScaleNormal="100" workbookViewId="0"/>
  </sheetViews>
  <sheetFormatPr baseColWidth="10" defaultRowHeight="15" x14ac:dyDescent="0.25"/>
  <sheetData>
    <row r="16" spans="18:18" x14ac:dyDescent="0.25">
      <c r="R16" t="s">
        <v>323</v>
      </c>
    </row>
  </sheetData>
  <sheetProtection algorithmName="SHA-512" hashValue="ONV1AhT2JXIPOO4glDrBruQdumvZuZr/vlLIWiwHrX05njI/KvAzH0N9T+FLM1HZTDjkU5yIgp47zL6yMTJg2g==" saltValue="/fLs3rAi4AiDgOveJnBRxA==" spinCount="100000"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PowerPoint.OpenDocumentPresentation.12" shapeId="5121" r:id="rId4">
          <objectPr defaultSize="0" autoPict="0" r:id="rId5">
            <anchor moveWithCells="1">
              <from>
                <xdr:col>0</xdr:col>
                <xdr:colOff>0</xdr:colOff>
                <xdr:row>0</xdr:row>
                <xdr:rowOff>0</xdr:rowOff>
              </from>
              <to>
                <xdr:col>11</xdr:col>
                <xdr:colOff>57150</xdr:colOff>
                <xdr:row>27</xdr:row>
                <xdr:rowOff>0</xdr:rowOff>
              </to>
            </anchor>
          </objectPr>
        </oleObject>
      </mc:Choice>
      <mc:Fallback>
        <oleObject progId="PowerPoint.OpenDocumentPresentation.12" shapeId="5121"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Bases">
                <anchor moveWithCells="1" sizeWithCells="1">
                  <from>
                    <xdr:col>11</xdr:col>
                    <xdr:colOff>409575</xdr:colOff>
                    <xdr:row>2</xdr:row>
                    <xdr:rowOff>180975</xdr:rowOff>
                  </from>
                  <to>
                    <xdr:col>13</xdr:col>
                    <xdr:colOff>409575</xdr:colOff>
                    <xdr:row>4</xdr:row>
                    <xdr:rowOff>133350</xdr:rowOff>
                  </to>
                </anchor>
              </controlPr>
            </control>
          </mc:Choice>
        </mc:AlternateContent>
        <mc:AlternateContent xmlns:mc="http://schemas.openxmlformats.org/markup-compatibility/2006">
          <mc:Choice Requires="x14">
            <control shapeId="5123" r:id="rId7" name="Button 3">
              <controlPr defaultSize="0" print="0" autoFill="0" autoPict="0" macro="[0]!Instru">
                <anchor moveWithCells="1" sizeWithCells="1">
                  <from>
                    <xdr:col>11</xdr:col>
                    <xdr:colOff>419100</xdr:colOff>
                    <xdr:row>0</xdr:row>
                    <xdr:rowOff>95250</xdr:rowOff>
                  </from>
                  <to>
                    <xdr:col>13</xdr:col>
                    <xdr:colOff>409575</xdr:colOff>
                    <xdr:row>2</xdr:row>
                    <xdr:rowOff>95250</xdr:rowOff>
                  </to>
                </anchor>
              </controlPr>
            </control>
          </mc:Choice>
        </mc:AlternateContent>
        <mc:AlternateContent xmlns:mc="http://schemas.openxmlformats.org/markup-compatibility/2006">
          <mc:Choice Requires="x14">
            <control shapeId="5124" r:id="rId8" name="Button 4">
              <controlPr defaultSize="0" print="0" autoFill="0" autoPict="0" macro="[0]!Proyeccion">
                <anchor moveWithCells="1" sizeWithCells="1">
                  <from>
                    <xdr:col>11</xdr:col>
                    <xdr:colOff>419100</xdr:colOff>
                    <xdr:row>5</xdr:row>
                    <xdr:rowOff>76200</xdr:rowOff>
                  </from>
                  <to>
                    <xdr:col>13</xdr:col>
                    <xdr:colOff>390525</xdr:colOff>
                    <xdr:row>7</xdr:row>
                    <xdr:rowOff>104775</xdr:rowOff>
                  </to>
                </anchor>
              </controlPr>
            </control>
          </mc:Choice>
        </mc:AlternateContent>
        <mc:AlternateContent xmlns:mc="http://schemas.openxmlformats.org/markup-compatibility/2006">
          <mc:Choice Requires="x14">
            <control shapeId="5125" r:id="rId9" name="Button 5">
              <controlPr defaultSize="0" print="0" autoFill="0" autoPict="0" macro="[0]!Costos">
                <anchor moveWithCells="1" sizeWithCells="1">
                  <from>
                    <xdr:col>11</xdr:col>
                    <xdr:colOff>409575</xdr:colOff>
                    <xdr:row>8</xdr:row>
                    <xdr:rowOff>47625</xdr:rowOff>
                  </from>
                  <to>
                    <xdr:col>13</xdr:col>
                    <xdr:colOff>381000</xdr:colOff>
                    <xdr:row>10</xdr:row>
                    <xdr:rowOff>95250</xdr:rowOff>
                  </to>
                </anchor>
              </controlPr>
            </control>
          </mc:Choice>
        </mc:AlternateContent>
        <mc:AlternateContent xmlns:mc="http://schemas.openxmlformats.org/markup-compatibility/2006">
          <mc:Choice Requires="x14">
            <control shapeId="5129" r:id="rId10" name="Button 9">
              <controlPr defaultSize="0" print="0" autoFill="0" autoPict="0" macro="[0]!Ingresos">
                <anchor moveWithCells="1" sizeWithCells="1">
                  <from>
                    <xdr:col>11</xdr:col>
                    <xdr:colOff>400050</xdr:colOff>
                    <xdr:row>11</xdr:row>
                    <xdr:rowOff>19050</xdr:rowOff>
                  </from>
                  <to>
                    <xdr:col>13</xdr:col>
                    <xdr:colOff>371475</xdr:colOff>
                    <xdr:row>14</xdr:row>
                    <xdr:rowOff>85725</xdr:rowOff>
                  </to>
                </anchor>
              </controlPr>
            </control>
          </mc:Choice>
        </mc:AlternateContent>
        <mc:AlternateContent xmlns:mc="http://schemas.openxmlformats.org/markup-compatibility/2006">
          <mc:Choice Requires="x14">
            <control shapeId="5130" r:id="rId11" name="Button 10">
              <controlPr defaultSize="0" print="0" autoFill="0" autoPict="0" macro="[0]!Gastos">
                <anchor moveWithCells="1" sizeWithCells="1">
                  <from>
                    <xdr:col>11</xdr:col>
                    <xdr:colOff>409575</xdr:colOff>
                    <xdr:row>15</xdr:row>
                    <xdr:rowOff>28575</xdr:rowOff>
                  </from>
                  <to>
                    <xdr:col>13</xdr:col>
                    <xdr:colOff>371475</xdr:colOff>
                    <xdr:row>17</xdr:row>
                    <xdr:rowOff>152400</xdr:rowOff>
                  </to>
                </anchor>
              </controlPr>
            </control>
          </mc:Choice>
        </mc:AlternateContent>
        <mc:AlternateContent xmlns:mc="http://schemas.openxmlformats.org/markup-compatibility/2006">
          <mc:Choice Requires="x14">
            <control shapeId="5131" r:id="rId12" name="Button 11">
              <controlPr defaultSize="0" print="0" autoFill="0" autoPict="0" macro="[0]!Necesidades">
                <anchor moveWithCells="1" sizeWithCells="1">
                  <from>
                    <xdr:col>11</xdr:col>
                    <xdr:colOff>400050</xdr:colOff>
                    <xdr:row>18</xdr:row>
                    <xdr:rowOff>123825</xdr:rowOff>
                  </from>
                  <to>
                    <xdr:col>13</xdr:col>
                    <xdr:colOff>361950</xdr:colOff>
                    <xdr:row>21</xdr:row>
                    <xdr:rowOff>114300</xdr:rowOff>
                  </to>
                </anchor>
              </controlPr>
            </control>
          </mc:Choice>
        </mc:AlternateContent>
        <mc:AlternateContent xmlns:mc="http://schemas.openxmlformats.org/markup-compatibility/2006">
          <mc:Choice Requires="x14">
            <control shapeId="5132" r:id="rId13" name="Button 12">
              <controlPr defaultSize="0" print="0" autoFill="0" autoPict="0" macro="[0]!Cuadro">
                <anchor moveWithCells="1" sizeWithCells="1">
                  <from>
                    <xdr:col>11</xdr:col>
                    <xdr:colOff>400050</xdr:colOff>
                    <xdr:row>22</xdr:row>
                    <xdr:rowOff>66675</xdr:rowOff>
                  </from>
                  <to>
                    <xdr:col>13</xdr:col>
                    <xdr:colOff>352425</xdr:colOff>
                    <xdr:row>24</xdr:row>
                    <xdr:rowOff>171450</xdr:rowOff>
                  </to>
                </anchor>
              </controlPr>
            </control>
          </mc:Choice>
        </mc:AlternateContent>
        <mc:AlternateContent xmlns:mc="http://schemas.openxmlformats.org/markup-compatibility/2006">
          <mc:Choice Requires="x14">
            <control shapeId="5133" r:id="rId14" name="Button 13">
              <controlPr defaultSize="0" print="0" autoFill="0" autoPict="0" macro="[0]!Equilibrio">
                <anchor moveWithCells="1" sizeWithCells="1">
                  <from>
                    <xdr:col>11</xdr:col>
                    <xdr:colOff>371475</xdr:colOff>
                    <xdr:row>25</xdr:row>
                    <xdr:rowOff>171450</xdr:rowOff>
                  </from>
                  <to>
                    <xdr:col>13</xdr:col>
                    <xdr:colOff>342900</xdr:colOff>
                    <xdr:row>28</xdr:row>
                    <xdr:rowOff>57150</xdr:rowOff>
                  </to>
                </anchor>
              </controlPr>
            </control>
          </mc:Choice>
        </mc:AlternateContent>
        <mc:AlternateContent xmlns:mc="http://schemas.openxmlformats.org/markup-compatibility/2006">
          <mc:Choice Requires="x14">
            <control shapeId="5134" r:id="rId15" name="Button 14">
              <controlPr defaultSize="0" print="0" autoFill="0" autoPict="0" macro="[0]!Balance">
                <anchor moveWithCells="1" sizeWithCells="1">
                  <from>
                    <xdr:col>0</xdr:col>
                    <xdr:colOff>171450</xdr:colOff>
                    <xdr:row>27</xdr:row>
                    <xdr:rowOff>123825</xdr:rowOff>
                  </from>
                  <to>
                    <xdr:col>2</xdr:col>
                    <xdr:colOff>180975</xdr:colOff>
                    <xdr:row>30</xdr:row>
                    <xdr:rowOff>38100</xdr:rowOff>
                  </to>
                </anchor>
              </controlPr>
            </control>
          </mc:Choice>
        </mc:AlternateContent>
        <mc:AlternateContent xmlns:mc="http://schemas.openxmlformats.org/markup-compatibility/2006">
          <mc:Choice Requires="x14">
            <control shapeId="5135" r:id="rId16" name="Button 15">
              <controlPr defaultSize="0" print="0" autoFill="0" autoPict="0" macro="[0]!Resultados">
                <anchor moveWithCells="1" sizeWithCells="1">
                  <from>
                    <xdr:col>2</xdr:col>
                    <xdr:colOff>514350</xdr:colOff>
                    <xdr:row>27</xdr:row>
                    <xdr:rowOff>123825</xdr:rowOff>
                  </from>
                  <to>
                    <xdr:col>4</xdr:col>
                    <xdr:colOff>438150</xdr:colOff>
                    <xdr:row>30</xdr:row>
                    <xdr:rowOff>38100</xdr:rowOff>
                  </to>
                </anchor>
              </controlPr>
            </control>
          </mc:Choice>
        </mc:AlternateContent>
        <mc:AlternateContent xmlns:mc="http://schemas.openxmlformats.org/markup-compatibility/2006">
          <mc:Choice Requires="x14">
            <control shapeId="5136" r:id="rId17" name="Button 16">
              <controlPr defaultSize="0" print="0" autoFill="0" autoPict="0" macro="[0]!Flujo">
                <anchor moveWithCells="1" sizeWithCells="1">
                  <from>
                    <xdr:col>5</xdr:col>
                    <xdr:colOff>66675</xdr:colOff>
                    <xdr:row>27</xdr:row>
                    <xdr:rowOff>114300</xdr:rowOff>
                  </from>
                  <to>
                    <xdr:col>6</xdr:col>
                    <xdr:colOff>390525</xdr:colOff>
                    <xdr:row>30</xdr:row>
                    <xdr:rowOff>28575</xdr:rowOff>
                  </to>
                </anchor>
              </controlPr>
            </control>
          </mc:Choice>
        </mc:AlternateContent>
        <mc:AlternateContent xmlns:mc="http://schemas.openxmlformats.org/markup-compatibility/2006">
          <mc:Choice Requires="x14">
            <control shapeId="5137" r:id="rId18" name="Button 17">
              <controlPr defaultSize="0" print="0" autoFill="0" autoPict="0" macro="[0]!Analisis">
                <anchor moveWithCells="1" sizeWithCells="1">
                  <from>
                    <xdr:col>6</xdr:col>
                    <xdr:colOff>733425</xdr:colOff>
                    <xdr:row>27</xdr:row>
                    <xdr:rowOff>123825</xdr:rowOff>
                  </from>
                  <to>
                    <xdr:col>8</xdr:col>
                    <xdr:colOff>657225</xdr:colOff>
                    <xdr:row>30</xdr:row>
                    <xdr:rowOff>9525</xdr:rowOff>
                  </to>
                </anchor>
              </controlPr>
            </control>
          </mc:Choice>
        </mc:AlternateContent>
        <mc:AlternateContent xmlns:mc="http://schemas.openxmlformats.org/markup-compatibility/2006">
          <mc:Choice Requires="x14">
            <control shapeId="5138" r:id="rId19" name="Button 18">
              <controlPr defaultSize="0" print="0" autoFill="0" autoPict="0" macro="[0]!Sensibilidad">
                <anchor moveWithCells="1" sizeWithCells="1">
                  <from>
                    <xdr:col>9</xdr:col>
                    <xdr:colOff>142875</xdr:colOff>
                    <xdr:row>27</xdr:row>
                    <xdr:rowOff>104775</xdr:rowOff>
                  </from>
                  <to>
                    <xdr:col>11</xdr:col>
                    <xdr:colOff>38100</xdr:colOff>
                    <xdr:row>30</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F333-9BDD-485F-BBE4-8D2073ECA050}">
  <sheetPr codeName="Hoja2"/>
  <dimension ref="B3:K3"/>
  <sheetViews>
    <sheetView showGridLines="0" zoomScaleNormal="100" workbookViewId="0">
      <selection activeCell="G5" sqref="G5"/>
    </sheetView>
  </sheetViews>
  <sheetFormatPr baseColWidth="10" defaultRowHeight="15" x14ac:dyDescent="0.25"/>
  <sheetData>
    <row r="3" spans="2:11" x14ac:dyDescent="0.25">
      <c r="B3" s="1" t="s">
        <v>289</v>
      </c>
      <c r="E3" s="8" t="s">
        <v>326</v>
      </c>
      <c r="F3" s="4"/>
      <c r="G3" s="4"/>
      <c r="H3" s="4"/>
      <c r="I3" s="4"/>
      <c r="J3" s="4"/>
      <c r="K3" s="4"/>
    </row>
  </sheetData>
  <sheetProtection sheet="1" objects="1" scenarios="1"/>
  <pageMargins left="0.7" right="0.7" top="0.75" bottom="0.75" header="0.3" footer="0.3"/>
  <pageSetup orientation="portrait" r:id="rId1"/>
  <drawing r:id="rId2"/>
  <legacyDrawing r:id="rId3"/>
  <oleObjects>
    <mc:AlternateContent xmlns:mc="http://schemas.openxmlformats.org/markup-compatibility/2006">
      <mc:Choice Requires="x14">
        <oleObject progId="Word.DocumentMacroEnabled.12" shapeId="7170" r:id="rId4">
          <objectPr defaultSize="0" autoPict="0" r:id="rId5">
            <anchor moveWithCells="1">
              <from>
                <xdr:col>0</xdr:col>
                <xdr:colOff>228600</xdr:colOff>
                <xdr:row>8</xdr:row>
                <xdr:rowOff>114300</xdr:rowOff>
              </from>
              <to>
                <xdr:col>17</xdr:col>
                <xdr:colOff>352425</xdr:colOff>
                <xdr:row>58</xdr:row>
                <xdr:rowOff>76200</xdr:rowOff>
              </to>
            </anchor>
          </objectPr>
        </oleObject>
      </mc:Choice>
      <mc:Fallback>
        <oleObject progId="Word.DocumentMacroEnabled.12" shapeId="7170" r:id="rId4"/>
      </mc:Fallback>
    </mc:AlternateContent>
  </oleObjects>
  <mc:AlternateContent xmlns:mc="http://schemas.openxmlformats.org/markup-compatibility/2006">
    <mc:Choice Requires="x14">
      <controls>
        <mc:AlternateContent xmlns:mc="http://schemas.openxmlformats.org/markup-compatibility/2006">
          <mc:Choice Requires="x14">
            <control shapeId="7172" r:id="rId6" name="Button 4">
              <controlPr defaultSize="0" print="0" autoFill="0" autoPict="0" macro="[0]!Portada">
                <anchor moveWithCells="1" sizeWithCells="1">
                  <from>
                    <xdr:col>1</xdr:col>
                    <xdr:colOff>47625</xdr:colOff>
                    <xdr:row>4</xdr:row>
                    <xdr:rowOff>152400</xdr:rowOff>
                  </from>
                  <to>
                    <xdr:col>2</xdr:col>
                    <xdr:colOff>466725</xdr:colOff>
                    <xdr:row>6</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910E-6281-4138-AB06-21F163CA673C}">
  <sheetPr codeName="Hoja3"/>
  <dimension ref="B5:M37"/>
  <sheetViews>
    <sheetView showGridLines="0" zoomScaleNormal="100" workbookViewId="0">
      <selection activeCell="I22" sqref="I22"/>
    </sheetView>
  </sheetViews>
  <sheetFormatPr baseColWidth="10" defaultRowHeight="15" x14ac:dyDescent="0.25"/>
  <cols>
    <col min="2" max="2" width="42.140625" bestFit="1" customWidth="1"/>
    <col min="4" max="4" width="12.7109375" customWidth="1"/>
    <col min="5" max="5" width="24.140625" customWidth="1"/>
    <col min="6" max="6" width="26.7109375" customWidth="1"/>
    <col min="7" max="7" width="30.140625" customWidth="1"/>
    <col min="8" max="8" width="17.28515625" bestFit="1" customWidth="1"/>
  </cols>
  <sheetData>
    <row r="5" spans="2:13" ht="15.75" thickBot="1" x14ac:dyDescent="0.3"/>
    <row r="6" spans="2:13" ht="16.5" thickBot="1" x14ac:dyDescent="0.3">
      <c r="B6" s="512" t="s">
        <v>16</v>
      </c>
      <c r="C6" s="513"/>
      <c r="D6" s="513"/>
      <c r="E6" s="513"/>
      <c r="F6" s="513"/>
      <c r="G6" s="513"/>
      <c r="H6" s="514"/>
      <c r="I6" s="10"/>
    </row>
    <row r="7" spans="2:13" ht="15.75" x14ac:dyDescent="0.25">
      <c r="B7" s="11"/>
      <c r="C7" s="124" t="s">
        <v>59</v>
      </c>
      <c r="D7" s="125">
        <v>2021</v>
      </c>
      <c r="E7" s="125">
        <f>D7+1</f>
        <v>2022</v>
      </c>
      <c r="F7" s="126">
        <f>E7+1</f>
        <v>2023</v>
      </c>
      <c r="G7" s="126">
        <f>F7+1</f>
        <v>2024</v>
      </c>
      <c r="H7" s="126">
        <f>G7+1</f>
        <v>2025</v>
      </c>
      <c r="I7" s="10"/>
    </row>
    <row r="8" spans="2:13" ht="15.75" x14ac:dyDescent="0.25">
      <c r="B8" s="24" t="s">
        <v>271</v>
      </c>
      <c r="C8" s="123"/>
      <c r="D8" s="25">
        <v>1.95E-2</v>
      </c>
      <c r="E8" s="25">
        <v>1.95E-2</v>
      </c>
      <c r="F8" s="25">
        <v>1.95E-2</v>
      </c>
      <c r="G8" s="25">
        <v>1.95E-2</v>
      </c>
      <c r="H8" s="25">
        <v>1.95E-2</v>
      </c>
      <c r="I8" s="10"/>
    </row>
    <row r="9" spans="2:13" ht="15.75" x14ac:dyDescent="0.25">
      <c r="B9" s="24" t="s">
        <v>272</v>
      </c>
      <c r="C9" s="123"/>
      <c r="D9" s="25">
        <v>-0.11600000000000001</v>
      </c>
      <c r="E9" s="25">
        <v>-0.11600000000000001</v>
      </c>
      <c r="F9" s="25">
        <v>-0.11600000000000001</v>
      </c>
      <c r="G9" s="25">
        <v>-0.11600000000000001</v>
      </c>
      <c r="H9" s="25">
        <v>-0.11600000000000001</v>
      </c>
      <c r="I9" s="10"/>
      <c r="M9" s="3"/>
    </row>
    <row r="10" spans="2:13" ht="15.75" x14ac:dyDescent="0.25">
      <c r="B10" s="24" t="s">
        <v>17</v>
      </c>
      <c r="C10" s="123"/>
      <c r="D10" s="25">
        <v>1.12E-2</v>
      </c>
      <c r="E10" s="25">
        <v>1.12E-2</v>
      </c>
      <c r="F10" s="25">
        <v>1.12E-2</v>
      </c>
      <c r="G10" s="25">
        <v>1.12E-2</v>
      </c>
      <c r="H10" s="25">
        <v>1.12E-2</v>
      </c>
      <c r="I10" s="10"/>
    </row>
    <row r="11" spans="2:13" ht="15.75" x14ac:dyDescent="0.25">
      <c r="B11" s="24" t="s">
        <v>18</v>
      </c>
      <c r="C11" s="123"/>
      <c r="D11" s="26">
        <v>1.9E-2</v>
      </c>
      <c r="E11" s="26">
        <v>1.9E-2</v>
      </c>
      <c r="F11" s="26">
        <v>1.9E-2</v>
      </c>
      <c r="G11" s="26">
        <v>1.9E-2</v>
      </c>
      <c r="H11" s="25">
        <v>1.9E-2</v>
      </c>
      <c r="I11" s="10"/>
    </row>
    <row r="12" spans="2:13" ht="15.75" x14ac:dyDescent="0.25">
      <c r="B12" s="10"/>
      <c r="C12" s="10"/>
      <c r="D12" s="10"/>
      <c r="E12" s="10"/>
      <c r="F12" s="10"/>
      <c r="G12" s="10"/>
      <c r="H12" s="10"/>
      <c r="I12" s="10"/>
    </row>
    <row r="13" spans="2:13" ht="16.5" thickBot="1" x14ac:dyDescent="0.3">
      <c r="B13" s="10"/>
      <c r="C13" s="10"/>
      <c r="D13" s="10"/>
      <c r="E13" s="10"/>
      <c r="F13" s="10"/>
      <c r="G13" s="10"/>
      <c r="H13" s="10"/>
      <c r="I13" s="10"/>
    </row>
    <row r="14" spans="2:13" ht="16.5" thickBot="1" x14ac:dyDescent="0.3">
      <c r="B14" s="17" t="s">
        <v>19</v>
      </c>
      <c r="C14" s="16"/>
      <c r="D14" s="10"/>
      <c r="E14" s="524" t="s">
        <v>20</v>
      </c>
      <c r="F14" s="525"/>
      <c r="G14" s="526"/>
      <c r="H14" s="39">
        <v>6.0000000000000001E-3</v>
      </c>
      <c r="I14" s="12" t="s">
        <v>27</v>
      </c>
    </row>
    <row r="15" spans="2:13" ht="16.5" thickBot="1" x14ac:dyDescent="0.3">
      <c r="B15" s="18" t="s">
        <v>0</v>
      </c>
      <c r="C15" s="13"/>
      <c r="D15" s="14"/>
      <c r="E15" s="10"/>
      <c r="F15" s="10"/>
      <c r="G15" s="10"/>
      <c r="H15" s="10"/>
      <c r="I15" s="10"/>
      <c r="K15" s="5"/>
      <c r="L15" s="5"/>
    </row>
    <row r="16" spans="2:13" ht="16.5" thickBot="1" x14ac:dyDescent="0.3">
      <c r="B16" s="27" t="s">
        <v>1</v>
      </c>
      <c r="C16" s="28">
        <v>8.3299999999999999E-2</v>
      </c>
      <c r="D16" s="10"/>
      <c r="E16" s="524" t="s">
        <v>21</v>
      </c>
      <c r="F16" s="525"/>
      <c r="G16" s="526"/>
      <c r="H16" s="39">
        <v>0.31</v>
      </c>
      <c r="I16" s="10"/>
      <c r="K16" s="5"/>
    </row>
    <row r="17" spans="2:11" ht="16.5" thickBot="1" x14ac:dyDescent="0.3">
      <c r="B17" s="29" t="s">
        <v>2</v>
      </c>
      <c r="C17" s="28">
        <v>8.3299999999999999E-2</v>
      </c>
      <c r="D17" s="10"/>
      <c r="E17" s="10"/>
      <c r="F17" s="10"/>
      <c r="G17" s="10"/>
      <c r="H17" s="10"/>
      <c r="I17" s="10"/>
      <c r="K17" s="5"/>
    </row>
    <row r="18" spans="2:11" ht="16.5" thickBot="1" x14ac:dyDescent="0.3">
      <c r="B18" s="29" t="s">
        <v>3</v>
      </c>
      <c r="C18" s="28">
        <v>4.1700000000000001E-2</v>
      </c>
      <c r="D18" s="10"/>
      <c r="E18" s="524" t="s">
        <v>22</v>
      </c>
      <c r="F18" s="525"/>
      <c r="G18" s="526"/>
      <c r="H18" s="39">
        <v>0.38</v>
      </c>
      <c r="I18" s="10"/>
    </row>
    <row r="19" spans="2:11" ht="16.5" thickBot="1" x14ac:dyDescent="0.3">
      <c r="B19" s="29" t="s">
        <v>4</v>
      </c>
      <c r="C19" s="28">
        <v>0.12</v>
      </c>
      <c r="D19" s="10"/>
      <c r="E19" s="10"/>
      <c r="F19" s="10"/>
      <c r="G19" s="10"/>
      <c r="H19" s="10"/>
      <c r="I19" s="10"/>
    </row>
    <row r="20" spans="2:11" ht="16.5" thickBot="1" x14ac:dyDescent="0.3">
      <c r="B20" s="30" t="s">
        <v>5</v>
      </c>
      <c r="C20" s="31">
        <f>SUM(C16:C19)</f>
        <v>0.32829999999999998</v>
      </c>
      <c r="D20" s="10"/>
      <c r="E20" s="515" t="s">
        <v>23</v>
      </c>
      <c r="F20" s="516"/>
      <c r="G20" s="517"/>
      <c r="H20" s="10"/>
      <c r="I20" s="10"/>
    </row>
    <row r="21" spans="2:11" ht="16.5" thickBot="1" x14ac:dyDescent="0.3">
      <c r="B21" s="19" t="s">
        <v>6</v>
      </c>
      <c r="C21" s="13"/>
      <c r="D21" s="10"/>
      <c r="E21" s="520" t="s">
        <v>24</v>
      </c>
      <c r="F21" s="521"/>
      <c r="G21" s="40" t="s">
        <v>283</v>
      </c>
      <c r="H21" s="10"/>
      <c r="I21" s="10"/>
    </row>
    <row r="22" spans="2:11" ht="15.75" x14ac:dyDescent="0.25">
      <c r="B22" s="27" t="s">
        <v>7</v>
      </c>
      <c r="C22" s="28">
        <v>0.02</v>
      </c>
      <c r="D22" s="10"/>
      <c r="E22" s="520" t="s">
        <v>25</v>
      </c>
      <c r="F22" s="521"/>
      <c r="G22" s="41">
        <v>5</v>
      </c>
      <c r="H22" s="10"/>
      <c r="I22" s="10"/>
    </row>
    <row r="23" spans="2:11" ht="16.5" thickBot="1" x14ac:dyDescent="0.3">
      <c r="B23" s="29" t="s">
        <v>8</v>
      </c>
      <c r="C23" s="28">
        <v>0.04</v>
      </c>
      <c r="D23" s="10"/>
      <c r="E23" s="522" t="s">
        <v>26</v>
      </c>
      <c r="F23" s="523"/>
      <c r="G23" s="42">
        <v>0</v>
      </c>
      <c r="H23" s="10"/>
      <c r="I23" s="10"/>
    </row>
    <row r="24" spans="2:11" ht="15.75" x14ac:dyDescent="0.25">
      <c r="B24" s="29" t="s">
        <v>9</v>
      </c>
      <c r="C24" s="28">
        <v>0.03</v>
      </c>
      <c r="D24" s="10"/>
      <c r="E24" s="10"/>
      <c r="F24" s="10"/>
      <c r="G24" s="10"/>
      <c r="H24" s="10"/>
      <c r="I24" s="10"/>
    </row>
    <row r="25" spans="2:11" ht="15.75" x14ac:dyDescent="0.25">
      <c r="B25" s="32" t="s">
        <v>10</v>
      </c>
      <c r="C25" s="33">
        <f>SUM(C22:C24)</f>
        <v>0.09</v>
      </c>
      <c r="D25" s="10"/>
      <c r="E25" s="10"/>
      <c r="F25" s="10"/>
      <c r="G25" s="10"/>
      <c r="H25" s="10"/>
      <c r="I25" s="10"/>
    </row>
    <row r="26" spans="2:11" ht="16.5" thickBot="1" x14ac:dyDescent="0.3">
      <c r="B26" s="20" t="s">
        <v>282</v>
      </c>
      <c r="C26" s="15"/>
      <c r="D26" s="10"/>
      <c r="E26" s="10"/>
      <c r="F26" s="10"/>
      <c r="G26" s="10"/>
      <c r="H26" s="10"/>
      <c r="I26" s="10"/>
    </row>
    <row r="27" spans="2:11" ht="15.75" x14ac:dyDescent="0.25">
      <c r="B27" s="29" t="s">
        <v>11</v>
      </c>
      <c r="C27" s="34">
        <v>0.12</v>
      </c>
      <c r="D27" s="10"/>
      <c r="E27" s="515" t="s">
        <v>28</v>
      </c>
      <c r="F27" s="516"/>
      <c r="G27" s="516"/>
      <c r="H27" s="517"/>
      <c r="I27" s="10"/>
    </row>
    <row r="28" spans="2:11" ht="15.75" x14ac:dyDescent="0.25">
      <c r="B28" s="29" t="s">
        <v>12</v>
      </c>
      <c r="C28" s="35">
        <v>8.5000000000000006E-2</v>
      </c>
      <c r="D28" s="10"/>
      <c r="E28" s="520" t="s">
        <v>29</v>
      </c>
      <c r="F28" s="521"/>
      <c r="G28" s="43">
        <v>20</v>
      </c>
      <c r="H28" s="21" t="s">
        <v>34</v>
      </c>
      <c r="I28" s="10"/>
    </row>
    <row r="29" spans="2:11" ht="15.75" x14ac:dyDescent="0.25">
      <c r="B29" s="29" t="s">
        <v>13</v>
      </c>
      <c r="C29" s="35">
        <v>5.2199999999999998E-3</v>
      </c>
      <c r="D29" s="10"/>
      <c r="E29" s="520" t="s">
        <v>30</v>
      </c>
      <c r="F29" s="521"/>
      <c r="G29" s="43">
        <v>10</v>
      </c>
      <c r="H29" s="21" t="s">
        <v>34</v>
      </c>
      <c r="I29" s="10"/>
    </row>
    <row r="30" spans="2:11" ht="15.75" x14ac:dyDescent="0.25">
      <c r="B30" s="32" t="s">
        <v>14</v>
      </c>
      <c r="C30" s="36">
        <f>SUM(C27:C29)</f>
        <v>0.21022000000000002</v>
      </c>
      <c r="D30" s="10"/>
      <c r="E30" s="520" t="s">
        <v>31</v>
      </c>
      <c r="F30" s="521"/>
      <c r="G30" s="43">
        <v>5</v>
      </c>
      <c r="H30" s="21" t="s">
        <v>34</v>
      </c>
      <c r="I30" s="10"/>
    </row>
    <row r="31" spans="2:11" ht="16.5" thickBot="1" x14ac:dyDescent="0.3">
      <c r="B31" s="37" t="s">
        <v>15</v>
      </c>
      <c r="C31" s="38">
        <f>SUM(C20,C25,C30)</f>
        <v>0.62851999999999997</v>
      </c>
      <c r="D31" s="10"/>
      <c r="E31" s="520" t="s">
        <v>32</v>
      </c>
      <c r="F31" s="521"/>
      <c r="G31" s="43">
        <v>5</v>
      </c>
      <c r="H31" s="21" t="s">
        <v>34</v>
      </c>
      <c r="I31" s="10"/>
    </row>
    <row r="32" spans="2:11" ht="15.75" x14ac:dyDescent="0.25">
      <c r="B32" s="10"/>
      <c r="C32" s="10"/>
      <c r="D32" s="10"/>
      <c r="E32" s="520" t="s">
        <v>33</v>
      </c>
      <c r="F32" s="521"/>
      <c r="G32" s="43">
        <v>3</v>
      </c>
      <c r="H32" s="21" t="s">
        <v>34</v>
      </c>
      <c r="I32" s="10"/>
    </row>
    <row r="33" spans="2:9" ht="15.75" x14ac:dyDescent="0.25">
      <c r="B33" s="10"/>
      <c r="C33" s="10"/>
      <c r="D33" s="10"/>
      <c r="E33" s="29" t="s">
        <v>280</v>
      </c>
      <c r="F33" s="44"/>
      <c r="G33" s="43">
        <v>1</v>
      </c>
      <c r="H33" s="21" t="s">
        <v>195</v>
      </c>
      <c r="I33" s="10"/>
    </row>
    <row r="34" spans="2:9" ht="16.5" thickBot="1" x14ac:dyDescent="0.3">
      <c r="B34" s="10"/>
      <c r="C34" s="10"/>
      <c r="D34" s="10"/>
      <c r="E34" s="45" t="s">
        <v>281</v>
      </c>
      <c r="F34" s="46"/>
      <c r="G34" s="47">
        <v>10</v>
      </c>
      <c r="H34" s="22" t="s">
        <v>284</v>
      </c>
      <c r="I34" s="10"/>
    </row>
    <row r="35" spans="2:9" ht="16.5" thickBot="1" x14ac:dyDescent="0.3">
      <c r="B35" s="10"/>
      <c r="C35" s="10"/>
      <c r="D35" s="10"/>
      <c r="E35" s="10"/>
      <c r="F35" s="10"/>
      <c r="G35" s="10"/>
      <c r="H35" s="10"/>
      <c r="I35" s="10"/>
    </row>
    <row r="36" spans="2:9" ht="16.5" thickBot="1" x14ac:dyDescent="0.3">
      <c r="B36" s="10"/>
      <c r="C36" s="10"/>
      <c r="D36" s="10"/>
      <c r="E36" s="518" t="s">
        <v>35</v>
      </c>
      <c r="F36" s="519"/>
      <c r="G36" s="48">
        <v>5</v>
      </c>
      <c r="H36" s="23" t="s">
        <v>36</v>
      </c>
      <c r="I36" s="10"/>
    </row>
    <row r="37" spans="2:9" ht="15.75" x14ac:dyDescent="0.25">
      <c r="B37" s="9"/>
      <c r="C37" s="9"/>
      <c r="D37" s="9"/>
      <c r="E37" s="9"/>
      <c r="F37" s="9"/>
      <c r="G37" s="9"/>
      <c r="H37" s="9"/>
      <c r="I37" s="9"/>
    </row>
  </sheetData>
  <sheetProtection algorithmName="SHA-512" hashValue="tXfoUCCtv7aaM9yjFQ8TPfaoShOsEPtDbz1ZRuLZXTy+N/IuRKsu0Si84A4eWTJMmZlGK1bf1/sP8rMg//yBJQ==" saltValue="uOgHVbVPww+/Qz5nwh4CcQ==" spinCount="100000" sheet="1" objects="1" scenarios="1"/>
  <mergeCells count="15">
    <mergeCell ref="B6:H6"/>
    <mergeCell ref="E27:H27"/>
    <mergeCell ref="E36:F36"/>
    <mergeCell ref="E28:F28"/>
    <mergeCell ref="E29:F29"/>
    <mergeCell ref="E30:F30"/>
    <mergeCell ref="E31:F31"/>
    <mergeCell ref="E32:F32"/>
    <mergeCell ref="E22:F22"/>
    <mergeCell ref="E23:F23"/>
    <mergeCell ref="E14:G14"/>
    <mergeCell ref="E16:G16"/>
    <mergeCell ref="E18:G18"/>
    <mergeCell ref="E20:G20"/>
    <mergeCell ref="E21:F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Portada">
                <anchor moveWithCells="1" sizeWithCells="1">
                  <from>
                    <xdr:col>9</xdr:col>
                    <xdr:colOff>200025</xdr:colOff>
                    <xdr:row>15</xdr:row>
                    <xdr:rowOff>85725</xdr:rowOff>
                  </from>
                  <to>
                    <xdr:col>11</xdr:col>
                    <xdr:colOff>771525</xdr:colOff>
                    <xdr:row>17</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43B41-07B2-4DFE-8D92-FB9A3FBA9E7E}">
  <sheetPr codeName="Hoja17"/>
  <dimension ref="B2:AE25"/>
  <sheetViews>
    <sheetView showGridLines="0" zoomScaleNormal="100" workbookViewId="0">
      <selection activeCell="C15" sqref="C15"/>
    </sheetView>
  </sheetViews>
  <sheetFormatPr baseColWidth="10" defaultRowHeight="15" x14ac:dyDescent="0.25"/>
  <cols>
    <col min="1" max="1" width="11.42578125" style="2"/>
    <col min="2" max="2" width="55.42578125" style="2" bestFit="1" customWidth="1"/>
    <col min="3" max="3" width="49.7109375" style="2" bestFit="1" customWidth="1"/>
    <col min="4" max="4" width="40.85546875" style="2" bestFit="1" customWidth="1"/>
    <col min="5" max="6" width="40.85546875" style="2" customWidth="1"/>
    <col min="7" max="7" width="40.85546875" style="2" bestFit="1" customWidth="1"/>
    <col min="8" max="8" width="33.85546875" style="2" bestFit="1" customWidth="1"/>
    <col min="9" max="9" width="29.28515625" style="2" bestFit="1" customWidth="1"/>
    <col min="10" max="10" width="68.5703125" style="2" customWidth="1"/>
    <col min="11" max="11" width="41" style="2" customWidth="1"/>
    <col min="12" max="12" width="33.85546875" style="2" bestFit="1" customWidth="1"/>
    <col min="13" max="13" width="29.28515625" style="2" bestFit="1" customWidth="1"/>
    <col min="14" max="14" width="68.42578125" style="2" bestFit="1" customWidth="1"/>
    <col min="15" max="15" width="40.85546875" style="2" bestFit="1" customWidth="1"/>
    <col min="16" max="16" width="33.85546875" style="2" bestFit="1" customWidth="1"/>
    <col min="17" max="17" width="29.28515625" style="2" bestFit="1" customWidth="1"/>
    <col min="18" max="18" width="68.42578125" style="2" bestFit="1" customWidth="1"/>
    <col min="19" max="19" width="40.85546875" style="2" bestFit="1" customWidth="1"/>
    <col min="20" max="20" width="33.85546875" style="2" bestFit="1" customWidth="1"/>
    <col min="21" max="21" width="29.28515625" style="2" bestFit="1" customWidth="1"/>
    <col min="22" max="22" width="68.42578125" style="2" bestFit="1" customWidth="1"/>
    <col min="23" max="23" width="28.5703125" style="2" bestFit="1" customWidth="1"/>
    <col min="24" max="25" width="17.140625" style="2" bestFit="1" customWidth="1"/>
    <col min="26" max="26" width="16.5703125" style="2" customWidth="1"/>
    <col min="27" max="28" width="17.140625" style="2" bestFit="1" customWidth="1"/>
    <col min="29" max="29" width="11.42578125" style="2"/>
    <col min="30" max="30" width="16.28515625" style="2" customWidth="1"/>
    <col min="31" max="31" width="17.140625" style="2" bestFit="1" customWidth="1"/>
    <col min="32" max="33" width="11.42578125" style="2"/>
    <col min="34" max="34" width="17.85546875" style="2" customWidth="1"/>
    <col min="35" max="35" width="17.140625" style="2" bestFit="1" customWidth="1"/>
    <col min="36" max="37" width="11.28515625" style="2" bestFit="1" customWidth="1"/>
    <col min="38" max="38" width="28.5703125" style="2" bestFit="1" customWidth="1"/>
    <col min="39" max="16384" width="11.42578125" style="2"/>
  </cols>
  <sheetData>
    <row r="2" spans="2:31" ht="15.75" x14ac:dyDescent="0.25">
      <c r="B2" s="59" t="s">
        <v>327</v>
      </c>
      <c r="C2" s="60" t="str">
        <f>INSTRUCCIONES!E3</f>
        <v>Digite el nombre de su emprendimiento</v>
      </c>
    </row>
    <row r="3" spans="2:31" ht="16.5" thickBot="1" x14ac:dyDescent="0.3">
      <c r="B3" s="138"/>
      <c r="C3" s="137"/>
    </row>
    <row r="4" spans="2:31" ht="15.75" customHeight="1" x14ac:dyDescent="0.25">
      <c r="B4" s="527" t="s">
        <v>441</v>
      </c>
      <c r="C4" s="528"/>
      <c r="D4" s="528"/>
      <c r="E4" s="528"/>
      <c r="F4" s="528"/>
      <c r="G4" s="528"/>
      <c r="H4" s="528"/>
      <c r="I4" s="528"/>
      <c r="J4" s="528"/>
      <c r="K4" s="528"/>
      <c r="L4" s="528"/>
      <c r="M4" s="528"/>
      <c r="N4" s="528"/>
      <c r="O4" s="528"/>
      <c r="P4" s="528"/>
      <c r="Q4" s="528"/>
      <c r="R4" s="528"/>
      <c r="S4" s="528"/>
      <c r="T4" s="528"/>
      <c r="U4" s="528"/>
      <c r="V4" s="529"/>
    </row>
    <row r="5" spans="2:31" ht="15.75" customHeight="1" thickBot="1" x14ac:dyDescent="0.3">
      <c r="B5" s="530"/>
      <c r="C5" s="531"/>
      <c r="D5" s="531"/>
      <c r="E5" s="531"/>
      <c r="F5" s="531"/>
      <c r="G5" s="531"/>
      <c r="H5" s="531"/>
      <c r="I5" s="531"/>
      <c r="J5" s="531"/>
      <c r="K5" s="531"/>
      <c r="L5" s="531"/>
      <c r="M5" s="531"/>
      <c r="N5" s="531"/>
      <c r="O5" s="531"/>
      <c r="P5" s="531"/>
      <c r="Q5" s="531"/>
      <c r="R5" s="531"/>
      <c r="S5" s="531"/>
      <c r="T5" s="531"/>
      <c r="U5" s="531"/>
      <c r="V5" s="532"/>
    </row>
    <row r="6" spans="2:31" ht="15.75" thickBot="1" x14ac:dyDescent="0.3">
      <c r="B6" s="74"/>
    </row>
    <row r="7" spans="2:31" ht="15.75" customHeight="1" x14ac:dyDescent="0.25">
      <c r="B7" s="541" t="s">
        <v>37</v>
      </c>
      <c r="C7" s="53">
        <f>BASES!D7</f>
        <v>2021</v>
      </c>
      <c r="D7" s="49">
        <v>0.19</v>
      </c>
      <c r="E7" s="544" t="s">
        <v>332</v>
      </c>
      <c r="F7" s="53">
        <f>BASES!D7</f>
        <v>2021</v>
      </c>
      <c r="G7" s="54"/>
    </row>
    <row r="8" spans="2:31" ht="15.75" x14ac:dyDescent="0.25">
      <c r="B8" s="542"/>
      <c r="C8" s="53">
        <f>BASES!E7</f>
        <v>2022</v>
      </c>
      <c r="D8" s="49">
        <v>0.19</v>
      </c>
      <c r="E8" s="545"/>
      <c r="F8" s="53">
        <f>BASES!E7</f>
        <v>2022</v>
      </c>
      <c r="G8" s="55">
        <f>BASES!E8</f>
        <v>1.95E-2</v>
      </c>
    </row>
    <row r="9" spans="2:31" ht="15.75" x14ac:dyDescent="0.25">
      <c r="B9" s="542"/>
      <c r="C9" s="53">
        <f>BASES!F7</f>
        <v>2023</v>
      </c>
      <c r="D9" s="49">
        <v>0.19</v>
      </c>
      <c r="E9" s="545"/>
      <c r="F9" s="53">
        <f>BASES!F7</f>
        <v>2023</v>
      </c>
      <c r="G9" s="55">
        <f>BASES!F8</f>
        <v>1.95E-2</v>
      </c>
    </row>
    <row r="10" spans="2:31" ht="15.75" x14ac:dyDescent="0.25">
      <c r="B10" s="542"/>
      <c r="C10" s="53">
        <f>BASES!G7</f>
        <v>2024</v>
      </c>
      <c r="D10" s="49">
        <v>0.19</v>
      </c>
      <c r="E10" s="545"/>
      <c r="F10" s="53">
        <f>BASES!G7</f>
        <v>2024</v>
      </c>
      <c r="G10" s="55">
        <f>BASES!G8</f>
        <v>1.95E-2</v>
      </c>
    </row>
    <row r="11" spans="2:31" ht="16.5" thickBot="1" x14ac:dyDescent="0.3">
      <c r="B11" s="543"/>
      <c r="C11" s="53">
        <f>BASES!H7</f>
        <v>2025</v>
      </c>
      <c r="D11" s="49">
        <v>0.19</v>
      </c>
      <c r="E11" s="546"/>
      <c r="F11" s="53">
        <f>BASES!H7</f>
        <v>2025</v>
      </c>
      <c r="G11" s="55">
        <f>BASES!H8</f>
        <v>1.95E-2</v>
      </c>
    </row>
    <row r="13" spans="2:31" x14ac:dyDescent="0.25">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row>
    <row r="16" spans="2:31" ht="15.75" thickBot="1" x14ac:dyDescent="0.3"/>
    <row r="17" spans="2:31" ht="16.5" thickBot="1" x14ac:dyDescent="0.3">
      <c r="C17" s="66" t="s">
        <v>353</v>
      </c>
      <c r="D17" s="534">
        <f>BASES!D7</f>
        <v>2021</v>
      </c>
      <c r="E17" s="535"/>
      <c r="F17" s="535"/>
      <c r="G17" s="534">
        <f>BASES!E7</f>
        <v>2022</v>
      </c>
      <c r="H17" s="535"/>
      <c r="I17" s="535"/>
      <c r="J17" s="535"/>
      <c r="K17" s="534">
        <f>BASES!F7</f>
        <v>2023</v>
      </c>
      <c r="L17" s="535"/>
      <c r="M17" s="535"/>
      <c r="N17" s="535"/>
      <c r="O17" s="534">
        <f>BASES!G7</f>
        <v>2024</v>
      </c>
      <c r="P17" s="535"/>
      <c r="Q17" s="535"/>
      <c r="R17" s="535"/>
      <c r="S17" s="534">
        <f>BASES!H7</f>
        <v>2025</v>
      </c>
      <c r="T17" s="535"/>
      <c r="U17" s="535"/>
      <c r="V17" s="535"/>
    </row>
    <row r="18" spans="2:31" ht="16.5" thickBot="1" x14ac:dyDescent="0.3">
      <c r="B18" s="51"/>
      <c r="C18" s="61" t="s">
        <v>330</v>
      </c>
      <c r="D18" s="547" t="s">
        <v>331</v>
      </c>
      <c r="E18" s="548"/>
      <c r="F18" s="548"/>
      <c r="G18" s="536">
        <v>0.01</v>
      </c>
      <c r="H18" s="537"/>
      <c r="I18" s="537"/>
      <c r="J18" s="538"/>
      <c r="K18" s="536">
        <v>0.02</v>
      </c>
      <c r="L18" s="537"/>
      <c r="M18" s="537"/>
      <c r="N18" s="538"/>
      <c r="O18" s="536">
        <v>0.03</v>
      </c>
      <c r="P18" s="537"/>
      <c r="Q18" s="537"/>
      <c r="R18" s="538"/>
      <c r="S18" s="533">
        <v>0.04</v>
      </c>
      <c r="T18" s="533"/>
      <c r="U18" s="533"/>
      <c r="V18" s="533"/>
      <c r="W18" s="50"/>
      <c r="X18" s="50"/>
      <c r="Y18" s="50"/>
      <c r="Z18" s="50"/>
      <c r="AA18" s="50"/>
      <c r="AB18" s="50"/>
      <c r="AC18" s="50"/>
      <c r="AD18" s="50"/>
      <c r="AE18" s="50"/>
    </row>
    <row r="19" spans="2:31" ht="15.75" x14ac:dyDescent="0.25">
      <c r="B19" s="52" t="s">
        <v>329</v>
      </c>
      <c r="C19" s="69" t="s">
        <v>328</v>
      </c>
      <c r="D19" s="69" t="s">
        <v>334</v>
      </c>
      <c r="E19" s="69" t="s">
        <v>333</v>
      </c>
      <c r="F19" s="69" t="s">
        <v>343</v>
      </c>
      <c r="G19" s="69" t="s">
        <v>335</v>
      </c>
      <c r="H19" s="69" t="s">
        <v>336</v>
      </c>
      <c r="I19" s="69" t="s">
        <v>344</v>
      </c>
      <c r="J19" s="69" t="s">
        <v>354</v>
      </c>
      <c r="K19" s="69" t="s">
        <v>337</v>
      </c>
      <c r="L19" s="69" t="s">
        <v>338</v>
      </c>
      <c r="M19" s="69" t="s">
        <v>345</v>
      </c>
      <c r="N19" s="69" t="s">
        <v>350</v>
      </c>
      <c r="O19" s="69" t="s">
        <v>339</v>
      </c>
      <c r="P19" s="69" t="s">
        <v>340</v>
      </c>
      <c r="Q19" s="69" t="s">
        <v>346</v>
      </c>
      <c r="R19" s="69" t="s">
        <v>351</v>
      </c>
      <c r="S19" s="69" t="s">
        <v>341</v>
      </c>
      <c r="T19" s="69" t="s">
        <v>342</v>
      </c>
      <c r="U19" s="69" t="s">
        <v>347</v>
      </c>
      <c r="V19" s="69" t="s">
        <v>352</v>
      </c>
    </row>
    <row r="20" spans="2:31" ht="15.75" x14ac:dyDescent="0.25">
      <c r="B20" s="127">
        <v>0</v>
      </c>
      <c r="C20" s="67" t="s">
        <v>349</v>
      </c>
      <c r="D20" s="67"/>
      <c r="E20" s="68"/>
      <c r="F20" s="56">
        <f>Tabla3[[#This Row],[UNIDADES PRODUCIDAS AÑO 1]]*Tabla3[[#This Row],[PRECIO DE VENTA AÑO 1]]</f>
        <v>0</v>
      </c>
      <c r="G20" s="67"/>
      <c r="H20" s="56">
        <f>ROUND((Tabla3[[#This Row],[PRECIO DE VENTA AÑO 1]]*(1+$G$8)),0)</f>
        <v>0</v>
      </c>
      <c r="I20" s="56">
        <f>Tabla3[[#This Row],[UNIDADES PRODUCIDAS AÑO 2]]*Tabla3[[#This Row],[PRECIO DE VENTA AÑO 2]]</f>
        <v>0</v>
      </c>
      <c r="J20" s="65">
        <f>IF(Tabla3[[#This Row],[UNIDADES PRODUCIDAS AÑO 1]]=0,0,(Tabla3[[#This Row],[UNIDADES PRODUCIDAS AÑO 2]]-Tabla3[[#This Row],[UNIDADES PRODUCIDAS AÑO 1]])/Tabla3[[#This Row],[UNIDADES PRODUCIDAS AÑO 1]])</f>
        <v>0</v>
      </c>
      <c r="K20" s="67"/>
      <c r="L20" s="56">
        <f>ROUND((Tabla3[[#This Row],[PRECIO DE VENTA AÑO 2]]*(1+$G$9)),0)</f>
        <v>0</v>
      </c>
      <c r="M20" s="56">
        <f>Tabla3[[#This Row],[UNIDADES PRODUCIDAS AÑO 3]]*Tabla3[[#This Row],[PRECIO DE VENTA AÑO 3]]</f>
        <v>0</v>
      </c>
      <c r="N20" s="65">
        <f>IF(Tabla3[[#This Row],[UNIDADES PRODUCIDAS AÑO 2]]=0,0,(Tabla3[[#This Row],[UNIDADES PRODUCIDAS AÑO 3]]-Tabla3[[#This Row],[UNIDADES PRODUCIDAS AÑO 2]])/Tabla3[[#This Row],[UNIDADES PRODUCIDAS AÑO 2]])</f>
        <v>0</v>
      </c>
      <c r="O20" s="67"/>
      <c r="P20" s="56">
        <f>ROUND((Tabla3[[#This Row],[PRECIO DE VENTA AÑO 3]]*(1+$G$10)),0)</f>
        <v>0</v>
      </c>
      <c r="Q20" s="56">
        <f>Tabla3[[#This Row],[UNIDADES PRODUCIDAS AÑO 4]]*Tabla3[[#This Row],[PRECIO DE VENTA AÑO 4]]</f>
        <v>0</v>
      </c>
      <c r="R20" s="64">
        <f>IF(Tabla3[[#This Row],[UNIDADES PRODUCIDAS AÑO 3]]=0,0,(Tabla3[[#This Row],[UNIDADES PRODUCIDAS AÑO 4]]-Tabla3[[#This Row],[UNIDADES PRODUCIDAS AÑO 3]])/Tabla3[[#This Row],[UNIDADES PRODUCIDAS AÑO 3]])</f>
        <v>0</v>
      </c>
      <c r="S20" s="67"/>
      <c r="T20" s="56">
        <f>ROUND((Tabla3[[#This Row],[PRECIO DE VENTA AÑO 4]]*(1+$G$11)),0)</f>
        <v>0</v>
      </c>
      <c r="U20" s="56">
        <f>Tabla3[[#This Row],[UNIDADES PRODUCIDAS AÑO 5]]*Tabla3[[#This Row],[PRECIO DE VENTA AÑO 5]]</f>
        <v>0</v>
      </c>
      <c r="V20" s="64">
        <f>IF(Tabla3[[#This Row],[UNIDADES PRODUCIDAS AÑO 4]]=0,0,(Tabla3[[#This Row],[UNIDADES PRODUCIDAS AÑO 5]]-Tabla3[[#This Row],[UNIDADES PRODUCIDAS AÑO 4]])/Tabla3[[#This Row],[UNIDADES PRODUCIDAS AÑO 4]])</f>
        <v>0</v>
      </c>
    </row>
    <row r="21" spans="2:31" ht="15.75" x14ac:dyDescent="0.25">
      <c r="B21" s="127"/>
      <c r="C21" s="67"/>
      <c r="D21" s="67"/>
      <c r="E21" s="68"/>
      <c r="F21" s="430"/>
      <c r="G21" s="431"/>
      <c r="H21" s="430"/>
      <c r="I21" s="430"/>
      <c r="J21" s="432"/>
      <c r="K21" s="431"/>
      <c r="L21" s="430"/>
      <c r="M21" s="430"/>
      <c r="N21" s="432"/>
      <c r="O21" s="431"/>
      <c r="P21" s="430"/>
      <c r="Q21" s="430"/>
      <c r="R21" s="433"/>
      <c r="S21" s="431"/>
      <c r="T21" s="430"/>
      <c r="U21" s="430"/>
      <c r="V21" s="433"/>
      <c r="W21" s="74"/>
      <c r="X21" s="74"/>
      <c r="Y21" s="74"/>
    </row>
    <row r="22" spans="2:31" ht="15.75" thickBot="1" x14ac:dyDescent="0.3"/>
    <row r="23" spans="2:31" ht="16.5" thickBot="1" x14ac:dyDescent="0.3">
      <c r="B23" s="539" t="s">
        <v>348</v>
      </c>
      <c r="C23" s="540"/>
      <c r="D23" s="540"/>
      <c r="E23" s="540"/>
      <c r="F23" s="57">
        <f>SUM(Tabla3[VENTA ANUAL AÑO 1])</f>
        <v>0</v>
      </c>
      <c r="G23" s="58"/>
      <c r="H23" s="58"/>
      <c r="I23" s="57">
        <f>SUM(Tabla3[VENTA ANUAL AÑO 2])</f>
        <v>0</v>
      </c>
      <c r="J23" s="57"/>
      <c r="K23" s="58"/>
      <c r="L23" s="58"/>
      <c r="M23" s="57">
        <f>SUM(Tabla3[VENTA ANUAL AÑO 3])</f>
        <v>0</v>
      </c>
      <c r="N23" s="57"/>
      <c r="O23" s="58"/>
      <c r="P23" s="58"/>
      <c r="Q23" s="57">
        <f>SUM(Tabla3[VENTA ANUAL AÑO 4])</f>
        <v>0</v>
      </c>
      <c r="R23" s="57"/>
      <c r="S23" s="58"/>
      <c r="T23" s="58"/>
      <c r="U23" s="57">
        <f>SUM(Tabla3[VENTA ANUAL AÑO 5])</f>
        <v>0</v>
      </c>
      <c r="V23" s="70"/>
    </row>
    <row r="24" spans="2:31" ht="16.5" thickBot="1" x14ac:dyDescent="0.3">
      <c r="B24" s="539" t="s">
        <v>38</v>
      </c>
      <c r="C24" s="540"/>
      <c r="D24" s="540"/>
      <c r="E24" s="540"/>
      <c r="F24" s="57">
        <f>F23*D7</f>
        <v>0</v>
      </c>
      <c r="G24" s="58"/>
      <c r="H24" s="58"/>
      <c r="I24" s="57">
        <f>I23*D8</f>
        <v>0</v>
      </c>
      <c r="J24" s="56"/>
      <c r="K24" s="58"/>
      <c r="L24" s="58"/>
      <c r="M24" s="56">
        <f>M23*D9</f>
        <v>0</v>
      </c>
      <c r="N24" s="56"/>
      <c r="O24" s="58"/>
      <c r="P24" s="58"/>
      <c r="Q24" s="56">
        <f>Q23*D10</f>
        <v>0</v>
      </c>
      <c r="R24" s="56"/>
      <c r="S24" s="58"/>
      <c r="T24" s="58"/>
      <c r="U24" s="56">
        <f>U23*D11</f>
        <v>0</v>
      </c>
      <c r="V24" s="70"/>
    </row>
    <row r="25" spans="2:31" ht="16.5" thickBot="1" x14ac:dyDescent="0.3">
      <c r="B25" s="539" t="s">
        <v>39</v>
      </c>
      <c r="C25" s="540"/>
      <c r="D25" s="540"/>
      <c r="E25" s="540"/>
      <c r="F25" s="57">
        <f>F23+F24</f>
        <v>0</v>
      </c>
      <c r="G25" s="58"/>
      <c r="H25" s="58"/>
      <c r="I25" s="57">
        <f>I23+I24</f>
        <v>0</v>
      </c>
      <c r="J25" s="56"/>
      <c r="K25" s="58"/>
      <c r="L25" s="58"/>
      <c r="M25" s="56">
        <f>M23+M24</f>
        <v>0</v>
      </c>
      <c r="N25" s="56"/>
      <c r="O25" s="58"/>
      <c r="P25" s="58"/>
      <c r="Q25" s="56">
        <f>Q23+Q24</f>
        <v>0</v>
      </c>
      <c r="R25" s="56"/>
      <c r="S25" s="58"/>
      <c r="T25" s="58"/>
      <c r="U25" s="56">
        <f>U23+U24</f>
        <v>0</v>
      </c>
      <c r="V25" s="70"/>
    </row>
  </sheetData>
  <sheetProtection sheet="1" objects="1" scenarios="1"/>
  <protectedRanges>
    <protectedRange algorithmName="SHA-512" hashValue="PI1FzmXxdjjbHe5ES7fZfhUBXFhVbo1bnvXE/2xlVmPC4IwsJyGU/90VUCFxrzbzt+Y/Gh4Eo/9shgSNWz2Dkg==" saltValue="8n1+OIXmuy91Y+3uFbTkOA==" spinCount="100000" sqref="B19:B21" name="Código"/>
  </protectedRanges>
  <mergeCells count="16">
    <mergeCell ref="B25:E25"/>
    <mergeCell ref="B7:B11"/>
    <mergeCell ref="E7:E11"/>
    <mergeCell ref="D17:F17"/>
    <mergeCell ref="G17:J17"/>
    <mergeCell ref="B23:E23"/>
    <mergeCell ref="D18:F18"/>
    <mergeCell ref="G18:J18"/>
    <mergeCell ref="B4:V5"/>
    <mergeCell ref="S18:V18"/>
    <mergeCell ref="S17:V17"/>
    <mergeCell ref="K18:N18"/>
    <mergeCell ref="B24:E24"/>
    <mergeCell ref="K17:N17"/>
    <mergeCell ref="O18:R18"/>
    <mergeCell ref="O17:R17"/>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otón1_Haga_clic_en">
                <anchor moveWithCells="1" sizeWithCells="1">
                  <from>
                    <xdr:col>1</xdr:col>
                    <xdr:colOff>295275</xdr:colOff>
                    <xdr:row>12</xdr:row>
                    <xdr:rowOff>0</xdr:rowOff>
                  </from>
                  <to>
                    <xdr:col>1</xdr:col>
                    <xdr:colOff>3086100</xdr:colOff>
                    <xdr:row>16</xdr:row>
                    <xdr:rowOff>47625</xdr:rowOff>
                  </to>
                </anchor>
              </controlPr>
            </control>
          </mc:Choice>
        </mc:AlternateContent>
        <mc:AlternateContent xmlns:mc="http://schemas.openxmlformats.org/markup-compatibility/2006">
          <mc:Choice Requires="x14">
            <control shapeId="61442" r:id="rId5" name="Button 2">
              <controlPr defaultSize="0" print="0" autoFill="0" autoPict="0" macro="[0]!Portada">
                <anchor moveWithCells="1" sizeWithCells="1">
                  <from>
                    <xdr:col>3</xdr:col>
                    <xdr:colOff>695325</xdr:colOff>
                    <xdr:row>0</xdr:row>
                    <xdr:rowOff>85725</xdr:rowOff>
                  </from>
                  <to>
                    <xdr:col>3</xdr:col>
                    <xdr:colOff>2714625</xdr:colOff>
                    <xdr:row>2</xdr:row>
                    <xdr:rowOff>95250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2F44B-0FCA-44A9-87AE-A8EC6AF9698D}">
  <sheetPr codeName="Hoja10"/>
  <dimension ref="A3:OT193"/>
  <sheetViews>
    <sheetView showGridLines="0" zoomScaleNormal="100" workbookViewId="0">
      <selection activeCell="D12" sqref="D12"/>
    </sheetView>
  </sheetViews>
  <sheetFormatPr baseColWidth="10" defaultRowHeight="15" x14ac:dyDescent="0.25"/>
  <cols>
    <col min="1" max="1" width="11.42578125" style="2"/>
    <col min="2" max="2" width="39.140625" style="2" bestFit="1" customWidth="1"/>
    <col min="3" max="3" width="50.5703125" style="2" bestFit="1" customWidth="1"/>
    <col min="4" max="4" width="51.85546875" style="2" bestFit="1" customWidth="1"/>
    <col min="5" max="5" width="0" style="2" hidden="1" customWidth="1"/>
    <col min="6" max="6" width="32.42578125" style="2" customWidth="1"/>
    <col min="7" max="7" width="29.140625" style="2" customWidth="1"/>
    <col min="8" max="8" width="37.85546875" style="2" customWidth="1"/>
    <col min="9" max="9" width="29.140625" style="2" customWidth="1"/>
    <col min="10" max="10" width="37.85546875" style="2" customWidth="1"/>
    <col min="11" max="11" width="29.140625" style="2" customWidth="1"/>
    <col min="12" max="12" width="37.85546875" style="2" customWidth="1"/>
    <col min="13" max="13" width="29.140625" style="2" customWidth="1"/>
    <col min="14" max="14" width="37.85546875" style="2" customWidth="1"/>
    <col min="15" max="15" width="29.140625" style="2" customWidth="1"/>
    <col min="16" max="19" width="26" style="2" customWidth="1"/>
    <col min="20" max="20" width="25.42578125" style="2" bestFit="1" customWidth="1"/>
    <col min="21" max="25" width="17" style="2" customWidth="1"/>
    <col min="26" max="26" width="29.140625" style="2" hidden="1" customWidth="1"/>
    <col min="27" max="27" width="29.140625" style="2" customWidth="1"/>
    <col min="28" max="28" width="37.85546875" style="2" hidden="1" customWidth="1"/>
    <col min="29" max="29" width="29.140625" style="2" customWidth="1"/>
    <col min="30" max="30" width="37.85546875" style="2" hidden="1" customWidth="1"/>
    <col min="31" max="31" width="29.140625" style="2" customWidth="1"/>
    <col min="32" max="32" width="37.85546875" style="2" hidden="1" customWidth="1"/>
    <col min="33" max="33" width="29.140625" style="2" customWidth="1"/>
    <col min="34" max="34" width="37.85546875" style="2" hidden="1" customWidth="1"/>
    <col min="35" max="35" width="29.140625" style="2" customWidth="1"/>
    <col min="36" max="40" width="26" style="2" customWidth="1"/>
    <col min="41" max="43" width="14.7109375" style="2" customWidth="1"/>
    <col min="44" max="44" width="14.85546875" style="2" customWidth="1"/>
    <col min="45" max="45" width="14.7109375" style="2" customWidth="1"/>
    <col min="46" max="46" width="29.140625" style="2" hidden="1" customWidth="1"/>
    <col min="47" max="47" width="29.140625" style="2" customWidth="1"/>
    <col min="48" max="48" width="37.85546875" style="2" hidden="1" customWidth="1"/>
    <col min="49" max="49" width="29.140625" style="2" customWidth="1"/>
    <col min="50" max="50" width="37.85546875" style="2" hidden="1" customWidth="1"/>
    <col min="51" max="51" width="29.140625" style="2" customWidth="1"/>
    <col min="52" max="52" width="37.5703125" style="2" hidden="1" customWidth="1"/>
    <col min="53" max="53" width="29.140625" style="2" customWidth="1"/>
    <col min="54" max="54" width="37.85546875" style="2" hidden="1" customWidth="1"/>
    <col min="55" max="55" width="29.140625" style="2" customWidth="1"/>
    <col min="56" max="56" width="26" style="2" customWidth="1"/>
    <col min="57" max="57" width="25.85546875" style="2" customWidth="1"/>
    <col min="58" max="59" width="26" style="2" customWidth="1"/>
    <col min="60" max="60" width="25.85546875" style="2" customWidth="1"/>
    <col min="61" max="65" width="14.7109375" style="2" customWidth="1"/>
    <col min="66" max="66" width="29.140625" style="2" hidden="1" customWidth="1"/>
    <col min="67" max="67" width="29.140625" style="2" customWidth="1"/>
    <col min="68" max="68" width="37.85546875" style="2" hidden="1" customWidth="1"/>
    <col min="69" max="69" width="29.140625" style="2" customWidth="1"/>
    <col min="70" max="70" width="37.85546875" style="2" hidden="1" customWidth="1"/>
    <col min="71" max="71" width="29.140625" style="2" customWidth="1"/>
    <col min="72" max="72" width="37.85546875" style="2" hidden="1" customWidth="1"/>
    <col min="73" max="73" width="29.140625" style="2" customWidth="1"/>
    <col min="74" max="74" width="37.85546875" style="2" hidden="1" customWidth="1"/>
    <col min="75" max="75" width="29.140625" style="2" customWidth="1"/>
    <col min="76" max="80" width="26" style="2" customWidth="1"/>
    <col min="81" max="85" width="14.7109375" style="2" customWidth="1"/>
    <col min="86" max="86" width="29.140625" style="2" hidden="1" customWidth="1"/>
    <col min="87" max="87" width="29.140625" style="2" customWidth="1"/>
    <col min="88" max="88" width="37.85546875" style="2" hidden="1" customWidth="1"/>
    <col min="89" max="89" width="29.140625" style="2" customWidth="1"/>
    <col min="90" max="90" width="37.85546875" style="2" hidden="1" customWidth="1"/>
    <col min="91" max="91" width="29.140625" style="2" customWidth="1"/>
    <col min="92" max="92" width="37.85546875" style="2" hidden="1" customWidth="1"/>
    <col min="93" max="93" width="29.140625" style="2" customWidth="1"/>
    <col min="94" max="94" width="37.85546875" style="2" hidden="1" customWidth="1"/>
    <col min="95" max="95" width="29.140625" style="2" customWidth="1"/>
    <col min="96" max="100" width="26" style="2" customWidth="1"/>
    <col min="101" max="105" width="14.7109375" style="2" customWidth="1"/>
    <col min="106" max="106" width="29.140625" style="2" hidden="1" customWidth="1"/>
    <col min="107" max="107" width="29.140625" style="2" customWidth="1"/>
    <col min="108" max="108" width="37.85546875" style="2" hidden="1" customWidth="1"/>
    <col min="109" max="109" width="29.140625" style="2" customWidth="1"/>
    <col min="110" max="110" width="37.85546875" style="2" hidden="1" customWidth="1"/>
    <col min="111" max="111" width="29.140625" style="2" customWidth="1"/>
    <col min="112" max="112" width="37.85546875" style="2" hidden="1" customWidth="1"/>
    <col min="113" max="113" width="29.140625" style="2" customWidth="1"/>
    <col min="114" max="114" width="37.85546875" style="2" hidden="1" customWidth="1"/>
    <col min="115" max="115" width="29.140625" style="2" customWidth="1"/>
    <col min="116" max="120" width="26" style="2" customWidth="1"/>
    <col min="121" max="123" width="14.7109375" style="2" customWidth="1"/>
    <col min="124" max="124" width="14.5703125" style="2" customWidth="1"/>
    <col min="125" max="125" width="14.7109375" style="2" customWidth="1"/>
    <col min="126" max="126" width="29.140625" style="2" hidden="1" customWidth="1"/>
    <col min="127" max="127" width="29.140625" style="2" customWidth="1"/>
    <col min="128" max="128" width="37.85546875" style="2" hidden="1" customWidth="1"/>
    <col min="129" max="129" width="29.140625" style="2" customWidth="1"/>
    <col min="130" max="130" width="37.85546875" style="2" hidden="1" customWidth="1"/>
    <col min="131" max="131" width="29.140625" style="2" customWidth="1"/>
    <col min="132" max="132" width="37.85546875" style="2" hidden="1" customWidth="1"/>
    <col min="133" max="133" width="29.140625" style="2" customWidth="1"/>
    <col min="134" max="134" width="37.85546875" style="2" hidden="1" customWidth="1"/>
    <col min="135" max="135" width="29.140625" style="2" customWidth="1"/>
    <col min="136" max="140" width="26" style="2" customWidth="1"/>
    <col min="141" max="145" width="14.7109375" style="2" customWidth="1"/>
    <col min="146" max="146" width="29.140625" style="2" hidden="1" customWidth="1"/>
    <col min="147" max="147" width="29.140625" style="2" customWidth="1"/>
    <col min="148" max="148" width="37.85546875" style="2" hidden="1" customWidth="1"/>
    <col min="149" max="149" width="29.140625" style="2" customWidth="1"/>
    <col min="150" max="150" width="37.7109375" style="2" hidden="1" customWidth="1"/>
    <col min="151" max="151" width="29.140625" style="2" customWidth="1"/>
    <col min="152" max="152" width="37.85546875" style="2" hidden="1" customWidth="1"/>
    <col min="153" max="153" width="29.140625" style="2" customWidth="1"/>
    <col min="154" max="154" width="37.85546875" style="2" hidden="1" customWidth="1"/>
    <col min="155" max="155" width="29" style="2" customWidth="1"/>
    <col min="156" max="156" width="26.140625" style="2" customWidth="1"/>
    <col min="157" max="160" width="26" style="2" customWidth="1"/>
    <col min="161" max="165" width="14.7109375" style="2" customWidth="1"/>
    <col min="166" max="166" width="29.140625" style="2" hidden="1" customWidth="1"/>
    <col min="167" max="167" width="29.140625" style="2" customWidth="1"/>
    <col min="168" max="168" width="37.85546875" style="2" hidden="1" customWidth="1"/>
    <col min="169" max="169" width="29.140625" style="2" customWidth="1"/>
    <col min="170" max="170" width="37.85546875" style="2" hidden="1" customWidth="1"/>
    <col min="171" max="171" width="29.140625" style="2" customWidth="1"/>
    <col min="172" max="172" width="37.85546875" style="2" hidden="1" customWidth="1"/>
    <col min="173" max="173" width="29.140625" style="2" customWidth="1"/>
    <col min="174" max="174" width="37.85546875" style="2" hidden="1" customWidth="1"/>
    <col min="175" max="175" width="29.140625" style="2" customWidth="1"/>
    <col min="176" max="180" width="26" style="2" customWidth="1"/>
    <col min="181" max="185" width="14.7109375" style="2" customWidth="1"/>
    <col min="186" max="186" width="29.140625" style="2" hidden="1" customWidth="1"/>
    <col min="187" max="187" width="29.140625" style="2" customWidth="1"/>
    <col min="188" max="188" width="37.85546875" style="2" hidden="1" customWidth="1"/>
    <col min="189" max="189" width="29.140625" style="2" customWidth="1"/>
    <col min="190" max="190" width="37.7109375" style="2" hidden="1" customWidth="1"/>
    <col min="191" max="191" width="29" style="2" customWidth="1"/>
    <col min="192" max="192" width="37.85546875" style="2" hidden="1" customWidth="1"/>
    <col min="193" max="193" width="29.140625" style="2" customWidth="1"/>
    <col min="194" max="194" width="37.85546875" style="2" hidden="1" customWidth="1"/>
    <col min="195" max="195" width="29.140625" style="2" customWidth="1"/>
    <col min="196" max="200" width="26" style="2" customWidth="1"/>
    <col min="201" max="205" width="14.7109375" style="2" customWidth="1"/>
    <col min="206" max="206" width="29.140625" style="2" hidden="1" customWidth="1"/>
    <col min="207" max="207" width="29.140625" style="2" customWidth="1"/>
    <col min="208" max="208" width="37.85546875" style="2" hidden="1" customWidth="1"/>
    <col min="209" max="209" width="29.140625" style="2" customWidth="1"/>
    <col min="210" max="210" width="37.85546875" style="2" hidden="1" customWidth="1"/>
    <col min="211" max="211" width="29.140625" style="2" customWidth="1"/>
    <col min="212" max="212" width="37.85546875" style="2" hidden="1" customWidth="1"/>
    <col min="213" max="213" width="29.140625" style="2" customWidth="1"/>
    <col min="214" max="214" width="37.85546875" style="2" hidden="1" customWidth="1"/>
    <col min="215" max="215" width="29.140625" style="2" customWidth="1"/>
    <col min="216" max="216" width="26" style="2" customWidth="1"/>
    <col min="217" max="217" width="25.85546875" style="2" customWidth="1"/>
    <col min="218" max="220" width="26" style="2" customWidth="1"/>
    <col min="221" max="225" width="14.7109375" style="2" customWidth="1"/>
    <col min="226" max="226" width="29" style="2" hidden="1" customWidth="1"/>
    <col min="227" max="227" width="29.140625" style="2" customWidth="1"/>
    <col min="228" max="228" width="37.85546875" style="2" hidden="1" customWidth="1"/>
    <col min="229" max="229" width="29.140625" style="2" customWidth="1"/>
    <col min="230" max="230" width="37.7109375" style="2" hidden="1" customWidth="1"/>
    <col min="231" max="231" width="29.140625" style="2" customWidth="1"/>
    <col min="232" max="232" width="37.85546875" style="2" hidden="1" customWidth="1"/>
    <col min="233" max="233" width="29.140625" style="2" customWidth="1"/>
    <col min="234" max="234" width="37.85546875" style="2" hidden="1" customWidth="1"/>
    <col min="235" max="235" width="29.140625" style="2" customWidth="1"/>
    <col min="236" max="240" width="26" style="2" customWidth="1"/>
    <col min="241" max="245" width="14.7109375" style="2" customWidth="1"/>
    <col min="246" max="246" width="29" style="2" hidden="1" customWidth="1"/>
    <col min="247" max="247" width="29.140625" style="2" customWidth="1"/>
    <col min="248" max="248" width="37.85546875" style="2" hidden="1" customWidth="1"/>
    <col min="249" max="249" width="29.140625" style="2" customWidth="1"/>
    <col min="250" max="250" width="37.85546875" style="2" hidden="1" customWidth="1"/>
    <col min="251" max="251" width="29.140625" style="2" customWidth="1"/>
    <col min="252" max="252" width="37.85546875" style="2" hidden="1" customWidth="1"/>
    <col min="253" max="253" width="29.140625" style="2" customWidth="1"/>
    <col min="254" max="254" width="37.85546875" style="2" hidden="1" customWidth="1"/>
    <col min="255" max="255" width="29.140625" style="2" customWidth="1"/>
    <col min="256" max="260" width="26" style="2" customWidth="1"/>
    <col min="261" max="265" width="14.7109375" style="2" customWidth="1"/>
    <col min="266" max="266" width="29.140625" style="2" hidden="1" customWidth="1"/>
    <col min="267" max="267" width="29.140625" style="2" customWidth="1"/>
    <col min="268" max="268" width="37.85546875" style="2" hidden="1" customWidth="1"/>
    <col min="269" max="269" width="29.140625" style="2" customWidth="1"/>
    <col min="270" max="270" width="37.85546875" style="2" hidden="1" customWidth="1"/>
    <col min="271" max="271" width="29.140625" style="2" customWidth="1"/>
    <col min="272" max="272" width="37.85546875" style="2" hidden="1" customWidth="1"/>
    <col min="273" max="273" width="29.140625" style="2" customWidth="1"/>
    <col min="274" max="274" width="37.85546875" style="2" hidden="1" customWidth="1"/>
    <col min="275" max="275" width="29.140625" style="2" customWidth="1"/>
    <col min="276" max="280" width="26" style="2" customWidth="1"/>
    <col min="281" max="285" width="14.7109375" style="2" customWidth="1"/>
    <col min="286" max="286" width="29.140625" style="2" hidden="1" customWidth="1"/>
    <col min="287" max="287" width="29.140625" style="2" customWidth="1"/>
    <col min="288" max="288" width="37.85546875" style="2" hidden="1" customWidth="1"/>
    <col min="289" max="289" width="29.140625" style="2" customWidth="1"/>
    <col min="290" max="290" width="37.5703125" style="2" hidden="1" customWidth="1"/>
    <col min="291" max="291" width="29.140625" style="2" customWidth="1"/>
    <col min="292" max="292" width="37.5703125" style="2" hidden="1" customWidth="1"/>
    <col min="293" max="293" width="29.140625" style="2" customWidth="1"/>
    <col min="294" max="294" width="37.85546875" style="2" hidden="1" customWidth="1"/>
    <col min="295" max="295" width="29.140625" style="2" customWidth="1"/>
    <col min="296" max="296" width="26" style="2" customWidth="1"/>
    <col min="297" max="297" width="25.85546875" style="2" customWidth="1"/>
    <col min="298" max="300" width="26" style="2" customWidth="1"/>
    <col min="301" max="305" width="14.7109375" style="2" customWidth="1"/>
    <col min="306" max="306" width="29.140625" style="2" hidden="1" customWidth="1"/>
    <col min="307" max="307" width="29" style="2" customWidth="1"/>
    <col min="308" max="308" width="37.85546875" style="2" hidden="1" customWidth="1"/>
    <col min="309" max="309" width="29.140625" style="2" customWidth="1"/>
    <col min="310" max="310" width="37.85546875" style="2" hidden="1" customWidth="1"/>
    <col min="311" max="311" width="29" style="2" customWidth="1"/>
    <col min="312" max="312" width="37.7109375" style="2" hidden="1" customWidth="1"/>
    <col min="313" max="313" width="29.140625" style="2" customWidth="1"/>
    <col min="314" max="314" width="37.85546875" style="2" hidden="1" customWidth="1"/>
    <col min="315" max="315" width="29.140625" style="2" customWidth="1"/>
    <col min="316" max="316" width="26" style="2" customWidth="1"/>
    <col min="317" max="317" width="25.5703125" style="2" customWidth="1"/>
    <col min="318" max="318" width="26" style="2" customWidth="1"/>
    <col min="319" max="319" width="25.85546875" style="2" customWidth="1"/>
    <col min="320" max="320" width="26" style="2" customWidth="1"/>
    <col min="321" max="322" width="14.7109375" style="2" customWidth="1"/>
    <col min="323" max="323" width="14.5703125" style="2" customWidth="1"/>
    <col min="324" max="325" width="14.7109375" style="2" customWidth="1"/>
    <col min="326" max="326" width="29.140625" style="2" hidden="1" customWidth="1"/>
    <col min="327" max="327" width="29.140625" style="2" customWidth="1"/>
    <col min="328" max="328" width="37.7109375" style="2" hidden="1" customWidth="1"/>
    <col min="329" max="329" width="29.140625" style="2" customWidth="1"/>
    <col min="330" max="330" width="37.85546875" style="2" hidden="1" customWidth="1"/>
    <col min="331" max="331" width="29.140625" style="2" customWidth="1"/>
    <col min="332" max="332" width="37.85546875" style="2" hidden="1" customWidth="1"/>
    <col min="333" max="333" width="29.140625" style="2" customWidth="1"/>
    <col min="334" max="334" width="37.85546875" style="2" hidden="1" customWidth="1"/>
    <col min="335" max="335" width="29.140625" style="2" customWidth="1"/>
    <col min="336" max="340" width="26" style="2" customWidth="1"/>
    <col min="341" max="345" width="14.7109375" style="2" customWidth="1"/>
    <col min="346" max="346" width="29.140625" style="2" hidden="1" customWidth="1"/>
    <col min="347" max="347" width="29" style="2" customWidth="1"/>
    <col min="348" max="348" width="37.85546875" style="2" hidden="1" customWidth="1"/>
    <col min="349" max="349" width="29.140625" style="2" customWidth="1"/>
    <col min="350" max="350" width="37.85546875" style="2" hidden="1" customWidth="1"/>
    <col min="351" max="351" width="29" style="2" customWidth="1"/>
    <col min="352" max="352" width="37.85546875" style="2" hidden="1" customWidth="1"/>
    <col min="353" max="353" width="28.7109375" style="2" customWidth="1"/>
    <col min="354" max="354" width="37.7109375" style="2" hidden="1" customWidth="1"/>
    <col min="355" max="355" width="29.140625" style="2" customWidth="1"/>
    <col min="356" max="360" width="26" style="2" customWidth="1"/>
    <col min="361" max="362" width="14.7109375" style="2" customWidth="1"/>
    <col min="363" max="363" width="14.85546875" style="2" customWidth="1"/>
    <col min="364" max="365" width="14.7109375" style="2" customWidth="1"/>
    <col min="366" max="366" width="29.140625" style="2" hidden="1" customWidth="1"/>
    <col min="367" max="367" width="29" style="2" customWidth="1"/>
    <col min="368" max="368" width="37.85546875" style="2" hidden="1" customWidth="1"/>
    <col min="369" max="369" width="29.140625" style="2" customWidth="1"/>
    <col min="370" max="370" width="37.85546875" style="2" hidden="1" customWidth="1"/>
    <col min="371" max="371" width="29.140625" style="2" customWidth="1"/>
    <col min="372" max="372" width="37.85546875" style="2" hidden="1" customWidth="1"/>
    <col min="373" max="373" width="29.140625" style="2" customWidth="1"/>
    <col min="374" max="374" width="37.85546875" style="2" hidden="1" customWidth="1"/>
    <col min="375" max="375" width="28.85546875" style="2" customWidth="1"/>
    <col min="376" max="378" width="26" style="2" customWidth="1"/>
    <col min="379" max="379" width="25.85546875" style="2" customWidth="1"/>
    <col min="380" max="380" width="26" style="2" customWidth="1"/>
    <col min="381" max="385" width="14.7109375" style="2" customWidth="1"/>
    <col min="386" max="386" width="29.140625" style="2" hidden="1" customWidth="1"/>
    <col min="387" max="387" width="29.140625" style="2" customWidth="1"/>
    <col min="388" max="388" width="37.85546875" style="2" hidden="1" customWidth="1"/>
    <col min="389" max="389" width="29.140625" style="2" customWidth="1"/>
    <col min="390" max="390" width="37.85546875" style="2" hidden="1" customWidth="1"/>
    <col min="391" max="391" width="29.140625" style="2" customWidth="1"/>
    <col min="392" max="392" width="37.85546875" style="2" hidden="1" customWidth="1"/>
    <col min="393" max="393" width="29.140625" style="2" customWidth="1"/>
    <col min="394" max="394" width="37.85546875" style="2" hidden="1" customWidth="1"/>
    <col min="395" max="395" width="29.140625" style="2" customWidth="1"/>
    <col min="396" max="399" width="26" style="2" customWidth="1"/>
    <col min="400" max="400" width="26.140625" style="2" customWidth="1"/>
    <col min="401" max="402" width="14.7109375" style="2" customWidth="1"/>
    <col min="403" max="403" width="14.85546875" style="2" customWidth="1"/>
    <col min="404" max="405" width="14.7109375" style="2" customWidth="1"/>
    <col min="406" max="410" width="15.7109375" style="2" customWidth="1"/>
    <col min="411" max="16384" width="11.42578125" style="2"/>
  </cols>
  <sheetData>
    <row r="3" spans="2:7" ht="15.75" x14ac:dyDescent="0.25">
      <c r="B3" s="332" t="s">
        <v>435</v>
      </c>
      <c r="C3" s="333" t="str">
        <f>INSTRUCCIONES!E3</f>
        <v>Digite el nombre de su emprendimiento</v>
      </c>
    </row>
    <row r="6" spans="2:7" ht="15.75" x14ac:dyDescent="0.25">
      <c r="B6" s="593" t="s">
        <v>436</v>
      </c>
      <c r="C6" s="593"/>
      <c r="D6" s="593"/>
      <c r="E6" s="593"/>
      <c r="F6" s="593"/>
      <c r="G6" s="593"/>
    </row>
    <row r="12" spans="2:7" ht="15.75" x14ac:dyDescent="0.25">
      <c r="B12" s="69" t="s">
        <v>43</v>
      </c>
      <c r="C12" s="69" t="s">
        <v>40</v>
      </c>
      <c r="D12" s="69" t="s">
        <v>440</v>
      </c>
    </row>
    <row r="13" spans="2:7" ht="15.75" x14ac:dyDescent="0.25">
      <c r="B13" s="334"/>
      <c r="C13" s="335"/>
      <c r="D13" s="336"/>
    </row>
    <row r="14" spans="2:7" ht="15.75" x14ac:dyDescent="0.25">
      <c r="B14" s="337"/>
      <c r="C14" s="338"/>
      <c r="D14" s="339"/>
    </row>
    <row r="15" spans="2:7" ht="15.75" x14ac:dyDescent="0.25">
      <c r="B15" s="337"/>
      <c r="C15" s="338"/>
      <c r="D15" s="339"/>
    </row>
    <row r="16" spans="2:7" ht="15.75" x14ac:dyDescent="0.25">
      <c r="B16" s="337"/>
      <c r="C16" s="338"/>
      <c r="D16" s="339"/>
    </row>
    <row r="17" spans="2:4" ht="15.75" x14ac:dyDescent="0.25">
      <c r="B17" s="337"/>
      <c r="C17" s="338"/>
      <c r="D17" s="339"/>
    </row>
    <row r="18" spans="2:4" ht="15.75" x14ac:dyDescent="0.25">
      <c r="B18" s="337"/>
      <c r="C18" s="338"/>
      <c r="D18" s="339"/>
    </row>
    <row r="19" spans="2:4" ht="15.75" x14ac:dyDescent="0.25">
      <c r="B19" s="337"/>
      <c r="C19" s="338"/>
      <c r="D19" s="339"/>
    </row>
    <row r="20" spans="2:4" ht="15.75" x14ac:dyDescent="0.25">
      <c r="B20" s="337"/>
      <c r="C20" s="338"/>
      <c r="D20" s="339"/>
    </row>
    <row r="21" spans="2:4" ht="15.75" x14ac:dyDescent="0.25">
      <c r="B21" s="337"/>
      <c r="C21" s="338"/>
      <c r="D21" s="339"/>
    </row>
    <row r="22" spans="2:4" ht="15.75" x14ac:dyDescent="0.25">
      <c r="B22" s="337"/>
      <c r="C22" s="338"/>
      <c r="D22" s="339"/>
    </row>
    <row r="23" spans="2:4" ht="15.75" x14ac:dyDescent="0.25">
      <c r="B23" s="337"/>
      <c r="C23" s="338"/>
      <c r="D23" s="339"/>
    </row>
    <row r="24" spans="2:4" ht="15.75" x14ac:dyDescent="0.25">
      <c r="B24" s="337"/>
      <c r="C24" s="338"/>
      <c r="D24" s="339"/>
    </row>
    <row r="25" spans="2:4" ht="15.75" x14ac:dyDescent="0.25">
      <c r="B25" s="337"/>
      <c r="C25" s="338"/>
      <c r="D25" s="339"/>
    </row>
    <row r="26" spans="2:4" ht="15.75" x14ac:dyDescent="0.25">
      <c r="B26" s="337"/>
      <c r="C26" s="338"/>
      <c r="D26" s="339"/>
    </row>
    <row r="27" spans="2:4" ht="15.75" x14ac:dyDescent="0.25">
      <c r="B27" s="337"/>
      <c r="C27" s="338"/>
      <c r="D27" s="339"/>
    </row>
    <row r="28" spans="2:4" ht="15.75" x14ac:dyDescent="0.25">
      <c r="B28" s="337"/>
      <c r="C28" s="338"/>
      <c r="D28" s="339"/>
    </row>
    <row r="29" spans="2:4" ht="15.75" x14ac:dyDescent="0.25">
      <c r="B29" s="337"/>
      <c r="C29" s="338"/>
      <c r="D29" s="339"/>
    </row>
    <row r="30" spans="2:4" ht="15.75" x14ac:dyDescent="0.25">
      <c r="B30" s="337"/>
      <c r="C30" s="338"/>
      <c r="D30" s="339"/>
    </row>
    <row r="31" spans="2:4" ht="15.75" x14ac:dyDescent="0.25">
      <c r="B31" s="337"/>
      <c r="C31" s="338"/>
      <c r="D31" s="339"/>
    </row>
    <row r="32" spans="2:4" ht="15.75" x14ac:dyDescent="0.25">
      <c r="B32" s="340"/>
      <c r="C32" s="341"/>
      <c r="D32" s="342"/>
    </row>
    <row r="33" spans="2:40" ht="15.75" x14ac:dyDescent="0.25">
      <c r="B33" s="135"/>
      <c r="C33" s="135"/>
      <c r="D33" s="135"/>
    </row>
    <row r="38" spans="2:40" ht="15.75" x14ac:dyDescent="0.25">
      <c r="C38" s="343"/>
      <c r="D38" s="343"/>
      <c r="E38" s="343"/>
      <c r="F38" s="594" t="s">
        <v>439</v>
      </c>
      <c r="G38" s="595"/>
      <c r="H38" s="595"/>
      <c r="I38" s="595"/>
      <c r="J38" s="595"/>
      <c r="K38" s="595"/>
      <c r="L38" s="595"/>
      <c r="M38" s="595"/>
      <c r="N38" s="595"/>
      <c r="O38" s="595"/>
      <c r="P38" s="595"/>
      <c r="Q38" s="595"/>
      <c r="R38" s="595"/>
      <c r="S38" s="595"/>
      <c r="T38" s="595"/>
      <c r="U38" s="595"/>
      <c r="V38" s="595"/>
      <c r="W38" s="595"/>
      <c r="X38" s="595"/>
      <c r="Y38" s="596"/>
      <c r="Z38" s="328"/>
      <c r="AA38" s="328"/>
      <c r="AB38" s="328"/>
      <c r="AC38" s="328"/>
      <c r="AD38" s="328"/>
      <c r="AE38" s="328"/>
      <c r="AF38" s="328"/>
      <c r="AG38" s="328"/>
      <c r="AH38" s="328"/>
      <c r="AI38" s="328"/>
      <c r="AJ38" s="328"/>
      <c r="AK38" s="328"/>
      <c r="AL38" s="328"/>
      <c r="AM38" s="328"/>
      <c r="AN38" s="328"/>
    </row>
    <row r="39" spans="2:40" ht="15.75" x14ac:dyDescent="0.25">
      <c r="C39" s="69" t="s">
        <v>437</v>
      </c>
      <c r="D39" s="69" t="s">
        <v>438</v>
      </c>
      <c r="E39" s="343"/>
      <c r="F39" s="359" cm="1">
        <f t="array" ref="F39:Y39">TRANSPOSE(Tabla9[[MATERIA PRIMA E INSUMOS ]])</f>
        <v>0</v>
      </c>
      <c r="G39" s="359">
        <v>0</v>
      </c>
      <c r="H39" s="359">
        <v>0</v>
      </c>
      <c r="I39" s="359">
        <v>0</v>
      </c>
      <c r="J39" s="359">
        <v>0</v>
      </c>
      <c r="K39" s="359">
        <v>0</v>
      </c>
      <c r="L39" s="359">
        <v>0</v>
      </c>
      <c r="M39" s="359">
        <v>0</v>
      </c>
      <c r="N39" s="359">
        <v>0</v>
      </c>
      <c r="O39" s="359">
        <v>0</v>
      </c>
      <c r="P39" s="359">
        <v>0</v>
      </c>
      <c r="Q39" s="359">
        <v>0</v>
      </c>
      <c r="R39" s="359">
        <v>0</v>
      </c>
      <c r="S39" s="359">
        <v>0</v>
      </c>
      <c r="T39" s="359">
        <v>0</v>
      </c>
      <c r="U39" s="359">
        <v>0</v>
      </c>
      <c r="V39" s="359">
        <v>0</v>
      </c>
      <c r="W39" s="359">
        <v>0</v>
      </c>
      <c r="X39" s="359">
        <v>0</v>
      </c>
      <c r="Y39" s="359">
        <v>0</v>
      </c>
      <c r="Z39" s="329"/>
      <c r="AA39" s="329"/>
      <c r="AB39" s="329"/>
      <c r="AC39" s="329"/>
      <c r="AD39" s="329"/>
      <c r="AE39" s="329"/>
      <c r="AF39" s="329"/>
      <c r="AG39" s="329"/>
      <c r="AH39" s="329"/>
      <c r="AI39" s="329"/>
      <c r="AJ39" s="329"/>
      <c r="AK39" s="329"/>
      <c r="AL39" s="329"/>
      <c r="AM39" s="329"/>
      <c r="AN39" s="329"/>
    </row>
    <row r="40" spans="2:40" ht="15.75" x14ac:dyDescent="0.25">
      <c r="C40" s="434">
        <v>0</v>
      </c>
      <c r="D40" s="92" t="str">
        <f>VLOOKUP(Tabla11[[#This Row],[CÓDIGO DEL PRODUCTO Y/O SERVICIO ]],Tabla3[],2,0)</f>
        <v xml:space="preserve">Seleccionar producto o servicio </v>
      </c>
      <c r="E40" s="435"/>
      <c r="F40" s="71"/>
      <c r="G40" s="71"/>
      <c r="H40" s="71"/>
      <c r="I40" s="71"/>
      <c r="J40" s="71"/>
      <c r="K40" s="71"/>
      <c r="L40" s="71"/>
      <c r="M40" s="71"/>
      <c r="N40" s="71"/>
      <c r="O40" s="71"/>
      <c r="P40" s="71"/>
      <c r="Q40" s="71"/>
      <c r="R40" s="71"/>
      <c r="S40" s="71"/>
      <c r="T40" s="71"/>
      <c r="U40" s="71"/>
      <c r="V40" s="71"/>
      <c r="W40" s="71"/>
      <c r="X40" s="71"/>
      <c r="Y40" s="71"/>
      <c r="Z40" s="85"/>
      <c r="AA40" s="85"/>
      <c r="AB40" s="85"/>
      <c r="AC40" s="85"/>
      <c r="AD40" s="85"/>
      <c r="AE40" s="85"/>
      <c r="AF40" s="85"/>
      <c r="AG40" s="85"/>
      <c r="AH40" s="85"/>
      <c r="AI40" s="85"/>
      <c r="AJ40" s="85"/>
      <c r="AK40" s="85"/>
      <c r="AL40" s="85"/>
      <c r="AM40" s="85"/>
      <c r="AN40" s="85"/>
    </row>
    <row r="41" spans="2:40" ht="15.75" x14ac:dyDescent="0.25">
      <c r="C41" s="136"/>
      <c r="D41" s="92" t="str">
        <f>VLOOKUP(Tabla11[[#This Row],[CÓDIGO DEL PRODUCTO Y/O SERVICIO ]],Tabla3[],2,0)</f>
        <v xml:space="preserve">Seleccionar producto o servicio </v>
      </c>
      <c r="E41" s="435"/>
      <c r="F41" s="71"/>
      <c r="G41" s="71"/>
      <c r="H41" s="71"/>
      <c r="I41" s="71"/>
      <c r="J41" s="71"/>
      <c r="K41" s="71"/>
      <c r="L41" s="71"/>
      <c r="M41" s="71"/>
      <c r="N41" s="71"/>
      <c r="O41" s="71"/>
      <c r="P41" s="71"/>
      <c r="Q41" s="71"/>
      <c r="R41" s="71"/>
      <c r="S41" s="71"/>
      <c r="T41" s="71"/>
      <c r="U41" s="71"/>
      <c r="V41" s="71"/>
      <c r="W41" s="71"/>
      <c r="X41" s="71"/>
      <c r="Y41" s="71"/>
      <c r="Z41" s="85"/>
      <c r="AA41" s="85"/>
      <c r="AB41" s="85"/>
      <c r="AC41" s="85"/>
      <c r="AD41" s="85"/>
      <c r="AE41" s="85"/>
      <c r="AF41" s="85"/>
      <c r="AG41" s="85"/>
      <c r="AH41" s="85"/>
      <c r="AI41" s="85"/>
      <c r="AJ41" s="85"/>
      <c r="AK41" s="85"/>
      <c r="AL41" s="85"/>
      <c r="AM41" s="85"/>
      <c r="AN41" s="85"/>
    </row>
    <row r="51" spans="3:410" ht="15.75" thickBot="1" x14ac:dyDescent="0.3"/>
    <row r="52" spans="3:410" ht="16.5" thickBot="1" x14ac:dyDescent="0.3">
      <c r="F52" s="604">
        <f>B13</f>
        <v>0</v>
      </c>
      <c r="G52" s="605"/>
      <c r="H52" s="605"/>
      <c r="I52" s="605"/>
      <c r="J52" s="605"/>
      <c r="K52" s="605"/>
      <c r="L52" s="605"/>
      <c r="M52" s="605"/>
      <c r="N52" s="605"/>
      <c r="O52" s="605"/>
      <c r="P52" s="605"/>
      <c r="Q52" s="605"/>
      <c r="R52" s="605"/>
      <c r="S52" s="605"/>
      <c r="T52" s="605"/>
      <c r="U52" s="605"/>
      <c r="V52" s="605"/>
      <c r="W52" s="605"/>
      <c r="X52" s="605"/>
      <c r="Y52" s="606"/>
      <c r="Z52" s="600">
        <f>B14</f>
        <v>0</v>
      </c>
      <c r="AA52" s="601"/>
      <c r="AB52" s="601"/>
      <c r="AC52" s="601"/>
      <c r="AD52" s="601"/>
      <c r="AE52" s="601"/>
      <c r="AF52" s="601"/>
      <c r="AG52" s="601"/>
      <c r="AH52" s="601"/>
      <c r="AI52" s="601"/>
      <c r="AJ52" s="601"/>
      <c r="AK52" s="601"/>
      <c r="AL52" s="601"/>
      <c r="AM52" s="601"/>
      <c r="AN52" s="601"/>
      <c r="AO52" s="601"/>
      <c r="AP52" s="601"/>
      <c r="AQ52" s="601"/>
      <c r="AR52" s="601"/>
      <c r="AS52" s="602"/>
      <c r="AT52" s="583">
        <f>B15</f>
        <v>0</v>
      </c>
      <c r="AU52" s="584"/>
      <c r="AV52" s="584"/>
      <c r="AW52" s="584"/>
      <c r="AX52" s="584"/>
      <c r="AY52" s="584"/>
      <c r="AZ52" s="584"/>
      <c r="BA52" s="584"/>
      <c r="BB52" s="584"/>
      <c r="BC52" s="584"/>
      <c r="BD52" s="584"/>
      <c r="BE52" s="584"/>
      <c r="BF52" s="584"/>
      <c r="BG52" s="584"/>
      <c r="BH52" s="584"/>
      <c r="BI52" s="584"/>
      <c r="BJ52" s="584"/>
      <c r="BK52" s="584"/>
      <c r="BL52" s="584"/>
      <c r="BM52" s="585"/>
      <c r="BN52" s="590">
        <f>B16</f>
        <v>0</v>
      </c>
      <c r="BO52" s="591"/>
      <c r="BP52" s="591"/>
      <c r="BQ52" s="591"/>
      <c r="BR52" s="591"/>
      <c r="BS52" s="591"/>
      <c r="BT52" s="591"/>
      <c r="BU52" s="591"/>
      <c r="BV52" s="591"/>
      <c r="BW52" s="591"/>
      <c r="BX52" s="591"/>
      <c r="BY52" s="591"/>
      <c r="BZ52" s="591"/>
      <c r="CA52" s="591"/>
      <c r="CB52" s="591"/>
      <c r="CC52" s="591"/>
      <c r="CD52" s="591"/>
      <c r="CE52" s="591"/>
      <c r="CF52" s="591"/>
      <c r="CG52" s="592"/>
      <c r="CH52" s="583">
        <f>B17</f>
        <v>0</v>
      </c>
      <c r="CI52" s="584"/>
      <c r="CJ52" s="584"/>
      <c r="CK52" s="584"/>
      <c r="CL52" s="584"/>
      <c r="CM52" s="584"/>
      <c r="CN52" s="584"/>
      <c r="CO52" s="584"/>
      <c r="CP52" s="584"/>
      <c r="CQ52" s="584"/>
      <c r="CR52" s="584"/>
      <c r="CS52" s="584"/>
      <c r="CT52" s="584"/>
      <c r="CU52" s="584"/>
      <c r="CV52" s="584"/>
      <c r="CW52" s="584"/>
      <c r="CX52" s="584"/>
      <c r="CY52" s="584"/>
      <c r="CZ52" s="584"/>
      <c r="DA52" s="585"/>
      <c r="DB52" s="579">
        <f>B18</f>
        <v>0</v>
      </c>
      <c r="DC52" s="580"/>
      <c r="DD52" s="580"/>
      <c r="DE52" s="580"/>
      <c r="DF52" s="580"/>
      <c r="DG52" s="580"/>
      <c r="DH52" s="580"/>
      <c r="DI52" s="580"/>
      <c r="DJ52" s="580"/>
      <c r="DK52" s="580"/>
      <c r="DL52" s="580"/>
      <c r="DM52" s="580"/>
      <c r="DN52" s="580"/>
      <c r="DO52" s="580"/>
      <c r="DP52" s="580"/>
      <c r="DQ52" s="580"/>
      <c r="DR52" s="580"/>
      <c r="DS52" s="580"/>
      <c r="DT52" s="580"/>
      <c r="DU52" s="581"/>
      <c r="DV52" s="583">
        <f>B19</f>
        <v>0</v>
      </c>
      <c r="DW52" s="584"/>
      <c r="DX52" s="584"/>
      <c r="DY52" s="584"/>
      <c r="DZ52" s="584"/>
      <c r="EA52" s="584"/>
      <c r="EB52" s="584"/>
      <c r="EC52" s="584"/>
      <c r="ED52" s="584"/>
      <c r="EE52" s="584"/>
      <c r="EF52" s="584"/>
      <c r="EG52" s="584"/>
      <c r="EH52" s="584"/>
      <c r="EI52" s="584"/>
      <c r="EJ52" s="584"/>
      <c r="EK52" s="584"/>
      <c r="EL52" s="584"/>
      <c r="EM52" s="584"/>
      <c r="EN52" s="584"/>
      <c r="EO52" s="585"/>
      <c r="EP52" s="579">
        <f>B20</f>
        <v>0</v>
      </c>
      <c r="EQ52" s="580"/>
      <c r="ER52" s="580"/>
      <c r="ES52" s="580"/>
      <c r="ET52" s="580"/>
      <c r="EU52" s="580"/>
      <c r="EV52" s="580"/>
      <c r="EW52" s="580"/>
      <c r="EX52" s="580"/>
      <c r="EY52" s="580"/>
      <c r="EZ52" s="580"/>
      <c r="FA52" s="580"/>
      <c r="FB52" s="580"/>
      <c r="FC52" s="580"/>
      <c r="FD52" s="580"/>
      <c r="FE52" s="580"/>
      <c r="FF52" s="580"/>
      <c r="FG52" s="580"/>
      <c r="FH52" s="580"/>
      <c r="FI52" s="581"/>
      <c r="FJ52" s="583">
        <f>B21</f>
        <v>0</v>
      </c>
      <c r="FK52" s="584"/>
      <c r="FL52" s="584"/>
      <c r="FM52" s="584"/>
      <c r="FN52" s="584"/>
      <c r="FO52" s="584"/>
      <c r="FP52" s="584"/>
      <c r="FQ52" s="584"/>
      <c r="FR52" s="584"/>
      <c r="FS52" s="584"/>
      <c r="FT52" s="584"/>
      <c r="FU52" s="584"/>
      <c r="FV52" s="584"/>
      <c r="FW52" s="584"/>
      <c r="FX52" s="584"/>
      <c r="FY52" s="584"/>
      <c r="FZ52" s="584"/>
      <c r="GA52" s="584"/>
      <c r="GB52" s="584"/>
      <c r="GC52" s="585"/>
      <c r="GD52" s="628">
        <f>B22</f>
        <v>0</v>
      </c>
      <c r="GE52" s="629"/>
      <c r="GF52" s="629"/>
      <c r="GG52" s="629"/>
      <c r="GH52" s="629"/>
      <c r="GI52" s="629"/>
      <c r="GJ52" s="629"/>
      <c r="GK52" s="629"/>
      <c r="GL52" s="629"/>
      <c r="GM52" s="629"/>
      <c r="GN52" s="629"/>
      <c r="GO52" s="629"/>
      <c r="GP52" s="629"/>
      <c r="GQ52" s="629"/>
      <c r="GR52" s="629"/>
      <c r="GS52" s="629"/>
      <c r="GT52" s="629"/>
      <c r="GU52" s="629"/>
      <c r="GV52" s="629"/>
      <c r="GW52" s="630"/>
      <c r="GX52" s="583">
        <f>B23</f>
        <v>0</v>
      </c>
      <c r="GY52" s="584"/>
      <c r="GZ52" s="584"/>
      <c r="HA52" s="584"/>
      <c r="HB52" s="584"/>
      <c r="HC52" s="584"/>
      <c r="HD52" s="584"/>
      <c r="HE52" s="584"/>
      <c r="HF52" s="584"/>
      <c r="HG52" s="584"/>
      <c r="HH52" s="584"/>
      <c r="HI52" s="584"/>
      <c r="HJ52" s="584"/>
      <c r="HK52" s="584"/>
      <c r="HL52" s="584"/>
      <c r="HM52" s="584"/>
      <c r="HN52" s="584"/>
      <c r="HO52" s="584"/>
      <c r="HP52" s="584"/>
      <c r="HQ52" s="585"/>
      <c r="HR52" s="579">
        <f>B24</f>
        <v>0</v>
      </c>
      <c r="HS52" s="580"/>
      <c r="HT52" s="580"/>
      <c r="HU52" s="580"/>
      <c r="HV52" s="580"/>
      <c r="HW52" s="580"/>
      <c r="HX52" s="580"/>
      <c r="HY52" s="580"/>
      <c r="HZ52" s="580"/>
      <c r="IA52" s="580"/>
      <c r="IB52" s="580"/>
      <c r="IC52" s="580"/>
      <c r="ID52" s="580"/>
      <c r="IE52" s="580"/>
      <c r="IF52" s="580"/>
      <c r="IG52" s="580"/>
      <c r="IH52" s="580"/>
      <c r="II52" s="580"/>
      <c r="IJ52" s="580"/>
      <c r="IK52" s="581"/>
      <c r="IL52" s="583">
        <f>B25</f>
        <v>0</v>
      </c>
      <c r="IM52" s="584"/>
      <c r="IN52" s="584"/>
      <c r="IO52" s="584"/>
      <c r="IP52" s="584"/>
      <c r="IQ52" s="584"/>
      <c r="IR52" s="584"/>
      <c r="IS52" s="584"/>
      <c r="IT52" s="584"/>
      <c r="IU52" s="584"/>
      <c r="IV52" s="584"/>
      <c r="IW52" s="584"/>
      <c r="IX52" s="584"/>
      <c r="IY52" s="584"/>
      <c r="IZ52" s="584"/>
      <c r="JA52" s="584"/>
      <c r="JB52" s="584"/>
      <c r="JC52" s="584"/>
      <c r="JD52" s="584"/>
      <c r="JE52" s="585"/>
      <c r="JF52" s="590">
        <f>B26</f>
        <v>0</v>
      </c>
      <c r="JG52" s="591"/>
      <c r="JH52" s="591"/>
      <c r="JI52" s="591"/>
      <c r="JJ52" s="591"/>
      <c r="JK52" s="591"/>
      <c r="JL52" s="591"/>
      <c r="JM52" s="591"/>
      <c r="JN52" s="591"/>
      <c r="JO52" s="591"/>
      <c r="JP52" s="591"/>
      <c r="JQ52" s="591"/>
      <c r="JR52" s="591"/>
      <c r="JS52" s="591"/>
      <c r="JT52" s="591"/>
      <c r="JU52" s="591"/>
      <c r="JV52" s="591"/>
      <c r="JW52" s="591"/>
      <c r="JX52" s="591"/>
      <c r="JY52" s="592"/>
      <c r="JZ52" s="583">
        <f>B27</f>
        <v>0</v>
      </c>
      <c r="KA52" s="584"/>
      <c r="KB52" s="584"/>
      <c r="KC52" s="584"/>
      <c r="KD52" s="584"/>
      <c r="KE52" s="584"/>
      <c r="KF52" s="584"/>
      <c r="KG52" s="584"/>
      <c r="KH52" s="584"/>
      <c r="KI52" s="584"/>
      <c r="KJ52" s="584"/>
      <c r="KK52" s="584"/>
      <c r="KL52" s="584"/>
      <c r="KM52" s="584"/>
      <c r="KN52" s="584"/>
      <c r="KO52" s="584"/>
      <c r="KP52" s="584"/>
      <c r="KQ52" s="584"/>
      <c r="KR52" s="584"/>
      <c r="KS52" s="585"/>
      <c r="KT52" s="579">
        <f>B28</f>
        <v>0</v>
      </c>
      <c r="KU52" s="580"/>
      <c r="KV52" s="580"/>
      <c r="KW52" s="580"/>
      <c r="KX52" s="580"/>
      <c r="KY52" s="580"/>
      <c r="KZ52" s="580"/>
      <c r="LA52" s="580"/>
      <c r="LB52" s="580"/>
      <c r="LC52" s="580"/>
      <c r="LD52" s="580"/>
      <c r="LE52" s="580"/>
      <c r="LF52" s="580"/>
      <c r="LG52" s="580"/>
      <c r="LH52" s="580"/>
      <c r="LI52" s="580"/>
      <c r="LJ52" s="580"/>
      <c r="LK52" s="580"/>
      <c r="LL52" s="580"/>
      <c r="LM52" s="581"/>
      <c r="LN52" s="583">
        <f>B29</f>
        <v>0</v>
      </c>
      <c r="LO52" s="584"/>
      <c r="LP52" s="584"/>
      <c r="LQ52" s="584"/>
      <c r="LR52" s="584"/>
      <c r="LS52" s="584"/>
      <c r="LT52" s="584"/>
      <c r="LU52" s="584"/>
      <c r="LV52" s="584"/>
      <c r="LW52" s="584"/>
      <c r="LX52" s="584"/>
      <c r="LY52" s="584"/>
      <c r="LZ52" s="584"/>
      <c r="MA52" s="584"/>
      <c r="MB52" s="584"/>
      <c r="MC52" s="584"/>
      <c r="MD52" s="584"/>
      <c r="ME52" s="584"/>
      <c r="MF52" s="584"/>
      <c r="MG52" s="585"/>
      <c r="MH52" s="579">
        <f>B30</f>
        <v>0</v>
      </c>
      <c r="MI52" s="580"/>
      <c r="MJ52" s="580"/>
      <c r="MK52" s="580"/>
      <c r="ML52" s="580"/>
      <c r="MM52" s="580"/>
      <c r="MN52" s="580"/>
      <c r="MO52" s="580"/>
      <c r="MP52" s="580"/>
      <c r="MQ52" s="580"/>
      <c r="MR52" s="580"/>
      <c r="MS52" s="580"/>
      <c r="MT52" s="580"/>
      <c r="MU52" s="580"/>
      <c r="MV52" s="580"/>
      <c r="MW52" s="580"/>
      <c r="MX52" s="580"/>
      <c r="MY52" s="580"/>
      <c r="MZ52" s="580"/>
      <c r="NA52" s="581"/>
      <c r="NB52" s="583">
        <f>B31</f>
        <v>0</v>
      </c>
      <c r="NC52" s="584"/>
      <c r="ND52" s="584"/>
      <c r="NE52" s="584"/>
      <c r="NF52" s="584"/>
      <c r="NG52" s="584"/>
      <c r="NH52" s="584"/>
      <c r="NI52" s="584"/>
      <c r="NJ52" s="584"/>
      <c r="NK52" s="584"/>
      <c r="NL52" s="584"/>
      <c r="NM52" s="584"/>
      <c r="NN52" s="584"/>
      <c r="NO52" s="584"/>
      <c r="NP52" s="584"/>
      <c r="NQ52" s="584"/>
      <c r="NR52" s="584"/>
      <c r="NS52" s="584"/>
      <c r="NT52" s="584"/>
      <c r="NU52" s="585"/>
      <c r="NV52" s="579">
        <f>B32</f>
        <v>0</v>
      </c>
      <c r="NW52" s="580"/>
      <c r="NX52" s="580"/>
      <c r="NY52" s="580"/>
      <c r="NZ52" s="580"/>
      <c r="OA52" s="580"/>
      <c r="OB52" s="580"/>
      <c r="OC52" s="580"/>
      <c r="OD52" s="580"/>
      <c r="OE52" s="580"/>
      <c r="OF52" s="580"/>
      <c r="OG52" s="580"/>
      <c r="OH52" s="580"/>
      <c r="OI52" s="580"/>
      <c r="OJ52" s="580"/>
      <c r="OK52" s="580"/>
      <c r="OL52" s="580"/>
      <c r="OM52" s="580"/>
      <c r="ON52" s="580"/>
      <c r="OO52" s="580"/>
      <c r="OP52" s="549" t="s">
        <v>872</v>
      </c>
      <c r="OQ52" s="549"/>
      <c r="OR52" s="549"/>
      <c r="OS52" s="549"/>
      <c r="OT52" s="549"/>
    </row>
    <row r="53" spans="3:410" ht="15.75" x14ac:dyDescent="0.25">
      <c r="F53" s="350"/>
      <c r="G53" s="350"/>
      <c r="H53" s="350"/>
      <c r="I53" s="350"/>
      <c r="J53" s="350"/>
      <c r="K53" s="350"/>
      <c r="L53" s="350"/>
      <c r="M53" s="350"/>
      <c r="N53" s="350"/>
      <c r="O53" s="350"/>
      <c r="P53" s="582" t="s">
        <v>443</v>
      </c>
      <c r="Q53" s="603"/>
      <c r="R53" s="603"/>
      <c r="S53" s="603"/>
      <c r="T53" s="603"/>
      <c r="U53" s="597" t="s">
        <v>444</v>
      </c>
      <c r="V53" s="597"/>
      <c r="W53" s="597"/>
      <c r="X53" s="597"/>
      <c r="Y53" s="597"/>
      <c r="Z53" s="351"/>
      <c r="AA53" s="351"/>
      <c r="AB53" s="351"/>
      <c r="AC53" s="351"/>
      <c r="AD53" s="351"/>
      <c r="AE53" s="351"/>
      <c r="AF53" s="351"/>
      <c r="AG53" s="351"/>
      <c r="AH53" s="351"/>
      <c r="AI53" s="351"/>
      <c r="AJ53" s="576" t="s">
        <v>443</v>
      </c>
      <c r="AK53" s="576"/>
      <c r="AL53" s="576"/>
      <c r="AM53" s="576"/>
      <c r="AN53" s="576"/>
      <c r="AO53" s="577" t="s">
        <v>444</v>
      </c>
      <c r="AP53" s="598"/>
      <c r="AQ53" s="598"/>
      <c r="AR53" s="598"/>
      <c r="AS53" s="599"/>
      <c r="AT53" s="352"/>
      <c r="AU53" s="352"/>
      <c r="AV53" s="352"/>
      <c r="AW53" s="352"/>
      <c r="AX53" s="352"/>
      <c r="AY53" s="352"/>
      <c r="AZ53" s="352"/>
      <c r="BA53" s="352"/>
      <c r="BB53" s="352"/>
      <c r="BC53" s="352"/>
      <c r="BD53" s="582" t="s">
        <v>443</v>
      </c>
      <c r="BE53" s="582"/>
      <c r="BF53" s="582"/>
      <c r="BG53" s="582"/>
      <c r="BH53" s="582"/>
      <c r="BI53" s="582" t="s">
        <v>444</v>
      </c>
      <c r="BJ53" s="582"/>
      <c r="BK53" s="582"/>
      <c r="BL53" s="582"/>
      <c r="BM53" s="582"/>
      <c r="BN53" s="353"/>
      <c r="BO53" s="353"/>
      <c r="BP53" s="353"/>
      <c r="BQ53" s="353"/>
      <c r="BR53" s="353"/>
      <c r="BS53" s="353"/>
      <c r="BT53" s="353"/>
      <c r="BU53" s="353"/>
      <c r="BV53" s="353"/>
      <c r="BW53" s="353"/>
      <c r="BX53" s="586" t="s">
        <v>443</v>
      </c>
      <c r="BY53" s="586"/>
      <c r="BZ53" s="586"/>
      <c r="CA53" s="586"/>
      <c r="CB53" s="586"/>
      <c r="CC53" s="586" t="s">
        <v>444</v>
      </c>
      <c r="CD53" s="586"/>
      <c r="CE53" s="586"/>
      <c r="CF53" s="586"/>
      <c r="CG53" s="586"/>
      <c r="CH53" s="352"/>
      <c r="CI53" s="352"/>
      <c r="CJ53" s="352"/>
      <c r="CK53" s="352"/>
      <c r="CL53" s="352"/>
      <c r="CM53" s="352"/>
      <c r="CN53" s="352"/>
      <c r="CO53" s="352"/>
      <c r="CP53" s="352"/>
      <c r="CQ53" s="352"/>
      <c r="CR53" s="582" t="s">
        <v>443</v>
      </c>
      <c r="CS53" s="582"/>
      <c r="CT53" s="582"/>
      <c r="CU53" s="582"/>
      <c r="CV53" s="582"/>
      <c r="CW53" s="582" t="s">
        <v>444</v>
      </c>
      <c r="CX53" s="582"/>
      <c r="CY53" s="582"/>
      <c r="CZ53" s="582"/>
      <c r="DA53" s="582"/>
      <c r="DB53" s="354"/>
      <c r="DC53" s="354"/>
      <c r="DD53" s="354"/>
      <c r="DE53" s="354"/>
      <c r="DF53" s="354"/>
      <c r="DG53" s="354"/>
      <c r="DH53" s="354"/>
      <c r="DI53" s="354"/>
      <c r="DJ53" s="354"/>
      <c r="DK53" s="354"/>
      <c r="DL53" s="576" t="s">
        <v>443</v>
      </c>
      <c r="DM53" s="576"/>
      <c r="DN53" s="576"/>
      <c r="DO53" s="576"/>
      <c r="DP53" s="576"/>
      <c r="DQ53" s="607" t="s">
        <v>444</v>
      </c>
      <c r="DR53" s="607"/>
      <c r="DS53" s="607"/>
      <c r="DT53" s="607"/>
      <c r="DU53" s="607"/>
      <c r="DV53" s="352"/>
      <c r="DW53" s="352"/>
      <c r="DX53" s="352"/>
      <c r="DY53" s="352"/>
      <c r="DZ53" s="352"/>
      <c r="EA53" s="352"/>
      <c r="EB53" s="352"/>
      <c r="EC53" s="352"/>
      <c r="ED53" s="352"/>
      <c r="EE53" s="352"/>
      <c r="EF53" s="582" t="s">
        <v>443</v>
      </c>
      <c r="EG53" s="582"/>
      <c r="EH53" s="582"/>
      <c r="EI53" s="582"/>
      <c r="EJ53" s="582"/>
      <c r="EK53" s="582" t="s">
        <v>444</v>
      </c>
      <c r="EL53" s="582"/>
      <c r="EM53" s="582"/>
      <c r="EN53" s="582"/>
      <c r="EO53" s="582"/>
      <c r="EP53" s="354"/>
      <c r="EQ53" s="354"/>
      <c r="ER53" s="354"/>
      <c r="ES53" s="354"/>
      <c r="ET53" s="354"/>
      <c r="EU53" s="354"/>
      <c r="EV53" s="354"/>
      <c r="EW53" s="354"/>
      <c r="EX53" s="354"/>
      <c r="EY53" s="354"/>
      <c r="EZ53" s="576" t="s">
        <v>443</v>
      </c>
      <c r="FA53" s="576"/>
      <c r="FB53" s="576"/>
      <c r="FC53" s="576"/>
      <c r="FD53" s="576"/>
      <c r="FE53" s="576" t="s">
        <v>444</v>
      </c>
      <c r="FF53" s="576"/>
      <c r="FG53" s="576"/>
      <c r="FH53" s="576"/>
      <c r="FI53" s="576"/>
      <c r="FJ53" s="352"/>
      <c r="FK53" s="352"/>
      <c r="FL53" s="352"/>
      <c r="FM53" s="352"/>
      <c r="FN53" s="352"/>
      <c r="FO53" s="352"/>
      <c r="FP53" s="352"/>
      <c r="FQ53" s="352"/>
      <c r="FR53" s="352"/>
      <c r="FS53" s="352"/>
      <c r="FT53" s="582" t="s">
        <v>560</v>
      </c>
      <c r="FU53" s="582"/>
      <c r="FV53" s="582"/>
      <c r="FW53" s="582"/>
      <c r="FX53" s="582"/>
      <c r="FY53" s="582" t="s">
        <v>444</v>
      </c>
      <c r="FZ53" s="582"/>
      <c r="GA53" s="582"/>
      <c r="GB53" s="582"/>
      <c r="GC53" s="582"/>
      <c r="GD53" s="355"/>
      <c r="GE53" s="355"/>
      <c r="GF53" s="355"/>
      <c r="GG53" s="355"/>
      <c r="GH53" s="355"/>
      <c r="GI53" s="355"/>
      <c r="GJ53" s="355"/>
      <c r="GK53" s="355"/>
      <c r="GL53" s="355"/>
      <c r="GM53" s="355"/>
      <c r="GN53" s="627" t="s">
        <v>443</v>
      </c>
      <c r="GO53" s="627"/>
      <c r="GP53" s="627"/>
      <c r="GQ53" s="627"/>
      <c r="GR53" s="627"/>
      <c r="GS53" s="627" t="s">
        <v>444</v>
      </c>
      <c r="GT53" s="627"/>
      <c r="GU53" s="627"/>
      <c r="GV53" s="627"/>
      <c r="GW53" s="627"/>
      <c r="GX53" s="352"/>
      <c r="GY53" s="352"/>
      <c r="GZ53" s="352"/>
      <c r="HA53" s="352"/>
      <c r="HB53" s="352"/>
      <c r="HC53" s="352"/>
      <c r="HD53" s="352"/>
      <c r="HE53" s="352"/>
      <c r="HF53" s="352"/>
      <c r="HG53" s="352"/>
      <c r="HH53" s="582" t="s">
        <v>443</v>
      </c>
      <c r="HI53" s="582"/>
      <c r="HJ53" s="582"/>
      <c r="HK53" s="582"/>
      <c r="HL53" s="582"/>
      <c r="HM53" s="582" t="s">
        <v>444</v>
      </c>
      <c r="HN53" s="582"/>
      <c r="HO53" s="582"/>
      <c r="HP53" s="582"/>
      <c r="HQ53" s="582"/>
      <c r="HR53" s="354"/>
      <c r="HS53" s="354"/>
      <c r="HT53" s="354"/>
      <c r="HU53" s="354"/>
      <c r="HV53" s="354"/>
      <c r="HW53" s="354"/>
      <c r="HX53" s="354"/>
      <c r="HY53" s="354"/>
      <c r="HZ53" s="354"/>
      <c r="IA53" s="354"/>
      <c r="IB53" s="576" t="s">
        <v>443</v>
      </c>
      <c r="IC53" s="576"/>
      <c r="ID53" s="576"/>
      <c r="IE53" s="576"/>
      <c r="IF53" s="576"/>
      <c r="IG53" s="576" t="s">
        <v>444</v>
      </c>
      <c r="IH53" s="576"/>
      <c r="II53" s="576"/>
      <c r="IJ53" s="576"/>
      <c r="IK53" s="576"/>
      <c r="IL53" s="352"/>
      <c r="IM53" s="352"/>
      <c r="IN53" s="352"/>
      <c r="IO53" s="352"/>
      <c r="IP53" s="352"/>
      <c r="IQ53" s="352"/>
      <c r="IR53" s="352"/>
      <c r="IS53" s="352"/>
      <c r="IT53" s="352"/>
      <c r="IU53" s="352"/>
      <c r="IV53" s="582" t="s">
        <v>443</v>
      </c>
      <c r="IW53" s="582"/>
      <c r="IX53" s="582"/>
      <c r="IY53" s="582"/>
      <c r="IZ53" s="582"/>
      <c r="JA53" s="582" t="s">
        <v>444</v>
      </c>
      <c r="JB53" s="582"/>
      <c r="JC53" s="582"/>
      <c r="JD53" s="582"/>
      <c r="JE53" s="582"/>
      <c r="JF53" s="353"/>
      <c r="JG53" s="353"/>
      <c r="JH53" s="353"/>
      <c r="JI53" s="353"/>
      <c r="JJ53" s="353"/>
      <c r="JK53" s="353"/>
      <c r="JL53" s="353"/>
      <c r="JM53" s="353"/>
      <c r="JN53" s="353"/>
      <c r="JO53" s="353"/>
      <c r="JP53" s="586" t="s">
        <v>443</v>
      </c>
      <c r="JQ53" s="586"/>
      <c r="JR53" s="586"/>
      <c r="JS53" s="586"/>
      <c r="JT53" s="586"/>
      <c r="JU53" s="587" t="s">
        <v>444</v>
      </c>
      <c r="JV53" s="588"/>
      <c r="JW53" s="588"/>
      <c r="JX53" s="588"/>
      <c r="JY53" s="589"/>
      <c r="JZ53" s="352"/>
      <c r="KA53" s="352"/>
      <c r="KB53" s="352"/>
      <c r="KC53" s="352"/>
      <c r="KD53" s="352"/>
      <c r="KE53" s="352"/>
      <c r="KF53" s="352"/>
      <c r="KG53" s="352"/>
      <c r="KH53" s="352"/>
      <c r="KI53" s="352"/>
      <c r="KJ53" s="582" t="s">
        <v>443</v>
      </c>
      <c r="KK53" s="582"/>
      <c r="KL53" s="582"/>
      <c r="KM53" s="582"/>
      <c r="KN53" s="582"/>
      <c r="KO53" s="582" t="s">
        <v>444</v>
      </c>
      <c r="KP53" s="582"/>
      <c r="KQ53" s="582"/>
      <c r="KR53" s="582"/>
      <c r="KS53" s="582"/>
      <c r="KT53" s="354"/>
      <c r="KU53" s="354"/>
      <c r="KV53" s="354"/>
      <c r="KW53" s="354"/>
      <c r="KX53" s="354"/>
      <c r="KY53" s="354"/>
      <c r="KZ53" s="354"/>
      <c r="LA53" s="354"/>
      <c r="LB53" s="354"/>
      <c r="LC53" s="354"/>
      <c r="LD53" s="576" t="s">
        <v>443</v>
      </c>
      <c r="LE53" s="576"/>
      <c r="LF53" s="576"/>
      <c r="LG53" s="576"/>
      <c r="LH53" s="576"/>
      <c r="LI53" s="577" t="s">
        <v>444</v>
      </c>
      <c r="LJ53" s="578"/>
      <c r="LK53" s="578"/>
      <c r="LL53" s="578"/>
      <c r="LM53" s="578"/>
      <c r="LN53" s="356"/>
      <c r="LO53" s="352"/>
      <c r="LP53" s="352"/>
      <c r="LQ53" s="352"/>
      <c r="LR53" s="352"/>
      <c r="LS53" s="352"/>
      <c r="LT53" s="352"/>
      <c r="LU53" s="352"/>
      <c r="LV53" s="352"/>
      <c r="LW53" s="352"/>
      <c r="LX53" s="582" t="s">
        <v>443</v>
      </c>
      <c r="LY53" s="582"/>
      <c r="LZ53" s="582"/>
      <c r="MA53" s="582"/>
      <c r="MB53" s="582"/>
      <c r="MC53" s="582" t="s">
        <v>626</v>
      </c>
      <c r="MD53" s="582"/>
      <c r="ME53" s="582"/>
      <c r="MF53" s="582"/>
      <c r="MG53" s="582"/>
      <c r="MH53" s="354"/>
      <c r="MI53" s="354"/>
      <c r="MJ53" s="354"/>
      <c r="MK53" s="354"/>
      <c r="ML53" s="354"/>
      <c r="MM53" s="354"/>
      <c r="MN53" s="354"/>
      <c r="MO53" s="354"/>
      <c r="MP53" s="354"/>
      <c r="MQ53" s="354"/>
      <c r="MR53" s="576" t="s">
        <v>443</v>
      </c>
      <c r="MS53" s="576"/>
      <c r="MT53" s="576"/>
      <c r="MU53" s="576"/>
      <c r="MV53" s="576"/>
      <c r="MW53" s="576" t="s">
        <v>444</v>
      </c>
      <c r="MX53" s="576"/>
      <c r="MY53" s="576"/>
      <c r="MZ53" s="576"/>
      <c r="NA53" s="576"/>
      <c r="NB53" s="352"/>
      <c r="NC53" s="352"/>
      <c r="ND53" s="352"/>
      <c r="NE53" s="352"/>
      <c r="NF53" s="352"/>
      <c r="NG53" s="352"/>
      <c r="NH53" s="352"/>
      <c r="NI53" s="352"/>
      <c r="NJ53" s="352"/>
      <c r="NK53" s="352"/>
      <c r="NL53" s="582" t="s">
        <v>443</v>
      </c>
      <c r="NM53" s="582"/>
      <c r="NN53" s="582"/>
      <c r="NO53" s="582"/>
      <c r="NP53" s="582"/>
      <c r="NQ53" s="582" t="s">
        <v>626</v>
      </c>
      <c r="NR53" s="582"/>
      <c r="NS53" s="582"/>
      <c r="NT53" s="582"/>
      <c r="NU53" s="582"/>
      <c r="NV53" s="354"/>
      <c r="NW53" s="354"/>
      <c r="NX53" s="354"/>
      <c r="NY53" s="354"/>
      <c r="NZ53" s="354"/>
      <c r="OA53" s="354"/>
      <c r="OB53" s="354"/>
      <c r="OC53" s="354"/>
      <c r="OD53" s="354"/>
      <c r="OE53" s="354"/>
      <c r="OF53" s="576" t="s">
        <v>443</v>
      </c>
      <c r="OG53" s="576"/>
      <c r="OH53" s="576"/>
      <c r="OI53" s="576"/>
      <c r="OJ53" s="576"/>
      <c r="OK53" s="576" t="s">
        <v>444</v>
      </c>
      <c r="OL53" s="576"/>
      <c r="OM53" s="576"/>
      <c r="ON53" s="576"/>
      <c r="OO53" s="577"/>
      <c r="OP53" s="549"/>
      <c r="OQ53" s="549"/>
      <c r="OR53" s="549"/>
      <c r="OS53" s="549"/>
      <c r="OT53" s="549"/>
    </row>
    <row r="54" spans="3:410" ht="45" customHeight="1" x14ac:dyDescent="0.25">
      <c r="C54" s="344" t="s">
        <v>437</v>
      </c>
      <c r="D54" s="344" t="s">
        <v>438</v>
      </c>
      <c r="E54" s="71" t="s">
        <v>442</v>
      </c>
      <c r="F54" s="357" t="s">
        <v>450</v>
      </c>
      <c r="G54" s="422" t="s">
        <v>893</v>
      </c>
      <c r="H54" s="330" t="s">
        <v>451</v>
      </c>
      <c r="I54" s="422" t="s">
        <v>894</v>
      </c>
      <c r="J54" s="330" t="s">
        <v>452</v>
      </c>
      <c r="K54" s="422" t="s">
        <v>895</v>
      </c>
      <c r="L54" s="330" t="s">
        <v>453</v>
      </c>
      <c r="M54" s="422" t="s">
        <v>896</v>
      </c>
      <c r="N54" s="330" t="s">
        <v>454</v>
      </c>
      <c r="O54" s="422" t="s">
        <v>897</v>
      </c>
      <c r="P54" s="422" t="s">
        <v>449</v>
      </c>
      <c r="Q54" s="422" t="s">
        <v>898</v>
      </c>
      <c r="R54" s="422" t="s">
        <v>899</v>
      </c>
      <c r="S54" s="422" t="s">
        <v>900</v>
      </c>
      <c r="T54" s="422" t="s">
        <v>901</v>
      </c>
      <c r="U54" s="424" t="s">
        <v>48</v>
      </c>
      <c r="V54" s="424" t="s">
        <v>49</v>
      </c>
      <c r="W54" s="424" t="s">
        <v>445</v>
      </c>
      <c r="X54" s="424" t="s">
        <v>446</v>
      </c>
      <c r="Y54" s="424" t="s">
        <v>447</v>
      </c>
      <c r="Z54" s="358" t="s">
        <v>457</v>
      </c>
      <c r="AA54" s="425" t="s">
        <v>902</v>
      </c>
      <c r="AB54" s="358" t="s">
        <v>458</v>
      </c>
      <c r="AC54" s="425" t="s">
        <v>906</v>
      </c>
      <c r="AD54" s="358" t="s">
        <v>459</v>
      </c>
      <c r="AE54" s="425" t="s">
        <v>905</v>
      </c>
      <c r="AF54" s="358" t="s">
        <v>460</v>
      </c>
      <c r="AG54" s="425" t="s">
        <v>904</v>
      </c>
      <c r="AH54" s="358" t="s">
        <v>461</v>
      </c>
      <c r="AI54" s="425" t="s">
        <v>903</v>
      </c>
      <c r="AJ54" s="425" t="s">
        <v>448</v>
      </c>
      <c r="AK54" s="425" t="s">
        <v>907</v>
      </c>
      <c r="AL54" s="425" t="s">
        <v>908</v>
      </c>
      <c r="AM54" s="425" t="s">
        <v>909</v>
      </c>
      <c r="AN54" s="425" t="s">
        <v>910</v>
      </c>
      <c r="AO54" s="426" t="s">
        <v>911</v>
      </c>
      <c r="AP54" s="426" t="s">
        <v>912</v>
      </c>
      <c r="AQ54" s="426" t="s">
        <v>913</v>
      </c>
      <c r="AR54" s="426" t="s">
        <v>914</v>
      </c>
      <c r="AS54" s="426" t="s">
        <v>915</v>
      </c>
      <c r="AT54" s="357" t="s">
        <v>466</v>
      </c>
      <c r="AU54" s="422" t="s">
        <v>916</v>
      </c>
      <c r="AV54" s="357" t="s">
        <v>468</v>
      </c>
      <c r="AW54" s="422" t="s">
        <v>917</v>
      </c>
      <c r="AX54" s="357" t="s">
        <v>469</v>
      </c>
      <c r="AY54" s="422" t="s">
        <v>918</v>
      </c>
      <c r="AZ54" s="357" t="s">
        <v>471</v>
      </c>
      <c r="BA54" s="422" t="s">
        <v>919</v>
      </c>
      <c r="BB54" s="357" t="s">
        <v>473</v>
      </c>
      <c r="BC54" s="422" t="s">
        <v>920</v>
      </c>
      <c r="BD54" s="422" t="s">
        <v>455</v>
      </c>
      <c r="BE54" s="422" t="s">
        <v>921</v>
      </c>
      <c r="BF54" s="422" t="s">
        <v>922</v>
      </c>
      <c r="BG54" s="422" t="s">
        <v>923</v>
      </c>
      <c r="BH54" s="422" t="s">
        <v>924</v>
      </c>
      <c r="BI54" s="422" t="s">
        <v>925</v>
      </c>
      <c r="BJ54" s="422" t="s">
        <v>926</v>
      </c>
      <c r="BK54" s="422" t="s">
        <v>927</v>
      </c>
      <c r="BL54" s="422" t="s">
        <v>928</v>
      </c>
      <c r="BM54" s="422" t="s">
        <v>929</v>
      </c>
      <c r="BN54" s="358" t="s">
        <v>477</v>
      </c>
      <c r="BO54" s="425" t="s">
        <v>930</v>
      </c>
      <c r="BP54" s="358" t="s">
        <v>478</v>
      </c>
      <c r="BQ54" s="425" t="s">
        <v>931</v>
      </c>
      <c r="BR54" s="358" t="s">
        <v>480</v>
      </c>
      <c r="BS54" s="425" t="s">
        <v>932</v>
      </c>
      <c r="BT54" s="358" t="s">
        <v>481</v>
      </c>
      <c r="BU54" s="425" t="s">
        <v>933</v>
      </c>
      <c r="BV54" s="358" t="s">
        <v>483</v>
      </c>
      <c r="BW54" s="425" t="s">
        <v>934</v>
      </c>
      <c r="BX54" s="425" t="s">
        <v>456</v>
      </c>
      <c r="BY54" s="425" t="s">
        <v>935</v>
      </c>
      <c r="BZ54" s="425" t="s">
        <v>936</v>
      </c>
      <c r="CA54" s="425" t="s">
        <v>937</v>
      </c>
      <c r="CB54" s="425" t="s">
        <v>938</v>
      </c>
      <c r="CC54" s="425" t="s">
        <v>939</v>
      </c>
      <c r="CD54" s="425" t="s">
        <v>940</v>
      </c>
      <c r="CE54" s="425" t="s">
        <v>941</v>
      </c>
      <c r="CF54" s="425" t="s">
        <v>942</v>
      </c>
      <c r="CG54" s="425" t="s">
        <v>943</v>
      </c>
      <c r="CH54" s="357" t="s">
        <v>709</v>
      </c>
      <c r="CI54" s="422" t="s">
        <v>944</v>
      </c>
      <c r="CJ54" s="357" t="s">
        <v>493</v>
      </c>
      <c r="CK54" s="422" t="s">
        <v>945</v>
      </c>
      <c r="CL54" s="357" t="s">
        <v>495</v>
      </c>
      <c r="CM54" s="422" t="s">
        <v>946</v>
      </c>
      <c r="CN54" s="357" t="s">
        <v>496</v>
      </c>
      <c r="CO54" s="422" t="s">
        <v>947</v>
      </c>
      <c r="CP54" s="357" t="s">
        <v>497</v>
      </c>
      <c r="CQ54" s="422" t="s">
        <v>948</v>
      </c>
      <c r="CR54" s="422" t="s">
        <v>491</v>
      </c>
      <c r="CS54" s="422" t="s">
        <v>949</v>
      </c>
      <c r="CT54" s="422" t="s">
        <v>950</v>
      </c>
      <c r="CU54" s="422" t="s">
        <v>951</v>
      </c>
      <c r="CV54" s="422" t="s">
        <v>952</v>
      </c>
      <c r="CW54" s="422" t="s">
        <v>953</v>
      </c>
      <c r="CX54" s="422" t="s">
        <v>954</v>
      </c>
      <c r="CY54" s="422" t="s">
        <v>955</v>
      </c>
      <c r="CZ54" s="422" t="s">
        <v>956</v>
      </c>
      <c r="DA54" s="422" t="s">
        <v>957</v>
      </c>
      <c r="DB54" s="358" t="s">
        <v>507</v>
      </c>
      <c r="DC54" s="425" t="s">
        <v>958</v>
      </c>
      <c r="DD54" s="358" t="s">
        <v>509</v>
      </c>
      <c r="DE54" s="425" t="s">
        <v>959</v>
      </c>
      <c r="DF54" s="358" t="s">
        <v>510</v>
      </c>
      <c r="DG54" s="425" t="s">
        <v>960</v>
      </c>
      <c r="DH54" s="358" t="s">
        <v>511</v>
      </c>
      <c r="DI54" s="425" t="s">
        <v>961</v>
      </c>
      <c r="DJ54" s="358" t="s">
        <v>513</v>
      </c>
      <c r="DK54" s="425" t="s">
        <v>962</v>
      </c>
      <c r="DL54" s="425" t="s">
        <v>506</v>
      </c>
      <c r="DM54" s="425" t="s">
        <v>963</v>
      </c>
      <c r="DN54" s="425" t="s">
        <v>964</v>
      </c>
      <c r="DO54" s="425" t="s">
        <v>965</v>
      </c>
      <c r="DP54" s="425" t="s">
        <v>966</v>
      </c>
      <c r="DQ54" s="427" t="s">
        <v>967</v>
      </c>
      <c r="DR54" s="427" t="s">
        <v>968</v>
      </c>
      <c r="DS54" s="427" t="s">
        <v>969</v>
      </c>
      <c r="DT54" s="427" t="s">
        <v>970</v>
      </c>
      <c r="DU54" s="427" t="s">
        <v>971</v>
      </c>
      <c r="DV54" s="357" t="s">
        <v>524</v>
      </c>
      <c r="DW54" s="422" t="s">
        <v>972</v>
      </c>
      <c r="DX54" s="357" t="s">
        <v>526</v>
      </c>
      <c r="DY54" s="422" t="s">
        <v>973</v>
      </c>
      <c r="DZ54" s="357" t="s">
        <v>528</v>
      </c>
      <c r="EA54" s="422" t="s">
        <v>974</v>
      </c>
      <c r="EB54" s="357" t="s">
        <v>529</v>
      </c>
      <c r="EC54" s="422" t="s">
        <v>975</v>
      </c>
      <c r="ED54" s="357" t="s">
        <v>531</v>
      </c>
      <c r="EE54" s="422" t="s">
        <v>976</v>
      </c>
      <c r="EF54" s="422" t="s">
        <v>523</v>
      </c>
      <c r="EG54" s="422" t="s">
        <v>977</v>
      </c>
      <c r="EH54" s="422" t="s">
        <v>978</v>
      </c>
      <c r="EI54" s="422" t="s">
        <v>979</v>
      </c>
      <c r="EJ54" s="422" t="s">
        <v>980</v>
      </c>
      <c r="EK54" s="422" t="s">
        <v>981</v>
      </c>
      <c r="EL54" s="422" t="s">
        <v>982</v>
      </c>
      <c r="EM54" s="422" t="s">
        <v>983</v>
      </c>
      <c r="EN54" s="422" t="s">
        <v>984</v>
      </c>
      <c r="EO54" s="422" t="s">
        <v>985</v>
      </c>
      <c r="EP54" s="358" t="s">
        <v>542</v>
      </c>
      <c r="EQ54" s="425" t="s">
        <v>986</v>
      </c>
      <c r="ER54" s="358" t="s">
        <v>544</v>
      </c>
      <c r="ES54" s="425" t="s">
        <v>987</v>
      </c>
      <c r="ET54" s="358" t="s">
        <v>546</v>
      </c>
      <c r="EU54" s="425" t="s">
        <v>988</v>
      </c>
      <c r="EV54" s="358" t="s">
        <v>548</v>
      </c>
      <c r="EW54" s="425" t="s">
        <v>989</v>
      </c>
      <c r="EX54" s="358" t="s">
        <v>550</v>
      </c>
      <c r="EY54" s="425" t="s">
        <v>990</v>
      </c>
      <c r="EZ54" s="425" t="s">
        <v>541</v>
      </c>
      <c r="FA54" s="425" t="s">
        <v>991</v>
      </c>
      <c r="FB54" s="425" t="s">
        <v>992</v>
      </c>
      <c r="FC54" s="425" t="s">
        <v>993</v>
      </c>
      <c r="FD54" s="425" t="s">
        <v>994</v>
      </c>
      <c r="FE54" s="425" t="s">
        <v>995</v>
      </c>
      <c r="FF54" s="425" t="s">
        <v>996</v>
      </c>
      <c r="FG54" s="425" t="s">
        <v>997</v>
      </c>
      <c r="FH54" s="425" t="s">
        <v>998</v>
      </c>
      <c r="FI54" s="425" t="s">
        <v>999</v>
      </c>
      <c r="FJ54" s="357" t="s">
        <v>561</v>
      </c>
      <c r="FK54" s="422" t="s">
        <v>1000</v>
      </c>
      <c r="FL54" s="357" t="s">
        <v>563</v>
      </c>
      <c r="FM54" s="422" t="s">
        <v>1001</v>
      </c>
      <c r="FN54" s="357" t="s">
        <v>564</v>
      </c>
      <c r="FO54" s="422" t="s">
        <v>1002</v>
      </c>
      <c r="FP54" s="357" t="s">
        <v>566</v>
      </c>
      <c r="FQ54" s="422" t="s">
        <v>1003</v>
      </c>
      <c r="FR54" s="357" t="s">
        <v>567</v>
      </c>
      <c r="FS54" s="422" t="s">
        <v>1004</v>
      </c>
      <c r="FT54" s="422" t="s">
        <v>559</v>
      </c>
      <c r="FU54" s="422" t="s">
        <v>1005</v>
      </c>
      <c r="FV54" s="422" t="s">
        <v>1006</v>
      </c>
      <c r="FW54" s="422" t="s">
        <v>1007</v>
      </c>
      <c r="FX54" s="422" t="s">
        <v>1008</v>
      </c>
      <c r="FY54" s="422" t="s">
        <v>1009</v>
      </c>
      <c r="FZ54" s="422" t="s">
        <v>1010</v>
      </c>
      <c r="GA54" s="422" t="s">
        <v>1011</v>
      </c>
      <c r="GB54" s="422" t="s">
        <v>1012</v>
      </c>
      <c r="GC54" s="422" t="s">
        <v>1013</v>
      </c>
      <c r="GD54" s="358" t="s">
        <v>576</v>
      </c>
      <c r="GE54" s="425" t="s">
        <v>1014</v>
      </c>
      <c r="GF54" s="358" t="s">
        <v>578</v>
      </c>
      <c r="GG54" s="425" t="s">
        <v>1015</v>
      </c>
      <c r="GH54" s="358" t="s">
        <v>580</v>
      </c>
      <c r="GI54" s="425" t="s">
        <v>1016</v>
      </c>
      <c r="GJ54" s="358" t="s">
        <v>581</v>
      </c>
      <c r="GK54" s="425" t="s">
        <v>1017</v>
      </c>
      <c r="GL54" s="358" t="s">
        <v>583</v>
      </c>
      <c r="GM54" s="425" t="s">
        <v>1018</v>
      </c>
      <c r="GN54" s="425" t="s">
        <v>575</v>
      </c>
      <c r="GO54" s="425" t="s">
        <v>1019</v>
      </c>
      <c r="GP54" s="425" t="s">
        <v>1020</v>
      </c>
      <c r="GQ54" s="425" t="s">
        <v>1021</v>
      </c>
      <c r="GR54" s="425" t="s">
        <v>1022</v>
      </c>
      <c r="GS54" s="425" t="s">
        <v>1023</v>
      </c>
      <c r="GT54" s="425" t="s">
        <v>1024</v>
      </c>
      <c r="GU54" s="425" t="s">
        <v>1025</v>
      </c>
      <c r="GV54" s="425" t="s">
        <v>1026</v>
      </c>
      <c r="GW54" s="425" t="s">
        <v>1027</v>
      </c>
      <c r="GX54" s="357" t="s">
        <v>590</v>
      </c>
      <c r="GY54" s="422" t="s">
        <v>1028</v>
      </c>
      <c r="GZ54" s="357" t="s">
        <v>591</v>
      </c>
      <c r="HA54" s="422" t="s">
        <v>1029</v>
      </c>
      <c r="HB54" s="357" t="s">
        <v>592</v>
      </c>
      <c r="HC54" s="422" t="s">
        <v>1030</v>
      </c>
      <c r="HD54" s="357" t="s">
        <v>593</v>
      </c>
      <c r="HE54" s="422" t="s">
        <v>1031</v>
      </c>
      <c r="HF54" s="357" t="s">
        <v>594</v>
      </c>
      <c r="HG54" s="422" t="s">
        <v>1032</v>
      </c>
      <c r="HH54" s="422" t="s">
        <v>589</v>
      </c>
      <c r="HI54" s="422" t="s">
        <v>1033</v>
      </c>
      <c r="HJ54" s="422" t="s">
        <v>1034</v>
      </c>
      <c r="HK54" s="422" t="s">
        <v>1035</v>
      </c>
      <c r="HL54" s="422" t="s">
        <v>1036</v>
      </c>
      <c r="HM54" s="422" t="s">
        <v>1037</v>
      </c>
      <c r="HN54" s="422" t="s">
        <v>1038</v>
      </c>
      <c r="HO54" s="422" t="s">
        <v>1039</v>
      </c>
      <c r="HP54" s="422" t="s">
        <v>1040</v>
      </c>
      <c r="HQ54" s="422" t="s">
        <v>1041</v>
      </c>
      <c r="HR54" s="358" t="s">
        <v>596</v>
      </c>
      <c r="HS54" s="425" t="s">
        <v>1042</v>
      </c>
      <c r="HT54" s="358" t="s">
        <v>597</v>
      </c>
      <c r="HU54" s="425" t="s">
        <v>1043</v>
      </c>
      <c r="HV54" s="358" t="s">
        <v>598</v>
      </c>
      <c r="HW54" s="425" t="s">
        <v>1044</v>
      </c>
      <c r="HX54" s="358" t="s">
        <v>599</v>
      </c>
      <c r="HY54" s="425" t="s">
        <v>1045</v>
      </c>
      <c r="HZ54" s="358" t="s">
        <v>600</v>
      </c>
      <c r="IA54" s="425" t="s">
        <v>1046</v>
      </c>
      <c r="IB54" s="425" t="s">
        <v>595</v>
      </c>
      <c r="IC54" s="425" t="s">
        <v>1047</v>
      </c>
      <c r="ID54" s="425" t="s">
        <v>1048</v>
      </c>
      <c r="IE54" s="425" t="s">
        <v>1049</v>
      </c>
      <c r="IF54" s="425" t="s">
        <v>1050</v>
      </c>
      <c r="IG54" s="425" t="s">
        <v>1051</v>
      </c>
      <c r="IH54" s="425" t="s">
        <v>1052</v>
      </c>
      <c r="II54" s="425" t="s">
        <v>1053</v>
      </c>
      <c r="IJ54" s="425" t="s">
        <v>1054</v>
      </c>
      <c r="IK54" s="425" t="s">
        <v>1055</v>
      </c>
      <c r="IL54" s="357" t="s">
        <v>602</v>
      </c>
      <c r="IM54" s="423" t="s">
        <v>1056</v>
      </c>
      <c r="IN54" s="357" t="s">
        <v>603</v>
      </c>
      <c r="IO54" s="422" t="s">
        <v>1057</v>
      </c>
      <c r="IP54" s="357" t="s">
        <v>604</v>
      </c>
      <c r="IQ54" s="422" t="s">
        <v>1058</v>
      </c>
      <c r="IR54" s="357" t="s">
        <v>605</v>
      </c>
      <c r="IS54" s="422" t="s">
        <v>1059</v>
      </c>
      <c r="IT54" s="357" t="s">
        <v>606</v>
      </c>
      <c r="IU54" s="422" t="s">
        <v>1060</v>
      </c>
      <c r="IV54" s="422" t="s">
        <v>601</v>
      </c>
      <c r="IW54" s="422" t="s">
        <v>1061</v>
      </c>
      <c r="IX54" s="422" t="s">
        <v>1062</v>
      </c>
      <c r="IY54" s="422" t="s">
        <v>1063</v>
      </c>
      <c r="IZ54" s="422" t="s">
        <v>1064</v>
      </c>
      <c r="JA54" s="422" t="s">
        <v>1065</v>
      </c>
      <c r="JB54" s="422" t="s">
        <v>1066</v>
      </c>
      <c r="JC54" s="422" t="s">
        <v>1067</v>
      </c>
      <c r="JD54" s="422" t="s">
        <v>1068</v>
      </c>
      <c r="JE54" s="422" t="s">
        <v>1069</v>
      </c>
      <c r="JF54" s="358" t="s">
        <v>608</v>
      </c>
      <c r="JG54" s="425" t="s">
        <v>1070</v>
      </c>
      <c r="JH54" s="358" t="s">
        <v>609</v>
      </c>
      <c r="JI54" s="425" t="s">
        <v>1071</v>
      </c>
      <c r="JJ54" s="358" t="s">
        <v>610</v>
      </c>
      <c r="JK54" s="425" t="s">
        <v>1072</v>
      </c>
      <c r="JL54" s="358" t="s">
        <v>611</v>
      </c>
      <c r="JM54" s="425" t="s">
        <v>1073</v>
      </c>
      <c r="JN54" s="358" t="s">
        <v>612</v>
      </c>
      <c r="JO54" s="425" t="s">
        <v>1074</v>
      </c>
      <c r="JP54" s="425" t="s">
        <v>607</v>
      </c>
      <c r="JQ54" s="425" t="s">
        <v>1075</v>
      </c>
      <c r="JR54" s="425" t="s">
        <v>1076</v>
      </c>
      <c r="JS54" s="425" t="s">
        <v>1077</v>
      </c>
      <c r="JT54" s="425" t="s">
        <v>1078</v>
      </c>
      <c r="JU54" s="425" t="s">
        <v>1079</v>
      </c>
      <c r="JV54" s="425" t="s">
        <v>1080</v>
      </c>
      <c r="JW54" s="425" t="s">
        <v>1081</v>
      </c>
      <c r="JX54" s="425" t="s">
        <v>1082</v>
      </c>
      <c r="JY54" s="425" t="s">
        <v>1083</v>
      </c>
      <c r="JZ54" s="357" t="s">
        <v>614</v>
      </c>
      <c r="KA54" s="422" t="s">
        <v>1084</v>
      </c>
      <c r="KB54" s="357" t="s">
        <v>615</v>
      </c>
      <c r="KC54" s="422" t="s">
        <v>1085</v>
      </c>
      <c r="KD54" s="357" t="s">
        <v>616</v>
      </c>
      <c r="KE54" s="422" t="s">
        <v>1086</v>
      </c>
      <c r="KF54" s="357" t="s">
        <v>617</v>
      </c>
      <c r="KG54" s="422" t="s">
        <v>1087</v>
      </c>
      <c r="KH54" s="357" t="s">
        <v>618</v>
      </c>
      <c r="KI54" s="422" t="s">
        <v>1088</v>
      </c>
      <c r="KJ54" s="422" t="s">
        <v>613</v>
      </c>
      <c r="KK54" s="422" t="s">
        <v>1089</v>
      </c>
      <c r="KL54" s="422" t="s">
        <v>1090</v>
      </c>
      <c r="KM54" s="422" t="s">
        <v>1091</v>
      </c>
      <c r="KN54" s="422" t="s">
        <v>1092</v>
      </c>
      <c r="KO54" s="422" t="s">
        <v>1093</v>
      </c>
      <c r="KP54" s="422" t="s">
        <v>1094</v>
      </c>
      <c r="KQ54" s="422" t="s">
        <v>1095</v>
      </c>
      <c r="KR54" s="422" t="s">
        <v>1096</v>
      </c>
      <c r="KS54" s="422" t="s">
        <v>1097</v>
      </c>
      <c r="KT54" s="358" t="s">
        <v>620</v>
      </c>
      <c r="KU54" s="425" t="s">
        <v>1098</v>
      </c>
      <c r="KV54" s="358" t="s">
        <v>621</v>
      </c>
      <c r="KW54" s="425" t="s">
        <v>1099</v>
      </c>
      <c r="KX54" s="358" t="s">
        <v>622</v>
      </c>
      <c r="KY54" s="425" t="s">
        <v>1100</v>
      </c>
      <c r="KZ54" s="358" t="s">
        <v>623</v>
      </c>
      <c r="LA54" s="425" t="s">
        <v>1101</v>
      </c>
      <c r="LB54" s="358" t="s">
        <v>624</v>
      </c>
      <c r="LC54" s="425" t="s">
        <v>1102</v>
      </c>
      <c r="LD54" s="425" t="s">
        <v>619</v>
      </c>
      <c r="LE54" s="425" t="s">
        <v>1103</v>
      </c>
      <c r="LF54" s="425" t="s">
        <v>1104</v>
      </c>
      <c r="LG54" s="425" t="s">
        <v>1105</v>
      </c>
      <c r="LH54" s="425" t="s">
        <v>1106</v>
      </c>
      <c r="LI54" s="425" t="s">
        <v>1107</v>
      </c>
      <c r="LJ54" s="425" t="s">
        <v>1108</v>
      </c>
      <c r="LK54" s="425" t="s">
        <v>1109</v>
      </c>
      <c r="LL54" s="425" t="s">
        <v>1110</v>
      </c>
      <c r="LM54" s="425" t="s">
        <v>1111</v>
      </c>
      <c r="LN54" s="357" t="s">
        <v>627</v>
      </c>
      <c r="LO54" s="422" t="s">
        <v>1112</v>
      </c>
      <c r="LP54" s="357" t="s">
        <v>628</v>
      </c>
      <c r="LQ54" s="422" t="s">
        <v>1113</v>
      </c>
      <c r="LR54" s="357" t="s">
        <v>629</v>
      </c>
      <c r="LS54" s="422" t="s">
        <v>1114</v>
      </c>
      <c r="LT54" s="357" t="s">
        <v>630</v>
      </c>
      <c r="LU54" s="422" t="s">
        <v>1115</v>
      </c>
      <c r="LV54" s="357" t="s">
        <v>631</v>
      </c>
      <c r="LW54" s="422" t="s">
        <v>1116</v>
      </c>
      <c r="LX54" s="422" t="s">
        <v>625</v>
      </c>
      <c r="LY54" s="422" t="s">
        <v>1117</v>
      </c>
      <c r="LZ54" s="422" t="s">
        <v>1118</v>
      </c>
      <c r="MA54" s="422" t="s">
        <v>1119</v>
      </c>
      <c r="MB54" s="422" t="s">
        <v>1120</v>
      </c>
      <c r="MC54" s="422" t="s">
        <v>1121</v>
      </c>
      <c r="MD54" s="422" t="s">
        <v>1122</v>
      </c>
      <c r="ME54" s="422" t="s">
        <v>1123</v>
      </c>
      <c r="MF54" s="422" t="s">
        <v>1124</v>
      </c>
      <c r="MG54" s="422" t="s">
        <v>1125</v>
      </c>
      <c r="MH54" s="358" t="s">
        <v>633</v>
      </c>
      <c r="MI54" s="425" t="s">
        <v>1126</v>
      </c>
      <c r="MJ54" s="358" t="s">
        <v>634</v>
      </c>
      <c r="MK54" s="425" t="s">
        <v>1127</v>
      </c>
      <c r="ML54" s="358" t="s">
        <v>635</v>
      </c>
      <c r="MM54" s="425" t="s">
        <v>1128</v>
      </c>
      <c r="MN54" s="358" t="s">
        <v>636</v>
      </c>
      <c r="MO54" s="425" t="s">
        <v>1129</v>
      </c>
      <c r="MP54" s="358" t="s">
        <v>637</v>
      </c>
      <c r="MQ54" s="425" t="s">
        <v>1130</v>
      </c>
      <c r="MR54" s="425" t="s">
        <v>632</v>
      </c>
      <c r="MS54" s="425" t="s">
        <v>1131</v>
      </c>
      <c r="MT54" s="425" t="s">
        <v>1132</v>
      </c>
      <c r="MU54" s="425" t="s">
        <v>1133</v>
      </c>
      <c r="MV54" s="425" t="s">
        <v>1134</v>
      </c>
      <c r="MW54" s="425" t="s">
        <v>1135</v>
      </c>
      <c r="MX54" s="425" t="s">
        <v>1136</v>
      </c>
      <c r="MY54" s="425" t="s">
        <v>1137</v>
      </c>
      <c r="MZ54" s="425" t="s">
        <v>1138</v>
      </c>
      <c r="NA54" s="425" t="s">
        <v>1139</v>
      </c>
      <c r="NB54" s="357" t="s">
        <v>639</v>
      </c>
      <c r="NC54" s="422" t="s">
        <v>1140</v>
      </c>
      <c r="ND54" s="357" t="s">
        <v>640</v>
      </c>
      <c r="NE54" s="422" t="s">
        <v>1141</v>
      </c>
      <c r="NF54" s="357" t="s">
        <v>641</v>
      </c>
      <c r="NG54" s="422" t="s">
        <v>1142</v>
      </c>
      <c r="NH54" s="357" t="s">
        <v>643</v>
      </c>
      <c r="NI54" s="422" t="s">
        <v>1143</v>
      </c>
      <c r="NJ54" s="357" t="s">
        <v>642</v>
      </c>
      <c r="NK54" s="422" t="s">
        <v>1144</v>
      </c>
      <c r="NL54" s="422" t="s">
        <v>638</v>
      </c>
      <c r="NM54" s="422" t="s">
        <v>1145</v>
      </c>
      <c r="NN54" s="422" t="s">
        <v>1146</v>
      </c>
      <c r="NO54" s="422" t="s">
        <v>1147</v>
      </c>
      <c r="NP54" s="422" t="s">
        <v>1148</v>
      </c>
      <c r="NQ54" s="422" t="s">
        <v>1149</v>
      </c>
      <c r="NR54" s="422" t="s">
        <v>1150</v>
      </c>
      <c r="NS54" s="422" t="s">
        <v>1151</v>
      </c>
      <c r="NT54" s="422" t="s">
        <v>1152</v>
      </c>
      <c r="NU54" s="422" t="s">
        <v>1153</v>
      </c>
      <c r="NV54" s="358" t="s">
        <v>645</v>
      </c>
      <c r="NW54" s="425" t="s">
        <v>1154</v>
      </c>
      <c r="NX54" s="358" t="s">
        <v>646</v>
      </c>
      <c r="NY54" s="425" t="s">
        <v>1155</v>
      </c>
      <c r="NZ54" s="358" t="s">
        <v>647</v>
      </c>
      <c r="OA54" s="425" t="s">
        <v>1156</v>
      </c>
      <c r="OB54" s="358" t="s">
        <v>648</v>
      </c>
      <c r="OC54" s="425" t="s">
        <v>1157</v>
      </c>
      <c r="OD54" s="358" t="s">
        <v>649</v>
      </c>
      <c r="OE54" s="425" t="s">
        <v>1158</v>
      </c>
      <c r="OF54" s="425" t="s">
        <v>644</v>
      </c>
      <c r="OG54" s="425" t="s">
        <v>1159</v>
      </c>
      <c r="OH54" s="425" t="s">
        <v>1160</v>
      </c>
      <c r="OI54" s="425" t="s">
        <v>1161</v>
      </c>
      <c r="OJ54" s="425" t="s">
        <v>1162</v>
      </c>
      <c r="OK54" s="425" t="s">
        <v>1163</v>
      </c>
      <c r="OL54" s="425" t="s">
        <v>1164</v>
      </c>
      <c r="OM54" s="425" t="s">
        <v>1165</v>
      </c>
      <c r="ON54" s="425" t="s">
        <v>1166</v>
      </c>
      <c r="OO54" s="428" t="s">
        <v>1167</v>
      </c>
      <c r="OP54" s="420" t="s">
        <v>873</v>
      </c>
      <c r="OQ54" s="420" t="s">
        <v>874</v>
      </c>
      <c r="OR54" s="420" t="s">
        <v>875</v>
      </c>
      <c r="OS54" s="420" t="s">
        <v>876</v>
      </c>
      <c r="OT54" s="420" t="s">
        <v>877</v>
      </c>
    </row>
    <row r="55" spans="3:410" ht="15.75" x14ac:dyDescent="0.25">
      <c r="C55" s="67">
        <v>0</v>
      </c>
      <c r="D55" s="72" t="str">
        <f>VLOOKUP(Tabla1[[#This Row],[CÓDIGO DEL PRODUCTO Y/O SERVICIO ]],Tabla3[],2,0)</f>
        <v xml:space="preserve">Seleccionar producto o servicio </v>
      </c>
      <c r="E55" s="72"/>
      <c r="F55" s="114">
        <f>VLOOKUP(Tabla1[[#This Row],[CÓDIGO DEL PRODUCTO Y/O SERVICIO ]],Tabla3[],3)</f>
        <v>0</v>
      </c>
      <c r="G55" s="114">
        <f>Tabla1[[#This Row],[UNIDADES PRODUCIDAS AÑO 1 ]]*F40</f>
        <v>0</v>
      </c>
      <c r="H55" s="112">
        <f>VLOOKUP(Tabla1[[#This Row],[CÓDIGO DEL PRODUCTO Y/O SERVICIO ]],Tabla3[],9)</f>
        <v>0</v>
      </c>
      <c r="I55" s="114">
        <f>Tabla1[[#This Row],[CANTIDADES A UTILIZAR EN EL AÑO 1]]*(1+Tabla1[[#This Row],[CAMBIO PORCENTUAL EN UNIDADES VENDIDAS AÑO 2]])</f>
        <v>0</v>
      </c>
      <c r="J55" s="112">
        <f>VLOOKUP(Tabla1[[#This Row],[CÓDIGO DEL PRODUCTO Y/O SERVICIO ]],Tabla3[],13)</f>
        <v>0</v>
      </c>
      <c r="K55" s="114">
        <f>Tabla1[[#This Row],[CANTIDADES A UTILIZAR EN EL AÑO 2]]*(1+Tabla1[[#This Row],[CAMBIO PORCENTUAL EN UNIDADES VENDIDAS AÑO 3]])</f>
        <v>0</v>
      </c>
      <c r="L55" s="112">
        <f>VLOOKUP(Tabla1[[#This Row],[CÓDIGO DEL PRODUCTO Y/O SERVICIO ]],Tabla3[],17)</f>
        <v>0</v>
      </c>
      <c r="M55" s="114">
        <f>Tabla1[[#This Row],[CANTIDADES A UTILIZAR EN EL AÑO 3]]*(1+Tabla1[[#This Row],[CAMBIO PORCENTUAL EN UNIDADES VENDIDAS AÑO 4]])</f>
        <v>0</v>
      </c>
      <c r="N55" s="112">
        <f>VLOOKUP(Tabla1[[#This Row],[CÓDIGO DEL PRODUCTO Y/O SERVICIO ]],Tabla3[],21)</f>
        <v>0</v>
      </c>
      <c r="O55" s="114">
        <f>Tabla1[[#This Row],[CANTIDADES A UTILIZAR EN EL AÑO 4]]*(1+Tabla1[[#This Row],[CAMBIO PORCENTUAL EN UNIDADES VENDIDAS AÑO 5]])</f>
        <v>0</v>
      </c>
      <c r="P55" s="72">
        <f>IF(Tabla1[[#This Row],[CANTIDADES A UTILIZAR EN EL AÑO 1]]=0,0,Tabla1[[#This Row],[CANTIDADES A UTILIZAR EN EL AÑO 1]]*1/Tabla1[[#This Row],[UNIDADES PRODUCIDAS AÑO 1 ]])</f>
        <v>0</v>
      </c>
      <c r="Q55" s="345">
        <f>$D$13*(1+BASES!$E$10)</f>
        <v>0</v>
      </c>
      <c r="R55" s="345">
        <f>Tabla1[[#This Row],[COSTO UNITARIO AÑO 2]]*(1+BASES!$F$10)</f>
        <v>0</v>
      </c>
      <c r="S55" s="345">
        <f>Tabla1[[#This Row],[COSTO UNITARIO AÑO 3]]*(1+BASES!$G$10)</f>
        <v>0</v>
      </c>
      <c r="T55" s="345">
        <f>Tabla1[[#This Row],[COSTO UNITARIO AÑO 4]]*(1+BASES!$H$10)</f>
        <v>0</v>
      </c>
      <c r="U55" s="345">
        <f>Tabla1[[#This Row],[COSTO POR UNIDAD DE PRODUCTO (1)]]*$D$13*VLOOKUP(Tabla1[[#This Row],[CÓDIGO DEL PRODUCTO Y/O SERVICIO ]],Tabla3[],3)</f>
        <v>0</v>
      </c>
      <c r="V55" s="345">
        <f>Tabla1[[#This Row],[COSTO POR UNIDAD DE PRODUCTO (1)]]*Tabla1[[#This Row],[COSTO UNITARIO AÑO 2]]*VLOOKUP(Tabla1[[#This Row],[CÓDIGO DEL PRODUCTO Y/O SERVICIO ]],Tabla3[],6)</f>
        <v>0</v>
      </c>
      <c r="W55" s="345">
        <f>Tabla1[[#This Row],[COSTO POR UNIDAD DE PRODUCTO (1)]]*Tabla1[[#This Row],[COSTO UNITARIO AÑO 3]]*VLOOKUP(Tabla1[[#This Row],[CÓDIGO DEL PRODUCTO Y/O SERVICIO ]],Tabla3[],10)</f>
        <v>0</v>
      </c>
      <c r="X55" s="345">
        <f>Tabla1[[#This Row],[COSTO POR UNIDAD DE PRODUCTO (1)]]*Tabla1[[#This Row],[COSTO UNITARIO AÑO 4]]*VLOOKUP(Tabla1[[#This Row],[CÓDIGO DEL PRODUCTO Y/O SERVICIO ]],Tabla3[],14)</f>
        <v>0</v>
      </c>
      <c r="Y55" s="345">
        <f>Tabla1[[#This Row],[COSTO POR UNIDAD DE PRODUCTO (1)]]*Tabla1[[#This Row],[COSTO UNITARIO AÑO 5]]*VLOOKUP(Tabla1[[#This Row],[CÓDIGO DEL PRODUCTO Y/O SERVICIO ]],Tabla3[],18)</f>
        <v>0</v>
      </c>
      <c r="Z55" s="346">
        <f>VLOOKUP(Tabla1[[#This Row],[CÓDIGO DEL PRODUCTO Y/O SERVICIO ]],Tabla3[],3)</f>
        <v>0</v>
      </c>
      <c r="AA55" s="114">
        <f>G40*Tabla1[[#This Row],[UNIDADES PRODUCIDAS AÑO 1 2]]</f>
        <v>0</v>
      </c>
      <c r="AB55" s="112">
        <f>VLOOKUP(Tabla1[[#This Row],[CÓDIGO DEL PRODUCTO Y/O SERVICIO ]],Tabla3[],9)</f>
        <v>0</v>
      </c>
      <c r="AC55" s="114">
        <f>Tabla1[[#This Row],[CANTIDADES A UTILIZAR EN EL AÑO 1 2]]*(1+Tabla1[[#This Row],[CAMBIO PORCENTUAL EN UNIDADES VENDIDAS AÑO 2 2]])</f>
        <v>0</v>
      </c>
      <c r="AD55" s="112">
        <f>VLOOKUP(Tabla1[[#This Row],[CÓDIGO DEL PRODUCTO Y/O SERVICIO ]],Tabla3[],13)</f>
        <v>0</v>
      </c>
      <c r="AE55" s="114">
        <f>Tabla1[[#This Row],[CANTIDADES A UTILIZAR  AÑO 2 2]]*(1+Tabla1[[#This Row],[CAMBIO PORCENTUAL EN UNIDADES VENDIDAS AÑO 3 2]])</f>
        <v>0</v>
      </c>
      <c r="AF55" s="112">
        <f>VLOOKUP(Tabla1[[#This Row],[CÓDIGO DEL PRODUCTO Y/O SERVICIO ]],Tabla3[],17)</f>
        <v>0</v>
      </c>
      <c r="AG55" s="114">
        <f>Tabla1[[#This Row],[CANTIDADES A UTILIZAR  AÑO 3 2]]*(1+Tabla1[[#This Row],[CAMBIO PORCENTUAL EN UNIDADES VENDIDAS AÑO 4 2]])</f>
        <v>0</v>
      </c>
      <c r="AH55" s="112">
        <f>VLOOKUP(Tabla1[[#This Row],[CÓDIGO DEL PRODUCTO Y/O SERVICIO ]],Tabla3[],21)</f>
        <v>0</v>
      </c>
      <c r="AI55" s="114">
        <f>Tabla1[[#This Row],[CANTIDADES A UTILIZAR  AÑO 4 2]]*(1+Tabla1[[#This Row],[CAMBIO PORCENTUAL EN UNIDADES VENDIDAS AÑO 5 2]])</f>
        <v>0</v>
      </c>
      <c r="AJ55" s="345">
        <f>IF(Tabla1[[#This Row],[CANTIDADES A UTILIZAR EN EL AÑO 1 2]]=0,0,Tabla1[[#This Row],[CANTIDADES A UTILIZAR EN EL AÑO 1 2]]*1/Tabla1[[#This Row],[UNIDADES PRODUCIDAS AÑO 1 2]])</f>
        <v>0</v>
      </c>
      <c r="AK55" s="345">
        <f>$D$14*(1+BASES!$E$10)</f>
        <v>0</v>
      </c>
      <c r="AL55" s="345">
        <f>Tabla1[[#This Row],[COSTO UNITARIO AÑO 2 2]]*(1+BASES!$F$10)</f>
        <v>0</v>
      </c>
      <c r="AM55" s="345">
        <f>Tabla1[[#This Row],[COSTO UNITARIO AÑO 3 2]]*(1+BASES!$G$10)</f>
        <v>0</v>
      </c>
      <c r="AN55" s="345">
        <f>Tabla1[[#This Row],[COSTO UNITARIO AÑO 4 2]]*(1+BASES!$H$10)</f>
        <v>0</v>
      </c>
      <c r="AO55" s="345">
        <f>Tabla1[[#This Row],[COSTO POR UNIDAD DE PRODUCTO (2)]]*$D$14*VLOOKUP(Tabla1[[#This Row],[CÓDIGO DEL PRODUCTO Y/O SERVICIO ]],Tabla3[],3)</f>
        <v>0</v>
      </c>
      <c r="AP55" s="345">
        <f>Tabla1[[#This Row],[COSTO POR UNIDAD DE PRODUCTO (2)]]*Tabla1[[#This Row],[COSTO UNITARIO AÑO 2 2]]*VLOOKUP(Tabla1[[#This Row],[CÓDIGO DEL PRODUCTO Y/O SERVICIO ]],Tabla3[],6)</f>
        <v>0</v>
      </c>
      <c r="AQ55" s="345">
        <f>Tabla1[[#This Row],[COSTO POR UNIDAD DE PRODUCTO (2)]]*Tabla1[[#This Row],[COSTO UNITARIO AÑO 3 2]]*VLOOKUP(Tabla1[[#This Row],[CÓDIGO DEL PRODUCTO Y/O SERVICIO ]],Tabla3[],10)</f>
        <v>0</v>
      </c>
      <c r="AR55" s="345">
        <f>Tabla1[[#This Row],[COSTO POR UNIDAD DE PRODUCTO (2)]]*Tabla1[[#This Row],[COSTO UNITARIO AÑO 4 2]]*VLOOKUP(Tabla1[[#This Row],[CÓDIGO DEL PRODUCTO Y/O SERVICIO ]],Tabla3[],14)</f>
        <v>0</v>
      </c>
      <c r="AS55" s="345">
        <f>Tabla1[[#This Row],[COSTO POR UNIDAD DE PRODUCTO (2)]]*Tabla1[[#This Row],[COSTO UNITARIO AÑO 5 2]]*VLOOKUP(Tabla1[[#This Row],[CÓDIGO DEL PRODUCTO Y/O SERVICIO ]],Tabla3[],18)</f>
        <v>0</v>
      </c>
      <c r="AT55" s="114">
        <f>VLOOKUP(Tabla1[[#This Row],[CÓDIGO DEL PRODUCTO Y/O SERVICIO ]],Tabla3[],3)</f>
        <v>0</v>
      </c>
      <c r="AU55" s="114">
        <f>H40*Tabla1[[#This Row],[UNIDADES PRODUCIDAS AÑO 1 3]]</f>
        <v>0</v>
      </c>
      <c r="AV55" s="112">
        <f>VLOOKUP(Tabla1[[#This Row],[CÓDIGO DEL PRODUCTO Y/O SERVICIO ]],Tabla3[],9)</f>
        <v>0</v>
      </c>
      <c r="AW55" s="114">
        <f>Tabla1[[#This Row],[CANTIDADES A UTILIZAR  AÑO 1 3]]*(1+Tabla1[[#This Row],[CAMBIO PORCENTUAL EN UNIDADES VENDIDAS AÑO 2 3]])</f>
        <v>0</v>
      </c>
      <c r="AX55" s="112">
        <f>VLOOKUP(Tabla1[[#This Row],[CÓDIGO DEL PRODUCTO Y/O SERVICIO ]],Tabla3[],13)</f>
        <v>0</v>
      </c>
      <c r="AY55" s="114">
        <f>Tabla1[[#This Row],[CANTIDADES A UTILIZAR  AÑO 2 3]]*(1+Tabla1[[#This Row],[CAMBIO PORCENTUAL EN UNIDADES VENDIDAS AÑO 3 3]])</f>
        <v>0</v>
      </c>
      <c r="AZ55" s="112">
        <f>VLOOKUP(Tabla1[[#This Row],[CÓDIGO DEL PRODUCTO Y/O SERVICIO ]],Tabla3[],17)</f>
        <v>0</v>
      </c>
      <c r="BA55" s="114">
        <f>Tabla1[[#This Row],[CANTIDADES A UTILIZAR  AÑO 3 3]]*(1+Tabla1[[#This Row],[CAMBIO PORCENTUAL EN UNIDADES VENDIDAS AÑO 4 3]])</f>
        <v>0</v>
      </c>
      <c r="BB55" s="112">
        <f>VLOOKUP(Tabla1[[#This Row],[CÓDIGO DEL PRODUCTO Y/O SERVICIO ]],Tabla3[],21)</f>
        <v>0</v>
      </c>
      <c r="BC55" s="114">
        <f>Tabla1[[#This Row],[CANTIDADES A UTILIZAR  AÑO 4 3]]*(1+Tabla1[[#This Row],[CAMBIO PORCENTUAL EN UNIDADES VENDIDAS AÑO 5 3]])</f>
        <v>0</v>
      </c>
      <c r="BD55" s="345">
        <f>IF(Tabla1[[#This Row],[CANTIDADES A UTILIZAR  AÑO 1 3]]=0,0,Tabla1[[#This Row],[CANTIDADES A UTILIZAR  AÑO 1 3]]*1/Tabla1[[#This Row],[UNIDADES PRODUCIDAS AÑO 1 3]])</f>
        <v>0</v>
      </c>
      <c r="BE55" s="345">
        <f>$D$15*(1+BASES!$E$10)</f>
        <v>0</v>
      </c>
      <c r="BF55" s="345">
        <f>Tabla1[[#This Row],[COSTO UNITARIO AÑO 2 3]]*(1+BASES!$F$10)</f>
        <v>0</v>
      </c>
      <c r="BG55" s="345">
        <f>Tabla1[[#This Row],[COSTO UNITARIO AÑO 3 3]]*(1+BASES!$G$10)</f>
        <v>0</v>
      </c>
      <c r="BH55" s="345">
        <f>Tabla1[[#This Row],[COSTO UNITARIO AÑO 4 3]]*(1+BASES!$H$10)</f>
        <v>0</v>
      </c>
      <c r="BI55" s="345">
        <f>Tabla1[[#This Row],[COSTO POR UNIDAD DE PRODUCTO (3)]]*$D$15*VLOOKUP(Tabla1[[#This Row],[CÓDIGO DEL PRODUCTO Y/O SERVICIO ]],Tabla3[],3)</f>
        <v>0</v>
      </c>
      <c r="BJ55" s="345">
        <f>Tabla1[[#This Row],[COSTO POR UNIDAD DE PRODUCTO (3)]]*Tabla1[[#This Row],[COSTO UNITARIO AÑO 2 3]]*VLOOKUP(Tabla1[[#This Row],[CÓDIGO DEL PRODUCTO Y/O SERVICIO ]],Tabla3[],6)</f>
        <v>0</v>
      </c>
      <c r="BK55" s="345">
        <f>Tabla1[[#This Row],[COSTO POR UNIDAD DE PRODUCTO (3)]]*Tabla1[[#This Row],[COSTO UNITARIO AÑO 3 3]]*VLOOKUP(Tabla1[[#This Row],[CÓDIGO DEL PRODUCTO Y/O SERVICIO ]],Tabla3[],10)</f>
        <v>0</v>
      </c>
      <c r="BL55" s="345">
        <f>Tabla1[[#This Row],[COSTO POR UNIDAD DE PRODUCTO (3)]]*Tabla1[[#This Row],[COSTO UNITARIO AÑO 4 3]]*VLOOKUP(Tabla1[[#This Row],[CÓDIGO DEL PRODUCTO Y/O SERVICIO ]],Tabla3[],14)</f>
        <v>0</v>
      </c>
      <c r="BM55" s="345">
        <f>Tabla1[[#This Row],[COSTO POR UNIDAD DE PRODUCTO (3)]]*Tabla1[[#This Row],[ COSTO UNITARIO AÑO 5 3]]*VLOOKUP(Tabla1[[#This Row],[CÓDIGO DEL PRODUCTO Y/O SERVICIO ]],Tabla3[],18)</f>
        <v>0</v>
      </c>
      <c r="BN55" s="114">
        <f>VLOOKUP(Tabla1[[#This Row],[CÓDIGO DEL PRODUCTO Y/O SERVICIO ]],Tabla3[],3)</f>
        <v>0</v>
      </c>
      <c r="BO55" s="114">
        <f>I40*Tabla1[[#This Row],[UNIDADES PRODUCIDAS AÑO 1 4]]</f>
        <v>0</v>
      </c>
      <c r="BP55" s="112">
        <f>VLOOKUP(Tabla1[[#This Row],[CÓDIGO DEL PRODUCTO Y/O SERVICIO ]],Tabla3[],9)</f>
        <v>0</v>
      </c>
      <c r="BQ55" s="114">
        <f>Tabla1[[#This Row],[CANTIDADES A UTILIZAR  AÑO 1 4]]*(1+Tabla1[[#This Row],[CAMBIO PORCENTUAL EN UNIDADES VENDIDAS AÑO 2 4]])</f>
        <v>0</v>
      </c>
      <c r="BR55" s="112">
        <f>VLOOKUP(Tabla1[[#This Row],[CÓDIGO DEL PRODUCTO Y/O SERVICIO ]],Tabla3[],13)</f>
        <v>0</v>
      </c>
      <c r="BS55" s="114">
        <f>Tabla1[[#This Row],[CANTIDADES A UTILIZAR  AÑO 2 4]]*(1+Tabla1[[#This Row],[CAMBIO PORCENTUAL EN UNIDADES VENDIDAS AÑO 3 4]])</f>
        <v>0</v>
      </c>
      <c r="BT55" s="112">
        <f>VLOOKUP(Tabla1[[#This Row],[CÓDIGO DEL PRODUCTO Y/O SERVICIO ]],Tabla3[],17)</f>
        <v>0</v>
      </c>
      <c r="BU55" s="114">
        <f>Tabla1[[#This Row],[CANTIDADES A UTILIZAR  AÑO 3 4]]*(1+Tabla1[[#This Row],[CAMBIO PORCENTUAL EN UNIDADES VENDIDAS AÑO 4 4]])</f>
        <v>0</v>
      </c>
      <c r="BV55" s="112">
        <f>VLOOKUP(Tabla1[[#This Row],[CÓDIGO DEL PRODUCTO Y/O SERVICIO ]],Tabla3[],21)</f>
        <v>0</v>
      </c>
      <c r="BW55" s="114">
        <f>Tabla1[[#This Row],[CANTIDADES A UTILIZAR  AÑO 4 4]]*(1+Tabla1[[#This Row],[CAMBIO PORCENTUAL EN UNIDADES VENDIDAS AÑO 5 4]])</f>
        <v>0</v>
      </c>
      <c r="BX55" s="345">
        <f>IF(Tabla1[[#This Row],[CANTIDADES A UTILIZAR  AÑO 1 4]]=0,0,Tabla1[[#This Row],[CANTIDADES A UTILIZAR  AÑO 1 4]]*1/Tabla1[[#This Row],[UNIDADES PRODUCIDAS AÑO 1 4]])</f>
        <v>0</v>
      </c>
      <c r="BY55" s="345">
        <f>$D$16*(1+BASES!$E$10)</f>
        <v>0</v>
      </c>
      <c r="BZ55" s="345">
        <f>Tabla1[[#This Row],[COSTO UNITARIO AÑO 2 4]]*(1+BASES!$F$10)</f>
        <v>0</v>
      </c>
      <c r="CA55" s="345">
        <f>Tabla1[[#This Row],[COSTO UNITARIO AÑO 3 4]]*(1+BASES!$G$10)</f>
        <v>0</v>
      </c>
      <c r="CB55" s="345">
        <f>Tabla1[[#This Row],[COSTO UNITARIO AÑO 4 4]]*(1+BASES!$H$10)</f>
        <v>0</v>
      </c>
      <c r="CC55" s="345">
        <f>Tabla1[[#This Row],[COSTO POR UNIDAD DE PRODUCTO (4) ]]*$D$16*VLOOKUP(Tabla1[[#This Row],[CÓDIGO DEL PRODUCTO Y/O SERVICIO ]],Tabla3[],3)</f>
        <v>0</v>
      </c>
      <c r="CD55" s="345">
        <f>Tabla1[[#This Row],[COSTO POR UNIDAD DE PRODUCTO (4) ]]*Tabla1[[#This Row],[COSTO UNITARIO AÑO 2 4]]*VLOOKUP(Tabla1[[#This Row],[CÓDIGO DEL PRODUCTO Y/O SERVICIO ]],Tabla3[],6)</f>
        <v>0</v>
      </c>
      <c r="CE55" s="345">
        <f>Tabla1[[#This Row],[COSTO POR UNIDAD DE PRODUCTO (4) ]]*Tabla1[[#This Row],[COSTO UNITARIO AÑO 3 4]]*VLOOKUP(Tabla1[[#This Row],[CÓDIGO DEL PRODUCTO Y/O SERVICIO ]],Tabla3[],10)</f>
        <v>0</v>
      </c>
      <c r="CF55" s="345">
        <f>Tabla1[[#This Row],[COSTO POR UNIDAD DE PRODUCTO (4) ]]*Tabla1[[#This Row],[COSTO UNITARIO AÑO 4 4]]*VLOOKUP(Tabla1[[#This Row],[CÓDIGO DEL PRODUCTO Y/O SERVICIO ]],Tabla3[],14)</f>
        <v>0</v>
      </c>
      <c r="CG55" s="345">
        <f>Tabla1[[#This Row],[COSTO POR UNIDAD DE PRODUCTO (4) ]]*Tabla1[[#This Row],[COSTO UNITARIO AÑO 5 4]]*VLOOKUP(Tabla1[[#This Row],[CÓDIGO DEL PRODUCTO Y/O SERVICIO ]],Tabla3[],18)</f>
        <v>0</v>
      </c>
      <c r="CH55" s="114">
        <f>VLOOKUP(Tabla1[[#This Row],[CÓDIGO DEL PRODUCTO Y/O SERVICIO ]],Tabla3[],3)</f>
        <v>0</v>
      </c>
      <c r="CI55" s="114">
        <f>Tabla1[[#This Row],[UNIDADES PRODUCIDAS AÑO 1 5]]*J40</f>
        <v>0</v>
      </c>
      <c r="CJ55" s="112">
        <f>VLOOKUP(Tabla1[[#This Row],[CÓDIGO DEL PRODUCTO Y/O SERVICIO ]],Tabla3[],9)</f>
        <v>0</v>
      </c>
      <c r="CK55" s="114">
        <f>Tabla1[[#This Row],[CANTIDADES A UTILIZAR  AÑO 1 5]]*(1+Tabla1[[#This Row],[CAMBIO PORCENTUAL EN UNIDADES VENDIDAS AÑO 2 5]])</f>
        <v>0</v>
      </c>
      <c r="CL55" s="112">
        <f>VLOOKUP(Tabla1[[#This Row],[CÓDIGO DEL PRODUCTO Y/O SERVICIO ]],Tabla3[],13)</f>
        <v>0</v>
      </c>
      <c r="CM55" s="114">
        <f>Tabla1[[#This Row],[CANTIDADES A UTILIZAR  AÑO 2 5]]*(1+Tabla1[[#This Row],[CAMBIO PORCENTUAL EN UNIDADES VENDIDAS AÑO 3 5]])</f>
        <v>0</v>
      </c>
      <c r="CN55" s="112">
        <f>VLOOKUP(Tabla1[[#This Row],[CÓDIGO DEL PRODUCTO Y/O SERVICIO ]],Tabla3[],17)</f>
        <v>0</v>
      </c>
      <c r="CO55" s="114">
        <f>Tabla1[[#This Row],[CANTIDADES A UTILIZAR  AÑO 3 5]]*(1+Tabla1[[#This Row],[CAMBIO PORCENTUAL EN UNIDADES VENDIDAS AÑO 4 5]])</f>
        <v>0</v>
      </c>
      <c r="CP55" s="112">
        <f>VLOOKUP(Tabla1[[#This Row],[CÓDIGO DEL PRODUCTO Y/O SERVICIO ]],Tabla3[],21)</f>
        <v>0</v>
      </c>
      <c r="CQ55" s="114">
        <f>Tabla1[[#This Row],[CANTIDADES A UTILIZAR  AÑO 4 5]]*(1+Tabla1[[#This Row],[CAMBIO PORCENTUAL EN UNIDADES VENDIDAS AÑO 5 5]])</f>
        <v>0</v>
      </c>
      <c r="CR55" s="345">
        <f>IF(Tabla1[[#This Row],[CANTIDADES A UTILIZAR  AÑO 1 5]]=0,0,Tabla1[[#This Row],[CANTIDADES A UTILIZAR  AÑO 1 5]]*1/Tabla1[[#This Row],[UNIDADES PRODUCIDAS AÑO 1 5]])</f>
        <v>0</v>
      </c>
      <c r="CS55" s="345">
        <f>$D$17*(1+BASES!$E$10)</f>
        <v>0</v>
      </c>
      <c r="CT55" s="345">
        <f>Tabla1[[#This Row],[COSTO UNITARIO AÑO 2 5]]*(1+BASES!$F$10)</f>
        <v>0</v>
      </c>
      <c r="CU55" s="345">
        <f>Tabla1[[#This Row],[COSTO UNITARIO AÑO 3 5]]*(1+BASES!$G$10)</f>
        <v>0</v>
      </c>
      <c r="CV55" s="345">
        <f>Tabla1[[#This Row],[COSTO UNITARIO AÑO 4 5]]*(1+BASES!$H$10)</f>
        <v>0</v>
      </c>
      <c r="CW55" s="345">
        <f>Tabla1[[#This Row],[COSTO POR UNIDAD DE PRODUCTO (5)]]*$D$17*VLOOKUP(Tabla1[[#This Row],[CÓDIGO DEL PRODUCTO Y/O SERVICIO ]],Tabla3[],3)</f>
        <v>0</v>
      </c>
      <c r="CX55" s="345">
        <f>Tabla1[[#This Row],[COSTO POR UNIDAD DE PRODUCTO (5)]]*Tabla1[[#This Row],[COSTO UNITARIO AÑO 2 5]]*VLOOKUP(Tabla1[[#This Row],[CÓDIGO DEL PRODUCTO Y/O SERVICIO ]],Tabla3[],6)</f>
        <v>0</v>
      </c>
      <c r="CY55" s="345">
        <f>Tabla1[[#This Row],[COSTO POR UNIDAD DE PRODUCTO (5)]]*Tabla1[[#This Row],[COSTO UNITARIO AÑO 3 5]]*VLOOKUP(Tabla1[[#This Row],[CÓDIGO DEL PRODUCTO Y/O SERVICIO ]],Tabla3[],10)</f>
        <v>0</v>
      </c>
      <c r="CZ55" s="345">
        <f>Tabla1[[#This Row],[COSTO POR UNIDAD DE PRODUCTO (5)]]*Tabla1[[#This Row],[COSTO UNITARIO AÑO 4 5]]*VLOOKUP(Tabla1[[#This Row],[CÓDIGO DEL PRODUCTO Y/O SERVICIO ]],Tabla3[],14)</f>
        <v>0</v>
      </c>
      <c r="DA55" s="345">
        <f>Tabla1[[#This Row],[COSTO POR UNIDAD DE PRODUCTO (5)]]*Tabla1[[#This Row],[COSTO UNITARIO AÑO 5 5 ]]*VLOOKUP(Tabla1[[#This Row],[CÓDIGO DEL PRODUCTO Y/O SERVICIO ]],Tabla3[],18)</f>
        <v>0</v>
      </c>
      <c r="DB55" s="114">
        <f>VLOOKUP(Tabla1[[#This Row],[CÓDIGO DEL PRODUCTO Y/O SERVICIO ]],Tabla3[],3)</f>
        <v>0</v>
      </c>
      <c r="DC55" s="114">
        <f>Tabla1[[#This Row],[UNIDADES PRODUCIDAS AÑO 1 6]]*K40</f>
        <v>0</v>
      </c>
      <c r="DD55" s="112">
        <f>VLOOKUP(Tabla1[[#This Row],[CÓDIGO DEL PRODUCTO Y/O SERVICIO ]],Tabla3[],9)</f>
        <v>0</v>
      </c>
      <c r="DE55" s="114">
        <f>Tabla1[[#This Row],[CANTIDADES A UTILIZAR  AÑO 1 6]]*(1+Tabla1[[#This Row],[CAMBIO PORCENTUAL EN UNIDADES VENDIDAS AÑO 2 6]])</f>
        <v>0</v>
      </c>
      <c r="DF55" s="112">
        <f>VLOOKUP(Tabla1[[#This Row],[CÓDIGO DEL PRODUCTO Y/O SERVICIO ]],Tabla3[],13)</f>
        <v>0</v>
      </c>
      <c r="DG55" s="114">
        <f>Tabla1[[#This Row],[CANTIDADES A UTILIZAR  AÑO 2 6]]*(1+Tabla1[[#This Row],[CAMBIO PORCENTUAL EN UNIDADES VENDIDAS AÑO 3 6]])</f>
        <v>0</v>
      </c>
      <c r="DH55" s="112">
        <f>VLOOKUP(Tabla1[[#This Row],[CÓDIGO DEL PRODUCTO Y/O SERVICIO ]],Tabla3[],17)</f>
        <v>0</v>
      </c>
      <c r="DI55" s="114">
        <f>Tabla1[[#This Row],[CANTIDADES A UTILIZAR  AÑO 3 6 ]]*(1+Tabla1[[#This Row],[CAMBIO PORCENTUAL EN UNIDADES VENDIDAS AÑO 4 6]])</f>
        <v>0</v>
      </c>
      <c r="DJ55" s="112">
        <f>VLOOKUP(Tabla1[[#This Row],[CÓDIGO DEL PRODUCTO Y/O SERVICIO ]],Tabla3[],21)</f>
        <v>0</v>
      </c>
      <c r="DK55" s="114">
        <f>Tabla1[[#This Row],[CANTIDADES A UTILIZAR  AÑO 4 6]]*(1+Tabla1[[#This Row],[CAMBIO PORCENTUAL EN UNIDADES VENDIDAS AÑO 5 6]])</f>
        <v>0</v>
      </c>
      <c r="DL55" s="345">
        <f>IF(Tabla1[[#This Row],[CANTIDADES A UTILIZAR  AÑO 1 6]]=0,0,Tabla1[[#This Row],[CANTIDADES A UTILIZAR  AÑO 1 6]]*1/Tabla1[[#This Row],[UNIDADES PRODUCIDAS AÑO 1 6]])</f>
        <v>0</v>
      </c>
      <c r="DM55" s="345">
        <f>$D$18*(1+BASES!$E$10)</f>
        <v>0</v>
      </c>
      <c r="DN55" s="345">
        <f>Tabla1[[#This Row],[COSTO UNITARIO AÑO 2 6]]*(1+BASES!$F$10)</f>
        <v>0</v>
      </c>
      <c r="DO55" s="345">
        <f>Tabla1[[#This Row],[COSTO UNITARIO AÑO 3 6]]*(1+BASES!$G$10)</f>
        <v>0</v>
      </c>
      <c r="DP55" s="345">
        <f>Tabla1[[#This Row],[COSTO UNITARIO AÑO 4 6 ]]*(1+BASES!$H$10)</f>
        <v>0</v>
      </c>
      <c r="DQ55" s="345">
        <f>Tabla1[[#This Row],[COSTO POR UNIDAD DE PRODUCTO (6)]]*$D$18*VLOOKUP(Tabla1[[#This Row],[CÓDIGO DEL PRODUCTO Y/O SERVICIO ]],Tabla3[],3)</f>
        <v>0</v>
      </c>
      <c r="DR55" s="345">
        <f>Tabla1[[#This Row],[COSTO POR UNIDAD DE PRODUCTO (6)]]*Tabla1[[#This Row],[COSTO UNITARIO AÑO 2 6]]*VLOOKUP(Tabla1[[#This Row],[CÓDIGO DEL PRODUCTO Y/O SERVICIO ]],Tabla3[],6)</f>
        <v>0</v>
      </c>
      <c r="DS55" s="345">
        <f>Tabla1[[#This Row],[COSTO POR UNIDAD DE PRODUCTO (6)]]*Tabla1[[#This Row],[COSTO UNITARIO AÑO 3 6]]*VLOOKUP(Tabla1[[#This Row],[CÓDIGO DEL PRODUCTO Y/O SERVICIO ]],Tabla3[],10)</f>
        <v>0</v>
      </c>
      <c r="DT55" s="345">
        <f>Tabla1[[#This Row],[COSTO POR UNIDAD DE PRODUCTO (6)]]*Tabla1[[#This Row],[COSTO UNITARIO AÑO 4 6 ]]*VLOOKUP(Tabla1[[#This Row],[CÓDIGO DEL PRODUCTO Y/O SERVICIO ]],Tabla3[],14)</f>
        <v>0</v>
      </c>
      <c r="DU55" s="345">
        <f>Tabla1[[#This Row],[COSTO POR UNIDAD DE PRODUCTO (6)]]*Tabla1[[#This Row],[COSTO UNITARIO AÑO 5 6]]*VLOOKUP(Tabla1[[#This Row],[CÓDIGO DEL PRODUCTO Y/O SERVICIO ]],Tabla3[],18)</f>
        <v>0</v>
      </c>
      <c r="DV55" s="114">
        <f>VLOOKUP(Tabla1[[#This Row],[CÓDIGO DEL PRODUCTO Y/O SERVICIO ]],Tabla3[],3)</f>
        <v>0</v>
      </c>
      <c r="DW55" s="114">
        <f>Tabla1[[#This Row],[UNIDADES PRODUCIDAS AÑO 1 7]]*L40</f>
        <v>0</v>
      </c>
      <c r="DX55" s="112">
        <f>VLOOKUP(Tabla1[[#This Row],[CÓDIGO DEL PRODUCTO Y/O SERVICIO ]],Tabla3[],9)</f>
        <v>0</v>
      </c>
      <c r="DY55" s="114">
        <f>Tabla1[[#This Row],[CANTIDADES A UTILIZAR  AÑO 1 7]]*(1+Tabla1[[#This Row],[CAMBIO PORCENTUAL EN UNIDADES VENDIDAS AÑO 2 7]])</f>
        <v>0</v>
      </c>
      <c r="DZ55" s="112">
        <f>VLOOKUP(Tabla1[[#This Row],[CÓDIGO DEL PRODUCTO Y/O SERVICIO ]],Tabla3[],13)</f>
        <v>0</v>
      </c>
      <c r="EA55" s="114">
        <f>Tabla1[[#This Row],[CANTIDADES A UTILIZAR  AÑO 2 7]]*(1+Tabla1[[#This Row],[CAMBIO PORCENTUAL EN UNIDADES VENDIDAS AÑO 3 7]])</f>
        <v>0</v>
      </c>
      <c r="EB55" s="112">
        <f>VLOOKUP(Tabla1[[#This Row],[CÓDIGO DEL PRODUCTO Y/O SERVICIO ]],Tabla3[],17)</f>
        <v>0</v>
      </c>
      <c r="EC55" s="114">
        <f>Tabla1[[#This Row],[CANTIDADES A UTILIZAR  AÑO 3 7 ]]*(1+Tabla1[[#This Row],[CAMBIO PORCENTUAL EN UNIDADES VENDIDAS AÑO 4 7]])</f>
        <v>0</v>
      </c>
      <c r="ED55" s="112">
        <f>VLOOKUP(Tabla1[[#This Row],[CÓDIGO DEL PRODUCTO Y/O SERVICIO ]],Tabla3[],21)</f>
        <v>0</v>
      </c>
      <c r="EE55" s="114">
        <f>Tabla1[[#This Row],[CANTIDADES A UTILIZAR  AÑO 4 7]]*(1+Tabla1[[#This Row],[CAMBIO PORCENTUAL EN UNIDADES VENDIDAS AÑO 5 7]])</f>
        <v>0</v>
      </c>
      <c r="EF55" s="345">
        <f>IF(Tabla1[[#This Row],[CANTIDADES A UTILIZAR  AÑO 1 7]]=0,0,Tabla1[[#This Row],[CANTIDADES A UTILIZAR  AÑO 1 7]]*1/Tabla1[[#This Row],[UNIDADES PRODUCIDAS AÑO 1 7]])</f>
        <v>0</v>
      </c>
      <c r="EG55" s="345">
        <f>$D$19*(1+BASES!$E$10)</f>
        <v>0</v>
      </c>
      <c r="EH55" s="345">
        <f>Tabla1[[#This Row],[COSTO UNITARIO AÑO 2 7]]*(1+BASES!$F$10)</f>
        <v>0</v>
      </c>
      <c r="EI55" s="345">
        <f>Tabla1[[#This Row],[COSTO UNITARIO AÑO 3 7]]*(1+BASES!$G$10)</f>
        <v>0</v>
      </c>
      <c r="EJ55" s="345">
        <f>Tabla1[[#This Row],[COSTO UNITARIO AÑO 4 7]]*(1+BASES!$H$10)</f>
        <v>0</v>
      </c>
      <c r="EK55" s="345">
        <f>Tabla1[[#This Row],[COSTO POR UNIDAD DE PRODUCTO (7)]]*$D$19*VLOOKUP(Tabla1[[#This Row],[CÓDIGO DEL PRODUCTO Y/O SERVICIO ]],Tabla3[],3)</f>
        <v>0</v>
      </c>
      <c r="EL55" s="345">
        <f>Tabla1[[#This Row],[COSTO POR UNIDAD DE PRODUCTO (7)]]*Tabla1[[#This Row],[COSTO UNITARIO AÑO 2 7]]*VLOOKUP(Tabla1[[#This Row],[CÓDIGO DEL PRODUCTO Y/O SERVICIO ]],Tabla3[],6)</f>
        <v>0</v>
      </c>
      <c r="EM55" s="345">
        <f>Tabla1[[#This Row],[COSTO POR UNIDAD DE PRODUCTO (7)]]*Tabla1[[#This Row],[COSTO UNITARIO AÑO 3 7]]*VLOOKUP(Tabla1[[#This Row],[CÓDIGO DEL PRODUCTO Y/O SERVICIO ]],Tabla3[],10)</f>
        <v>0</v>
      </c>
      <c r="EN55" s="345">
        <f>Tabla1[[#This Row],[COSTO POR UNIDAD DE PRODUCTO (7)]]*Tabla1[[#This Row],[COSTO UNITARIO AÑO 4 7]]*VLOOKUP(Tabla1[[#This Row],[CÓDIGO DEL PRODUCTO Y/O SERVICIO ]],Tabla3[],14)</f>
        <v>0</v>
      </c>
      <c r="EO55" s="345">
        <f>Tabla1[[#This Row],[COSTO POR UNIDAD DE PRODUCTO (7)]]*Tabla1[[#This Row],[COSTO UNITARIO AÑO 5 7]]*VLOOKUP(Tabla1[[#This Row],[CÓDIGO DEL PRODUCTO Y/O SERVICIO ]],Tabla3[],18)</f>
        <v>0</v>
      </c>
      <c r="EP55" s="114">
        <f>VLOOKUP(Tabla1[[#This Row],[CÓDIGO DEL PRODUCTO Y/O SERVICIO ]],Tabla3[],3)</f>
        <v>0</v>
      </c>
      <c r="EQ55" s="114">
        <f>Tabla1[[#This Row],[UNIDADES PRODUCIDAS AÑO 1 8]]*M40</f>
        <v>0</v>
      </c>
      <c r="ER55" s="112">
        <f>VLOOKUP(Tabla1[[#This Row],[CÓDIGO DEL PRODUCTO Y/O SERVICIO ]],Tabla3[],9)</f>
        <v>0</v>
      </c>
      <c r="ES55" s="114">
        <f>Tabla1[[#This Row],[CANTIDADES A UTILIZAR  AÑO 1 8]]*(1+Tabla1[[#This Row],[CAMBIO PORCENTUAL EN UNIDADES VENDIDAS AÑO 2 8]])</f>
        <v>0</v>
      </c>
      <c r="ET55" s="112">
        <f>VLOOKUP(Tabla1[[#This Row],[CÓDIGO DEL PRODUCTO Y/O SERVICIO ]],Tabla3[],13)</f>
        <v>0</v>
      </c>
      <c r="EU55" s="114">
        <f>Tabla1[[#This Row],[CANTIDADES A UTILIZAR  AÑO 2 8]]*(1+Tabla1[[#This Row],[CAMBIO PORCENTUAL EN UNIDADES VENDIDAS AÑO 3 8]])</f>
        <v>0</v>
      </c>
      <c r="EV55" s="112">
        <f>VLOOKUP(Tabla1[[#This Row],[CÓDIGO DEL PRODUCTO Y/O SERVICIO ]],Tabla3[],17)</f>
        <v>0</v>
      </c>
      <c r="EW55" s="114">
        <f>Tabla1[[#This Row],[CANTIDADES A UTILIZAR  AÑO 3 8]]*(1+Tabla1[[#This Row],[CAMBIO PORCENTUAL EN UNIDADES VENDIDAS AÑO 4 8]])</f>
        <v>0</v>
      </c>
      <c r="EX55" s="112">
        <f>VLOOKUP(Tabla1[[#This Row],[CÓDIGO DEL PRODUCTO Y/O SERVICIO ]],Tabla3[],21)</f>
        <v>0</v>
      </c>
      <c r="EY55" s="114">
        <f>Tabla1[[#This Row],[CANTIDADES A UTILIZAR  AÑO 4 8]]*(1+Tabla1[[#This Row],[CAMBIO PORCENTUAL EN UNIDADES VENDIDAS AÑO 5 8]])</f>
        <v>0</v>
      </c>
      <c r="EZ55" s="345">
        <f>IF(Tabla1[[#This Row],[CANTIDADES A UTILIZAR  AÑO 1 8]]=0,0,Tabla1[[#This Row],[CANTIDADES A UTILIZAR  AÑO 1 8]]*1/Tabla1[[#This Row],[UNIDADES PRODUCIDAS AÑO 1 8]])</f>
        <v>0</v>
      </c>
      <c r="FA55" s="345">
        <f>$D$20*(1+BASES!$E$10)</f>
        <v>0</v>
      </c>
      <c r="FB55" s="345">
        <f>Tabla1[[#This Row],[COSTO UNITARIO AÑO 2 8]]*(1+BASES!$F$10)</f>
        <v>0</v>
      </c>
      <c r="FC55" s="345">
        <f>Tabla1[[#This Row],[COSTO UNITARIO AÑO 3 8]]*(1+BASES!$G$10)</f>
        <v>0</v>
      </c>
      <c r="FD55" s="345">
        <f>Tabla1[[#This Row],[COSTO UNITARIO AÑO 4 8]]*(1+BASES!$H$10)</f>
        <v>0</v>
      </c>
      <c r="FE55" s="345">
        <f>Tabla1[[#This Row],[COSTO POR UNIDAD DE PRODUCTO (8)]]*$D$20*VLOOKUP(Tabla1[[#This Row],[CÓDIGO DEL PRODUCTO Y/O SERVICIO ]],Tabla3[],3)</f>
        <v>0</v>
      </c>
      <c r="FF55" s="345">
        <f>Tabla1[[#This Row],[COSTO POR UNIDAD DE PRODUCTO (8)]]*Tabla1[[#This Row],[COSTO UNITARIO AÑO 2 8]]*VLOOKUP(Tabla1[[#This Row],[CÓDIGO DEL PRODUCTO Y/O SERVICIO ]],Tabla3[],6)</f>
        <v>0</v>
      </c>
      <c r="FG55" s="345">
        <f>Tabla1[[#This Row],[COSTO POR UNIDAD DE PRODUCTO (8)]]*Tabla1[[#This Row],[COSTO UNITARIO AÑO 3 8]]*VLOOKUP(Tabla1[[#This Row],[CÓDIGO DEL PRODUCTO Y/O SERVICIO ]],Tabla3[],10)</f>
        <v>0</v>
      </c>
      <c r="FH55" s="345">
        <f>Tabla1[[#This Row],[COSTO POR UNIDAD DE PRODUCTO (8)]]*Tabla1[[#This Row],[COSTO UNITARIO AÑO 4 8]]*VLOOKUP(Tabla1[[#This Row],[CÓDIGO DEL PRODUCTO Y/O SERVICIO ]],Tabla3[],14)</f>
        <v>0</v>
      </c>
      <c r="FI55" s="345">
        <f>Tabla1[[#This Row],[COSTO POR UNIDAD DE PRODUCTO (8)]]*Tabla1[[#This Row],[COSTO UNITARIO AÑO 5 8]]*VLOOKUP(Tabla1[[#This Row],[CÓDIGO DEL PRODUCTO Y/O SERVICIO ]],Tabla3[],18)</f>
        <v>0</v>
      </c>
      <c r="FJ55" s="347">
        <f>VLOOKUP(Tabla1[[#This Row],[CÓDIGO DEL PRODUCTO Y/O SERVICIO ]],Tabla3[],3)</f>
        <v>0</v>
      </c>
      <c r="FK55" s="347">
        <f>Tabla1[[#This Row],[UNIDADES PRODUCIDAS AÑO 1 9 ]]*N40</f>
        <v>0</v>
      </c>
      <c r="FL55" s="348">
        <f>VLOOKUP(Tabla1[[#This Row],[CÓDIGO DEL PRODUCTO Y/O SERVICIO ]],Tabla3[],9)</f>
        <v>0</v>
      </c>
      <c r="FM55" s="347">
        <f>Tabla1[[#This Row],[CANTIDADES A UTILIZAR  AÑO 1 9]]*(1+Tabla1[[#This Row],[CAMBIO PORCENTUAL EN UNIDADES VENDIDAS AÑO 2 9]])</f>
        <v>0</v>
      </c>
      <c r="FN55" s="348">
        <f>VLOOKUP(Tabla1[[#This Row],[CÓDIGO DEL PRODUCTO Y/O SERVICIO ]],Tabla3[],13)</f>
        <v>0</v>
      </c>
      <c r="FO55" s="347">
        <f>Tabla1[[#This Row],[CANTIDADES A UTILIZAR  AÑO 2 9]]*(1+Tabla1[[#This Row],[CAMBIO PORCENTUAL EN UNIDADES VENDIDAS AÑO 3 9]])</f>
        <v>0</v>
      </c>
      <c r="FP55" s="348">
        <f>VLOOKUP(Tabla1[[#This Row],[CÓDIGO DEL PRODUCTO Y/O SERVICIO ]],Tabla3[],17)</f>
        <v>0</v>
      </c>
      <c r="FQ55" s="347">
        <f>Tabla1[[#This Row],[CANTIDADES A UTILIZAR  AÑO 3 9]]*(1+Tabla1[[#This Row],[CAMBIO PORCENTUAL EN UNIDADES VENDIDAS AÑO 4 9 ]])</f>
        <v>0</v>
      </c>
      <c r="FR55" s="348">
        <f>VLOOKUP(Tabla1[[#This Row],[CÓDIGO DEL PRODUCTO Y/O SERVICIO ]],Tabla3[],21)</f>
        <v>0</v>
      </c>
      <c r="FS55" s="347">
        <f>Tabla1[[#This Row],[CANTIDADES A UTILIZAR  AÑO 4  9]]*(1+Tabla1[[#This Row],[CAMBIO PORCENTUAL EN UNIDADES VENDIDAS AÑO 5 9]])</f>
        <v>0</v>
      </c>
      <c r="FT55" s="349">
        <f>IF(Tabla1[[#This Row],[CANTIDADES A UTILIZAR  AÑO 1 9]]=0,0,Tabla1[[#This Row],[CANTIDADES A UTILIZAR  AÑO 1 9]]*1/Tabla1[[#This Row],[UNIDADES PRODUCIDAS AÑO 1 9 ]])</f>
        <v>0</v>
      </c>
      <c r="FU55" s="349">
        <f>$D$21*(1+BASES!$E$10)</f>
        <v>0</v>
      </c>
      <c r="FV55" s="349">
        <f>Tabla1[[#This Row],[COSTO UNITARIO AÑO 2 9]]*(1+BASES!$F$10)</f>
        <v>0</v>
      </c>
      <c r="FW55" s="349">
        <f>Tabla1[[#This Row],[COSTO UNITARIO AÑO 3 9]]*(1+BASES!$G$10)</f>
        <v>0</v>
      </c>
      <c r="FX55" s="349">
        <f>Tabla1[[#This Row],[COSTO UNITARIO AÑO 4 9]]*(1+BASES!$H$10)</f>
        <v>0</v>
      </c>
      <c r="FY55" s="349">
        <f>Tabla1[[#This Row],[COSTO POR UNIDAD DE PRODUCTO (9)]]*$D$21*VLOOKUP(Tabla1[[#This Row],[CÓDIGO DEL PRODUCTO Y/O SERVICIO ]],Tabla3[],3)</f>
        <v>0</v>
      </c>
      <c r="FZ55" s="349">
        <f>Tabla1[[#This Row],[COSTO POR UNIDAD DE PRODUCTO (9)]]*Tabla1[[#This Row],[COSTO UNITARIO AÑO 2 9]]*VLOOKUP(Tabla1[[#This Row],[CÓDIGO DEL PRODUCTO Y/O SERVICIO ]],Tabla3[],6)</f>
        <v>0</v>
      </c>
      <c r="GA55" s="349">
        <f>Tabla1[[#This Row],[COSTO POR UNIDAD DE PRODUCTO (9)]]*Tabla1[[#This Row],[COSTO UNITARIO AÑO 3 9]]*VLOOKUP(Tabla1[[#This Row],[CÓDIGO DEL PRODUCTO Y/O SERVICIO ]],Tabla3[],10)</f>
        <v>0</v>
      </c>
      <c r="GB55" s="349">
        <f>Tabla1[[#This Row],[COSTO POR UNIDAD DE PRODUCTO (9)]]*Tabla1[[#This Row],[COSTO UNITARIO AÑO 4 9]]*VLOOKUP(Tabla1[[#This Row],[CÓDIGO DEL PRODUCTO Y/O SERVICIO ]],Tabla3[],14)</f>
        <v>0</v>
      </c>
      <c r="GC55" s="349">
        <f>Tabla1[[#This Row],[COSTO POR UNIDAD DE PRODUCTO (9)]]*Tabla1[[#This Row],[COSTO UNITARIO AÑO 5 9]]*VLOOKUP(Tabla1[[#This Row],[CÓDIGO DEL PRODUCTO Y/O SERVICIO ]],Tabla3[],18)</f>
        <v>0</v>
      </c>
      <c r="GD55" s="347">
        <f>VLOOKUP(Tabla1[[#This Row],[CÓDIGO DEL PRODUCTO Y/O SERVICIO ]],Tabla3[],3)</f>
        <v>0</v>
      </c>
      <c r="GE55" s="347">
        <f>Tabla1[[#This Row],[UNIDADES PRODUCIDAS AÑO 1 10]]*O40</f>
        <v>0</v>
      </c>
      <c r="GF55" s="348">
        <f>VLOOKUP(Tabla1[[#This Row],[CÓDIGO DEL PRODUCTO Y/O SERVICIO ]],Tabla3[],9)</f>
        <v>0</v>
      </c>
      <c r="GG55" s="347">
        <f>Tabla1[[#This Row],[CANTIDADES A UTILIZAR  AÑO 1 10]]*(1+Tabla1[[#This Row],[CAMBIO PORCENTUAL EN UNIDADES VENDIDAS AÑO 2 10 ]])</f>
        <v>0</v>
      </c>
      <c r="GH55" s="348">
        <f>VLOOKUP(Tabla1[[#This Row],[CÓDIGO DEL PRODUCTO Y/O SERVICIO ]],Tabla3[],13)</f>
        <v>0</v>
      </c>
      <c r="GI55" s="347">
        <f>Tabla1[[#This Row],[CANTIDADES A UTILIZAR  AÑO 2 10]]*(1+Tabla1[[#This Row],[CAMBIO PORCENTUAL EN UNIDADES VENDIDAS AÑO 3 10]])</f>
        <v>0</v>
      </c>
      <c r="GJ55" s="348">
        <f>VLOOKUP(Tabla1[[#This Row],[CÓDIGO DEL PRODUCTO Y/O SERVICIO ]],Tabla3[],17)</f>
        <v>0</v>
      </c>
      <c r="GK55" s="347">
        <f>Tabla1[[#This Row],[CANTIDADES A UTILIZAR AÑO 3 10 ]]*(1+Tabla1[[#This Row],[CAMBIO PORCENTUAL EN UNIDADES VENDIDAS AÑO 4 10]])</f>
        <v>0</v>
      </c>
      <c r="GL55" s="348">
        <f>VLOOKUP(Tabla1[[#This Row],[CÓDIGO DEL PRODUCTO Y/O SERVICIO ]],Tabla3[],21)</f>
        <v>0</v>
      </c>
      <c r="GM55" s="347">
        <f>Tabla1[[#This Row],[CANTIDADES A UTILIZAR  AÑO 4 10 ]]*(1+Tabla1[[#This Row],[CAMBIO PORCENTUAL EN UNIDADES VENDIDAS AÑO 5 10]])</f>
        <v>0</v>
      </c>
      <c r="GN55" s="349">
        <f>IF(Tabla1[[#This Row],[CANTIDADES A UTILIZAR  AÑO 1 10]]=0,0,Tabla1[[#This Row],[CANTIDADES A UTILIZAR  AÑO 1 10]]*1/Tabla1[[#This Row],[UNIDADES PRODUCIDAS AÑO 1 10]])</f>
        <v>0</v>
      </c>
      <c r="GO55" s="349">
        <f>$D$22*(1+BASES!$E$10)</f>
        <v>0</v>
      </c>
      <c r="GP55" s="349">
        <f>Tabla1[[#This Row],[COSTO UNITARIO AÑO 2 10 ]]*(1+BASES!$F$10)</f>
        <v>0</v>
      </c>
      <c r="GQ55" s="349">
        <f>Tabla1[[#This Row],[COSTO UNITARIO AÑO 3 10]]*(1+BASES!$G$10)</f>
        <v>0</v>
      </c>
      <c r="GR55" s="349">
        <f>Tabla1[[#This Row],[COSTO UNITARIO AÑO 4 10]]*(1+BASES!$H$10)</f>
        <v>0</v>
      </c>
      <c r="GS55" s="349">
        <f>Tabla1[[#This Row],[COSTO POR UNIDAD DE PRODUCTO (10)]]*$D$22*VLOOKUP(Tabla1[[#This Row],[CÓDIGO DEL PRODUCTO Y/O SERVICIO ]],Tabla3[],3)</f>
        <v>0</v>
      </c>
      <c r="GT55" s="349">
        <f>Tabla1[[#This Row],[COSTO POR UNIDAD DE PRODUCTO (10)]]*Tabla1[[#This Row],[COSTO UNITARIO AÑO 2 10 ]]*VLOOKUP(Tabla1[[#This Row],[CÓDIGO DEL PRODUCTO Y/O SERVICIO ]],Tabla3[],6)</f>
        <v>0</v>
      </c>
      <c r="GU55" s="349">
        <f>Tabla1[[#This Row],[COSTO POR UNIDAD DE PRODUCTO (10)]]*Tabla1[[#This Row],[COSTO UNITARIO AÑO 3 10]]*VLOOKUP(Tabla1[[#This Row],[CÓDIGO DEL PRODUCTO Y/O SERVICIO ]],Tabla3[],10)</f>
        <v>0</v>
      </c>
      <c r="GV55" s="349">
        <f>Tabla1[[#This Row],[COSTO POR UNIDAD DE PRODUCTO (10)]]*Tabla1[[#This Row],[COSTO UNITARIO AÑO 4 10]]*VLOOKUP(Tabla1[[#This Row],[CÓDIGO DEL PRODUCTO Y/O SERVICIO ]],Tabla3[],14)</f>
        <v>0</v>
      </c>
      <c r="GW55" s="349">
        <f>Tabla1[[#This Row],[COSTO POR UNIDAD DE PRODUCTO (10)]]*Tabla1[[#This Row],[COSTO UNITARIO AÑO 5 10 ]]*VLOOKUP(Tabla1[[#This Row],[CÓDIGO DEL PRODUCTO Y/O SERVICIO ]],Tabla3[],18)</f>
        <v>0</v>
      </c>
      <c r="GX55" s="347">
        <f>VLOOKUP(Tabla1[[#This Row],[CÓDIGO DEL PRODUCTO Y/O SERVICIO ]],Tabla3[],3)</f>
        <v>0</v>
      </c>
      <c r="GY55" s="347">
        <f>Tabla1[[#This Row],[UNIDADES PRODUCIDAS AÑO 1 11]]*P40</f>
        <v>0</v>
      </c>
      <c r="GZ55" s="348">
        <f>VLOOKUP(Tabla1[[#This Row],[CÓDIGO DEL PRODUCTO Y/O SERVICIO ]],Tabla3[],9)</f>
        <v>0</v>
      </c>
      <c r="HA55" s="347">
        <f>Tabla1[[#This Row],[CANTIDADES A UTILIZAR  AÑO 1 11 ]]*(1+Tabla1[[#This Row],[CAMBIO PORCENTUAL EN UNIDADES VENDIDAS AÑO 2 11 ]])</f>
        <v>0</v>
      </c>
      <c r="HB55" s="348">
        <f>VLOOKUP(Tabla1[[#This Row],[CÓDIGO DEL PRODUCTO Y/O SERVICIO ]],Tabla3[],13)</f>
        <v>0</v>
      </c>
      <c r="HC55" s="347">
        <f>Tabla1[[#This Row],[CANTIDADES A UTILIZAR  AÑO 2 11 ]]*(1+Tabla1[[#This Row],[CAMBIO PORCENTUAL EN UNIDADES VENDIDAS AÑO 3 11]])</f>
        <v>0</v>
      </c>
      <c r="HD55" s="348">
        <f>VLOOKUP(Tabla1[[#This Row],[CÓDIGO DEL PRODUCTO Y/O SERVICIO ]],Tabla3[],17)</f>
        <v>0</v>
      </c>
      <c r="HE55" s="347">
        <f>Tabla1[[#This Row],[CANTIDADES A UTILIZAR  AÑO 3 11]]*(1+Tabla1[[#This Row],[CAMBIO PORCENTUAL EN UNIDADES VENDIDAS AÑO 4 11]])</f>
        <v>0</v>
      </c>
      <c r="HF55" s="348">
        <f>VLOOKUP(Tabla1[[#This Row],[CÓDIGO DEL PRODUCTO Y/O SERVICIO ]],Tabla3[],21)</f>
        <v>0</v>
      </c>
      <c r="HG55" s="347">
        <f>Tabla1[[#This Row],[CANTIDADES A UTILIZAR  AÑO 4 11]]*(1+Tabla1[[#This Row],[CAMBIO PORCENTUAL EN UNIDADES VENDIDAS AÑO 5 11 ]])</f>
        <v>0</v>
      </c>
      <c r="HH55" s="349">
        <f>IF(Tabla1[[#This Row],[CANTIDADES A UTILIZAR  AÑO 1 11 ]]=0,0,Tabla1[[#This Row],[CANTIDADES A UTILIZAR  AÑO 1 11 ]]*1/Tabla1[[#This Row],[UNIDADES PRODUCIDAS AÑO 1 11]])</f>
        <v>0</v>
      </c>
      <c r="HI55" s="349">
        <f>$D$23*(1+BASES!$E$10)</f>
        <v>0</v>
      </c>
      <c r="HJ55" s="349">
        <f>Tabla1[[#This Row],[COSTO UNITARIO AÑO 2 11]]*(1+BASES!$F$10)</f>
        <v>0</v>
      </c>
      <c r="HK55" s="349">
        <f>Tabla1[[#This Row],[COSTO UNITARIO AÑO 3 11 ]]*(1+BASES!$G$10)</f>
        <v>0</v>
      </c>
      <c r="HL55" s="349">
        <f>Tabla1[[#This Row],[COSTO UNITARIO AÑO 4 11 ]]*(1+BASES!$H$10)</f>
        <v>0</v>
      </c>
      <c r="HM55" s="349">
        <f>Tabla1[[#This Row],[COSTO POR UNIDAD DE PRODUCTO (11)]]*$D$23*VLOOKUP(Tabla1[[#This Row],[CÓDIGO DEL PRODUCTO Y/O SERVICIO ]],Tabla3[],3)</f>
        <v>0</v>
      </c>
      <c r="HN55" s="349">
        <f>Tabla1[[#This Row],[COSTO POR UNIDAD DE PRODUCTO (11)]]*Tabla1[[#This Row],[COSTO UNITARIO AÑO 2 11]]*VLOOKUP(Tabla1[[#This Row],[CÓDIGO DEL PRODUCTO Y/O SERVICIO ]],Tabla3[],6)</f>
        <v>0</v>
      </c>
      <c r="HO55" s="349">
        <f>Tabla1[[#This Row],[COSTO POR UNIDAD DE PRODUCTO (11)]]*Tabla1[[#This Row],[COSTO UNITARIO AÑO 3 11 ]]*VLOOKUP(Tabla1[[#This Row],[CÓDIGO DEL PRODUCTO Y/O SERVICIO ]],Tabla3[],10)</f>
        <v>0</v>
      </c>
      <c r="HP55" s="349">
        <f>Tabla1[[#This Row],[COSTO POR UNIDAD DE PRODUCTO (11)]]*Tabla1[[#This Row],[COSTO UNITARIO AÑO 4 11 ]]*VLOOKUP(Tabla1[[#This Row],[CÓDIGO DEL PRODUCTO Y/O SERVICIO ]],Tabla3[],14)</f>
        <v>0</v>
      </c>
      <c r="HQ55" s="349">
        <f>Tabla1[[#This Row],[COSTO POR UNIDAD DE PRODUCTO (11)]]*Tabla1[[#This Row],[COSTO UNITARIO AÑO 5 11 ]]*VLOOKUP(Tabla1[[#This Row],[CÓDIGO DEL PRODUCTO Y/O SERVICIO ]],Tabla3[],18)</f>
        <v>0</v>
      </c>
      <c r="HR55" s="347">
        <f>VLOOKUP(Tabla1[[#This Row],[CÓDIGO DEL PRODUCTO Y/O SERVICIO ]],Tabla3[],3)</f>
        <v>0</v>
      </c>
      <c r="HS55" s="347">
        <f>Tabla1[[#This Row],[UNIDADES PRODUCIDAS AÑO 1 12]]*Q40</f>
        <v>0</v>
      </c>
      <c r="HT55" s="348">
        <f>VLOOKUP(Tabla1[[#This Row],[CÓDIGO DEL PRODUCTO Y/O SERVICIO ]],Tabla3[],9)</f>
        <v>0</v>
      </c>
      <c r="HU55" s="347">
        <f>Tabla1[[#This Row],[CANTIDADES A UTILIZAR  AÑO 1 12]]*(1+Tabla1[[#This Row],[CAMBIO PORCENTUAL EN UNIDADES VENDIDAS AÑO 2 12]])</f>
        <v>0</v>
      </c>
      <c r="HV55" s="348">
        <f>VLOOKUP(Tabla1[[#This Row],[CÓDIGO DEL PRODUCTO Y/O SERVICIO ]],Tabla3[],13)</f>
        <v>0</v>
      </c>
      <c r="HW55" s="347">
        <f>Tabla1[[#This Row],[CANTIDADES A UTILIZAR  AÑO 2 12]]*(1+Tabla1[[#This Row],[CAMBIO PORCENTUAL EN UNIDADES VENDIDAS AÑO 3 12]])</f>
        <v>0</v>
      </c>
      <c r="HX55" s="348">
        <f>VLOOKUP(Tabla1[[#This Row],[CÓDIGO DEL PRODUCTO Y/O SERVICIO ]],Tabla3[],17)</f>
        <v>0</v>
      </c>
      <c r="HY55" s="347">
        <f>Tabla1[[#This Row],[CANTIDADES A UTILIZAR  AÑO 3 12]]*(1+Tabla1[[#This Row],[CAMBIO PORCENTUAL EN UNIDADES VENDIDAS AÑO 4 12]])</f>
        <v>0</v>
      </c>
      <c r="HZ55" s="348">
        <f>VLOOKUP(Tabla1[[#This Row],[CÓDIGO DEL PRODUCTO Y/O SERVICIO ]],Tabla3[],21)</f>
        <v>0</v>
      </c>
      <c r="IA55" s="347">
        <f>Tabla1[[#This Row],[CANTIDADES A UTILIZAR  AÑO 4 12]]*(1+Tabla1[[#This Row],[CAMBIO PORCENTUAL EN UNIDADES VENDIDAS AÑO 5 12]])</f>
        <v>0</v>
      </c>
      <c r="IB55" s="349">
        <f>IF(Tabla1[[#This Row],[CANTIDADES A UTILIZAR  AÑO 1 12]]=0,0,Tabla1[[#This Row],[CANTIDADES A UTILIZAR  AÑO 1 12]]*1/Tabla1[[#This Row],[UNIDADES PRODUCIDAS AÑO 1 12]])</f>
        <v>0</v>
      </c>
      <c r="IC55" s="349">
        <f>$D$24*(1+BASES!$E$10)</f>
        <v>0</v>
      </c>
      <c r="ID55" s="349">
        <f>Tabla1[[#This Row],[COSTO UNITARIO AÑO 2 12]]*(1+BASES!$F$10)</f>
        <v>0</v>
      </c>
      <c r="IE55" s="349">
        <f>Tabla1[[#This Row],[COSTO UNITARIO AÑO 3 12]]*(1+BASES!$G$10)</f>
        <v>0</v>
      </c>
      <c r="IF55" s="349">
        <f>Tabla1[[#This Row],[COSTO UNITARIO AÑO 4 12]]*(1+BASES!$H$10)</f>
        <v>0</v>
      </c>
      <c r="IG55" s="349">
        <f>Tabla1[[#This Row],[COSTO POR UNIDAD DE PRODUCTO (12)]]*$D$24*VLOOKUP(Tabla1[[#This Row],[CÓDIGO DEL PRODUCTO Y/O SERVICIO ]],Tabla3[],3)</f>
        <v>0</v>
      </c>
      <c r="IH55" s="349">
        <f>Tabla1[[#This Row],[COSTO POR UNIDAD DE PRODUCTO (12)]]*Tabla1[[#This Row],[COSTO UNITARIO AÑO 2 12]]*VLOOKUP(Tabla1[[#This Row],[CÓDIGO DEL PRODUCTO Y/O SERVICIO ]],Tabla3[],6)</f>
        <v>0</v>
      </c>
      <c r="II55" s="349">
        <f>Tabla1[[#This Row],[COSTO POR UNIDAD DE PRODUCTO (12)]]*Tabla1[[#This Row],[COSTO UNITARIO AÑO 3 12]]*VLOOKUP(Tabla1[[#This Row],[CÓDIGO DEL PRODUCTO Y/O SERVICIO ]],Tabla3[],10)</f>
        <v>0</v>
      </c>
      <c r="IJ55" s="349">
        <f>Tabla1[[#This Row],[COSTO POR UNIDAD DE PRODUCTO (12)]]*Tabla1[[#This Row],[COSTO UNITARIO AÑO 4 12]]*VLOOKUP(Tabla1[[#This Row],[CÓDIGO DEL PRODUCTO Y/O SERVICIO ]],Tabla3[],14)</f>
        <v>0</v>
      </c>
      <c r="IK55" s="349">
        <f>Tabla1[[#This Row],[COSTO POR UNIDAD DE PRODUCTO (12)]]*Tabla1[[#This Row],[COSTO UNITARIO AÑO 5 12]]*VLOOKUP(Tabla1[[#This Row],[CÓDIGO DEL PRODUCTO Y/O SERVICIO ]],Tabla3[],18)</f>
        <v>0</v>
      </c>
      <c r="IL55" s="347">
        <f>VLOOKUP(Tabla1[[#This Row],[CÓDIGO DEL PRODUCTO Y/O SERVICIO ]],Tabla3[],3)</f>
        <v>0</v>
      </c>
      <c r="IM55" s="347">
        <f>Tabla1[[#This Row],[UNIDADES PRODUCIDAS AÑO 1 13]]*R40</f>
        <v>0</v>
      </c>
      <c r="IN55" s="348">
        <f>VLOOKUP(Tabla1[[#This Row],[CÓDIGO DEL PRODUCTO Y/O SERVICIO ]],Tabla3[],9)</f>
        <v>0</v>
      </c>
      <c r="IO55" s="347">
        <f>Tabla1[[#This Row],[CANTIDADES A UTILIZAR  AÑO 1 13]]*(1+Tabla1[[#This Row],[CAMBIO PORCENTUAL EN UNIDADES VENDIDAS AÑO 2 13]])</f>
        <v>0</v>
      </c>
      <c r="IP55" s="348">
        <f>VLOOKUP(Tabla1[[#This Row],[CÓDIGO DEL PRODUCTO Y/O SERVICIO ]],Tabla3[],13)</f>
        <v>0</v>
      </c>
      <c r="IQ55" s="347">
        <f>Tabla1[[#This Row],[CANTIDADES A UTILIZAR  AÑO 2 13]]*(1+Tabla1[[#This Row],[CAMBIO PORCENTUAL EN UNIDADES VENDIDAS AÑO 3 13]])</f>
        <v>0</v>
      </c>
      <c r="IR55" s="347">
        <f>VLOOKUP(Tabla1[[#This Row],[CÓDIGO DEL PRODUCTO Y/O SERVICIO ]],Tabla3[],17)</f>
        <v>0</v>
      </c>
      <c r="IS55" s="347">
        <f>Tabla1[[#This Row],[CANTIDADES A UTILIZAR  AÑO 3 13]]*(1+Tabla1[[#This Row],[CAMBIO PORCENTUAL EN UNIDADES VENDIDAS AÑO 4 13]])</f>
        <v>0</v>
      </c>
      <c r="IT55" s="348">
        <f>VLOOKUP(Tabla1[[#This Row],[CÓDIGO DEL PRODUCTO Y/O SERVICIO ]],Tabla3[],21)</f>
        <v>0</v>
      </c>
      <c r="IU55" s="347">
        <f>Tabla1[[#This Row],[CANTIDADES A UTILIZAR  AÑO 4 13]]*(1+Tabla1[[#This Row],[CAMBIO PORCENTUAL EN UNIDADES VENDIDAS AÑO 5 13]])</f>
        <v>0</v>
      </c>
      <c r="IV55" s="349">
        <f>IF(Tabla1[[#This Row],[CANTIDADES A UTILIZAR  AÑO 1 13]]=0,0,Tabla1[[#This Row],[CANTIDADES A UTILIZAR  AÑO 1 13]]*1/Tabla1[[#This Row],[UNIDADES PRODUCIDAS AÑO 1 13]])</f>
        <v>0</v>
      </c>
      <c r="IW55" s="349">
        <f>$D$25*(1+BASES!$E$10)</f>
        <v>0</v>
      </c>
      <c r="IX55" s="349">
        <f>Tabla1[[#This Row],[COSTO UNITARIO AÑO 2 13]]*(1+BASES!$F$10)</f>
        <v>0</v>
      </c>
      <c r="IY55" s="349">
        <f>Tabla1[[#This Row],[COSTO UNITARIO AÑO 3 13]]*(1+BASES!$G$10)</f>
        <v>0</v>
      </c>
      <c r="IZ55" s="349">
        <f>Tabla1[[#This Row],[COSTO UNITARIO AÑO 4 13]]*(1+BASES!$H$10)</f>
        <v>0</v>
      </c>
      <c r="JA55" s="349">
        <f>Tabla1[[#This Row],[COSTO POR UNIDAD DE PRODUCTO (13)]]*$D$25*VLOOKUP(Tabla1[[#This Row],[CÓDIGO DEL PRODUCTO Y/O SERVICIO ]],Tabla3[],3)</f>
        <v>0</v>
      </c>
      <c r="JB55" s="349">
        <f>Tabla1[[#This Row],[COSTO POR UNIDAD DE PRODUCTO (13)]]*Tabla1[[#This Row],[COSTO UNITARIO AÑO 2 13]]*VLOOKUP(Tabla1[[#This Row],[CÓDIGO DEL PRODUCTO Y/O SERVICIO ]],Tabla3[],6)</f>
        <v>0</v>
      </c>
      <c r="JC55" s="349">
        <f>Tabla1[[#This Row],[COSTO POR UNIDAD DE PRODUCTO (13)]]*Tabla1[[#This Row],[COSTO UNITARIO AÑO 3 13]]*VLOOKUP(Tabla1[[#This Row],[CÓDIGO DEL PRODUCTO Y/O SERVICIO ]],Tabla3[],10)</f>
        <v>0</v>
      </c>
      <c r="JD55" s="349">
        <f>Tabla1[[#This Row],[COSTO POR UNIDAD DE PRODUCTO (13)]]*Tabla1[[#This Row],[COSTO UNITARIO AÑO 4 13]]*VLOOKUP(Tabla1[[#This Row],[CÓDIGO DEL PRODUCTO Y/O SERVICIO ]],Tabla3[],14)</f>
        <v>0</v>
      </c>
      <c r="JE55" s="349">
        <f>Tabla1[[#This Row],[COSTO POR UNIDAD DE PRODUCTO (13)]]*Tabla1[[#This Row],[COSTO UNITARIO AÑO 5 13]]*VLOOKUP(Tabla1[[#This Row],[CÓDIGO DEL PRODUCTO Y/O SERVICIO ]],Tabla3[],18)</f>
        <v>0</v>
      </c>
      <c r="JF55" s="347">
        <f>VLOOKUP(Tabla1[[#This Row],[CÓDIGO DEL PRODUCTO Y/O SERVICIO ]],Tabla3[],3)</f>
        <v>0</v>
      </c>
      <c r="JG55" s="347">
        <f>Tabla1[[#This Row],[UNIDADES PRODUCIDAS AÑO 1 14]]*S40</f>
        <v>0</v>
      </c>
      <c r="JH55" s="348">
        <f>VLOOKUP(Tabla1[[#This Row],[CÓDIGO DEL PRODUCTO Y/O SERVICIO ]],Tabla3[],9)</f>
        <v>0</v>
      </c>
      <c r="JI55" s="347">
        <f>Tabla1[[#This Row],[CANTIDADES A UTILIZAR  AÑO 1 14]]*(1+Tabla1[[#This Row],[CAMBIO PORCENTUAL EN UNIDADES VENDIDAS AÑO 2 14]])</f>
        <v>0</v>
      </c>
      <c r="JJ55" s="348">
        <f>VLOOKUP(Tabla1[[#This Row],[CÓDIGO DEL PRODUCTO Y/O SERVICIO ]],Tabla3[],13)</f>
        <v>0</v>
      </c>
      <c r="JK55" s="347">
        <f>Tabla1[[#This Row],[CANTIDADES A UTILIZAR  AÑO 2 14]]*(1+Tabla1[[#This Row],[CAMBIO PORCENTUAL EN UNIDADES VENDIDAS AÑO 3 14]])</f>
        <v>0</v>
      </c>
      <c r="JL55" s="348">
        <f>VLOOKUP(Tabla1[[#This Row],[CÓDIGO DEL PRODUCTO Y/O SERVICIO ]],Tabla3[],17)</f>
        <v>0</v>
      </c>
      <c r="JM55" s="347">
        <f>Tabla1[[#This Row],[CANTIDADES A UTILIZAR AÑO 3 14]]*(1+Tabla1[[#This Row],[CAMBIO PORCENTUAL EN UNIDADES VENDIDAS AÑO 4 14]])</f>
        <v>0</v>
      </c>
      <c r="JN55" s="348">
        <f>VLOOKUP(Tabla1[[#This Row],[CÓDIGO DEL PRODUCTO Y/O SERVICIO ]],Tabla3[],21)</f>
        <v>0</v>
      </c>
      <c r="JO55" s="347">
        <f>Tabla1[[#This Row],[CANTIDADES A UTILIZAR  AÑO 4 14]]*(1+Tabla1[[#This Row],[CAMBIO PORCENTUAL EN UNIDADES VENDIDAS AÑO 5 14]])</f>
        <v>0</v>
      </c>
      <c r="JP55" s="349">
        <f>IF(Tabla1[[#This Row],[CANTIDADES A UTILIZAR  AÑO 1 14]]=0,0,Tabla1[[#This Row],[CANTIDADES A UTILIZAR  AÑO 1 14]]*1/Tabla1[[#This Row],[UNIDADES PRODUCIDAS AÑO 1 14]])</f>
        <v>0</v>
      </c>
      <c r="JQ55" s="349">
        <f>$D$26*(1+BASES!$E$10)</f>
        <v>0</v>
      </c>
      <c r="JR55" s="349">
        <f>Tabla1[[#This Row],[COSTO UNITARIO AÑO 2 14]]*(1+BASES!$F$10)</f>
        <v>0</v>
      </c>
      <c r="JS55" s="349">
        <f>Tabla1[[#This Row],[COSTO UNITARIO AÑO 3 14]]*(1+BASES!$G$10)</f>
        <v>0</v>
      </c>
      <c r="JT55" s="349">
        <f>Tabla1[[#This Row],[COSTO UNITARIO AÑO 4 14]]*(1+BASES!$H$10)</f>
        <v>0</v>
      </c>
      <c r="JU55" s="349">
        <f>Tabla1[[#This Row],[COSTO POR UNIDAD DE PRODUCTO (14)]]*$D$26*VLOOKUP(Tabla1[[#This Row],[CÓDIGO DEL PRODUCTO Y/O SERVICIO ]],Tabla3[],3)</f>
        <v>0</v>
      </c>
      <c r="JV55" s="349">
        <f>Tabla1[[#This Row],[COSTO POR UNIDAD DE PRODUCTO (14)]]*Tabla1[[#This Row],[COSTO UNITARIO AÑO 2 14]]*VLOOKUP(Tabla1[[#This Row],[CÓDIGO DEL PRODUCTO Y/O SERVICIO ]],Tabla3[],6)</f>
        <v>0</v>
      </c>
      <c r="JW55" s="349">
        <f>Tabla1[[#This Row],[COSTO POR UNIDAD DE PRODUCTO (14)]]*Tabla1[[#This Row],[COSTO UNITARIO AÑO 3 14]]*VLOOKUP(Tabla1[[#This Row],[CÓDIGO DEL PRODUCTO Y/O SERVICIO ]],Tabla3[],10)</f>
        <v>0</v>
      </c>
      <c r="JX55" s="349">
        <f>Tabla1[[#This Row],[COSTO POR UNIDAD DE PRODUCTO (14)]]*Tabla1[[#This Row],[COSTO UNITARIO AÑO 4 14]]*VLOOKUP(Tabla1[[#This Row],[CÓDIGO DEL PRODUCTO Y/O SERVICIO ]],Tabla3[],14)</f>
        <v>0</v>
      </c>
      <c r="JY55" s="349">
        <f>Tabla1[[#This Row],[COSTO POR UNIDAD DE PRODUCTO (14)]]*Tabla1[[#This Row],[COSTO UNITARIO AÑO 5 14]]*VLOOKUP(Tabla1[[#This Row],[CÓDIGO DEL PRODUCTO Y/O SERVICIO ]],Tabla3[],18)</f>
        <v>0</v>
      </c>
      <c r="JZ55" s="347">
        <f>VLOOKUP(Tabla1[[#This Row],[CÓDIGO DEL PRODUCTO Y/O SERVICIO ]],Tabla3[],3)</f>
        <v>0</v>
      </c>
      <c r="KA55" s="347">
        <f>Tabla1[[#This Row],[UNIDADES PRODUCIDAS AÑO 1 15]]*T40</f>
        <v>0</v>
      </c>
      <c r="KB55" s="348">
        <f>VLOOKUP(Tabla1[[#This Row],[CÓDIGO DEL PRODUCTO Y/O SERVICIO ]],Tabla3[],9)</f>
        <v>0</v>
      </c>
      <c r="KC55" s="347">
        <f>Tabla1[[#This Row],[CANTIDADES A UTILIZAR  AÑO 1 15]]*(1+Tabla1[[#This Row],[CAMBIO PORCENTUAL EN UNIDADES VENDIDAS AÑO 2 15]])</f>
        <v>0</v>
      </c>
      <c r="KD55" s="348">
        <f>VLOOKUP(Tabla1[[#This Row],[CÓDIGO DEL PRODUCTO Y/O SERVICIO ]],Tabla3[],13)</f>
        <v>0</v>
      </c>
      <c r="KE55" s="347">
        <f>Tabla1[[#This Row],[CANTIDADES A UTILIZAR  AÑO 2 15]]*(1+Tabla1[[#This Row],[CAMBIO PORCENTUAL EN UNIDADES VENDIDAS AÑO 3 15]])</f>
        <v>0</v>
      </c>
      <c r="KF55" s="348">
        <f>VLOOKUP(Tabla1[[#This Row],[CÓDIGO DEL PRODUCTO Y/O SERVICIO ]],Tabla3[],17)</f>
        <v>0</v>
      </c>
      <c r="KG55" s="347">
        <f>Tabla1[[#This Row],[CANTIDADES A UTILIZAR  AÑO 3 15]]*(1+Tabla1[[#This Row],[CAMBIO PORCENTUAL EN UNIDADES VENDIDAS AÑO 4 15]])</f>
        <v>0</v>
      </c>
      <c r="KH55" s="348">
        <f>VLOOKUP(Tabla1[[#This Row],[CÓDIGO DEL PRODUCTO Y/O SERVICIO ]],Tabla3[],21)</f>
        <v>0</v>
      </c>
      <c r="KI55" s="347">
        <f>Tabla1[[#This Row],[CANTIDADES A UTILIZAR  AÑO 4 15]]*(1+Tabla1[[#This Row],[CAMBIO PORCENTUAL EN UNIDADES VENDIDAS AÑO 5 15]])</f>
        <v>0</v>
      </c>
      <c r="KJ55" s="349">
        <f>IF(Tabla1[[#This Row],[CANTIDADES A UTILIZAR  AÑO 1 15]]=0,0,Tabla1[[#This Row],[CANTIDADES A UTILIZAR  AÑO 1 15]]*1/Tabla1[[#This Row],[UNIDADES PRODUCIDAS AÑO 1 15]])</f>
        <v>0</v>
      </c>
      <c r="KK55" s="349">
        <f>$D$27*(1+BASES!$E$10)</f>
        <v>0</v>
      </c>
      <c r="KL55" s="349">
        <f>Tabla1[[#This Row],[COSTO UNITARIO AÑO 2 15]]*(1+BASES!$F$10)</f>
        <v>0</v>
      </c>
      <c r="KM55" s="349">
        <f>Tabla1[[#This Row],[COSTO UNITARIO AÑO 3 15]]*(1+BASES!$G$10)</f>
        <v>0</v>
      </c>
      <c r="KN55" s="349">
        <f>Tabla1[[#This Row],[COSTO UNITARIO AÑO 4 15]]*(1+BASES!$H$10)</f>
        <v>0</v>
      </c>
      <c r="KO55" s="349">
        <f>Tabla1[[#This Row],[COSTO POR UNIDAD DE PRODUCTO (15)]]*$D$27*VLOOKUP(Tabla1[[#This Row],[CÓDIGO DEL PRODUCTO Y/O SERVICIO ]],Tabla3[],3)</f>
        <v>0</v>
      </c>
      <c r="KP55" s="349">
        <f>Tabla1[[#This Row],[COSTO POR UNIDAD DE PRODUCTO (15)]]*Tabla1[[#This Row],[COSTO UNITARIO AÑO 2 15]]*VLOOKUP(Tabla1[[#This Row],[CÓDIGO DEL PRODUCTO Y/O SERVICIO ]],Tabla3[],6)</f>
        <v>0</v>
      </c>
      <c r="KQ55" s="349">
        <f>Tabla1[[#This Row],[COSTO POR UNIDAD DE PRODUCTO (15)]]*Tabla1[[#This Row],[COSTO UNITARIO AÑO 3 15]]*VLOOKUP(Tabla1[[#This Row],[CÓDIGO DEL PRODUCTO Y/O SERVICIO ]],Tabla3[],10)</f>
        <v>0</v>
      </c>
      <c r="KR55" s="349">
        <f>Tabla1[[#This Row],[COSTO POR UNIDAD DE PRODUCTO (15)]]*Tabla1[[#This Row],[COSTO UNITARIO AÑO 4 15]]*VLOOKUP(Tabla1[[#This Row],[CÓDIGO DEL PRODUCTO Y/O SERVICIO ]],Tabla3[],14)</f>
        <v>0</v>
      </c>
      <c r="KS55" s="349">
        <f>Tabla1[[#This Row],[COSTO POR UNIDAD DE PRODUCTO (15)]]*Tabla1[[#This Row],[COSTO UNITARIO AÑO 5 15]]*VLOOKUP(Tabla1[[#This Row],[CÓDIGO DEL PRODUCTO Y/O SERVICIO ]],Tabla3[],18)</f>
        <v>0</v>
      </c>
      <c r="KT55" s="347">
        <f>VLOOKUP(Tabla1[[#This Row],[CÓDIGO DEL PRODUCTO Y/O SERVICIO ]],Tabla3[],3)</f>
        <v>0</v>
      </c>
      <c r="KU55" s="347">
        <f>Tabla1[[#This Row],[UNIDADES PRODUCIDAS AÑO 1 16]]*U40</f>
        <v>0</v>
      </c>
      <c r="KV55" s="348">
        <f>VLOOKUP(Tabla1[[#This Row],[CÓDIGO DEL PRODUCTO Y/O SERVICIO ]],Tabla3[],9)</f>
        <v>0</v>
      </c>
      <c r="KW55" s="347">
        <f>Tabla1[[#This Row],[CANTIDADES A UTILIZAR  AÑO 1 16]]*(1+Tabla1[[#This Row],[CAMBIO PORCENTUAL EN UNIDADES VENDIDAS AÑO 2 16]])</f>
        <v>0</v>
      </c>
      <c r="KX55" s="348">
        <f>VLOOKUP(Tabla1[[#This Row],[CÓDIGO DEL PRODUCTO Y/O SERVICIO ]],Tabla3[],13)</f>
        <v>0</v>
      </c>
      <c r="KY55" s="347">
        <f>Tabla1[[#This Row],[CANTIDADES A UTILIZAR  AÑO 2 16]]*(1+Tabla1[[#This Row],[CAMBIO PORCENTUAL EN UNIDADES VENDIDAS AÑO 3 16]])</f>
        <v>0</v>
      </c>
      <c r="KZ55" s="348">
        <f>VLOOKUP(Tabla1[[#This Row],[CÓDIGO DEL PRODUCTO Y/O SERVICIO ]],Tabla3[],17)</f>
        <v>0</v>
      </c>
      <c r="LA55" s="347">
        <f>Tabla1[[#This Row],[CANTIDADES A UTILIZAR  AÑO 3 16]]*(1+Tabla1[[#This Row],[CAMBIO PORCENTUAL EN UNIDADES VENDIDAS AÑO 4 16]])</f>
        <v>0</v>
      </c>
      <c r="LB55" s="348">
        <f>VLOOKUP(Tabla1[[#This Row],[CÓDIGO DEL PRODUCTO Y/O SERVICIO ]],Tabla3[],21)</f>
        <v>0</v>
      </c>
      <c r="LC55" s="347">
        <f>Tabla1[[#This Row],[CANTIDADES A UTILIZAR  AÑO 4 16]]*(1+Tabla1[[#This Row],[CAMBIO PORCENTUAL EN UNIDADES VENDIDAS AÑO 5 16]])</f>
        <v>0</v>
      </c>
      <c r="LD55" s="349">
        <f>IF(Tabla1[[#This Row],[CANTIDADES A UTILIZAR  AÑO 1 16]]=0,0,Tabla1[[#This Row],[CANTIDADES A UTILIZAR  AÑO 1 16]]*1/Tabla1[[#This Row],[UNIDADES PRODUCIDAS AÑO 1 16]])</f>
        <v>0</v>
      </c>
      <c r="LE55" s="349">
        <f>$D$28*(1+BASES!$E$10)</f>
        <v>0</v>
      </c>
      <c r="LF55" s="349">
        <f>Tabla1[[#This Row],[COSTO UNITARIO AÑO 2 16]]*(1+BASES!$F$10)</f>
        <v>0</v>
      </c>
      <c r="LG55" s="349">
        <f>Tabla1[[#This Row],[COSTO UNITARIO AÑO 3 16]]*(1+BASES!$G$10)</f>
        <v>0</v>
      </c>
      <c r="LH55" s="349">
        <f>Tabla1[[#This Row],[COSTO UNITARIO AÑO 4 16]]*(1+BASES!$H$10)</f>
        <v>0</v>
      </c>
      <c r="LI55" s="349">
        <f>Tabla1[[#This Row],[COSTO POR UNIDAD DE PRODUCTO (16)]]*$D$28*VLOOKUP(Tabla1[[#This Row],[CÓDIGO DEL PRODUCTO Y/O SERVICIO ]],Tabla3[],3)</f>
        <v>0</v>
      </c>
      <c r="LJ55" s="349">
        <f>Tabla1[[#This Row],[COSTO POR UNIDAD DE PRODUCTO (16)]]*Tabla1[[#This Row],[COSTO UNITARIO AÑO 2 16]]*VLOOKUP(Tabla1[[#This Row],[CÓDIGO DEL PRODUCTO Y/O SERVICIO ]],Tabla3[],6)</f>
        <v>0</v>
      </c>
      <c r="LK55" s="349">
        <f>Tabla1[[#This Row],[COSTO POR UNIDAD DE PRODUCTO (16)]]*Tabla1[[#This Row],[COSTO UNITARIO AÑO 3 16]]*VLOOKUP(Tabla1[[#This Row],[CÓDIGO DEL PRODUCTO Y/O SERVICIO ]],Tabla3[],10)</f>
        <v>0</v>
      </c>
      <c r="LL55" s="349">
        <f>Tabla1[[#This Row],[COSTO POR UNIDAD DE PRODUCTO (16)]]*Tabla1[[#This Row],[COSTO UNITARIO AÑO 4 16]]*VLOOKUP(Tabla1[[#This Row],[CÓDIGO DEL PRODUCTO Y/O SERVICIO ]],Tabla3[],14)</f>
        <v>0</v>
      </c>
      <c r="LM55" s="349">
        <f>Tabla1[[#This Row],[COSTO POR UNIDAD DE PRODUCTO (16)]]*Tabla1[[#This Row],[COSTO UNITARIO AÑO 5 16]]*VLOOKUP(Tabla1[[#This Row],[CÓDIGO DEL PRODUCTO Y/O SERVICIO ]],Tabla3[],18)</f>
        <v>0</v>
      </c>
      <c r="LN55" s="347">
        <f>VLOOKUP(Tabla1[[#This Row],[CÓDIGO DEL PRODUCTO Y/O SERVICIO ]],Tabla3[],3)</f>
        <v>0</v>
      </c>
      <c r="LO55" s="347">
        <f>Tabla1[[#This Row],[UNIDADES PRODUCIDAS AÑO 1 17]]*V40</f>
        <v>0</v>
      </c>
      <c r="LP55" s="348">
        <f>VLOOKUP(Tabla1[[#This Row],[CÓDIGO DEL PRODUCTO Y/O SERVICIO ]],Tabla3[],9)</f>
        <v>0</v>
      </c>
      <c r="LQ55" s="347">
        <f>Tabla1[[#This Row],[CANTIDADES A UTILIZAR  AÑO 1 17]]*(1+Tabla1[[#This Row],[CAMBIO PORCENTUAL EN UNIDADES VENDIDAS AÑO 2 17]])</f>
        <v>0</v>
      </c>
      <c r="LR55" s="348">
        <f>VLOOKUP(Tabla1[[#This Row],[CÓDIGO DEL PRODUCTO Y/O SERVICIO ]],Tabla3[],13)</f>
        <v>0</v>
      </c>
      <c r="LS55" s="347">
        <f>Tabla1[[#This Row],[CANTIDADES A UTILIZAR  AÑO 2 17]]*(1+Tabla1[[#This Row],[CAMBIO PORCENTUAL EN UNIDADES VENDIDAS AÑO 3 17]])</f>
        <v>0</v>
      </c>
      <c r="LT55" s="348">
        <f>VLOOKUP(Tabla1[[#This Row],[CÓDIGO DEL PRODUCTO Y/O SERVICIO ]],Tabla3[],17)</f>
        <v>0</v>
      </c>
      <c r="LU55" s="347">
        <f>Tabla1[[#This Row],[CANTIDADES A UTILIZAR  AÑO 3 17]]*(1+Tabla1[[#This Row],[CAMBIO PORCENTUAL EN UNIDADES VENDIDAS AÑO 4 17 ]])</f>
        <v>0</v>
      </c>
      <c r="LV55" s="348">
        <f>VLOOKUP(Tabla1[[#This Row],[CÓDIGO DEL PRODUCTO Y/O SERVICIO ]],Tabla3[],21)</f>
        <v>0</v>
      </c>
      <c r="LW55" s="347">
        <f>Tabla1[[#This Row],[CANTIDADES A UTILIZAR  AÑO 4 17]]*(1+Tabla1[[#This Row],[CAMBIO PORCENTUAL EN UNIDADES VENDIDAS AÑO 5 17]])</f>
        <v>0</v>
      </c>
      <c r="LX55" s="349">
        <f>IF(Tabla1[[#This Row],[CANTIDADES A UTILIZAR  AÑO 1 17]]=0,0,Tabla1[[#This Row],[CANTIDADES A UTILIZAR  AÑO 1 17]]*1/Tabla1[[#This Row],[UNIDADES PRODUCIDAS AÑO 1 17]])</f>
        <v>0</v>
      </c>
      <c r="LY55" s="349">
        <f>$D$29*(1+BASES!$E$10)</f>
        <v>0</v>
      </c>
      <c r="LZ55" s="349">
        <f>Tabla1[[#This Row],[COSTO UNITARIO AÑO 2 17]]*(1+BASES!$F$10)</f>
        <v>0</v>
      </c>
      <c r="MA55" s="349">
        <f>Tabla1[[#This Row],[COSTO UNITARIO AÑO 3 17]]*(1+BASES!$G$10)</f>
        <v>0</v>
      </c>
      <c r="MB55" s="349">
        <f>Tabla1[[#This Row],[COSTO UNITARIO AÑO 4 17]]*(1+BASES!$H$10)</f>
        <v>0</v>
      </c>
      <c r="MC55" s="349">
        <f>Tabla1[[#This Row],[COSTO POR UNIDAD DE PRODUCTO (17)]]*$D$29*VLOOKUP(Tabla1[[#This Row],[CÓDIGO DEL PRODUCTO Y/O SERVICIO ]],Tabla3[],3)</f>
        <v>0</v>
      </c>
      <c r="MD55" s="349">
        <f>Tabla1[[#This Row],[COSTO POR UNIDAD DE PRODUCTO (17)]]*Tabla1[[#This Row],[COSTO UNITARIO AÑO 2 17]]*VLOOKUP(Tabla1[[#This Row],[CÓDIGO DEL PRODUCTO Y/O SERVICIO ]],Tabla3[],6)</f>
        <v>0</v>
      </c>
      <c r="ME55" s="349">
        <f>Tabla1[[#This Row],[COSTO POR UNIDAD DE PRODUCTO (17)]]*Tabla1[[#This Row],[COSTO UNITARIO AÑO 3 17]]*VLOOKUP(Tabla1[[#This Row],[CÓDIGO DEL PRODUCTO Y/O SERVICIO ]],Tabla3[],10)</f>
        <v>0</v>
      </c>
      <c r="MF55" s="349">
        <f>Tabla1[[#This Row],[COSTO POR UNIDAD DE PRODUCTO (17)]]*Tabla1[[#This Row],[COSTO UNITARIO AÑO 4 17]]*VLOOKUP(Tabla1[[#This Row],[CÓDIGO DEL PRODUCTO Y/O SERVICIO ]],Tabla3[],14)</f>
        <v>0</v>
      </c>
      <c r="MG55" s="349">
        <f>Tabla1[[#This Row],[COSTO POR UNIDAD DE PRODUCTO (17)]]*Tabla1[[#This Row],[COSTO UNITARIO AÑO 5 17]]*VLOOKUP(Tabla1[[#This Row],[CÓDIGO DEL PRODUCTO Y/O SERVICIO ]],Tabla3[],18)</f>
        <v>0</v>
      </c>
      <c r="MH55" s="347">
        <f>VLOOKUP(Tabla1[[#This Row],[CÓDIGO DEL PRODUCTO Y/O SERVICIO ]],Tabla3[],3)</f>
        <v>0</v>
      </c>
      <c r="MI55" s="347">
        <f>Tabla1[[#This Row],[UNIDADES PRODUCIDAS AÑO 1 18 ]]*W40</f>
        <v>0</v>
      </c>
      <c r="MJ55" s="348">
        <f>VLOOKUP(Tabla1[[#This Row],[CÓDIGO DEL PRODUCTO Y/O SERVICIO ]],Tabla3[],9)</f>
        <v>0</v>
      </c>
      <c r="MK55" s="347">
        <f>Tabla1[[#This Row],[CANTIDADES A UTILIZAR  AÑO 1 18]]*(1+Tabla1[[#This Row],[CAMBIO PORCENTUAL EN UNIDADES VENDIDAS AÑO 2 18]])</f>
        <v>0</v>
      </c>
      <c r="ML55" s="348">
        <f>VLOOKUP(Tabla1[[#This Row],[CÓDIGO DEL PRODUCTO Y/O SERVICIO ]],Tabla3[],13)</f>
        <v>0</v>
      </c>
      <c r="MM55" s="347">
        <f>Tabla1[[#This Row],[CANTIDADES A UTILIZAR AÑO 2 18]]*(1+Tabla1[[#This Row],[CAMBIO PORCENTUAL EN UNIDADES VENDIDAS AÑO 3 18 ]])</f>
        <v>0</v>
      </c>
      <c r="MN55" s="348">
        <f>VLOOKUP(Tabla1[[#This Row],[CÓDIGO DEL PRODUCTO Y/O SERVICIO ]],Tabla3[],17)</f>
        <v>0</v>
      </c>
      <c r="MO55" s="347">
        <f>Tabla1[[#This Row],[CANTIDADES A UTILIZAR  AÑO 3 18]]*(1+Tabla1[[#This Row],[CAMBIO PORCENTUAL EN UNIDADES VENDIDAS AÑO 4 18]])</f>
        <v>0</v>
      </c>
      <c r="MP55" s="348">
        <f>VLOOKUP(Tabla1[[#This Row],[CÓDIGO DEL PRODUCTO Y/O SERVICIO ]],Tabla3[],21)</f>
        <v>0</v>
      </c>
      <c r="MQ55" s="347">
        <f>Tabla1[[#This Row],[CANTIDADES A UTILIZAR  AÑO 4 18 ]]*(1+Tabla1[[#This Row],[CAMBIO PORCENTUAL EN UNIDADES VENDIDAS AÑO 5 18 ]])</f>
        <v>0</v>
      </c>
      <c r="MR55" s="349">
        <f>IF(Tabla1[[#This Row],[CANTIDADES A UTILIZAR  AÑO 1 18]]=0,0,Tabla1[[#This Row],[CANTIDADES A UTILIZAR  AÑO 1 18]]*1/Tabla1[[#This Row],[UNIDADES PRODUCIDAS AÑO 1 18 ]])</f>
        <v>0</v>
      </c>
      <c r="MS55" s="349">
        <f>$D$30*(1+BASES!$E$10)</f>
        <v>0</v>
      </c>
      <c r="MT55" s="349">
        <f>Tabla1[[#This Row],[COSTO UNITARIO AÑO 2 18]]*(1+BASES!$F$10)</f>
        <v>0</v>
      </c>
      <c r="MU55" s="349">
        <f>Tabla1[[#This Row],[COSTO UNITARIO AÑO 3 18 ]]*(1+BASES!$G$10)</f>
        <v>0</v>
      </c>
      <c r="MV55" s="349">
        <f>Tabla1[[#This Row],[COSTO UNITARIO AÑO 4 18 ]]*(1+BASES!$H$10)</f>
        <v>0</v>
      </c>
      <c r="MW55" s="349">
        <f>Tabla1[[#This Row],[COSTO POR UNIDAD DE PRODUCTO (18)]]*$D$30*VLOOKUP(Tabla1[[#This Row],[CÓDIGO DEL PRODUCTO Y/O SERVICIO ]],Tabla3[],3)</f>
        <v>0</v>
      </c>
      <c r="MX55" s="349">
        <f>Tabla1[[#This Row],[COSTO POR UNIDAD DE PRODUCTO (18)]]*Tabla1[[#This Row],[COSTO UNITARIO AÑO 2 18]]*VLOOKUP(Tabla1[[#This Row],[CÓDIGO DEL PRODUCTO Y/O SERVICIO ]],Tabla3[],6)</f>
        <v>0</v>
      </c>
      <c r="MY55" s="349">
        <f>Tabla1[[#This Row],[COSTO POR UNIDAD DE PRODUCTO (18)]]*Tabla1[[#This Row],[COSTO UNITARIO AÑO 3 18 ]]*VLOOKUP(Tabla1[[#This Row],[CÓDIGO DEL PRODUCTO Y/O SERVICIO ]],Tabla3[],10)</f>
        <v>0</v>
      </c>
      <c r="MZ55" s="349">
        <f>Tabla1[[#This Row],[COSTO POR UNIDAD DE PRODUCTO (18)]]*Tabla1[[#This Row],[COSTO UNITARIO AÑO 4 18 ]]*VLOOKUP(Tabla1[[#This Row],[CÓDIGO DEL PRODUCTO Y/O SERVICIO ]],Tabla3[],14)</f>
        <v>0</v>
      </c>
      <c r="NA55" s="349">
        <f>Tabla1[[#This Row],[COSTO POR UNIDAD DE PRODUCTO (18)]]*Tabla1[[#This Row],[COSTO UNITARIO AÑO 5 18 ]]*VLOOKUP(Tabla1[[#This Row],[CÓDIGO DEL PRODUCTO Y/O SERVICIO ]],Tabla3[],18)</f>
        <v>0</v>
      </c>
      <c r="NB55" s="347">
        <f>VLOOKUP(Tabla1[[#This Row],[CÓDIGO DEL PRODUCTO Y/O SERVICIO ]],Tabla3[],3)</f>
        <v>0</v>
      </c>
      <c r="NC55" s="347">
        <f>Tabla1[[#This Row],[UNIDADES PRODUCIDAS AÑO 1 19]]*X40</f>
        <v>0</v>
      </c>
      <c r="ND55" s="348">
        <f>VLOOKUP(Tabla1[[#This Row],[CÓDIGO DEL PRODUCTO Y/O SERVICIO ]],Tabla3[],9)</f>
        <v>0</v>
      </c>
      <c r="NE55" s="347">
        <f>Tabla1[[#This Row],[CANTIDADES A UTILIZAR  AÑO 1 19 ]]*(1+Tabla1[[#This Row],[CAMBIO PORCENTUAL EN UNIDADES VENDIDAS AÑO 2 19]])</f>
        <v>0</v>
      </c>
      <c r="NF55" s="348">
        <f>VLOOKUP(Tabla1[[#This Row],[CÓDIGO DEL PRODUCTO Y/O SERVICIO ]],Tabla3[],13)</f>
        <v>0</v>
      </c>
      <c r="NG55" s="347">
        <f>Tabla1[[#This Row],[CANTIDADES A UTILIZAR  AÑO 2 19 ]]*(1+Tabla1[[#This Row],[CAMBIO PORCENTUAL EN UNIDADES VENDIDAS AÑO 3 19 ]])</f>
        <v>0</v>
      </c>
      <c r="NH55" s="348">
        <f>VLOOKUP(Tabla1[[#This Row],[CÓDIGO DEL PRODUCTO Y/O SERVICIO ]],Tabla3[],17)</f>
        <v>0</v>
      </c>
      <c r="NI55" s="347">
        <f>Tabla1[[#This Row],[CANTIDADES A UTILIZAR  AÑO 3 19 ]]*(1+Tabla1[[#This Row],[CAMBIO PORCENTUAL EN UNIDADES VENDIDAS AÑO 4 19 ]])</f>
        <v>0</v>
      </c>
      <c r="NJ55" s="348">
        <f>VLOOKUP(Tabla1[[#This Row],[CÓDIGO DEL PRODUCTO Y/O SERVICIO ]],Tabla3[],21)</f>
        <v>0</v>
      </c>
      <c r="NK55" s="347">
        <f>Tabla1[[#This Row],[CANTIDADES A UTILIZAR AÑO 4 19 ]]*(1+Tabla1[[#This Row],[CAMBIO PORCENTUAL EN UNIDADES VENDIDAS AÑO 5 19 ]])</f>
        <v>0</v>
      </c>
      <c r="NL55" s="349">
        <f>IF(Tabla1[[#This Row],[CANTIDADES A UTILIZAR  AÑO 1 19 ]]=0,0,Tabla1[[#This Row],[CANTIDADES A UTILIZAR  AÑO 1 19 ]]*1/Tabla1[[#This Row],[UNIDADES PRODUCIDAS AÑO 1 19]])</f>
        <v>0</v>
      </c>
      <c r="NM55" s="349">
        <f>$D$31*(1+BASES!$E$10)</f>
        <v>0</v>
      </c>
      <c r="NN55" s="349">
        <f>Tabla1[[#This Row],[COSTO UNITARIO AÑO 2 19 ]]*(1+BASES!$F$10)</f>
        <v>0</v>
      </c>
      <c r="NO55" s="349">
        <f>Tabla1[[#This Row],[COSTO UNITARIO AÑO 3 19 ]]*(1+BASES!$G$10)</f>
        <v>0</v>
      </c>
      <c r="NP55" s="349">
        <f>Tabla1[[#This Row],[COSTO UNITARIO AÑO 4 19 ]]*(1+BASES!$H$10)</f>
        <v>0</v>
      </c>
      <c r="NQ55" s="349">
        <f>Tabla1[[#This Row],[COSTO POR UNIDAD DE PRODUCTO (19)]]*$D$31*VLOOKUP(Tabla1[[#This Row],[CÓDIGO DEL PRODUCTO Y/O SERVICIO ]],Tabla3[],3)</f>
        <v>0</v>
      </c>
      <c r="NR55" s="349">
        <f>Tabla1[[#This Row],[COSTO POR UNIDAD DE PRODUCTO (19)]]*Tabla1[[#This Row],[COSTO UNITARIO AÑO 2 19 ]]*VLOOKUP(Tabla1[[#This Row],[CÓDIGO DEL PRODUCTO Y/O SERVICIO ]],Tabla3[],6)</f>
        <v>0</v>
      </c>
      <c r="NS55" s="349">
        <f>Tabla1[[#This Row],[COSTO POR UNIDAD DE PRODUCTO (19)]]*Tabla1[[#This Row],[COSTO UNITARIO AÑO 3 19 ]]*VLOOKUP(Tabla1[[#This Row],[CÓDIGO DEL PRODUCTO Y/O SERVICIO ]],Tabla3[],10)</f>
        <v>0</v>
      </c>
      <c r="NT55" s="349">
        <f>Tabla1[[#This Row],[COSTO POR UNIDAD DE PRODUCTO (19)]]*Tabla1[[#This Row],[COSTO UNITARIO AÑO 4 19 ]]*VLOOKUP(Tabla1[[#This Row],[CÓDIGO DEL PRODUCTO Y/O SERVICIO ]],Tabla3[],14)</f>
        <v>0</v>
      </c>
      <c r="NU55" s="349">
        <f>Tabla1[[#This Row],[COSTO POR UNIDAD DE PRODUCTO (19)]]*Tabla1[[#This Row],[COSTO UNITARIO AÑO 5 19 ]]*VLOOKUP(Tabla1[[#This Row],[CÓDIGO DEL PRODUCTO Y/O SERVICIO ]],Tabla3[],18)</f>
        <v>0</v>
      </c>
      <c r="NV55" s="347">
        <f>VLOOKUP(Tabla1[[#This Row],[CÓDIGO DEL PRODUCTO Y/O SERVICIO ]],Tabla3[],3)</f>
        <v>0</v>
      </c>
      <c r="NW55" s="347">
        <f>Tabla1[[#This Row],[UNIDADES PRODUCIDAS AÑO 1 20 ]]*Y40</f>
        <v>0</v>
      </c>
      <c r="NX55" s="348">
        <f>VLOOKUP(Tabla1[[#This Row],[CÓDIGO DEL PRODUCTO Y/O SERVICIO ]],Tabla3[],9)</f>
        <v>0</v>
      </c>
      <c r="NY55" s="347">
        <f>Tabla1[[#This Row],[CANTIDADES A UTILIZAR AÑO 1 20]]*(1+Tabla1[[#This Row],[CAMBIO PORCENTUAL EN UNIDADES VENDIDAS AÑO 2 20 ]])</f>
        <v>0</v>
      </c>
      <c r="NZ55" s="348">
        <f>VLOOKUP(Tabla1[[#This Row],[CÓDIGO DEL PRODUCTO Y/O SERVICIO ]],Tabla3[],13)</f>
        <v>0</v>
      </c>
      <c r="OA55" s="347">
        <f>Tabla1[[#This Row],[CANTIDADES A UTILIZAR  AÑO 2 20 ]]*(1+Tabla1[[#This Row],[CAMBIO PORCENTUAL EN UNIDADES VENDIDAS AÑO 3 20 ]])</f>
        <v>0</v>
      </c>
      <c r="OB55" s="348">
        <f>VLOOKUP(Tabla1[[#This Row],[CÓDIGO DEL PRODUCTO Y/O SERVICIO ]],Tabla3[],17)</f>
        <v>0</v>
      </c>
      <c r="OC55" s="347">
        <f>Tabla1[[#This Row],[CANTIDADES A UTILIZAR  AÑO 3 20 ]]*(1+Tabla1[[#This Row],[CAMBIO PORCENTUAL EN UNIDADES VENDIDAS AÑO 4 20 ]])</f>
        <v>0</v>
      </c>
      <c r="OD55" s="348">
        <f>VLOOKUP(Tabla1[[#This Row],[CÓDIGO DEL PRODUCTO Y/O SERVICIO ]],Tabla3[],21)</f>
        <v>0</v>
      </c>
      <c r="OE55" s="347">
        <f>Tabla1[[#This Row],[CANTIDADES A UTILIZAR  AÑO 4 20 ]]*(1+Tabla1[[#This Row],[CAMBIO PORCENTUAL EN UNIDADES VENDIDAS AÑO 5 20 ]])</f>
        <v>0</v>
      </c>
      <c r="OF55" s="349">
        <f>IF(Tabla1[[#This Row],[CANTIDADES A UTILIZAR AÑO 1 20]]=0,0,Tabla1[[#This Row],[CANTIDADES A UTILIZAR AÑO 1 20]]*1/Tabla1[[#This Row],[UNIDADES PRODUCIDAS AÑO 1 20 ]])</f>
        <v>0</v>
      </c>
      <c r="OG55" s="349">
        <f>$D$32*(1+BASES!$E$10)</f>
        <v>0</v>
      </c>
      <c r="OH55" s="349">
        <f>Tabla1[[#This Row],[COSTO UNITARIO AÑO 2 20 ]]*(1+BASES!$F$10)</f>
        <v>0</v>
      </c>
      <c r="OI55" s="349">
        <f>Tabla1[[#This Row],[COSTO UNITARIO AÑO 3 20 ]]*(1+BASES!$G$10)</f>
        <v>0</v>
      </c>
      <c r="OJ55" s="349">
        <f>Tabla1[[#This Row],[COSTO UNITARIO AÑO 4 20 ]]*(1+BASES!$H$10)</f>
        <v>0</v>
      </c>
      <c r="OK55" s="349">
        <f>Tabla1[[#This Row],[COSTO POR UNIDAD DE PRODUCTO (20)]]*$D$32*VLOOKUP(Tabla1[[#This Row],[CÓDIGO DEL PRODUCTO Y/O SERVICIO ]],Tabla3[],3)</f>
        <v>0</v>
      </c>
      <c r="OL55" s="349">
        <f>Tabla1[[#This Row],[COSTO POR UNIDAD DE PRODUCTO (20)]]*Tabla1[[#This Row],[COSTO UNITARIO AÑO 2 20 ]]*VLOOKUP(Tabla1[[#This Row],[CÓDIGO DEL PRODUCTO Y/O SERVICIO ]],Tabla3[],6)</f>
        <v>0</v>
      </c>
      <c r="OM55" s="349">
        <f>Tabla1[[#This Row],[COSTO POR UNIDAD DE PRODUCTO (20)]]*Tabla1[[#This Row],[COSTO UNITARIO AÑO 3 20 ]]*VLOOKUP(Tabla1[[#This Row],[CÓDIGO DEL PRODUCTO Y/O SERVICIO ]],Tabla3[],10)</f>
        <v>0</v>
      </c>
      <c r="ON55" s="349">
        <f>Tabla1[[#This Row],[COSTO POR UNIDAD DE PRODUCTO (20)]]*Tabla1[[#This Row],[COSTO UNITARIO AÑO 4 20 ]]*VLOOKUP(Tabla1[[#This Row],[CÓDIGO DEL PRODUCTO Y/O SERVICIO ]],Tabla3[],14)</f>
        <v>0</v>
      </c>
      <c r="OO55" s="349">
        <f>Tabla1[[#This Row],[COSTO POR UNIDAD DE PRODUCTO (20)]]*Tabla1[[#This Row],[COSTO UNITARIO AÑO 5 20 ]]*VLOOKUP(Tabla1[[#This Row],[CÓDIGO DEL PRODUCTO Y/O SERVICIO ]],Tabla3[],18)</f>
        <v>0</v>
      </c>
      <c r="OP55" s="349">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5" s="349">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5" s="349">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5" s="349">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5" s="349">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6" spans="3:410" ht="15.75" x14ac:dyDescent="0.25">
      <c r="C56" s="62"/>
      <c r="D56" s="72" t="str">
        <f>VLOOKUP(Tabla1[[#This Row],[CÓDIGO DEL PRODUCTO Y/O SERVICIO ]],Tabla3[],2,0)</f>
        <v xml:space="preserve">Seleccionar producto o servicio </v>
      </c>
      <c r="E56" s="72"/>
      <c r="F56" s="114">
        <f>VLOOKUP(Tabla1[[#This Row],[CÓDIGO DEL PRODUCTO Y/O SERVICIO ]],Tabla3[],3)</f>
        <v>0</v>
      </c>
      <c r="G56" s="114">
        <f>Tabla1[[#This Row],[UNIDADES PRODUCIDAS AÑO 1 ]]*F41</f>
        <v>0</v>
      </c>
      <c r="H56" s="112">
        <f>VLOOKUP(Tabla1[[#This Row],[CÓDIGO DEL PRODUCTO Y/O SERVICIO ]],Tabla3[],9)</f>
        <v>0</v>
      </c>
      <c r="I56" s="114">
        <f>Tabla1[[#This Row],[CANTIDADES A UTILIZAR EN EL AÑO 1]]*(1+Tabla1[[#This Row],[CAMBIO PORCENTUAL EN UNIDADES VENDIDAS AÑO 2]])</f>
        <v>0</v>
      </c>
      <c r="J56" s="112">
        <f>VLOOKUP(Tabla1[[#This Row],[CÓDIGO DEL PRODUCTO Y/O SERVICIO ]],Tabla3[],13)</f>
        <v>0</v>
      </c>
      <c r="K56" s="114">
        <f>Tabla1[[#This Row],[CANTIDADES A UTILIZAR EN EL AÑO 2]]*(1+Tabla1[[#This Row],[CAMBIO PORCENTUAL EN UNIDADES VENDIDAS AÑO 3]])</f>
        <v>0</v>
      </c>
      <c r="L56" s="112">
        <f>VLOOKUP(Tabla1[[#This Row],[CÓDIGO DEL PRODUCTO Y/O SERVICIO ]],Tabla3[],17)</f>
        <v>0</v>
      </c>
      <c r="M56" s="114">
        <f>Tabla1[[#This Row],[CANTIDADES A UTILIZAR EN EL AÑO 3]]*(1+Tabla1[[#This Row],[CAMBIO PORCENTUAL EN UNIDADES VENDIDAS AÑO 4]])</f>
        <v>0</v>
      </c>
      <c r="N56" s="112">
        <f>VLOOKUP(Tabla1[[#This Row],[CÓDIGO DEL PRODUCTO Y/O SERVICIO ]],Tabla3[],21)</f>
        <v>0</v>
      </c>
      <c r="O56" s="114">
        <f>Tabla1[[#This Row],[CANTIDADES A UTILIZAR EN EL AÑO 4]]*(1+Tabla1[[#This Row],[CAMBIO PORCENTUAL EN UNIDADES VENDIDAS AÑO 5]])</f>
        <v>0</v>
      </c>
      <c r="P56" s="360">
        <f>IF(Tabla1[[#This Row],[CANTIDADES A UTILIZAR EN EL AÑO 1]]=0,0,Tabla1[[#This Row],[CANTIDADES A UTILIZAR EN EL AÑO 1]]*1/Tabla1[[#This Row],[UNIDADES PRODUCIDAS AÑO 1 ]])</f>
        <v>0</v>
      </c>
      <c r="Q56" s="345">
        <f>$D$13*(1+BASES!$E$10)</f>
        <v>0</v>
      </c>
      <c r="R56" s="345">
        <f>Tabla1[[#This Row],[COSTO UNITARIO AÑO 2]]*(1+BASES!$F$10)</f>
        <v>0</v>
      </c>
      <c r="S56" s="345">
        <f>Tabla1[[#This Row],[COSTO UNITARIO AÑO 3]]*(1+BASES!$G$10)</f>
        <v>0</v>
      </c>
      <c r="T56" s="345">
        <f>Tabla1[[#This Row],[COSTO UNITARIO AÑO 4]]*(1+BASES!$H$10)</f>
        <v>0</v>
      </c>
      <c r="U56" s="345">
        <f>Tabla1[[#This Row],[COSTO POR UNIDAD DE PRODUCTO (1)]]*$D$13*VLOOKUP(Tabla1[[#This Row],[CÓDIGO DEL PRODUCTO Y/O SERVICIO ]],Tabla3[],3)</f>
        <v>0</v>
      </c>
      <c r="V56" s="345">
        <f>Tabla1[[#This Row],[COSTO POR UNIDAD DE PRODUCTO (1)]]*Tabla1[[#This Row],[COSTO UNITARIO AÑO 2]]*VLOOKUP(Tabla1[[#This Row],[CÓDIGO DEL PRODUCTO Y/O SERVICIO ]],Tabla3[],6)</f>
        <v>0</v>
      </c>
      <c r="W56" s="345">
        <f>Tabla1[[#This Row],[COSTO POR UNIDAD DE PRODUCTO (1)]]*Tabla1[[#This Row],[COSTO UNITARIO AÑO 3]]*VLOOKUP(Tabla1[[#This Row],[CÓDIGO DEL PRODUCTO Y/O SERVICIO ]],Tabla3[],10)</f>
        <v>0</v>
      </c>
      <c r="X56" s="345">
        <f>Tabla1[[#This Row],[COSTO POR UNIDAD DE PRODUCTO (1)]]*Tabla1[[#This Row],[COSTO UNITARIO AÑO 4]]*VLOOKUP(Tabla1[[#This Row],[CÓDIGO DEL PRODUCTO Y/O SERVICIO ]],Tabla3[],14)</f>
        <v>0</v>
      </c>
      <c r="Y56" s="345">
        <f>Tabla1[[#This Row],[COSTO POR UNIDAD DE PRODUCTO (1)]]*Tabla1[[#This Row],[COSTO UNITARIO AÑO 5]]*VLOOKUP(Tabla1[[#This Row],[CÓDIGO DEL PRODUCTO Y/O SERVICIO ]],Tabla3[],18)</f>
        <v>0</v>
      </c>
      <c r="Z56" s="346">
        <f>VLOOKUP(Tabla1[[#This Row],[CÓDIGO DEL PRODUCTO Y/O SERVICIO ]],Tabla3[],3)</f>
        <v>0</v>
      </c>
      <c r="AA56" s="114">
        <f>G41*Tabla1[[#This Row],[UNIDADES PRODUCIDAS AÑO 1 2]]</f>
        <v>0</v>
      </c>
      <c r="AB56" s="112">
        <f>VLOOKUP(Tabla1[[#This Row],[CÓDIGO DEL PRODUCTO Y/O SERVICIO ]],Tabla3[],9)</f>
        <v>0</v>
      </c>
      <c r="AC56" s="114">
        <f>Tabla1[[#This Row],[CANTIDADES A UTILIZAR EN EL AÑO 1 2]]*(1+Tabla1[[#This Row],[CAMBIO PORCENTUAL EN UNIDADES VENDIDAS AÑO 2 2]])</f>
        <v>0</v>
      </c>
      <c r="AD56" s="112">
        <f>VLOOKUP(Tabla1[[#This Row],[CÓDIGO DEL PRODUCTO Y/O SERVICIO ]],Tabla3[],13)</f>
        <v>0</v>
      </c>
      <c r="AE56" s="114">
        <f>Tabla1[[#This Row],[CANTIDADES A UTILIZAR  AÑO 2 2]]*(1+Tabla1[[#This Row],[CAMBIO PORCENTUAL EN UNIDADES VENDIDAS AÑO 3 2]])</f>
        <v>0</v>
      </c>
      <c r="AF56" s="112">
        <f>VLOOKUP(Tabla1[[#This Row],[CÓDIGO DEL PRODUCTO Y/O SERVICIO ]],Tabla3[],17)</f>
        <v>0</v>
      </c>
      <c r="AG56" s="114">
        <f>Tabla1[[#This Row],[CANTIDADES A UTILIZAR  AÑO 3 2]]*(1+Tabla1[[#This Row],[CAMBIO PORCENTUAL EN UNIDADES VENDIDAS AÑO 4 2]])</f>
        <v>0</v>
      </c>
      <c r="AH56" s="112">
        <f>VLOOKUP(Tabla1[[#This Row],[CÓDIGO DEL PRODUCTO Y/O SERVICIO ]],Tabla3[],21)</f>
        <v>0</v>
      </c>
      <c r="AI56" s="114">
        <f>Tabla1[[#This Row],[CANTIDADES A UTILIZAR  AÑO 4 2]]*(1+Tabla1[[#This Row],[CAMBIO PORCENTUAL EN UNIDADES VENDIDAS AÑO 5 2]])</f>
        <v>0</v>
      </c>
      <c r="AJ56" s="345">
        <f>IF(Tabla1[[#This Row],[CANTIDADES A UTILIZAR EN EL AÑO 1 2]]=0,0,Tabla1[[#This Row],[CANTIDADES A UTILIZAR EN EL AÑO 1 2]]*1/Tabla1[[#This Row],[UNIDADES PRODUCIDAS AÑO 1 2]])</f>
        <v>0</v>
      </c>
      <c r="AK56" s="345">
        <f>$D$14*(1+BASES!$E$10)</f>
        <v>0</v>
      </c>
      <c r="AL56" s="345">
        <f>Tabla1[[#This Row],[COSTO UNITARIO AÑO 2 2]]*(1+BASES!$F$10)</f>
        <v>0</v>
      </c>
      <c r="AM56" s="345">
        <f>Tabla1[[#This Row],[COSTO UNITARIO AÑO 3 2]]*(1+BASES!$G$10)</f>
        <v>0</v>
      </c>
      <c r="AN56" s="345">
        <f>Tabla1[[#This Row],[COSTO UNITARIO AÑO 4 2]]*(1+BASES!$H$10)</f>
        <v>0</v>
      </c>
      <c r="AO56" s="345">
        <f>Tabla1[[#This Row],[COSTO POR UNIDAD DE PRODUCTO (2)]]*$D$14*VLOOKUP(Tabla1[[#This Row],[CÓDIGO DEL PRODUCTO Y/O SERVICIO ]],Tabla3[],3)</f>
        <v>0</v>
      </c>
      <c r="AP56" s="345">
        <f>Tabla1[[#This Row],[COSTO POR UNIDAD DE PRODUCTO (2)]]*Tabla1[[#This Row],[COSTO UNITARIO AÑO 2 2]]*VLOOKUP(Tabla1[[#This Row],[CÓDIGO DEL PRODUCTO Y/O SERVICIO ]],Tabla3[],6)</f>
        <v>0</v>
      </c>
      <c r="AQ56" s="345">
        <f>Tabla1[[#This Row],[COSTO POR UNIDAD DE PRODUCTO (2)]]*Tabla1[[#This Row],[COSTO UNITARIO AÑO 3 2]]*VLOOKUP(Tabla1[[#This Row],[CÓDIGO DEL PRODUCTO Y/O SERVICIO ]],Tabla3[],10)</f>
        <v>0</v>
      </c>
      <c r="AR56" s="345">
        <f>Tabla1[[#This Row],[COSTO POR UNIDAD DE PRODUCTO (2)]]*Tabla1[[#This Row],[COSTO UNITARIO AÑO 4 2]]*VLOOKUP(Tabla1[[#This Row],[CÓDIGO DEL PRODUCTO Y/O SERVICIO ]],Tabla3[],14)</f>
        <v>0</v>
      </c>
      <c r="AS56" s="345">
        <f>Tabla1[[#This Row],[COSTO POR UNIDAD DE PRODUCTO (2)]]*Tabla1[[#This Row],[COSTO UNITARIO AÑO 5 2]]*VLOOKUP(Tabla1[[#This Row],[CÓDIGO DEL PRODUCTO Y/O SERVICIO ]],Tabla3[],18)</f>
        <v>0</v>
      </c>
      <c r="AT56" s="114">
        <f>VLOOKUP(Tabla1[[#This Row],[CÓDIGO DEL PRODUCTO Y/O SERVICIO ]],Tabla3[],3)</f>
        <v>0</v>
      </c>
      <c r="AU56" s="114">
        <f>H41*Tabla1[[#This Row],[UNIDADES PRODUCIDAS AÑO 1 3]]</f>
        <v>0</v>
      </c>
      <c r="AV56" s="112">
        <f>VLOOKUP(Tabla1[[#This Row],[CÓDIGO DEL PRODUCTO Y/O SERVICIO ]],Tabla3[],9)</f>
        <v>0</v>
      </c>
      <c r="AW56" s="114">
        <f>Tabla1[[#This Row],[CANTIDADES A UTILIZAR  AÑO 1 3]]*(1+Tabla1[[#This Row],[CAMBIO PORCENTUAL EN UNIDADES VENDIDAS AÑO 2 3]])</f>
        <v>0</v>
      </c>
      <c r="AX56" s="112">
        <f>VLOOKUP(Tabla1[[#This Row],[CÓDIGO DEL PRODUCTO Y/O SERVICIO ]],Tabla3[],13)</f>
        <v>0</v>
      </c>
      <c r="AY56" s="114">
        <f>Tabla1[[#This Row],[CANTIDADES A UTILIZAR  AÑO 2 3]]*(1+Tabla1[[#This Row],[CAMBIO PORCENTUAL EN UNIDADES VENDIDAS AÑO 3 3]])</f>
        <v>0</v>
      </c>
      <c r="AZ56" s="112">
        <f>VLOOKUP(Tabla1[[#This Row],[CÓDIGO DEL PRODUCTO Y/O SERVICIO ]],Tabla3[],17)</f>
        <v>0</v>
      </c>
      <c r="BA56" s="114">
        <f>Tabla1[[#This Row],[CANTIDADES A UTILIZAR  AÑO 3 3]]*(1+Tabla1[[#This Row],[CAMBIO PORCENTUAL EN UNIDADES VENDIDAS AÑO 4 3]])</f>
        <v>0</v>
      </c>
      <c r="BB56" s="112">
        <f>VLOOKUP(Tabla1[[#This Row],[CÓDIGO DEL PRODUCTO Y/O SERVICIO ]],Tabla3[],21)</f>
        <v>0</v>
      </c>
      <c r="BC56" s="114">
        <f>Tabla1[[#This Row],[CANTIDADES A UTILIZAR  AÑO 4 3]]*(1+Tabla1[[#This Row],[CAMBIO PORCENTUAL EN UNIDADES VENDIDAS AÑO 5 3]])</f>
        <v>0</v>
      </c>
      <c r="BD56" s="345">
        <f>IF(Tabla1[[#This Row],[CANTIDADES A UTILIZAR  AÑO 1 3]]=0,0,Tabla1[[#This Row],[CANTIDADES A UTILIZAR  AÑO 1 3]]*1/Tabla1[[#This Row],[UNIDADES PRODUCIDAS AÑO 1 3]])</f>
        <v>0</v>
      </c>
      <c r="BE56" s="345">
        <f>$D$15*(1+BASES!$E$10)</f>
        <v>0</v>
      </c>
      <c r="BF56" s="345">
        <f>Tabla1[[#This Row],[COSTO UNITARIO AÑO 2 3]]*(1+BASES!$F$10)</f>
        <v>0</v>
      </c>
      <c r="BG56" s="345">
        <f>Tabla1[[#This Row],[COSTO UNITARIO AÑO 3 3]]*(1+BASES!$G$10)</f>
        <v>0</v>
      </c>
      <c r="BH56" s="345">
        <f>Tabla1[[#This Row],[COSTO UNITARIO AÑO 4 3]]*(1+BASES!$H$10)</f>
        <v>0</v>
      </c>
      <c r="BI56" s="345">
        <f>Tabla1[[#This Row],[COSTO POR UNIDAD DE PRODUCTO (3)]]*$D$15*VLOOKUP(Tabla1[[#This Row],[CÓDIGO DEL PRODUCTO Y/O SERVICIO ]],Tabla3[],3)</f>
        <v>0</v>
      </c>
      <c r="BJ56" s="345">
        <f>Tabla1[[#This Row],[COSTO POR UNIDAD DE PRODUCTO (3)]]*Tabla1[[#This Row],[COSTO UNITARIO AÑO 2 3]]*VLOOKUP(Tabla1[[#This Row],[CÓDIGO DEL PRODUCTO Y/O SERVICIO ]],Tabla3[],6)</f>
        <v>0</v>
      </c>
      <c r="BK56" s="345">
        <f>Tabla1[[#This Row],[COSTO POR UNIDAD DE PRODUCTO (3)]]*Tabla1[[#This Row],[COSTO UNITARIO AÑO 3 3]]*VLOOKUP(Tabla1[[#This Row],[CÓDIGO DEL PRODUCTO Y/O SERVICIO ]],Tabla3[],10)</f>
        <v>0</v>
      </c>
      <c r="BL56" s="345">
        <f>Tabla1[[#This Row],[COSTO POR UNIDAD DE PRODUCTO (3)]]*Tabla1[[#This Row],[COSTO UNITARIO AÑO 4 3]]*VLOOKUP(Tabla1[[#This Row],[CÓDIGO DEL PRODUCTO Y/O SERVICIO ]],Tabla3[],14)</f>
        <v>0</v>
      </c>
      <c r="BM56" s="345">
        <f>Tabla1[[#This Row],[COSTO POR UNIDAD DE PRODUCTO (3)]]*Tabla1[[#This Row],[ COSTO UNITARIO AÑO 5 3]]*VLOOKUP(Tabla1[[#This Row],[CÓDIGO DEL PRODUCTO Y/O SERVICIO ]],Tabla3[],18)</f>
        <v>0</v>
      </c>
      <c r="BN56" s="114">
        <f>VLOOKUP(Tabla1[[#This Row],[CÓDIGO DEL PRODUCTO Y/O SERVICIO ]],Tabla3[],3)</f>
        <v>0</v>
      </c>
      <c r="BO56" s="114">
        <f>I41*Tabla1[[#This Row],[UNIDADES PRODUCIDAS AÑO 1 4]]</f>
        <v>0</v>
      </c>
      <c r="BP56" s="112">
        <f>VLOOKUP(Tabla1[[#This Row],[CÓDIGO DEL PRODUCTO Y/O SERVICIO ]],Tabla3[],9)</f>
        <v>0</v>
      </c>
      <c r="BQ56" s="114">
        <f>Tabla1[[#This Row],[CANTIDADES A UTILIZAR  AÑO 1 4]]*(1+Tabla1[[#This Row],[CAMBIO PORCENTUAL EN UNIDADES VENDIDAS AÑO 2 4]])</f>
        <v>0</v>
      </c>
      <c r="BR56" s="112">
        <f>VLOOKUP(Tabla1[[#This Row],[CÓDIGO DEL PRODUCTO Y/O SERVICIO ]],Tabla3[],13)</f>
        <v>0</v>
      </c>
      <c r="BS56" s="114">
        <f>Tabla1[[#This Row],[CANTIDADES A UTILIZAR  AÑO 2 4]]*(1+Tabla1[[#This Row],[CAMBIO PORCENTUAL EN UNIDADES VENDIDAS AÑO 3 4]])</f>
        <v>0</v>
      </c>
      <c r="BT56" s="112">
        <f>VLOOKUP(Tabla1[[#This Row],[CÓDIGO DEL PRODUCTO Y/O SERVICIO ]],Tabla3[],17)</f>
        <v>0</v>
      </c>
      <c r="BU56" s="114">
        <f>Tabla1[[#This Row],[CANTIDADES A UTILIZAR  AÑO 3 4]]*(1+Tabla1[[#This Row],[CAMBIO PORCENTUAL EN UNIDADES VENDIDAS AÑO 4 4]])</f>
        <v>0</v>
      </c>
      <c r="BV56" s="112">
        <f>VLOOKUP(Tabla1[[#This Row],[CÓDIGO DEL PRODUCTO Y/O SERVICIO ]],Tabla3[],21)</f>
        <v>0</v>
      </c>
      <c r="BW56" s="114">
        <f>Tabla1[[#This Row],[CANTIDADES A UTILIZAR  AÑO 4 4]]*(1+Tabla1[[#This Row],[CAMBIO PORCENTUAL EN UNIDADES VENDIDAS AÑO 5 4]])</f>
        <v>0</v>
      </c>
      <c r="BX56" s="345">
        <f>IF(Tabla1[[#This Row],[CANTIDADES A UTILIZAR  AÑO 1 4]]=0,0,Tabla1[[#This Row],[CANTIDADES A UTILIZAR  AÑO 1 4]]*1/Tabla1[[#This Row],[UNIDADES PRODUCIDAS AÑO 1 4]])</f>
        <v>0</v>
      </c>
      <c r="BY56" s="345">
        <f>$D$16*(1+BASES!$E$10)</f>
        <v>0</v>
      </c>
      <c r="BZ56" s="345">
        <f>Tabla1[[#This Row],[COSTO UNITARIO AÑO 2 4]]*(1+BASES!$F$10)</f>
        <v>0</v>
      </c>
      <c r="CA56" s="345">
        <f>Tabla1[[#This Row],[COSTO UNITARIO AÑO 3 4]]*(1+BASES!$G$10)</f>
        <v>0</v>
      </c>
      <c r="CB56" s="345">
        <f>Tabla1[[#This Row],[COSTO UNITARIO AÑO 4 4]]*(1+BASES!$H$10)</f>
        <v>0</v>
      </c>
      <c r="CC56" s="345">
        <f>Tabla1[[#This Row],[COSTO POR UNIDAD DE PRODUCTO (4) ]]*$D$16*VLOOKUP(Tabla1[[#This Row],[CÓDIGO DEL PRODUCTO Y/O SERVICIO ]],Tabla3[],3)</f>
        <v>0</v>
      </c>
      <c r="CD56" s="345">
        <f>Tabla1[[#This Row],[COSTO POR UNIDAD DE PRODUCTO (4) ]]*Tabla1[[#This Row],[COSTO UNITARIO AÑO 2 4]]*VLOOKUP(Tabla1[[#This Row],[CÓDIGO DEL PRODUCTO Y/O SERVICIO ]],Tabla3[],6)</f>
        <v>0</v>
      </c>
      <c r="CE56" s="345">
        <f>Tabla1[[#This Row],[COSTO POR UNIDAD DE PRODUCTO (4) ]]*Tabla1[[#This Row],[COSTO UNITARIO AÑO 3 4]]*VLOOKUP(Tabla1[[#This Row],[CÓDIGO DEL PRODUCTO Y/O SERVICIO ]],Tabla3[],10)</f>
        <v>0</v>
      </c>
      <c r="CF56" s="345">
        <f>Tabla1[[#This Row],[COSTO POR UNIDAD DE PRODUCTO (4) ]]*Tabla1[[#This Row],[COSTO UNITARIO AÑO 4 4]]*VLOOKUP(Tabla1[[#This Row],[CÓDIGO DEL PRODUCTO Y/O SERVICIO ]],Tabla3[],14)</f>
        <v>0</v>
      </c>
      <c r="CG56" s="345">
        <f>Tabla1[[#This Row],[COSTO POR UNIDAD DE PRODUCTO (4) ]]*Tabla1[[#This Row],[COSTO UNITARIO AÑO 5 4]]*VLOOKUP(Tabla1[[#This Row],[CÓDIGO DEL PRODUCTO Y/O SERVICIO ]],Tabla3[],18)</f>
        <v>0</v>
      </c>
      <c r="CH56" s="114">
        <f>VLOOKUP(Tabla1[[#This Row],[CÓDIGO DEL PRODUCTO Y/O SERVICIO ]],Tabla3[],3)</f>
        <v>0</v>
      </c>
      <c r="CI56" s="114">
        <f>Tabla1[[#This Row],[UNIDADES PRODUCIDAS AÑO 1 5]]*J41</f>
        <v>0</v>
      </c>
      <c r="CJ56" s="112">
        <f>VLOOKUP(Tabla1[[#This Row],[CÓDIGO DEL PRODUCTO Y/O SERVICIO ]],Tabla3[],9)</f>
        <v>0</v>
      </c>
      <c r="CK56" s="114">
        <f>Tabla1[[#This Row],[CANTIDADES A UTILIZAR  AÑO 1 5]]*(1+Tabla1[[#This Row],[CAMBIO PORCENTUAL EN UNIDADES VENDIDAS AÑO 2 5]])</f>
        <v>0</v>
      </c>
      <c r="CL56" s="112">
        <f>VLOOKUP(Tabla1[[#This Row],[CÓDIGO DEL PRODUCTO Y/O SERVICIO ]],Tabla3[],13)</f>
        <v>0</v>
      </c>
      <c r="CM56" s="114">
        <f>Tabla1[[#This Row],[CANTIDADES A UTILIZAR  AÑO 2 5]]*(1+Tabla1[[#This Row],[CAMBIO PORCENTUAL EN UNIDADES VENDIDAS AÑO 3 5]])</f>
        <v>0</v>
      </c>
      <c r="CN56" s="112">
        <f>VLOOKUP(Tabla1[[#This Row],[CÓDIGO DEL PRODUCTO Y/O SERVICIO ]],Tabla3[],17)</f>
        <v>0</v>
      </c>
      <c r="CO56" s="114">
        <f>Tabla1[[#This Row],[CANTIDADES A UTILIZAR  AÑO 3 5]]*(1+Tabla1[[#This Row],[CAMBIO PORCENTUAL EN UNIDADES VENDIDAS AÑO 4 5]])</f>
        <v>0</v>
      </c>
      <c r="CP56" s="112">
        <f>VLOOKUP(Tabla1[[#This Row],[CÓDIGO DEL PRODUCTO Y/O SERVICIO ]],Tabla3[],21)</f>
        <v>0</v>
      </c>
      <c r="CQ56" s="114">
        <f>Tabla1[[#This Row],[CANTIDADES A UTILIZAR  AÑO 4 5]]*(1+Tabla1[[#This Row],[CAMBIO PORCENTUAL EN UNIDADES VENDIDAS AÑO 5 5]])</f>
        <v>0</v>
      </c>
      <c r="CR56" s="345">
        <f>IF(Tabla1[[#This Row],[CANTIDADES A UTILIZAR  AÑO 1 5]]=0,0,Tabla1[[#This Row],[CANTIDADES A UTILIZAR  AÑO 1 5]]*1/Tabla1[[#This Row],[UNIDADES PRODUCIDAS AÑO 1 5]])</f>
        <v>0</v>
      </c>
      <c r="CS56" s="345">
        <f>$D$17*(1+BASES!$E$10)</f>
        <v>0</v>
      </c>
      <c r="CT56" s="345">
        <f>Tabla1[[#This Row],[COSTO UNITARIO AÑO 2 5]]*(1+BASES!$F$10)</f>
        <v>0</v>
      </c>
      <c r="CU56" s="345">
        <f>Tabla1[[#This Row],[COSTO UNITARIO AÑO 3 5]]*(1+BASES!$G$10)</f>
        <v>0</v>
      </c>
      <c r="CV56" s="345">
        <f>Tabla1[[#This Row],[COSTO UNITARIO AÑO 4 5]]*(1+BASES!$H$10)</f>
        <v>0</v>
      </c>
      <c r="CW56" s="345">
        <f>Tabla1[[#This Row],[COSTO POR UNIDAD DE PRODUCTO (5)]]*$D$17*VLOOKUP(Tabla1[[#This Row],[CÓDIGO DEL PRODUCTO Y/O SERVICIO ]],Tabla3[],3)</f>
        <v>0</v>
      </c>
      <c r="CX56" s="345">
        <f>Tabla1[[#This Row],[COSTO POR UNIDAD DE PRODUCTO (5)]]*Tabla1[[#This Row],[COSTO UNITARIO AÑO 2 5]]*VLOOKUP(Tabla1[[#This Row],[CÓDIGO DEL PRODUCTO Y/O SERVICIO ]],Tabla3[],6)</f>
        <v>0</v>
      </c>
      <c r="CY56" s="345">
        <f>Tabla1[[#This Row],[COSTO POR UNIDAD DE PRODUCTO (5)]]*Tabla1[[#This Row],[COSTO UNITARIO AÑO 3 5]]*VLOOKUP(Tabla1[[#This Row],[CÓDIGO DEL PRODUCTO Y/O SERVICIO ]],Tabla3[],10)</f>
        <v>0</v>
      </c>
      <c r="CZ56" s="345">
        <f>Tabla1[[#This Row],[COSTO POR UNIDAD DE PRODUCTO (5)]]*Tabla1[[#This Row],[COSTO UNITARIO AÑO 4 5]]*VLOOKUP(Tabla1[[#This Row],[CÓDIGO DEL PRODUCTO Y/O SERVICIO ]],Tabla3[],14)</f>
        <v>0</v>
      </c>
      <c r="DA56" s="345">
        <f>Tabla1[[#This Row],[COSTO POR UNIDAD DE PRODUCTO (5)]]*Tabla1[[#This Row],[COSTO UNITARIO AÑO 5 5 ]]*VLOOKUP(Tabla1[[#This Row],[CÓDIGO DEL PRODUCTO Y/O SERVICIO ]],Tabla3[],18)</f>
        <v>0</v>
      </c>
      <c r="DB56" s="114">
        <f>VLOOKUP(Tabla1[[#This Row],[CÓDIGO DEL PRODUCTO Y/O SERVICIO ]],Tabla3[],3)</f>
        <v>0</v>
      </c>
      <c r="DC56" s="114">
        <f>Tabla1[[#This Row],[UNIDADES PRODUCIDAS AÑO 1 6]]*K41</f>
        <v>0</v>
      </c>
      <c r="DD56" s="112">
        <f>VLOOKUP(Tabla1[[#This Row],[CÓDIGO DEL PRODUCTO Y/O SERVICIO ]],Tabla3[],9)</f>
        <v>0</v>
      </c>
      <c r="DE56" s="114">
        <f>Tabla1[[#This Row],[CANTIDADES A UTILIZAR  AÑO 1 6]]*(1+Tabla1[[#This Row],[CAMBIO PORCENTUAL EN UNIDADES VENDIDAS AÑO 2 6]])</f>
        <v>0</v>
      </c>
      <c r="DF56" s="112">
        <f>VLOOKUP(Tabla1[[#This Row],[CÓDIGO DEL PRODUCTO Y/O SERVICIO ]],Tabla3[],13)</f>
        <v>0</v>
      </c>
      <c r="DG56" s="114">
        <f>Tabla1[[#This Row],[CANTIDADES A UTILIZAR  AÑO 2 6]]*(1+Tabla1[[#This Row],[CAMBIO PORCENTUAL EN UNIDADES VENDIDAS AÑO 3 6]])</f>
        <v>0</v>
      </c>
      <c r="DH56" s="112">
        <f>VLOOKUP(Tabla1[[#This Row],[CÓDIGO DEL PRODUCTO Y/O SERVICIO ]],Tabla3[],17)</f>
        <v>0</v>
      </c>
      <c r="DI56" s="114">
        <f>Tabla1[[#This Row],[CANTIDADES A UTILIZAR  AÑO 3 6 ]]*(1+Tabla1[[#This Row],[CAMBIO PORCENTUAL EN UNIDADES VENDIDAS AÑO 4 6]])</f>
        <v>0</v>
      </c>
      <c r="DJ56" s="112">
        <f>VLOOKUP(Tabla1[[#This Row],[CÓDIGO DEL PRODUCTO Y/O SERVICIO ]],Tabla3[],21)</f>
        <v>0</v>
      </c>
      <c r="DK56" s="114">
        <f>Tabla1[[#This Row],[CANTIDADES A UTILIZAR  AÑO 4 6]]*(1+Tabla1[[#This Row],[CAMBIO PORCENTUAL EN UNIDADES VENDIDAS AÑO 5 6]])</f>
        <v>0</v>
      </c>
      <c r="DL56" s="345">
        <f>IF(Tabla1[[#This Row],[CANTIDADES A UTILIZAR  AÑO 1 6]]=0,0,Tabla1[[#This Row],[CANTIDADES A UTILIZAR  AÑO 1 6]]*1/Tabla1[[#This Row],[UNIDADES PRODUCIDAS AÑO 1 6]])</f>
        <v>0</v>
      </c>
      <c r="DM56" s="345">
        <f>$D$18*(1+BASES!$E$10)</f>
        <v>0</v>
      </c>
      <c r="DN56" s="345">
        <f>Tabla1[[#This Row],[COSTO UNITARIO AÑO 2 6]]*(1+BASES!$F$10)</f>
        <v>0</v>
      </c>
      <c r="DO56" s="345">
        <f>Tabla1[[#This Row],[COSTO UNITARIO AÑO 3 6]]*(1+BASES!$G$10)</f>
        <v>0</v>
      </c>
      <c r="DP56" s="345">
        <f>Tabla1[[#This Row],[COSTO UNITARIO AÑO 4 6 ]]*(1+BASES!$H$10)</f>
        <v>0</v>
      </c>
      <c r="DQ56" s="345">
        <f>Tabla1[[#This Row],[COSTO POR UNIDAD DE PRODUCTO (6)]]*$D$18*VLOOKUP(Tabla1[[#This Row],[CÓDIGO DEL PRODUCTO Y/O SERVICIO ]],Tabla3[],3)</f>
        <v>0</v>
      </c>
      <c r="DR56" s="345">
        <f>Tabla1[[#This Row],[COSTO POR UNIDAD DE PRODUCTO (6)]]*Tabla1[[#This Row],[COSTO UNITARIO AÑO 2 6]]*VLOOKUP(Tabla1[[#This Row],[CÓDIGO DEL PRODUCTO Y/O SERVICIO ]],Tabla3[],6)</f>
        <v>0</v>
      </c>
      <c r="DS56" s="345">
        <f>Tabla1[[#This Row],[COSTO POR UNIDAD DE PRODUCTO (6)]]*Tabla1[[#This Row],[COSTO UNITARIO AÑO 3 6]]*VLOOKUP(Tabla1[[#This Row],[CÓDIGO DEL PRODUCTO Y/O SERVICIO ]],Tabla3[],10)</f>
        <v>0</v>
      </c>
      <c r="DT56" s="345">
        <f>Tabla1[[#This Row],[COSTO POR UNIDAD DE PRODUCTO (6)]]*Tabla1[[#This Row],[COSTO UNITARIO AÑO 4 6 ]]*VLOOKUP(Tabla1[[#This Row],[CÓDIGO DEL PRODUCTO Y/O SERVICIO ]],Tabla3[],14)</f>
        <v>0</v>
      </c>
      <c r="DU56" s="345">
        <f>Tabla1[[#This Row],[COSTO POR UNIDAD DE PRODUCTO (6)]]*Tabla1[[#This Row],[COSTO UNITARIO AÑO 5 6]]*VLOOKUP(Tabla1[[#This Row],[CÓDIGO DEL PRODUCTO Y/O SERVICIO ]],Tabla3[],18)</f>
        <v>0</v>
      </c>
      <c r="DV56" s="114">
        <f>VLOOKUP(Tabla1[[#This Row],[CÓDIGO DEL PRODUCTO Y/O SERVICIO ]],Tabla3[],3)</f>
        <v>0</v>
      </c>
      <c r="DW56" s="114">
        <f>Tabla1[[#This Row],[UNIDADES PRODUCIDAS AÑO 1 7]]*L41</f>
        <v>0</v>
      </c>
      <c r="DX56" s="112">
        <f>VLOOKUP(Tabla1[[#This Row],[CÓDIGO DEL PRODUCTO Y/O SERVICIO ]],Tabla3[],9)</f>
        <v>0</v>
      </c>
      <c r="DY56" s="114">
        <f>Tabla1[[#This Row],[CANTIDADES A UTILIZAR  AÑO 1 7]]*(1+Tabla1[[#This Row],[CAMBIO PORCENTUAL EN UNIDADES VENDIDAS AÑO 2 7]])</f>
        <v>0</v>
      </c>
      <c r="DZ56" s="112">
        <f>VLOOKUP(Tabla1[[#This Row],[CÓDIGO DEL PRODUCTO Y/O SERVICIO ]],Tabla3[],13)</f>
        <v>0</v>
      </c>
      <c r="EA56" s="114">
        <f>Tabla1[[#This Row],[CANTIDADES A UTILIZAR  AÑO 2 7]]*(1+Tabla1[[#This Row],[CAMBIO PORCENTUAL EN UNIDADES VENDIDAS AÑO 3 7]])</f>
        <v>0</v>
      </c>
      <c r="EB56" s="112">
        <f>VLOOKUP(Tabla1[[#This Row],[CÓDIGO DEL PRODUCTO Y/O SERVICIO ]],Tabla3[],17)</f>
        <v>0</v>
      </c>
      <c r="EC56" s="114">
        <f>Tabla1[[#This Row],[CANTIDADES A UTILIZAR  AÑO 3 7 ]]*(1+Tabla1[[#This Row],[CAMBIO PORCENTUAL EN UNIDADES VENDIDAS AÑO 4 7]])</f>
        <v>0</v>
      </c>
      <c r="ED56" s="112">
        <f>VLOOKUP(Tabla1[[#This Row],[CÓDIGO DEL PRODUCTO Y/O SERVICIO ]],Tabla3[],21)</f>
        <v>0</v>
      </c>
      <c r="EE56" s="114">
        <f>Tabla1[[#This Row],[CANTIDADES A UTILIZAR  AÑO 4 7]]*(1+Tabla1[[#This Row],[CAMBIO PORCENTUAL EN UNIDADES VENDIDAS AÑO 5 7]])</f>
        <v>0</v>
      </c>
      <c r="EF56" s="345">
        <f>IF(Tabla1[[#This Row],[CANTIDADES A UTILIZAR  AÑO 1 7]]=0,0,Tabla1[[#This Row],[CANTIDADES A UTILIZAR  AÑO 1 7]]*1/Tabla1[[#This Row],[UNIDADES PRODUCIDAS AÑO 1 7]])</f>
        <v>0</v>
      </c>
      <c r="EG56" s="345">
        <f>$D$19*(1+BASES!$E$10)</f>
        <v>0</v>
      </c>
      <c r="EH56" s="345">
        <f>Tabla1[[#This Row],[COSTO UNITARIO AÑO 2 7]]*(1+BASES!$F$10)</f>
        <v>0</v>
      </c>
      <c r="EI56" s="345">
        <f>Tabla1[[#This Row],[COSTO UNITARIO AÑO 3 7]]*(1+BASES!$G$10)</f>
        <v>0</v>
      </c>
      <c r="EJ56" s="345">
        <f>Tabla1[[#This Row],[COSTO UNITARIO AÑO 4 7]]*(1+BASES!$H$10)</f>
        <v>0</v>
      </c>
      <c r="EK56" s="345">
        <f>Tabla1[[#This Row],[COSTO POR UNIDAD DE PRODUCTO (7)]]*$D$19*VLOOKUP(Tabla1[[#This Row],[CÓDIGO DEL PRODUCTO Y/O SERVICIO ]],Tabla3[],3)</f>
        <v>0</v>
      </c>
      <c r="EL56" s="345">
        <f>Tabla1[[#This Row],[COSTO POR UNIDAD DE PRODUCTO (7)]]*Tabla1[[#This Row],[COSTO UNITARIO AÑO 2 7]]*VLOOKUP(Tabla1[[#This Row],[CÓDIGO DEL PRODUCTO Y/O SERVICIO ]],Tabla3[],6)</f>
        <v>0</v>
      </c>
      <c r="EM56" s="345">
        <f>Tabla1[[#This Row],[COSTO POR UNIDAD DE PRODUCTO (7)]]*Tabla1[[#This Row],[COSTO UNITARIO AÑO 3 7]]*VLOOKUP(Tabla1[[#This Row],[CÓDIGO DEL PRODUCTO Y/O SERVICIO ]],Tabla3[],10)</f>
        <v>0</v>
      </c>
      <c r="EN56" s="345">
        <f>Tabla1[[#This Row],[COSTO POR UNIDAD DE PRODUCTO (7)]]*Tabla1[[#This Row],[COSTO UNITARIO AÑO 4 7]]*VLOOKUP(Tabla1[[#This Row],[CÓDIGO DEL PRODUCTO Y/O SERVICIO ]],Tabla3[],14)</f>
        <v>0</v>
      </c>
      <c r="EO56" s="345">
        <f>Tabla1[[#This Row],[COSTO POR UNIDAD DE PRODUCTO (7)]]*Tabla1[[#This Row],[COSTO UNITARIO AÑO 5 7]]*VLOOKUP(Tabla1[[#This Row],[CÓDIGO DEL PRODUCTO Y/O SERVICIO ]],Tabla3[],18)</f>
        <v>0</v>
      </c>
      <c r="EP56" s="114">
        <f>VLOOKUP(Tabla1[[#This Row],[CÓDIGO DEL PRODUCTO Y/O SERVICIO ]],Tabla3[],3)</f>
        <v>0</v>
      </c>
      <c r="EQ56" s="114">
        <f>Tabla1[[#This Row],[UNIDADES PRODUCIDAS AÑO 1 8]]*M41</f>
        <v>0</v>
      </c>
      <c r="ER56" s="112">
        <f>VLOOKUP(Tabla1[[#This Row],[CÓDIGO DEL PRODUCTO Y/O SERVICIO ]],Tabla3[],9)</f>
        <v>0</v>
      </c>
      <c r="ES56" s="114">
        <f>Tabla1[[#This Row],[CANTIDADES A UTILIZAR  AÑO 1 8]]*(1+Tabla1[[#This Row],[CAMBIO PORCENTUAL EN UNIDADES VENDIDAS AÑO 2 8]])</f>
        <v>0</v>
      </c>
      <c r="ET56" s="112">
        <f>VLOOKUP(Tabla1[[#This Row],[CÓDIGO DEL PRODUCTO Y/O SERVICIO ]],Tabla3[],13)</f>
        <v>0</v>
      </c>
      <c r="EU56" s="114">
        <f>Tabla1[[#This Row],[CANTIDADES A UTILIZAR  AÑO 2 8]]*(1+Tabla1[[#This Row],[CAMBIO PORCENTUAL EN UNIDADES VENDIDAS AÑO 3 8]])</f>
        <v>0</v>
      </c>
      <c r="EV56" s="112">
        <f>VLOOKUP(Tabla1[[#This Row],[CÓDIGO DEL PRODUCTO Y/O SERVICIO ]],Tabla3[],17)</f>
        <v>0</v>
      </c>
      <c r="EW56" s="114">
        <f>Tabla1[[#This Row],[CANTIDADES A UTILIZAR  AÑO 3 8]]*(1+Tabla1[[#This Row],[CAMBIO PORCENTUAL EN UNIDADES VENDIDAS AÑO 4 8]])</f>
        <v>0</v>
      </c>
      <c r="EX56" s="112">
        <f>VLOOKUP(Tabla1[[#This Row],[CÓDIGO DEL PRODUCTO Y/O SERVICIO ]],Tabla3[],21)</f>
        <v>0</v>
      </c>
      <c r="EY56" s="114">
        <f>Tabla1[[#This Row],[CANTIDADES A UTILIZAR  AÑO 4 8]]*(1+Tabla1[[#This Row],[CAMBIO PORCENTUAL EN UNIDADES VENDIDAS AÑO 5 8]])</f>
        <v>0</v>
      </c>
      <c r="EZ56" s="345">
        <f>IF(Tabla1[[#This Row],[CANTIDADES A UTILIZAR  AÑO 1 8]]=0,0,Tabla1[[#This Row],[CANTIDADES A UTILIZAR  AÑO 1 8]]*1/Tabla1[[#This Row],[UNIDADES PRODUCIDAS AÑO 1 8]])</f>
        <v>0</v>
      </c>
      <c r="FA56" s="345">
        <f>$D$20*(1+BASES!$E$10)</f>
        <v>0</v>
      </c>
      <c r="FB56" s="345">
        <f>Tabla1[[#This Row],[COSTO UNITARIO AÑO 2 8]]*(1+BASES!$F$10)</f>
        <v>0</v>
      </c>
      <c r="FC56" s="345">
        <f>Tabla1[[#This Row],[COSTO UNITARIO AÑO 3 8]]*(1+BASES!$G$10)</f>
        <v>0</v>
      </c>
      <c r="FD56" s="345">
        <f>Tabla1[[#This Row],[COSTO UNITARIO AÑO 4 8]]*(1+BASES!$H$10)</f>
        <v>0</v>
      </c>
      <c r="FE56" s="345">
        <f>Tabla1[[#This Row],[COSTO POR UNIDAD DE PRODUCTO (8)]]*$D$20*VLOOKUP(Tabla1[[#This Row],[CÓDIGO DEL PRODUCTO Y/O SERVICIO ]],Tabla3[],3)</f>
        <v>0</v>
      </c>
      <c r="FF56" s="345">
        <f>Tabla1[[#This Row],[COSTO POR UNIDAD DE PRODUCTO (8)]]*Tabla1[[#This Row],[COSTO UNITARIO AÑO 2 8]]*VLOOKUP(Tabla1[[#This Row],[CÓDIGO DEL PRODUCTO Y/O SERVICIO ]],Tabla3[],6)</f>
        <v>0</v>
      </c>
      <c r="FG56" s="345">
        <f>Tabla1[[#This Row],[COSTO POR UNIDAD DE PRODUCTO (8)]]*Tabla1[[#This Row],[COSTO UNITARIO AÑO 3 8]]*VLOOKUP(Tabla1[[#This Row],[CÓDIGO DEL PRODUCTO Y/O SERVICIO ]],Tabla3[],10)</f>
        <v>0</v>
      </c>
      <c r="FH56" s="345">
        <f>Tabla1[[#This Row],[COSTO POR UNIDAD DE PRODUCTO (8)]]*Tabla1[[#This Row],[COSTO UNITARIO AÑO 4 8]]*VLOOKUP(Tabla1[[#This Row],[CÓDIGO DEL PRODUCTO Y/O SERVICIO ]],Tabla3[],14)</f>
        <v>0</v>
      </c>
      <c r="FI56" s="345">
        <f>Tabla1[[#This Row],[COSTO POR UNIDAD DE PRODUCTO (8)]]*Tabla1[[#This Row],[COSTO UNITARIO AÑO 5 8]]*VLOOKUP(Tabla1[[#This Row],[CÓDIGO DEL PRODUCTO Y/O SERVICIO ]],Tabla3[],18)</f>
        <v>0</v>
      </c>
      <c r="FJ56" s="347">
        <f>VLOOKUP(Tabla1[[#This Row],[CÓDIGO DEL PRODUCTO Y/O SERVICIO ]],Tabla3[],3)</f>
        <v>0</v>
      </c>
      <c r="FK56" s="347">
        <f>Tabla1[[#This Row],[UNIDADES PRODUCIDAS AÑO 1 9 ]]*N41</f>
        <v>0</v>
      </c>
      <c r="FL56" s="348">
        <f>VLOOKUP(Tabla1[[#This Row],[CÓDIGO DEL PRODUCTO Y/O SERVICIO ]],Tabla3[],9)</f>
        <v>0</v>
      </c>
      <c r="FM56" s="347">
        <f>Tabla1[[#This Row],[CANTIDADES A UTILIZAR  AÑO 1 9]]*(1+Tabla1[[#This Row],[CAMBIO PORCENTUAL EN UNIDADES VENDIDAS AÑO 2 9]])</f>
        <v>0</v>
      </c>
      <c r="FN56" s="348">
        <f>VLOOKUP(Tabla1[[#This Row],[CÓDIGO DEL PRODUCTO Y/O SERVICIO ]],Tabla3[],13)</f>
        <v>0</v>
      </c>
      <c r="FO56" s="347">
        <f>Tabla1[[#This Row],[CANTIDADES A UTILIZAR  AÑO 2 9]]*(1+Tabla1[[#This Row],[CAMBIO PORCENTUAL EN UNIDADES VENDIDAS AÑO 3 9]])</f>
        <v>0</v>
      </c>
      <c r="FP56" s="348">
        <f>VLOOKUP(Tabla1[[#This Row],[CÓDIGO DEL PRODUCTO Y/O SERVICIO ]],Tabla3[],17)</f>
        <v>0</v>
      </c>
      <c r="FQ56" s="347">
        <f>Tabla1[[#This Row],[CANTIDADES A UTILIZAR  AÑO 3 9]]*(1+Tabla1[[#This Row],[CAMBIO PORCENTUAL EN UNIDADES VENDIDAS AÑO 4 9 ]])</f>
        <v>0</v>
      </c>
      <c r="FR56" s="348">
        <f>VLOOKUP(Tabla1[[#This Row],[CÓDIGO DEL PRODUCTO Y/O SERVICIO ]],Tabla3[],21)</f>
        <v>0</v>
      </c>
      <c r="FS56" s="347">
        <f>Tabla1[[#This Row],[CANTIDADES A UTILIZAR  AÑO 4  9]]*(1+Tabla1[[#This Row],[CAMBIO PORCENTUAL EN UNIDADES VENDIDAS AÑO 5 9]])</f>
        <v>0</v>
      </c>
      <c r="FT56" s="349">
        <f>IF(Tabla1[[#This Row],[CANTIDADES A UTILIZAR  AÑO 1 9]]=0,0,Tabla1[[#This Row],[CANTIDADES A UTILIZAR  AÑO 1 9]]*1/Tabla1[[#This Row],[UNIDADES PRODUCIDAS AÑO 1 9 ]])</f>
        <v>0</v>
      </c>
      <c r="FU56" s="349">
        <f>$D$21*(1+BASES!$E$10)</f>
        <v>0</v>
      </c>
      <c r="FV56" s="349">
        <f>Tabla1[[#This Row],[COSTO UNITARIO AÑO 2 9]]*(1+BASES!$F$10)</f>
        <v>0</v>
      </c>
      <c r="FW56" s="349">
        <f>Tabla1[[#This Row],[COSTO UNITARIO AÑO 3 9]]*(1+BASES!$G$10)</f>
        <v>0</v>
      </c>
      <c r="FX56" s="349">
        <f>Tabla1[[#This Row],[COSTO UNITARIO AÑO 4 9]]*(1+BASES!$H$10)</f>
        <v>0</v>
      </c>
      <c r="FY56" s="349">
        <f>Tabla1[[#This Row],[COSTO POR UNIDAD DE PRODUCTO (9)]]*$D$21*VLOOKUP(Tabla1[[#This Row],[CÓDIGO DEL PRODUCTO Y/O SERVICIO ]],Tabla3[],3)</f>
        <v>0</v>
      </c>
      <c r="FZ56" s="349">
        <f>Tabla1[[#This Row],[COSTO POR UNIDAD DE PRODUCTO (9)]]*Tabla1[[#This Row],[COSTO UNITARIO AÑO 2 9]]*VLOOKUP(Tabla1[[#This Row],[CÓDIGO DEL PRODUCTO Y/O SERVICIO ]],Tabla3[],6)</f>
        <v>0</v>
      </c>
      <c r="GA56" s="349">
        <f>Tabla1[[#This Row],[COSTO POR UNIDAD DE PRODUCTO (9)]]*Tabla1[[#This Row],[COSTO UNITARIO AÑO 3 9]]*VLOOKUP(Tabla1[[#This Row],[CÓDIGO DEL PRODUCTO Y/O SERVICIO ]],Tabla3[],10)</f>
        <v>0</v>
      </c>
      <c r="GB56" s="349">
        <f>Tabla1[[#This Row],[COSTO POR UNIDAD DE PRODUCTO (9)]]*Tabla1[[#This Row],[COSTO UNITARIO AÑO 4 9]]*VLOOKUP(Tabla1[[#This Row],[CÓDIGO DEL PRODUCTO Y/O SERVICIO ]],Tabla3[],14)</f>
        <v>0</v>
      </c>
      <c r="GC56" s="349">
        <f>Tabla1[[#This Row],[COSTO POR UNIDAD DE PRODUCTO (9)]]*Tabla1[[#This Row],[COSTO UNITARIO AÑO 5 9]]*VLOOKUP(Tabla1[[#This Row],[CÓDIGO DEL PRODUCTO Y/O SERVICIO ]],Tabla3[],18)</f>
        <v>0</v>
      </c>
      <c r="GD56" s="347">
        <f>VLOOKUP(Tabla1[[#This Row],[CÓDIGO DEL PRODUCTO Y/O SERVICIO ]],Tabla3[],3)</f>
        <v>0</v>
      </c>
      <c r="GE56" s="347">
        <f>Tabla1[[#This Row],[UNIDADES PRODUCIDAS AÑO 1 10]]*O41</f>
        <v>0</v>
      </c>
      <c r="GF56" s="348">
        <f>VLOOKUP(Tabla1[[#This Row],[CÓDIGO DEL PRODUCTO Y/O SERVICIO ]],Tabla3[],9)</f>
        <v>0</v>
      </c>
      <c r="GG56" s="347">
        <f>Tabla1[[#This Row],[CANTIDADES A UTILIZAR  AÑO 1 10]]*(1+Tabla1[[#This Row],[CAMBIO PORCENTUAL EN UNIDADES VENDIDAS AÑO 2 10 ]])</f>
        <v>0</v>
      </c>
      <c r="GH56" s="348">
        <f>VLOOKUP(Tabla1[[#This Row],[CÓDIGO DEL PRODUCTO Y/O SERVICIO ]],Tabla3[],13)</f>
        <v>0</v>
      </c>
      <c r="GI56" s="347">
        <f>Tabla1[[#This Row],[CANTIDADES A UTILIZAR  AÑO 2 10]]*(1+Tabla1[[#This Row],[CAMBIO PORCENTUAL EN UNIDADES VENDIDAS AÑO 3 10]])</f>
        <v>0</v>
      </c>
      <c r="GJ56" s="348">
        <f>VLOOKUP(Tabla1[[#This Row],[CÓDIGO DEL PRODUCTO Y/O SERVICIO ]],Tabla3[],17)</f>
        <v>0</v>
      </c>
      <c r="GK56" s="347">
        <f>Tabla1[[#This Row],[CANTIDADES A UTILIZAR AÑO 3 10 ]]*(1+Tabla1[[#This Row],[CAMBIO PORCENTUAL EN UNIDADES VENDIDAS AÑO 4 10]])</f>
        <v>0</v>
      </c>
      <c r="GL56" s="348">
        <f>VLOOKUP(Tabla1[[#This Row],[CÓDIGO DEL PRODUCTO Y/O SERVICIO ]],Tabla3[],21)</f>
        <v>0</v>
      </c>
      <c r="GM56" s="347">
        <f>Tabla1[[#This Row],[CANTIDADES A UTILIZAR  AÑO 4 10 ]]*(1+Tabla1[[#This Row],[CAMBIO PORCENTUAL EN UNIDADES VENDIDAS AÑO 5 10]])</f>
        <v>0</v>
      </c>
      <c r="GN56" s="349">
        <f>IF(Tabla1[[#This Row],[CANTIDADES A UTILIZAR  AÑO 1 10]]=0,0,Tabla1[[#This Row],[CANTIDADES A UTILIZAR  AÑO 1 10]]*1/Tabla1[[#This Row],[UNIDADES PRODUCIDAS AÑO 1 10]])</f>
        <v>0</v>
      </c>
      <c r="GO56" s="349">
        <f>$D$22*(1+BASES!$E$10)</f>
        <v>0</v>
      </c>
      <c r="GP56" s="349">
        <f>Tabla1[[#This Row],[COSTO UNITARIO AÑO 2 10 ]]*(1+BASES!$F$10)</f>
        <v>0</v>
      </c>
      <c r="GQ56" s="349">
        <f>Tabla1[[#This Row],[COSTO UNITARIO AÑO 3 10]]*(1+BASES!$G$10)</f>
        <v>0</v>
      </c>
      <c r="GR56" s="349">
        <f>Tabla1[[#This Row],[COSTO UNITARIO AÑO 4 10]]*(1+BASES!$H$10)</f>
        <v>0</v>
      </c>
      <c r="GS56" s="349">
        <f>Tabla1[[#This Row],[COSTO POR UNIDAD DE PRODUCTO (10)]]*$D$22*VLOOKUP(Tabla1[[#This Row],[CÓDIGO DEL PRODUCTO Y/O SERVICIO ]],Tabla3[],3)</f>
        <v>0</v>
      </c>
      <c r="GT56" s="349">
        <f>Tabla1[[#This Row],[COSTO POR UNIDAD DE PRODUCTO (10)]]*Tabla1[[#This Row],[COSTO UNITARIO AÑO 2 10 ]]*VLOOKUP(Tabla1[[#This Row],[CÓDIGO DEL PRODUCTO Y/O SERVICIO ]],Tabla3[],6)</f>
        <v>0</v>
      </c>
      <c r="GU56" s="349">
        <f>Tabla1[[#This Row],[COSTO POR UNIDAD DE PRODUCTO (10)]]*Tabla1[[#This Row],[COSTO UNITARIO AÑO 3 10]]*VLOOKUP(Tabla1[[#This Row],[CÓDIGO DEL PRODUCTO Y/O SERVICIO ]],Tabla3[],10)</f>
        <v>0</v>
      </c>
      <c r="GV56" s="349">
        <f>Tabla1[[#This Row],[COSTO POR UNIDAD DE PRODUCTO (10)]]*Tabla1[[#This Row],[COSTO UNITARIO AÑO 4 10]]*VLOOKUP(Tabla1[[#This Row],[CÓDIGO DEL PRODUCTO Y/O SERVICIO ]],Tabla3[],14)</f>
        <v>0</v>
      </c>
      <c r="GW56" s="349">
        <f>Tabla1[[#This Row],[COSTO POR UNIDAD DE PRODUCTO (10)]]*Tabla1[[#This Row],[COSTO UNITARIO AÑO 5 10 ]]*VLOOKUP(Tabla1[[#This Row],[CÓDIGO DEL PRODUCTO Y/O SERVICIO ]],Tabla3[],18)</f>
        <v>0</v>
      </c>
      <c r="GX56" s="347">
        <f>VLOOKUP(Tabla1[[#This Row],[CÓDIGO DEL PRODUCTO Y/O SERVICIO ]],Tabla3[],3)</f>
        <v>0</v>
      </c>
      <c r="GY56" s="347">
        <f>Tabla1[[#This Row],[UNIDADES PRODUCIDAS AÑO 1 11]]*P41</f>
        <v>0</v>
      </c>
      <c r="GZ56" s="348">
        <f>VLOOKUP(Tabla1[[#This Row],[CÓDIGO DEL PRODUCTO Y/O SERVICIO ]],Tabla3[],9)</f>
        <v>0</v>
      </c>
      <c r="HA56" s="347">
        <f>Tabla1[[#This Row],[CANTIDADES A UTILIZAR  AÑO 1 11 ]]*(1+Tabla1[[#This Row],[CAMBIO PORCENTUAL EN UNIDADES VENDIDAS AÑO 2 11 ]])</f>
        <v>0</v>
      </c>
      <c r="HB56" s="348">
        <f>VLOOKUP(Tabla1[[#This Row],[CÓDIGO DEL PRODUCTO Y/O SERVICIO ]],Tabla3[],13)</f>
        <v>0</v>
      </c>
      <c r="HC56" s="347">
        <f>Tabla1[[#This Row],[CANTIDADES A UTILIZAR  AÑO 2 11 ]]*(1+Tabla1[[#This Row],[CAMBIO PORCENTUAL EN UNIDADES VENDIDAS AÑO 3 11]])</f>
        <v>0</v>
      </c>
      <c r="HD56" s="348">
        <f>VLOOKUP(Tabla1[[#This Row],[CÓDIGO DEL PRODUCTO Y/O SERVICIO ]],Tabla3[],17)</f>
        <v>0</v>
      </c>
      <c r="HE56" s="347">
        <f>Tabla1[[#This Row],[CANTIDADES A UTILIZAR  AÑO 3 11]]*(1+Tabla1[[#This Row],[CAMBIO PORCENTUAL EN UNIDADES VENDIDAS AÑO 4 11]])</f>
        <v>0</v>
      </c>
      <c r="HF56" s="348">
        <f>VLOOKUP(Tabla1[[#This Row],[CÓDIGO DEL PRODUCTO Y/O SERVICIO ]],Tabla3[],21)</f>
        <v>0</v>
      </c>
      <c r="HG56" s="347">
        <f>Tabla1[[#This Row],[CANTIDADES A UTILIZAR  AÑO 4 11]]*(1+Tabla1[[#This Row],[CAMBIO PORCENTUAL EN UNIDADES VENDIDAS AÑO 5 11 ]])</f>
        <v>0</v>
      </c>
      <c r="HH56" s="349">
        <f>IF(Tabla1[[#This Row],[CANTIDADES A UTILIZAR  AÑO 1 11 ]]=0,0,Tabla1[[#This Row],[CANTIDADES A UTILIZAR  AÑO 1 11 ]]*1/Tabla1[[#This Row],[UNIDADES PRODUCIDAS AÑO 1 11]])</f>
        <v>0</v>
      </c>
      <c r="HI56" s="349">
        <f>$D$23*(1+BASES!$E$10)</f>
        <v>0</v>
      </c>
      <c r="HJ56" s="349">
        <f>Tabla1[[#This Row],[COSTO UNITARIO AÑO 2 11]]*(1+BASES!$F$10)</f>
        <v>0</v>
      </c>
      <c r="HK56" s="349">
        <f>Tabla1[[#This Row],[COSTO UNITARIO AÑO 3 11 ]]*(1+BASES!$G$10)</f>
        <v>0</v>
      </c>
      <c r="HL56" s="349">
        <f>Tabla1[[#This Row],[COSTO UNITARIO AÑO 4 11 ]]*(1+BASES!$H$10)</f>
        <v>0</v>
      </c>
      <c r="HM56" s="349">
        <f>Tabla1[[#This Row],[COSTO POR UNIDAD DE PRODUCTO (11)]]*$D$23*VLOOKUP(Tabla1[[#This Row],[CÓDIGO DEL PRODUCTO Y/O SERVICIO ]],Tabla3[],3)</f>
        <v>0</v>
      </c>
      <c r="HN56" s="349">
        <f>Tabla1[[#This Row],[COSTO POR UNIDAD DE PRODUCTO (11)]]*Tabla1[[#This Row],[COSTO UNITARIO AÑO 2 11]]*VLOOKUP(Tabla1[[#This Row],[CÓDIGO DEL PRODUCTO Y/O SERVICIO ]],Tabla3[],6)</f>
        <v>0</v>
      </c>
      <c r="HO56" s="349">
        <f>Tabla1[[#This Row],[COSTO POR UNIDAD DE PRODUCTO (11)]]*Tabla1[[#This Row],[COSTO UNITARIO AÑO 3 11 ]]*VLOOKUP(Tabla1[[#This Row],[CÓDIGO DEL PRODUCTO Y/O SERVICIO ]],Tabla3[],10)</f>
        <v>0</v>
      </c>
      <c r="HP56" s="349">
        <f>Tabla1[[#This Row],[COSTO POR UNIDAD DE PRODUCTO (11)]]*Tabla1[[#This Row],[COSTO UNITARIO AÑO 4 11 ]]*VLOOKUP(Tabla1[[#This Row],[CÓDIGO DEL PRODUCTO Y/O SERVICIO ]],Tabla3[],14)</f>
        <v>0</v>
      </c>
      <c r="HQ56" s="349">
        <f>Tabla1[[#This Row],[COSTO POR UNIDAD DE PRODUCTO (11)]]*Tabla1[[#This Row],[COSTO UNITARIO AÑO 5 11 ]]*VLOOKUP(Tabla1[[#This Row],[CÓDIGO DEL PRODUCTO Y/O SERVICIO ]],Tabla3[],18)</f>
        <v>0</v>
      </c>
      <c r="HR56" s="347">
        <f>VLOOKUP(Tabla1[[#This Row],[CÓDIGO DEL PRODUCTO Y/O SERVICIO ]],Tabla3[],3)</f>
        <v>0</v>
      </c>
      <c r="HS56" s="347">
        <f>Tabla1[[#This Row],[UNIDADES PRODUCIDAS AÑO 1 12]]*Q41</f>
        <v>0</v>
      </c>
      <c r="HT56" s="348">
        <f>VLOOKUP(Tabla1[[#This Row],[CÓDIGO DEL PRODUCTO Y/O SERVICIO ]],Tabla3[],9)</f>
        <v>0</v>
      </c>
      <c r="HU56" s="347">
        <f>Tabla1[[#This Row],[CANTIDADES A UTILIZAR  AÑO 1 12]]*(1+Tabla1[[#This Row],[CAMBIO PORCENTUAL EN UNIDADES VENDIDAS AÑO 2 12]])</f>
        <v>0</v>
      </c>
      <c r="HV56" s="348">
        <f>VLOOKUP(Tabla1[[#This Row],[CÓDIGO DEL PRODUCTO Y/O SERVICIO ]],Tabla3[],13)</f>
        <v>0</v>
      </c>
      <c r="HW56" s="347">
        <f>Tabla1[[#This Row],[CANTIDADES A UTILIZAR  AÑO 2 12]]*(1+Tabla1[[#This Row],[CAMBIO PORCENTUAL EN UNIDADES VENDIDAS AÑO 3 12]])</f>
        <v>0</v>
      </c>
      <c r="HX56" s="348">
        <f>VLOOKUP(Tabla1[[#This Row],[CÓDIGO DEL PRODUCTO Y/O SERVICIO ]],Tabla3[],17)</f>
        <v>0</v>
      </c>
      <c r="HY56" s="347">
        <f>Tabla1[[#This Row],[CANTIDADES A UTILIZAR  AÑO 3 12]]*(1+Tabla1[[#This Row],[CAMBIO PORCENTUAL EN UNIDADES VENDIDAS AÑO 4 12]])</f>
        <v>0</v>
      </c>
      <c r="HZ56" s="348">
        <f>VLOOKUP(Tabla1[[#This Row],[CÓDIGO DEL PRODUCTO Y/O SERVICIO ]],Tabla3[],21)</f>
        <v>0</v>
      </c>
      <c r="IA56" s="347">
        <f>Tabla1[[#This Row],[CANTIDADES A UTILIZAR  AÑO 4 12]]*(1+Tabla1[[#This Row],[CAMBIO PORCENTUAL EN UNIDADES VENDIDAS AÑO 5 12]])</f>
        <v>0</v>
      </c>
      <c r="IB56" s="349">
        <f>IF(Tabla1[[#This Row],[CANTIDADES A UTILIZAR  AÑO 1 12]]=0,0,Tabla1[[#This Row],[CANTIDADES A UTILIZAR  AÑO 1 12]]*1/Tabla1[[#This Row],[UNIDADES PRODUCIDAS AÑO 1 12]])</f>
        <v>0</v>
      </c>
      <c r="IC56" s="349">
        <f>$D$24*(1+BASES!$E$10)</f>
        <v>0</v>
      </c>
      <c r="ID56" s="349">
        <f>Tabla1[[#This Row],[COSTO UNITARIO AÑO 2 12]]*(1+BASES!$F$10)</f>
        <v>0</v>
      </c>
      <c r="IE56" s="349">
        <f>Tabla1[[#This Row],[COSTO UNITARIO AÑO 3 12]]*(1+BASES!$G$10)</f>
        <v>0</v>
      </c>
      <c r="IF56" s="349">
        <f>Tabla1[[#This Row],[COSTO UNITARIO AÑO 4 12]]*(1+BASES!$H$10)</f>
        <v>0</v>
      </c>
      <c r="IG56" s="349">
        <f>Tabla1[[#This Row],[COSTO POR UNIDAD DE PRODUCTO (12)]]*$D$24*VLOOKUP(Tabla1[[#This Row],[CÓDIGO DEL PRODUCTO Y/O SERVICIO ]],Tabla3[],3)</f>
        <v>0</v>
      </c>
      <c r="IH56" s="349">
        <f>Tabla1[[#This Row],[COSTO POR UNIDAD DE PRODUCTO (12)]]*Tabla1[[#This Row],[COSTO UNITARIO AÑO 2 12]]*VLOOKUP(Tabla1[[#This Row],[CÓDIGO DEL PRODUCTO Y/O SERVICIO ]],Tabla3[],6)</f>
        <v>0</v>
      </c>
      <c r="II56" s="349">
        <f>Tabla1[[#This Row],[COSTO POR UNIDAD DE PRODUCTO (12)]]*Tabla1[[#This Row],[COSTO UNITARIO AÑO 3 12]]*VLOOKUP(Tabla1[[#This Row],[CÓDIGO DEL PRODUCTO Y/O SERVICIO ]],Tabla3[],10)</f>
        <v>0</v>
      </c>
      <c r="IJ56" s="349">
        <f>Tabla1[[#This Row],[COSTO POR UNIDAD DE PRODUCTO (12)]]*Tabla1[[#This Row],[COSTO UNITARIO AÑO 4 12]]*VLOOKUP(Tabla1[[#This Row],[CÓDIGO DEL PRODUCTO Y/O SERVICIO ]],Tabla3[],14)</f>
        <v>0</v>
      </c>
      <c r="IK56" s="349">
        <f>Tabla1[[#This Row],[COSTO POR UNIDAD DE PRODUCTO (12)]]*Tabla1[[#This Row],[COSTO UNITARIO AÑO 5 12]]*VLOOKUP(Tabla1[[#This Row],[CÓDIGO DEL PRODUCTO Y/O SERVICIO ]],Tabla3[],18)</f>
        <v>0</v>
      </c>
      <c r="IL56" s="347">
        <f>VLOOKUP(Tabla1[[#This Row],[CÓDIGO DEL PRODUCTO Y/O SERVICIO ]],Tabla3[],3)</f>
        <v>0</v>
      </c>
      <c r="IM56" s="347">
        <f>Tabla1[[#This Row],[UNIDADES PRODUCIDAS AÑO 1 13]]*R41</f>
        <v>0</v>
      </c>
      <c r="IN56" s="348">
        <f>VLOOKUP(Tabla1[[#This Row],[CÓDIGO DEL PRODUCTO Y/O SERVICIO ]],Tabla3[],9)</f>
        <v>0</v>
      </c>
      <c r="IO56" s="347">
        <f>Tabla1[[#This Row],[CANTIDADES A UTILIZAR  AÑO 1 13]]*(1+Tabla1[[#This Row],[CAMBIO PORCENTUAL EN UNIDADES VENDIDAS AÑO 2 13]])</f>
        <v>0</v>
      </c>
      <c r="IP56" s="348">
        <f>VLOOKUP(Tabla1[[#This Row],[CÓDIGO DEL PRODUCTO Y/O SERVICIO ]],Tabla3[],13)</f>
        <v>0</v>
      </c>
      <c r="IQ56" s="347">
        <f>Tabla1[[#This Row],[CANTIDADES A UTILIZAR  AÑO 2 13]]*(1+Tabla1[[#This Row],[CAMBIO PORCENTUAL EN UNIDADES VENDIDAS AÑO 3 13]])</f>
        <v>0</v>
      </c>
      <c r="IR56" s="347">
        <f>VLOOKUP(Tabla1[[#This Row],[CÓDIGO DEL PRODUCTO Y/O SERVICIO ]],Tabla3[],17)</f>
        <v>0</v>
      </c>
      <c r="IS56" s="347">
        <f>Tabla1[[#This Row],[CANTIDADES A UTILIZAR  AÑO 3 13]]*(1+Tabla1[[#This Row],[CAMBIO PORCENTUAL EN UNIDADES VENDIDAS AÑO 4 13]])</f>
        <v>0</v>
      </c>
      <c r="IT56" s="348">
        <f>VLOOKUP(Tabla1[[#This Row],[CÓDIGO DEL PRODUCTO Y/O SERVICIO ]],Tabla3[],21)</f>
        <v>0</v>
      </c>
      <c r="IU56" s="347">
        <f>Tabla1[[#This Row],[CANTIDADES A UTILIZAR  AÑO 4 13]]*(1+Tabla1[[#This Row],[CAMBIO PORCENTUAL EN UNIDADES VENDIDAS AÑO 5 13]])</f>
        <v>0</v>
      </c>
      <c r="IV56" s="349">
        <f>IF(Tabla1[[#This Row],[CANTIDADES A UTILIZAR  AÑO 1 13]]=0,0,Tabla1[[#This Row],[CANTIDADES A UTILIZAR  AÑO 1 13]]*1/Tabla1[[#This Row],[UNIDADES PRODUCIDAS AÑO 1 13]])</f>
        <v>0</v>
      </c>
      <c r="IW56" s="349">
        <f>$D$25*(1+BASES!$E$10)</f>
        <v>0</v>
      </c>
      <c r="IX56" s="349">
        <f>Tabla1[[#This Row],[COSTO UNITARIO AÑO 2 13]]*(1+BASES!$F$10)</f>
        <v>0</v>
      </c>
      <c r="IY56" s="349">
        <f>Tabla1[[#This Row],[COSTO UNITARIO AÑO 3 13]]*(1+BASES!$G$10)</f>
        <v>0</v>
      </c>
      <c r="IZ56" s="349">
        <f>Tabla1[[#This Row],[COSTO UNITARIO AÑO 4 13]]*(1+BASES!$H$10)</f>
        <v>0</v>
      </c>
      <c r="JA56" s="349">
        <f>Tabla1[[#This Row],[COSTO POR UNIDAD DE PRODUCTO (13)]]*$D$25*VLOOKUP(Tabla1[[#This Row],[CÓDIGO DEL PRODUCTO Y/O SERVICIO ]],Tabla3[],3)</f>
        <v>0</v>
      </c>
      <c r="JB56" s="349">
        <f>Tabla1[[#This Row],[COSTO POR UNIDAD DE PRODUCTO (13)]]*Tabla1[[#This Row],[COSTO UNITARIO AÑO 2 13]]*VLOOKUP(Tabla1[[#This Row],[CÓDIGO DEL PRODUCTO Y/O SERVICIO ]],Tabla3[],6)</f>
        <v>0</v>
      </c>
      <c r="JC56" s="349">
        <f>Tabla1[[#This Row],[COSTO POR UNIDAD DE PRODUCTO (13)]]*Tabla1[[#This Row],[COSTO UNITARIO AÑO 3 13]]*VLOOKUP(Tabla1[[#This Row],[CÓDIGO DEL PRODUCTO Y/O SERVICIO ]],Tabla3[],10)</f>
        <v>0</v>
      </c>
      <c r="JD56" s="349">
        <f>Tabla1[[#This Row],[COSTO POR UNIDAD DE PRODUCTO (13)]]*Tabla1[[#This Row],[COSTO UNITARIO AÑO 4 13]]*VLOOKUP(Tabla1[[#This Row],[CÓDIGO DEL PRODUCTO Y/O SERVICIO ]],Tabla3[],14)</f>
        <v>0</v>
      </c>
      <c r="JE56" s="349">
        <f>Tabla1[[#This Row],[COSTO POR UNIDAD DE PRODUCTO (13)]]*Tabla1[[#This Row],[COSTO UNITARIO AÑO 5 13]]*VLOOKUP(Tabla1[[#This Row],[CÓDIGO DEL PRODUCTO Y/O SERVICIO ]],Tabla3[],18)</f>
        <v>0</v>
      </c>
      <c r="JF56" s="347">
        <f>VLOOKUP(Tabla1[[#This Row],[CÓDIGO DEL PRODUCTO Y/O SERVICIO ]],Tabla3[],3)</f>
        <v>0</v>
      </c>
      <c r="JG56" s="347">
        <f>Tabla1[[#This Row],[UNIDADES PRODUCIDAS AÑO 1 14]]*S41</f>
        <v>0</v>
      </c>
      <c r="JH56" s="348">
        <f>VLOOKUP(Tabla1[[#This Row],[CÓDIGO DEL PRODUCTO Y/O SERVICIO ]],Tabla3[],9)</f>
        <v>0</v>
      </c>
      <c r="JI56" s="347">
        <f>Tabla1[[#This Row],[CANTIDADES A UTILIZAR  AÑO 1 14]]*(1+Tabla1[[#This Row],[CAMBIO PORCENTUAL EN UNIDADES VENDIDAS AÑO 2 14]])</f>
        <v>0</v>
      </c>
      <c r="JJ56" s="348">
        <f>VLOOKUP(Tabla1[[#This Row],[CÓDIGO DEL PRODUCTO Y/O SERVICIO ]],Tabla3[],13)</f>
        <v>0</v>
      </c>
      <c r="JK56" s="347">
        <f>Tabla1[[#This Row],[CANTIDADES A UTILIZAR  AÑO 2 14]]*(1+Tabla1[[#This Row],[CAMBIO PORCENTUAL EN UNIDADES VENDIDAS AÑO 3 14]])</f>
        <v>0</v>
      </c>
      <c r="JL56" s="348">
        <f>VLOOKUP(Tabla1[[#This Row],[CÓDIGO DEL PRODUCTO Y/O SERVICIO ]],Tabla3[],17)</f>
        <v>0</v>
      </c>
      <c r="JM56" s="347">
        <f>Tabla1[[#This Row],[CANTIDADES A UTILIZAR AÑO 3 14]]*(1+Tabla1[[#This Row],[CAMBIO PORCENTUAL EN UNIDADES VENDIDAS AÑO 4 14]])</f>
        <v>0</v>
      </c>
      <c r="JN56" s="348">
        <f>VLOOKUP(Tabla1[[#This Row],[CÓDIGO DEL PRODUCTO Y/O SERVICIO ]],Tabla3[],21)</f>
        <v>0</v>
      </c>
      <c r="JO56" s="347">
        <f>Tabla1[[#This Row],[CANTIDADES A UTILIZAR  AÑO 4 14]]*(1+Tabla1[[#This Row],[CAMBIO PORCENTUAL EN UNIDADES VENDIDAS AÑO 5 14]])</f>
        <v>0</v>
      </c>
      <c r="JP56" s="349">
        <f>IF(Tabla1[[#This Row],[CANTIDADES A UTILIZAR  AÑO 1 14]]=0,0,Tabla1[[#This Row],[CANTIDADES A UTILIZAR  AÑO 1 14]]*1/Tabla1[[#This Row],[UNIDADES PRODUCIDAS AÑO 1 14]])</f>
        <v>0</v>
      </c>
      <c r="JQ56" s="349">
        <f>$D$26*(1+BASES!$E$10)</f>
        <v>0</v>
      </c>
      <c r="JR56" s="349">
        <f>Tabla1[[#This Row],[COSTO UNITARIO AÑO 2 14]]*(1+BASES!$F$10)</f>
        <v>0</v>
      </c>
      <c r="JS56" s="349">
        <f>Tabla1[[#This Row],[COSTO UNITARIO AÑO 3 14]]*(1+BASES!$G$10)</f>
        <v>0</v>
      </c>
      <c r="JT56" s="349">
        <f>Tabla1[[#This Row],[COSTO UNITARIO AÑO 4 14]]*(1+BASES!$H$10)</f>
        <v>0</v>
      </c>
      <c r="JU56" s="349">
        <f>Tabla1[[#This Row],[COSTO POR UNIDAD DE PRODUCTO (14)]]*$D$26*VLOOKUP(Tabla1[[#This Row],[CÓDIGO DEL PRODUCTO Y/O SERVICIO ]],Tabla3[],3)</f>
        <v>0</v>
      </c>
      <c r="JV56" s="349">
        <f>Tabla1[[#This Row],[COSTO POR UNIDAD DE PRODUCTO (14)]]*Tabla1[[#This Row],[COSTO UNITARIO AÑO 2 14]]*VLOOKUP(Tabla1[[#This Row],[CÓDIGO DEL PRODUCTO Y/O SERVICIO ]],Tabla3[],6)</f>
        <v>0</v>
      </c>
      <c r="JW56" s="349">
        <f>Tabla1[[#This Row],[COSTO POR UNIDAD DE PRODUCTO (14)]]*Tabla1[[#This Row],[COSTO UNITARIO AÑO 3 14]]*VLOOKUP(Tabla1[[#This Row],[CÓDIGO DEL PRODUCTO Y/O SERVICIO ]],Tabla3[],10)</f>
        <v>0</v>
      </c>
      <c r="JX56" s="349">
        <f>Tabla1[[#This Row],[COSTO POR UNIDAD DE PRODUCTO (14)]]*Tabla1[[#This Row],[COSTO UNITARIO AÑO 4 14]]*VLOOKUP(Tabla1[[#This Row],[CÓDIGO DEL PRODUCTO Y/O SERVICIO ]],Tabla3[],14)</f>
        <v>0</v>
      </c>
      <c r="JY56" s="349">
        <f>Tabla1[[#This Row],[COSTO POR UNIDAD DE PRODUCTO (14)]]*Tabla1[[#This Row],[COSTO UNITARIO AÑO 5 14]]*VLOOKUP(Tabla1[[#This Row],[CÓDIGO DEL PRODUCTO Y/O SERVICIO ]],Tabla3[],18)</f>
        <v>0</v>
      </c>
      <c r="JZ56" s="347">
        <f>VLOOKUP(Tabla1[[#This Row],[CÓDIGO DEL PRODUCTO Y/O SERVICIO ]],Tabla3[],3)</f>
        <v>0</v>
      </c>
      <c r="KA56" s="347">
        <f>Tabla1[[#This Row],[UNIDADES PRODUCIDAS AÑO 1 15]]*T41</f>
        <v>0</v>
      </c>
      <c r="KB56" s="348">
        <f>VLOOKUP(Tabla1[[#This Row],[CÓDIGO DEL PRODUCTO Y/O SERVICIO ]],Tabla3[],9)</f>
        <v>0</v>
      </c>
      <c r="KC56" s="347">
        <f>Tabla1[[#This Row],[CANTIDADES A UTILIZAR  AÑO 1 15]]*(1+Tabla1[[#This Row],[CAMBIO PORCENTUAL EN UNIDADES VENDIDAS AÑO 2 15]])</f>
        <v>0</v>
      </c>
      <c r="KD56" s="348">
        <f>VLOOKUP(Tabla1[[#This Row],[CÓDIGO DEL PRODUCTO Y/O SERVICIO ]],Tabla3[],13)</f>
        <v>0</v>
      </c>
      <c r="KE56" s="347">
        <f>Tabla1[[#This Row],[CANTIDADES A UTILIZAR  AÑO 2 15]]*(1+Tabla1[[#This Row],[CAMBIO PORCENTUAL EN UNIDADES VENDIDAS AÑO 3 15]])</f>
        <v>0</v>
      </c>
      <c r="KF56" s="348">
        <f>VLOOKUP(Tabla1[[#This Row],[CÓDIGO DEL PRODUCTO Y/O SERVICIO ]],Tabla3[],17)</f>
        <v>0</v>
      </c>
      <c r="KG56" s="347">
        <f>Tabla1[[#This Row],[CANTIDADES A UTILIZAR  AÑO 3 15]]*(1+Tabla1[[#This Row],[CAMBIO PORCENTUAL EN UNIDADES VENDIDAS AÑO 4 15]])</f>
        <v>0</v>
      </c>
      <c r="KH56" s="348">
        <f>VLOOKUP(Tabla1[[#This Row],[CÓDIGO DEL PRODUCTO Y/O SERVICIO ]],Tabla3[],21)</f>
        <v>0</v>
      </c>
      <c r="KI56" s="347">
        <f>Tabla1[[#This Row],[CANTIDADES A UTILIZAR  AÑO 4 15]]*(1+Tabla1[[#This Row],[CAMBIO PORCENTUAL EN UNIDADES VENDIDAS AÑO 5 15]])</f>
        <v>0</v>
      </c>
      <c r="KJ56" s="349">
        <f>IF(Tabla1[[#This Row],[CANTIDADES A UTILIZAR  AÑO 1 15]]=0,0,Tabla1[[#This Row],[CANTIDADES A UTILIZAR  AÑO 1 15]]*1/Tabla1[[#This Row],[UNIDADES PRODUCIDAS AÑO 1 15]])</f>
        <v>0</v>
      </c>
      <c r="KK56" s="349">
        <f>$D$27*(1+BASES!$E$10)</f>
        <v>0</v>
      </c>
      <c r="KL56" s="349">
        <f>Tabla1[[#This Row],[COSTO UNITARIO AÑO 2 15]]*(1+BASES!$F$10)</f>
        <v>0</v>
      </c>
      <c r="KM56" s="349">
        <f>Tabla1[[#This Row],[COSTO UNITARIO AÑO 3 15]]*(1+BASES!$G$10)</f>
        <v>0</v>
      </c>
      <c r="KN56" s="349">
        <f>Tabla1[[#This Row],[COSTO UNITARIO AÑO 4 15]]*(1+BASES!$H$10)</f>
        <v>0</v>
      </c>
      <c r="KO56" s="349">
        <f>Tabla1[[#This Row],[COSTO POR UNIDAD DE PRODUCTO (15)]]*$D$27*VLOOKUP(Tabla1[[#This Row],[CÓDIGO DEL PRODUCTO Y/O SERVICIO ]],Tabla3[],3)</f>
        <v>0</v>
      </c>
      <c r="KP56" s="349">
        <f>Tabla1[[#This Row],[COSTO POR UNIDAD DE PRODUCTO (15)]]*Tabla1[[#This Row],[COSTO UNITARIO AÑO 2 15]]*VLOOKUP(Tabla1[[#This Row],[CÓDIGO DEL PRODUCTO Y/O SERVICIO ]],Tabla3[],6)</f>
        <v>0</v>
      </c>
      <c r="KQ56" s="349">
        <f>Tabla1[[#This Row],[COSTO POR UNIDAD DE PRODUCTO (15)]]*Tabla1[[#This Row],[COSTO UNITARIO AÑO 3 15]]*VLOOKUP(Tabla1[[#This Row],[CÓDIGO DEL PRODUCTO Y/O SERVICIO ]],Tabla3[],10)</f>
        <v>0</v>
      </c>
      <c r="KR56" s="349">
        <f>Tabla1[[#This Row],[COSTO POR UNIDAD DE PRODUCTO (15)]]*Tabla1[[#This Row],[COSTO UNITARIO AÑO 4 15]]*VLOOKUP(Tabla1[[#This Row],[CÓDIGO DEL PRODUCTO Y/O SERVICIO ]],Tabla3[],14)</f>
        <v>0</v>
      </c>
      <c r="KS56" s="349">
        <f>Tabla1[[#This Row],[COSTO POR UNIDAD DE PRODUCTO (15)]]*Tabla1[[#This Row],[COSTO UNITARIO AÑO 5 15]]*VLOOKUP(Tabla1[[#This Row],[CÓDIGO DEL PRODUCTO Y/O SERVICIO ]],Tabla3[],18)</f>
        <v>0</v>
      </c>
      <c r="KT56" s="347">
        <f>VLOOKUP(Tabla1[[#This Row],[CÓDIGO DEL PRODUCTO Y/O SERVICIO ]],Tabla3[],3)</f>
        <v>0</v>
      </c>
      <c r="KU56" s="347">
        <f>Tabla1[[#This Row],[UNIDADES PRODUCIDAS AÑO 1 16]]*U41</f>
        <v>0</v>
      </c>
      <c r="KV56" s="348">
        <f>VLOOKUP(Tabla1[[#This Row],[CÓDIGO DEL PRODUCTO Y/O SERVICIO ]],Tabla3[],9)</f>
        <v>0</v>
      </c>
      <c r="KW56" s="347">
        <f>Tabla1[[#This Row],[CANTIDADES A UTILIZAR  AÑO 1 16]]*(1+Tabla1[[#This Row],[CAMBIO PORCENTUAL EN UNIDADES VENDIDAS AÑO 2 16]])</f>
        <v>0</v>
      </c>
      <c r="KX56" s="348">
        <f>VLOOKUP(Tabla1[[#This Row],[CÓDIGO DEL PRODUCTO Y/O SERVICIO ]],Tabla3[],13)</f>
        <v>0</v>
      </c>
      <c r="KY56" s="347">
        <f>Tabla1[[#This Row],[CANTIDADES A UTILIZAR  AÑO 2 16]]*(1+Tabla1[[#This Row],[CAMBIO PORCENTUAL EN UNIDADES VENDIDAS AÑO 3 16]])</f>
        <v>0</v>
      </c>
      <c r="KZ56" s="348">
        <f>VLOOKUP(Tabla1[[#This Row],[CÓDIGO DEL PRODUCTO Y/O SERVICIO ]],Tabla3[],17)</f>
        <v>0</v>
      </c>
      <c r="LA56" s="347">
        <f>Tabla1[[#This Row],[CANTIDADES A UTILIZAR  AÑO 3 16]]*(1+Tabla1[[#This Row],[CAMBIO PORCENTUAL EN UNIDADES VENDIDAS AÑO 4 16]])</f>
        <v>0</v>
      </c>
      <c r="LB56" s="348">
        <f>VLOOKUP(Tabla1[[#This Row],[CÓDIGO DEL PRODUCTO Y/O SERVICIO ]],Tabla3[],21)</f>
        <v>0</v>
      </c>
      <c r="LC56" s="347">
        <f>Tabla1[[#This Row],[CANTIDADES A UTILIZAR  AÑO 4 16]]*(1+Tabla1[[#This Row],[CAMBIO PORCENTUAL EN UNIDADES VENDIDAS AÑO 5 16]])</f>
        <v>0</v>
      </c>
      <c r="LD56" s="349">
        <f>IF(Tabla1[[#This Row],[CANTIDADES A UTILIZAR  AÑO 1 16]]=0,0,Tabla1[[#This Row],[CANTIDADES A UTILIZAR  AÑO 1 16]]*1/Tabla1[[#This Row],[UNIDADES PRODUCIDAS AÑO 1 16]])</f>
        <v>0</v>
      </c>
      <c r="LE56" s="349">
        <f>$D$28*(1+BASES!$E$10)</f>
        <v>0</v>
      </c>
      <c r="LF56" s="349">
        <f>Tabla1[[#This Row],[COSTO UNITARIO AÑO 2 16]]*(1+BASES!$F$10)</f>
        <v>0</v>
      </c>
      <c r="LG56" s="349">
        <f>Tabla1[[#This Row],[COSTO UNITARIO AÑO 3 16]]*(1+BASES!$G$10)</f>
        <v>0</v>
      </c>
      <c r="LH56" s="349">
        <f>Tabla1[[#This Row],[COSTO UNITARIO AÑO 4 16]]*(1+BASES!$H$10)</f>
        <v>0</v>
      </c>
      <c r="LI56" s="349">
        <f>Tabla1[[#This Row],[COSTO POR UNIDAD DE PRODUCTO (16)]]*$D$28*VLOOKUP(Tabla1[[#This Row],[CÓDIGO DEL PRODUCTO Y/O SERVICIO ]],Tabla3[],3)</f>
        <v>0</v>
      </c>
      <c r="LJ56" s="349">
        <f>Tabla1[[#This Row],[COSTO POR UNIDAD DE PRODUCTO (16)]]*Tabla1[[#This Row],[COSTO UNITARIO AÑO 2 16]]*VLOOKUP(Tabla1[[#This Row],[CÓDIGO DEL PRODUCTO Y/O SERVICIO ]],Tabla3[],6)</f>
        <v>0</v>
      </c>
      <c r="LK56" s="349">
        <f>Tabla1[[#This Row],[COSTO POR UNIDAD DE PRODUCTO (16)]]*Tabla1[[#This Row],[COSTO UNITARIO AÑO 3 16]]*VLOOKUP(Tabla1[[#This Row],[CÓDIGO DEL PRODUCTO Y/O SERVICIO ]],Tabla3[],10)</f>
        <v>0</v>
      </c>
      <c r="LL56" s="349">
        <f>Tabla1[[#This Row],[COSTO POR UNIDAD DE PRODUCTO (16)]]*Tabla1[[#This Row],[COSTO UNITARIO AÑO 4 16]]*VLOOKUP(Tabla1[[#This Row],[CÓDIGO DEL PRODUCTO Y/O SERVICIO ]],Tabla3[],14)</f>
        <v>0</v>
      </c>
      <c r="LM56" s="349">
        <f>Tabla1[[#This Row],[COSTO POR UNIDAD DE PRODUCTO (16)]]*Tabla1[[#This Row],[COSTO UNITARIO AÑO 5 16]]*VLOOKUP(Tabla1[[#This Row],[CÓDIGO DEL PRODUCTO Y/O SERVICIO ]],Tabla3[],18)</f>
        <v>0</v>
      </c>
      <c r="LN56" s="347">
        <f>VLOOKUP(Tabla1[[#This Row],[CÓDIGO DEL PRODUCTO Y/O SERVICIO ]],Tabla3[],3)</f>
        <v>0</v>
      </c>
      <c r="LO56" s="347">
        <f>Tabla1[[#This Row],[UNIDADES PRODUCIDAS AÑO 1 17]]*V41</f>
        <v>0</v>
      </c>
      <c r="LP56" s="348">
        <f>VLOOKUP(Tabla1[[#This Row],[CÓDIGO DEL PRODUCTO Y/O SERVICIO ]],Tabla3[],9)</f>
        <v>0</v>
      </c>
      <c r="LQ56" s="347">
        <f>Tabla1[[#This Row],[CANTIDADES A UTILIZAR  AÑO 1 17]]*(1+Tabla1[[#This Row],[CAMBIO PORCENTUAL EN UNIDADES VENDIDAS AÑO 2 17]])</f>
        <v>0</v>
      </c>
      <c r="LR56" s="348">
        <f>VLOOKUP(Tabla1[[#This Row],[CÓDIGO DEL PRODUCTO Y/O SERVICIO ]],Tabla3[],13)</f>
        <v>0</v>
      </c>
      <c r="LS56" s="347">
        <f>Tabla1[[#This Row],[CANTIDADES A UTILIZAR  AÑO 2 17]]*(1+Tabla1[[#This Row],[CAMBIO PORCENTUAL EN UNIDADES VENDIDAS AÑO 3 17]])</f>
        <v>0</v>
      </c>
      <c r="LT56" s="348">
        <f>VLOOKUP(Tabla1[[#This Row],[CÓDIGO DEL PRODUCTO Y/O SERVICIO ]],Tabla3[],17)</f>
        <v>0</v>
      </c>
      <c r="LU56" s="347">
        <f>Tabla1[[#This Row],[CANTIDADES A UTILIZAR  AÑO 3 17]]*(1+Tabla1[[#This Row],[CAMBIO PORCENTUAL EN UNIDADES VENDIDAS AÑO 4 17 ]])</f>
        <v>0</v>
      </c>
      <c r="LV56" s="348">
        <f>VLOOKUP(Tabla1[[#This Row],[CÓDIGO DEL PRODUCTO Y/O SERVICIO ]],Tabla3[],21)</f>
        <v>0</v>
      </c>
      <c r="LW56" s="347">
        <f>Tabla1[[#This Row],[CANTIDADES A UTILIZAR  AÑO 4 17]]*(1+Tabla1[[#This Row],[CAMBIO PORCENTUAL EN UNIDADES VENDIDAS AÑO 5 17]])</f>
        <v>0</v>
      </c>
      <c r="LX56" s="349">
        <f>IF(Tabla1[[#This Row],[CANTIDADES A UTILIZAR  AÑO 1 17]]=0,0,Tabla1[[#This Row],[CANTIDADES A UTILIZAR  AÑO 1 17]]*1/Tabla1[[#This Row],[UNIDADES PRODUCIDAS AÑO 1 17]])</f>
        <v>0</v>
      </c>
      <c r="LY56" s="349">
        <f>$D$29*(1+BASES!$E$10)</f>
        <v>0</v>
      </c>
      <c r="LZ56" s="349">
        <f>Tabla1[[#This Row],[COSTO UNITARIO AÑO 2 17]]*(1+BASES!$F$10)</f>
        <v>0</v>
      </c>
      <c r="MA56" s="349">
        <f>Tabla1[[#This Row],[COSTO UNITARIO AÑO 3 17]]*(1+BASES!$G$10)</f>
        <v>0</v>
      </c>
      <c r="MB56" s="349">
        <f>Tabla1[[#This Row],[COSTO UNITARIO AÑO 4 17]]*(1+BASES!$H$10)</f>
        <v>0</v>
      </c>
      <c r="MC56" s="349">
        <f>Tabla1[[#This Row],[COSTO POR UNIDAD DE PRODUCTO (17)]]*$D$29*VLOOKUP(Tabla1[[#This Row],[CÓDIGO DEL PRODUCTO Y/O SERVICIO ]],Tabla3[],3)</f>
        <v>0</v>
      </c>
      <c r="MD56" s="349">
        <f>Tabla1[[#This Row],[COSTO POR UNIDAD DE PRODUCTO (17)]]*Tabla1[[#This Row],[COSTO UNITARIO AÑO 2 17]]*VLOOKUP(Tabla1[[#This Row],[CÓDIGO DEL PRODUCTO Y/O SERVICIO ]],Tabla3[],6)</f>
        <v>0</v>
      </c>
      <c r="ME56" s="349">
        <f>Tabla1[[#This Row],[COSTO POR UNIDAD DE PRODUCTO (17)]]*Tabla1[[#This Row],[COSTO UNITARIO AÑO 3 17]]*VLOOKUP(Tabla1[[#This Row],[CÓDIGO DEL PRODUCTO Y/O SERVICIO ]],Tabla3[],10)</f>
        <v>0</v>
      </c>
      <c r="MF56" s="349">
        <f>Tabla1[[#This Row],[COSTO POR UNIDAD DE PRODUCTO (17)]]*Tabla1[[#This Row],[COSTO UNITARIO AÑO 4 17]]*VLOOKUP(Tabla1[[#This Row],[CÓDIGO DEL PRODUCTO Y/O SERVICIO ]],Tabla3[],14)</f>
        <v>0</v>
      </c>
      <c r="MG56" s="349">
        <f>Tabla1[[#This Row],[COSTO POR UNIDAD DE PRODUCTO (17)]]*Tabla1[[#This Row],[COSTO UNITARIO AÑO 5 17]]*VLOOKUP(Tabla1[[#This Row],[CÓDIGO DEL PRODUCTO Y/O SERVICIO ]],Tabla3[],18)</f>
        <v>0</v>
      </c>
      <c r="MH56" s="347">
        <f>VLOOKUP(Tabla1[[#This Row],[CÓDIGO DEL PRODUCTO Y/O SERVICIO ]],Tabla3[],3)</f>
        <v>0</v>
      </c>
      <c r="MI56" s="347">
        <f>Tabla1[[#This Row],[UNIDADES PRODUCIDAS AÑO 1 18 ]]*W41</f>
        <v>0</v>
      </c>
      <c r="MJ56" s="348">
        <f>VLOOKUP(Tabla1[[#This Row],[CÓDIGO DEL PRODUCTO Y/O SERVICIO ]],Tabla3[],9)</f>
        <v>0</v>
      </c>
      <c r="MK56" s="347">
        <f>Tabla1[[#This Row],[CANTIDADES A UTILIZAR  AÑO 1 18]]*(1+Tabla1[[#This Row],[CAMBIO PORCENTUAL EN UNIDADES VENDIDAS AÑO 2 18]])</f>
        <v>0</v>
      </c>
      <c r="ML56" s="348">
        <f>VLOOKUP(Tabla1[[#This Row],[CÓDIGO DEL PRODUCTO Y/O SERVICIO ]],Tabla3[],13)</f>
        <v>0</v>
      </c>
      <c r="MM56" s="347">
        <f>Tabla1[[#This Row],[CANTIDADES A UTILIZAR AÑO 2 18]]*(1+Tabla1[[#This Row],[CAMBIO PORCENTUAL EN UNIDADES VENDIDAS AÑO 3 18 ]])</f>
        <v>0</v>
      </c>
      <c r="MN56" s="348">
        <f>VLOOKUP(Tabla1[[#This Row],[CÓDIGO DEL PRODUCTO Y/O SERVICIO ]],Tabla3[],17)</f>
        <v>0</v>
      </c>
      <c r="MO56" s="347">
        <f>Tabla1[[#This Row],[CANTIDADES A UTILIZAR  AÑO 3 18]]*(1+Tabla1[[#This Row],[CAMBIO PORCENTUAL EN UNIDADES VENDIDAS AÑO 4 18]])</f>
        <v>0</v>
      </c>
      <c r="MP56" s="348">
        <f>VLOOKUP(Tabla1[[#This Row],[CÓDIGO DEL PRODUCTO Y/O SERVICIO ]],Tabla3[],21)</f>
        <v>0</v>
      </c>
      <c r="MQ56" s="347">
        <f>Tabla1[[#This Row],[CANTIDADES A UTILIZAR  AÑO 4 18 ]]*(1+Tabla1[[#This Row],[CAMBIO PORCENTUAL EN UNIDADES VENDIDAS AÑO 5 18 ]])</f>
        <v>0</v>
      </c>
      <c r="MR56" s="349">
        <f>IF(Tabla1[[#This Row],[CANTIDADES A UTILIZAR  AÑO 1 18]]=0,0,Tabla1[[#This Row],[CANTIDADES A UTILIZAR  AÑO 1 18]]*1/Tabla1[[#This Row],[UNIDADES PRODUCIDAS AÑO 1 18 ]])</f>
        <v>0</v>
      </c>
      <c r="MS56" s="349">
        <f>$D$30*(1+BASES!$E$10)</f>
        <v>0</v>
      </c>
      <c r="MT56" s="349">
        <f>Tabla1[[#This Row],[COSTO UNITARIO AÑO 2 18]]*(1+BASES!$F$10)</f>
        <v>0</v>
      </c>
      <c r="MU56" s="349">
        <f>Tabla1[[#This Row],[COSTO UNITARIO AÑO 3 18 ]]*(1+BASES!$G$10)</f>
        <v>0</v>
      </c>
      <c r="MV56" s="349">
        <f>Tabla1[[#This Row],[COSTO UNITARIO AÑO 4 18 ]]*(1+BASES!$H$10)</f>
        <v>0</v>
      </c>
      <c r="MW56" s="349">
        <f>Tabla1[[#This Row],[COSTO POR UNIDAD DE PRODUCTO (18)]]*$D$30*VLOOKUP(Tabla1[[#This Row],[CÓDIGO DEL PRODUCTO Y/O SERVICIO ]],Tabla3[],3)</f>
        <v>0</v>
      </c>
      <c r="MX56" s="349">
        <f>Tabla1[[#This Row],[COSTO POR UNIDAD DE PRODUCTO (18)]]*Tabla1[[#This Row],[COSTO UNITARIO AÑO 2 18]]*VLOOKUP(Tabla1[[#This Row],[CÓDIGO DEL PRODUCTO Y/O SERVICIO ]],Tabla3[],6)</f>
        <v>0</v>
      </c>
      <c r="MY56" s="349">
        <f>Tabla1[[#This Row],[COSTO POR UNIDAD DE PRODUCTO (18)]]*Tabla1[[#This Row],[COSTO UNITARIO AÑO 3 18 ]]*VLOOKUP(Tabla1[[#This Row],[CÓDIGO DEL PRODUCTO Y/O SERVICIO ]],Tabla3[],10)</f>
        <v>0</v>
      </c>
      <c r="MZ56" s="349">
        <f>Tabla1[[#This Row],[COSTO POR UNIDAD DE PRODUCTO (18)]]*Tabla1[[#This Row],[COSTO UNITARIO AÑO 4 18 ]]*VLOOKUP(Tabla1[[#This Row],[CÓDIGO DEL PRODUCTO Y/O SERVICIO ]],Tabla3[],14)</f>
        <v>0</v>
      </c>
      <c r="NA56" s="349">
        <f>Tabla1[[#This Row],[COSTO POR UNIDAD DE PRODUCTO (18)]]*Tabla1[[#This Row],[COSTO UNITARIO AÑO 5 18 ]]*VLOOKUP(Tabla1[[#This Row],[CÓDIGO DEL PRODUCTO Y/O SERVICIO ]],Tabla3[],18)</f>
        <v>0</v>
      </c>
      <c r="NB56" s="347">
        <f>VLOOKUP(Tabla1[[#This Row],[CÓDIGO DEL PRODUCTO Y/O SERVICIO ]],Tabla3[],3)</f>
        <v>0</v>
      </c>
      <c r="NC56" s="347">
        <f>Tabla1[[#This Row],[UNIDADES PRODUCIDAS AÑO 1 19]]*X41</f>
        <v>0</v>
      </c>
      <c r="ND56" s="348">
        <f>VLOOKUP(Tabla1[[#This Row],[CÓDIGO DEL PRODUCTO Y/O SERVICIO ]],Tabla3[],9)</f>
        <v>0</v>
      </c>
      <c r="NE56" s="347">
        <f>Tabla1[[#This Row],[CANTIDADES A UTILIZAR  AÑO 1 19 ]]*(1+Tabla1[[#This Row],[CAMBIO PORCENTUAL EN UNIDADES VENDIDAS AÑO 2 19]])</f>
        <v>0</v>
      </c>
      <c r="NF56" s="348">
        <f>VLOOKUP(Tabla1[[#This Row],[CÓDIGO DEL PRODUCTO Y/O SERVICIO ]],Tabla3[],13)</f>
        <v>0</v>
      </c>
      <c r="NG56" s="347">
        <f>Tabla1[[#This Row],[CANTIDADES A UTILIZAR  AÑO 2 19 ]]*(1+Tabla1[[#This Row],[CAMBIO PORCENTUAL EN UNIDADES VENDIDAS AÑO 3 19 ]])</f>
        <v>0</v>
      </c>
      <c r="NH56" s="348">
        <f>VLOOKUP(Tabla1[[#This Row],[CÓDIGO DEL PRODUCTO Y/O SERVICIO ]],Tabla3[],17)</f>
        <v>0</v>
      </c>
      <c r="NI56" s="347">
        <f>Tabla1[[#This Row],[CANTIDADES A UTILIZAR  AÑO 3 19 ]]*(1+Tabla1[[#This Row],[CAMBIO PORCENTUAL EN UNIDADES VENDIDAS AÑO 4 19 ]])</f>
        <v>0</v>
      </c>
      <c r="NJ56" s="348">
        <f>VLOOKUP(Tabla1[[#This Row],[CÓDIGO DEL PRODUCTO Y/O SERVICIO ]],Tabla3[],21)</f>
        <v>0</v>
      </c>
      <c r="NK56" s="347">
        <f>Tabla1[[#This Row],[CANTIDADES A UTILIZAR AÑO 4 19 ]]*(1+Tabla1[[#This Row],[CAMBIO PORCENTUAL EN UNIDADES VENDIDAS AÑO 5 19 ]])</f>
        <v>0</v>
      </c>
      <c r="NL56" s="349">
        <f>IF(Tabla1[[#This Row],[CANTIDADES A UTILIZAR  AÑO 1 19 ]]=0,0,Tabla1[[#This Row],[CANTIDADES A UTILIZAR  AÑO 1 19 ]]*1/Tabla1[[#This Row],[UNIDADES PRODUCIDAS AÑO 1 19]])</f>
        <v>0</v>
      </c>
      <c r="NM56" s="349">
        <f>$D$31*(1+BASES!$E$10)</f>
        <v>0</v>
      </c>
      <c r="NN56" s="349">
        <f>Tabla1[[#This Row],[COSTO UNITARIO AÑO 2 19 ]]*(1+BASES!$F$10)</f>
        <v>0</v>
      </c>
      <c r="NO56" s="349">
        <f>Tabla1[[#This Row],[COSTO UNITARIO AÑO 3 19 ]]*(1+BASES!$G$10)</f>
        <v>0</v>
      </c>
      <c r="NP56" s="349">
        <f>Tabla1[[#This Row],[COSTO UNITARIO AÑO 4 19 ]]*(1+BASES!$H$10)</f>
        <v>0</v>
      </c>
      <c r="NQ56" s="349">
        <f>Tabla1[[#This Row],[COSTO POR UNIDAD DE PRODUCTO (19)]]*$D$31*VLOOKUP(Tabla1[[#This Row],[CÓDIGO DEL PRODUCTO Y/O SERVICIO ]],Tabla3[],3)</f>
        <v>0</v>
      </c>
      <c r="NR56" s="349">
        <f>Tabla1[[#This Row],[COSTO POR UNIDAD DE PRODUCTO (19)]]*Tabla1[[#This Row],[COSTO UNITARIO AÑO 2 19 ]]*VLOOKUP(Tabla1[[#This Row],[CÓDIGO DEL PRODUCTO Y/O SERVICIO ]],Tabla3[],6)</f>
        <v>0</v>
      </c>
      <c r="NS56" s="349">
        <f>Tabla1[[#This Row],[COSTO POR UNIDAD DE PRODUCTO (19)]]*Tabla1[[#This Row],[COSTO UNITARIO AÑO 3 19 ]]*VLOOKUP(Tabla1[[#This Row],[CÓDIGO DEL PRODUCTO Y/O SERVICIO ]],Tabla3[],10)</f>
        <v>0</v>
      </c>
      <c r="NT56" s="349">
        <f>Tabla1[[#This Row],[COSTO POR UNIDAD DE PRODUCTO (19)]]*Tabla1[[#This Row],[COSTO UNITARIO AÑO 4 19 ]]*VLOOKUP(Tabla1[[#This Row],[CÓDIGO DEL PRODUCTO Y/O SERVICIO ]],Tabla3[],14)</f>
        <v>0</v>
      </c>
      <c r="NU56" s="349">
        <f>Tabla1[[#This Row],[COSTO POR UNIDAD DE PRODUCTO (19)]]*Tabla1[[#This Row],[COSTO UNITARIO AÑO 5 19 ]]*VLOOKUP(Tabla1[[#This Row],[CÓDIGO DEL PRODUCTO Y/O SERVICIO ]],Tabla3[],18)</f>
        <v>0</v>
      </c>
      <c r="NV56" s="347">
        <f>VLOOKUP(Tabla1[[#This Row],[CÓDIGO DEL PRODUCTO Y/O SERVICIO ]],Tabla3[],3)</f>
        <v>0</v>
      </c>
      <c r="NW56" s="347">
        <f>Tabla1[[#This Row],[UNIDADES PRODUCIDAS AÑO 1 20 ]]*Y41</f>
        <v>0</v>
      </c>
      <c r="NX56" s="348">
        <f>VLOOKUP(Tabla1[[#This Row],[CÓDIGO DEL PRODUCTO Y/O SERVICIO ]],Tabla3[],9)</f>
        <v>0</v>
      </c>
      <c r="NY56" s="347">
        <f>Tabla1[[#This Row],[CANTIDADES A UTILIZAR AÑO 1 20]]*(1+Tabla1[[#This Row],[CAMBIO PORCENTUAL EN UNIDADES VENDIDAS AÑO 2 20 ]])</f>
        <v>0</v>
      </c>
      <c r="NZ56" s="348">
        <f>VLOOKUP(Tabla1[[#This Row],[CÓDIGO DEL PRODUCTO Y/O SERVICIO ]],Tabla3[],13)</f>
        <v>0</v>
      </c>
      <c r="OA56" s="347">
        <f>Tabla1[[#This Row],[CANTIDADES A UTILIZAR  AÑO 2 20 ]]*(1+Tabla1[[#This Row],[CAMBIO PORCENTUAL EN UNIDADES VENDIDAS AÑO 3 20 ]])</f>
        <v>0</v>
      </c>
      <c r="OB56" s="348">
        <f>VLOOKUP(Tabla1[[#This Row],[CÓDIGO DEL PRODUCTO Y/O SERVICIO ]],Tabla3[],17)</f>
        <v>0</v>
      </c>
      <c r="OC56" s="347">
        <f>Tabla1[[#This Row],[CANTIDADES A UTILIZAR  AÑO 3 20 ]]*(1+Tabla1[[#This Row],[CAMBIO PORCENTUAL EN UNIDADES VENDIDAS AÑO 4 20 ]])</f>
        <v>0</v>
      </c>
      <c r="OD56" s="348">
        <f>VLOOKUP(Tabla1[[#This Row],[CÓDIGO DEL PRODUCTO Y/O SERVICIO ]],Tabla3[],21)</f>
        <v>0</v>
      </c>
      <c r="OE56" s="347">
        <f>Tabla1[[#This Row],[CANTIDADES A UTILIZAR  AÑO 4 20 ]]*(1+Tabla1[[#This Row],[CAMBIO PORCENTUAL EN UNIDADES VENDIDAS AÑO 5 20 ]])</f>
        <v>0</v>
      </c>
      <c r="OF56" s="349">
        <f>IF(Tabla1[[#This Row],[CANTIDADES A UTILIZAR AÑO 1 20]]=0,0,Tabla1[[#This Row],[CANTIDADES A UTILIZAR AÑO 1 20]]*1/Tabla1[[#This Row],[UNIDADES PRODUCIDAS AÑO 1 20 ]])</f>
        <v>0</v>
      </c>
      <c r="OG56" s="349">
        <f>$D$32*(1+BASES!$E$10)</f>
        <v>0</v>
      </c>
      <c r="OH56" s="349">
        <f>Tabla1[[#This Row],[COSTO UNITARIO AÑO 2 20 ]]*(1+BASES!$F$10)</f>
        <v>0</v>
      </c>
      <c r="OI56" s="349">
        <f>Tabla1[[#This Row],[COSTO UNITARIO AÑO 3 20 ]]*(1+BASES!$G$10)</f>
        <v>0</v>
      </c>
      <c r="OJ56" s="349">
        <f>Tabla1[[#This Row],[COSTO UNITARIO AÑO 4 20 ]]*(1+BASES!$H$10)</f>
        <v>0</v>
      </c>
      <c r="OK56" s="349">
        <f>Tabla1[[#This Row],[COSTO POR UNIDAD DE PRODUCTO (20)]]*$D$32*VLOOKUP(Tabla1[[#This Row],[CÓDIGO DEL PRODUCTO Y/O SERVICIO ]],Tabla3[],3)</f>
        <v>0</v>
      </c>
      <c r="OL56" s="349">
        <f>Tabla1[[#This Row],[COSTO POR UNIDAD DE PRODUCTO (20)]]*Tabla1[[#This Row],[COSTO UNITARIO AÑO 2 20 ]]*VLOOKUP(Tabla1[[#This Row],[CÓDIGO DEL PRODUCTO Y/O SERVICIO ]],Tabla3[],6)</f>
        <v>0</v>
      </c>
      <c r="OM56" s="349">
        <f>Tabla1[[#This Row],[COSTO POR UNIDAD DE PRODUCTO (20)]]*Tabla1[[#This Row],[COSTO UNITARIO AÑO 3 20 ]]*VLOOKUP(Tabla1[[#This Row],[CÓDIGO DEL PRODUCTO Y/O SERVICIO ]],Tabla3[],10)</f>
        <v>0</v>
      </c>
      <c r="ON56" s="349">
        <f>Tabla1[[#This Row],[COSTO POR UNIDAD DE PRODUCTO (20)]]*Tabla1[[#This Row],[COSTO UNITARIO AÑO 4 20 ]]*VLOOKUP(Tabla1[[#This Row],[CÓDIGO DEL PRODUCTO Y/O SERVICIO ]],Tabla3[],14)</f>
        <v>0</v>
      </c>
      <c r="OO56" s="349">
        <f>Tabla1[[#This Row],[COSTO POR UNIDAD DE PRODUCTO (20)]]*Tabla1[[#This Row],[COSTO UNITARIO AÑO 5 20 ]]*VLOOKUP(Tabla1[[#This Row],[CÓDIGO DEL PRODUCTO Y/O SERVICIO ]],Tabla3[],18)</f>
        <v>0</v>
      </c>
      <c r="OP56" s="349">
        <f>Tabla1[[#This Row],[AÑO 1 20 ]]+Tabla1[[#This Row],[AÑO 1 19 ]]+Tabla1[[#This Row],[AÑO 1 18 ]]+Tabla1[[#This Row],[AÑO 1 17]]+Tabla1[[#This Row],[AÑO 1 16]]+Tabla1[[#This Row],[AÑO 1 15]]+Tabla1[[#This Row],[AÑO 1 14]]+Tabla1[[#This Row],[AÑO 1 13]]+Tabla1[[#This Row],[AÑO 1 12]]+Tabla1[[#This Row],[AÑO 1 11 ]]+Tabla1[[#This Row],[AÑO 1 10 ]]+Tabla1[[#This Row],[AÑO 1 9]]+Tabla1[[#This Row],[AÑO 1 8]]+Tabla1[[#This Row],[AÑO 1 7]]+Tabla1[[#This Row],[AÑO 1 6]]+Tabla1[[#This Row],[AÑO 1 5]]+Tabla1[[#This Row],[AÑO 1 4]]+Tabla1[[#This Row],[AÑO 1 3]]+Tabla1[[#This Row],[AÑO 1 2]]+Tabla1[[#This Row],[AÑO 1]]</f>
        <v>0</v>
      </c>
      <c r="OQ56" s="349">
        <f>Tabla1[[#This Row],[AÑO 2 20 ]]+Tabla1[[#This Row],[AÑO 2 19 ]]+Tabla1[[#This Row],[AÑO 2 18 ]]+Tabla1[[#This Row],[AÑO 2 17]]+Tabla1[[#This Row],[AÑO 2 16]]+Tabla1[[#This Row],[AÑO 2 15]]+Tabla1[[#This Row],[AÑO 2 14]]+Tabla1[[#This Row],[AÑO 2 13]]+Tabla1[[#This Row],[AÑO 2 12]]+Tabla1[[#This Row],[AÑO 2 11 ]]+Tabla1[[#This Row],[AÑO 2 10 ]]+Tabla1[[#This Row],[AÑO 2 9 ]]+Tabla1[[#This Row],[AÑO 2 8]]+Tabla1[[#This Row],[AÑO 2 7]]+Tabla1[[#This Row],[AÑO 2 6]]+Tabla1[[#This Row],[AÑO 2 5]]+Tabla1[[#This Row],[AÑO 2 4]]+Tabla1[[#This Row],[AÑO 2 3]]+Tabla1[[#This Row],[AÑO 2 2]]+Tabla1[[#This Row],[AÑO 2]]</f>
        <v>0</v>
      </c>
      <c r="OR56" s="349">
        <f>Tabla1[[#This Row],[AÑO 3 20 ]]+Tabla1[[#This Row],[AÑO 3 19 ]]+Tabla1[[#This Row],[AÑO 3 18 ]]+Tabla1[[#This Row],[AÑO 3 17]]+Tabla1[[#This Row],[AÑO 3 16]]+Tabla1[[#This Row],[AÑO 3 15]]+Tabla1[[#This Row],[AÑO 3 14]]+Tabla1[[#This Row],[AÑO 3 13]]+Tabla1[[#This Row],[AÑO 3 12]]+Tabla1[[#This Row],[AÑO 3 11]]+Tabla1[[#This Row],[AÑO 3 10 ]]+Tabla1[[#This Row],[AÑO 3 9]]+Tabla1[[#This Row],[AÑO 3 8]]+Tabla1[[#This Row],[AÑO 3 7]]+Tabla1[[#This Row],[AÑO 3 6]]+Tabla1[[#This Row],[AÑO 3 5 ]]+Tabla1[[#This Row],[AÑO 3 4]]+Tabla1[[#This Row],[AÑO 3 3]]+Tabla1[[#This Row],[AÑO 3 2]]+Tabla1[[#This Row],[AÑO 3 ]]</f>
        <v>0</v>
      </c>
      <c r="OS56" s="349">
        <f>Tabla1[[#This Row],[AÑO 4 20 ]]+Tabla1[[#This Row],[AÑO 4 19 ]]+Tabla1[[#This Row],[AÑO 4 18 ]]+Tabla1[[#This Row],[AÑO 4 17]]+Tabla1[[#This Row],[AÑO 4 16]]+Tabla1[[#This Row],[AÑO 4 15]]+Tabla1[[#This Row],[AÑO 4 14]]+Tabla1[[#This Row],[AÑO 4 13]]+Tabla1[[#This Row],[AÑO 4 12]]+Tabla1[[#This Row],[AÑO 4 11 ]]+Tabla1[[#This Row],[AÑO 4 10 ]]+Tabla1[[#This Row],[AÑO 4 9 ]]+Tabla1[[#This Row],[AÑO 4 8]]+Tabla1[[#This Row],[AÑO 4 7 ]]+Tabla1[[#This Row],[AÑO 4 6]]+Tabla1[[#This Row],[AÑO 4 5]]+Tabla1[[#This Row],[AÑO 4 4]]+Tabla1[[#This Row],[AÑO 4 3]]+Tabla1[[#This Row],[AÑO 4 2]]+Tabla1[[#This Row],[AÑO 4 ]]</f>
        <v>0</v>
      </c>
      <c r="OT56" s="349">
        <f>Tabla1[[#This Row],[AÑO 5 20 ]]+Tabla1[[#This Row],[AÑO 5 19 ]]+Tabla1[[#This Row],[AÑO 5 18 ]]+Tabla1[[#This Row],[AÑO 5 17]]+Tabla1[[#This Row],[AÑO 5 16]]+Tabla1[[#This Row],[AÑO 5 15]]+Tabla1[[#This Row],[AÑO 5 14]]+Tabla1[[#This Row],[AÑO 5 13]]+Tabla1[[#This Row],[AÑO 5 12]]+Tabla1[[#This Row],[AÑO 5 11 ]]+Tabla1[[#This Row],[AÑO 5 10 ]]+Tabla1[[#This Row],[AÑO 5 9 ]]+Tabla1[[#This Row],[AÑO 5 8]]+Tabla1[[#This Row],[AÑO 5 7]]+Tabla1[[#This Row],[AÑO 5 6]]+Tabla1[[#This Row],[AÑO 5 5]]+Tabla1[[#This Row],[AÑO 5 4]]+Tabla1[[#This Row],[AÑO 5 3]]+Tabla1[[#This Row],[AÑO 5 2]]+Tabla1[[#This Row],[AÑO 5 ]]</f>
        <v>0</v>
      </c>
    </row>
    <row r="59" spans="3:410" x14ac:dyDescent="0.25">
      <c r="F59" s="327"/>
    </row>
    <row r="60" spans="3:410" x14ac:dyDescent="0.25">
      <c r="E60" s="327"/>
      <c r="F60" s="327"/>
    </row>
    <row r="63" spans="3:410" x14ac:dyDescent="0.25">
      <c r="C63" s="331"/>
      <c r="D63" s="331"/>
    </row>
    <row r="64" spans="3:410" x14ac:dyDescent="0.25">
      <c r="C64" s="331"/>
      <c r="D64" s="331"/>
    </row>
    <row r="65" spans="1:405" x14ac:dyDescent="0.25">
      <c r="C65" s="331"/>
      <c r="D65" s="331"/>
    </row>
    <row r="66" spans="1:405" ht="15.75" x14ac:dyDescent="0.25">
      <c r="C66" s="331"/>
      <c r="D66" s="331"/>
      <c r="U66" s="379"/>
      <c r="V66" s="379"/>
      <c r="W66" s="379"/>
      <c r="X66" s="379"/>
      <c r="Y66" s="379"/>
      <c r="AO66" s="379"/>
      <c r="AP66" s="379"/>
      <c r="AQ66" s="379"/>
      <c r="AR66" s="379"/>
      <c r="AS66" s="379"/>
    </row>
    <row r="67" spans="1:405" ht="15.75" hidden="1" x14ac:dyDescent="0.25">
      <c r="A67" s="7"/>
      <c r="B67" s="7"/>
      <c r="C67" s="380"/>
      <c r="D67" s="380"/>
      <c r="E67" s="7"/>
      <c r="F67" s="7"/>
      <c r="G67" s="7"/>
      <c r="H67" s="7"/>
      <c r="I67" s="7"/>
      <c r="J67" s="7"/>
      <c r="K67" s="7"/>
      <c r="L67" s="7"/>
      <c r="M67" s="7"/>
      <c r="N67" s="7"/>
      <c r="O67" s="7"/>
      <c r="P67" s="7"/>
      <c r="Q67" s="7"/>
      <c r="R67" s="7"/>
      <c r="S67" s="7"/>
      <c r="T67" s="7"/>
      <c r="U67" s="381">
        <f>SUM(Tabla1[AÑO 1])</f>
        <v>0</v>
      </c>
      <c r="V67" s="381">
        <f>SUM(Tabla1[AÑO 2])</f>
        <v>0</v>
      </c>
      <c r="W67" s="381">
        <f>SUM(Tabla1[[AÑO 3 ]])</f>
        <v>0</v>
      </c>
      <c r="X67" s="381">
        <f>SUM(Tabla1[[AÑO 4 ]])</f>
        <v>0</v>
      </c>
      <c r="Y67" s="381">
        <f>SUM(Tabla1[[AÑO 5 ]])</f>
        <v>0</v>
      </c>
      <c r="Z67" s="7"/>
      <c r="AA67" s="7"/>
      <c r="AB67" s="7"/>
      <c r="AC67" s="7"/>
      <c r="AD67" s="7"/>
      <c r="AE67" s="7"/>
      <c r="AF67" s="7"/>
      <c r="AG67" s="7"/>
      <c r="AH67" s="7"/>
      <c r="AI67" s="7"/>
      <c r="AJ67" s="7"/>
      <c r="AK67" s="7"/>
      <c r="AL67" s="7"/>
      <c r="AM67" s="7"/>
      <c r="AN67" s="7"/>
      <c r="AO67" s="381">
        <f>SUM(Tabla1[AÑO 1 2])</f>
        <v>0</v>
      </c>
      <c r="AP67" s="381">
        <f>SUM(Tabla1[AÑO 2 2])</f>
        <v>0</v>
      </c>
      <c r="AQ67" s="381">
        <f>SUM(Tabla1[AÑO 3 2])</f>
        <v>0</v>
      </c>
      <c r="AR67" s="381">
        <f>SUM(Tabla1[AÑO 4 2])</f>
        <v>0</v>
      </c>
      <c r="AS67" s="381">
        <f>SUM(Tabla1[AÑO 5 2])</f>
        <v>0</v>
      </c>
      <c r="AT67" s="7"/>
      <c r="AU67" s="7"/>
      <c r="AV67" s="7"/>
      <c r="AW67" s="7"/>
      <c r="AX67" s="7"/>
      <c r="AY67" s="7"/>
      <c r="AZ67" s="7"/>
      <c r="BA67" s="7"/>
      <c r="BB67" s="7"/>
      <c r="BC67" s="7"/>
      <c r="BD67" s="7"/>
      <c r="BE67" s="7"/>
      <c r="BF67" s="7"/>
      <c r="BG67" s="7"/>
      <c r="BH67" s="7"/>
      <c r="BI67" s="381">
        <f>SUM(Tabla1[AÑO 1 3])</f>
        <v>0</v>
      </c>
      <c r="BJ67" s="381">
        <f>SUM(Tabla1[AÑO 2 3])</f>
        <v>0</v>
      </c>
      <c r="BK67" s="381">
        <f>SUM(Tabla1[AÑO 3 3])</f>
        <v>0</v>
      </c>
      <c r="BL67" s="381">
        <f>SUM(Tabla1[AÑO 4 3])</f>
        <v>0</v>
      </c>
      <c r="BM67" s="381">
        <f>SUM(Tabla1[AÑO 5 3])</f>
        <v>0</v>
      </c>
      <c r="BN67" s="7"/>
      <c r="BO67" s="7"/>
      <c r="BP67" s="7"/>
      <c r="BQ67" s="7"/>
      <c r="BR67" s="7"/>
      <c r="BS67" s="7"/>
      <c r="BT67" s="7"/>
      <c r="BU67" s="7"/>
      <c r="BV67" s="7"/>
      <c r="BW67" s="7"/>
      <c r="BX67" s="7"/>
      <c r="BY67" s="7"/>
      <c r="BZ67" s="7"/>
      <c r="CA67" s="7"/>
      <c r="CB67" s="7"/>
      <c r="CC67" s="381">
        <f>SUM(Tabla1[AÑO 1 4])</f>
        <v>0</v>
      </c>
      <c r="CD67" s="381">
        <f>SUM(Tabla1[AÑO 2 4])</f>
        <v>0</v>
      </c>
      <c r="CE67" s="381">
        <f>SUM(Tabla1[AÑO 3 4])</f>
        <v>0</v>
      </c>
      <c r="CF67" s="381">
        <f>SUM(Tabla1[AÑO 4 4])</f>
        <v>0</v>
      </c>
      <c r="CG67" s="381">
        <f>SUM(Tabla1[AÑO 5 4])</f>
        <v>0</v>
      </c>
      <c r="CH67" s="7"/>
      <c r="CI67" s="7"/>
      <c r="CJ67" s="7"/>
      <c r="CK67" s="7"/>
      <c r="CL67" s="7"/>
      <c r="CM67" s="7"/>
      <c r="CN67" s="7"/>
      <c r="CO67" s="7"/>
      <c r="CP67" s="7"/>
      <c r="CQ67" s="7"/>
      <c r="CR67" s="7"/>
      <c r="CS67" s="7"/>
      <c r="CT67" s="7"/>
      <c r="CU67" s="7"/>
      <c r="CV67" s="7"/>
      <c r="CW67" s="381">
        <f>SUM(Tabla1[AÑO 1 5])</f>
        <v>0</v>
      </c>
      <c r="CX67" s="381">
        <f>SUM(Tabla1[AÑO 2 5])</f>
        <v>0</v>
      </c>
      <c r="CY67" s="381">
        <f>SUM(Tabla1[[AÑO 3 5 ]])</f>
        <v>0</v>
      </c>
      <c r="CZ67" s="381">
        <f>SUM(Tabla1[AÑO 4 5])</f>
        <v>0</v>
      </c>
      <c r="DA67" s="381">
        <f>SUM(Tabla1[AÑO 5 5])</f>
        <v>0</v>
      </c>
      <c r="DB67" s="7"/>
      <c r="DC67" s="7"/>
      <c r="DD67" s="7"/>
      <c r="DE67" s="7"/>
      <c r="DF67" s="7"/>
      <c r="DG67" s="7"/>
      <c r="DH67" s="7"/>
      <c r="DI67" s="7"/>
      <c r="DJ67" s="7"/>
      <c r="DK67" s="7"/>
      <c r="DL67" s="7"/>
      <c r="DM67" s="7"/>
      <c r="DN67" s="7"/>
      <c r="DO67" s="7"/>
      <c r="DP67" s="7"/>
      <c r="DQ67" s="381">
        <f>SUM(Tabla1[AÑO 1 6])</f>
        <v>0</v>
      </c>
      <c r="DR67" s="381">
        <f>SUM(Tabla1[AÑO 2 6])</f>
        <v>0</v>
      </c>
      <c r="DS67" s="381">
        <f>SUM(Tabla1[AÑO 3 6])</f>
        <v>0</v>
      </c>
      <c r="DT67" s="381">
        <f>SUM(Tabla1[AÑO 4 6])</f>
        <v>0</v>
      </c>
      <c r="DU67" s="381">
        <f>SUM(Tabla1[AÑO 5 6])</f>
        <v>0</v>
      </c>
      <c r="DV67" s="7"/>
      <c r="DW67" s="7"/>
      <c r="DX67" s="7"/>
      <c r="DY67" s="7"/>
      <c r="DZ67" s="7"/>
      <c r="EA67" s="7"/>
      <c r="EB67" s="7"/>
      <c r="EC67" s="7"/>
      <c r="ED67" s="7"/>
      <c r="EE67" s="7"/>
      <c r="EF67" s="7"/>
      <c r="EG67" s="7"/>
      <c r="EH67" s="7"/>
      <c r="EI67" s="7"/>
      <c r="EJ67" s="7"/>
      <c r="EK67" s="381">
        <f>SUM(Tabla1[AÑO 1 7])</f>
        <v>0</v>
      </c>
      <c r="EL67" s="381">
        <f>SUM(Tabla1[AÑO 2 7])</f>
        <v>0</v>
      </c>
      <c r="EM67" s="381">
        <f>SUM(Tabla1[AÑO 3 7])</f>
        <v>0</v>
      </c>
      <c r="EN67" s="381">
        <f>SUM(Tabla1[[AÑO 4 7 ]])</f>
        <v>0</v>
      </c>
      <c r="EO67" s="381">
        <f>SUM(Tabla1[AÑO 5 7])</f>
        <v>0</v>
      </c>
      <c r="EP67" s="7"/>
      <c r="EQ67" s="7"/>
      <c r="ER67" s="7"/>
      <c r="ES67" s="7"/>
      <c r="ET67" s="7"/>
      <c r="EU67" s="7"/>
      <c r="EV67" s="7"/>
      <c r="EW67" s="7"/>
      <c r="EX67" s="7"/>
      <c r="EY67" s="7"/>
      <c r="EZ67" s="7"/>
      <c r="FA67" s="7"/>
      <c r="FB67" s="7"/>
      <c r="FC67" s="7"/>
      <c r="FD67" s="7"/>
      <c r="FE67" s="381">
        <f>SUM(Tabla1[AÑO 1 8])</f>
        <v>0</v>
      </c>
      <c r="FF67" s="381">
        <f>SUM(Tabla1[AÑO 2 8])</f>
        <v>0</v>
      </c>
      <c r="FG67" s="381">
        <f>SUM(Tabla1[AÑO 3 8])</f>
        <v>0</v>
      </c>
      <c r="FH67" s="381">
        <f>SUM(Tabla1[AÑO 4 8])</f>
        <v>0</v>
      </c>
      <c r="FI67" s="381">
        <f>SUM(Tabla1[AÑO 5 8])</f>
        <v>0</v>
      </c>
      <c r="FJ67" s="7"/>
      <c r="FK67" s="7"/>
      <c r="FL67" s="7"/>
      <c r="FM67" s="7"/>
      <c r="FN67" s="7"/>
      <c r="FO67" s="7"/>
      <c r="FP67" s="7"/>
      <c r="FQ67" s="7"/>
      <c r="FR67" s="7"/>
      <c r="FS67" s="7"/>
      <c r="FT67" s="7"/>
      <c r="FU67" s="7"/>
      <c r="FV67" s="7"/>
      <c r="FW67" s="7"/>
      <c r="FX67" s="7"/>
      <c r="FY67" s="381">
        <f>SUM(Tabla1[AÑO 1 9])</f>
        <v>0</v>
      </c>
      <c r="FZ67" s="381">
        <f>SUM(Tabla1[[AÑO 2 9 ]])</f>
        <v>0</v>
      </c>
      <c r="GA67" s="381">
        <f>SUM(Tabla1[AÑO 3 9])</f>
        <v>0</v>
      </c>
      <c r="GB67" s="381">
        <f>SUM(Tabla1[[AÑO 4 9 ]])</f>
        <v>0</v>
      </c>
      <c r="GC67" s="381">
        <f>SUM(Tabla1[[AÑO 5 9 ]])</f>
        <v>0</v>
      </c>
      <c r="GD67" s="7"/>
      <c r="GE67" s="7"/>
      <c r="GF67" s="7"/>
      <c r="GG67" s="7"/>
      <c r="GH67" s="7"/>
      <c r="GI67" s="7"/>
      <c r="GJ67" s="7"/>
      <c r="GK67" s="7"/>
      <c r="GL67" s="7"/>
      <c r="GM67" s="7"/>
      <c r="GN67" s="7"/>
      <c r="GO67" s="7"/>
      <c r="GP67" s="7"/>
      <c r="GQ67" s="7"/>
      <c r="GR67" s="7"/>
      <c r="GS67" s="381">
        <f>SUM(Tabla1[[AÑO 1 10 ]])</f>
        <v>0</v>
      </c>
      <c r="GT67" s="381">
        <f>SUM(Tabla1[[AÑO 2 10 ]])</f>
        <v>0</v>
      </c>
      <c r="GU67" s="381">
        <f>SUM(Tabla1[[AÑO 3 10 ]])</f>
        <v>0</v>
      </c>
      <c r="GV67" s="381">
        <f>SUM(Tabla1[[AÑO 4 10 ]])</f>
        <v>0</v>
      </c>
      <c r="GW67" s="381">
        <f>SUM(Tabla1[[AÑO 5 10 ]])</f>
        <v>0</v>
      </c>
      <c r="GX67" s="7"/>
      <c r="GY67" s="7"/>
      <c r="GZ67" s="7"/>
      <c r="HA67" s="7"/>
      <c r="HB67" s="7"/>
      <c r="HC67" s="7"/>
      <c r="HD67" s="7"/>
      <c r="HE67" s="7"/>
      <c r="HF67" s="7"/>
      <c r="HG67" s="7"/>
      <c r="HH67" s="7"/>
      <c r="HI67" s="7"/>
      <c r="HJ67" s="7"/>
      <c r="HK67" s="7"/>
      <c r="HL67" s="7"/>
      <c r="HM67" s="381">
        <f>SUM(Tabla1[[AÑO 1 11 ]])</f>
        <v>0</v>
      </c>
      <c r="HN67" s="381">
        <f>SUM(Tabla1[[AÑO 2 11 ]])</f>
        <v>0</v>
      </c>
      <c r="HO67" s="381">
        <f>SUM(Tabla1[AÑO 3 11])</f>
        <v>0</v>
      </c>
      <c r="HP67" s="381">
        <f>SUM(Tabla1[[AÑO 4 11 ]])</f>
        <v>0</v>
      </c>
      <c r="HQ67" s="381">
        <f>SUM(Tabla1[[AÑO 5 11 ]])</f>
        <v>0</v>
      </c>
      <c r="HR67" s="7"/>
      <c r="HS67" s="7"/>
      <c r="HT67" s="7"/>
      <c r="HU67" s="7"/>
      <c r="HV67" s="7"/>
      <c r="HW67" s="7"/>
      <c r="HX67" s="7"/>
      <c r="HY67" s="7"/>
      <c r="HZ67" s="7"/>
      <c r="IA67" s="7"/>
      <c r="IB67" s="7"/>
      <c r="IC67" s="7"/>
      <c r="ID67" s="7"/>
      <c r="IE67" s="7"/>
      <c r="IF67" s="7"/>
      <c r="IG67" s="381">
        <f>SUM(Tabla1[AÑO 1 12])</f>
        <v>0</v>
      </c>
      <c r="IH67" s="381">
        <f>SUM(Tabla1[AÑO 2 12])</f>
        <v>0</v>
      </c>
      <c r="II67" s="381">
        <f>SUM(Tabla1[AÑO 3 12])</f>
        <v>0</v>
      </c>
      <c r="IJ67" s="381">
        <f>SUM(Tabla1[AÑO 4 12])</f>
        <v>0</v>
      </c>
      <c r="IK67" s="381">
        <f>SUM(Tabla1[AÑO 5 12])</f>
        <v>0</v>
      </c>
      <c r="IL67" s="7"/>
      <c r="IM67" s="7"/>
      <c r="IN67" s="7"/>
      <c r="IO67" s="7"/>
      <c r="IP67" s="7"/>
      <c r="IQ67" s="7"/>
      <c r="IR67" s="7"/>
      <c r="IS67" s="7"/>
      <c r="IT67" s="7"/>
      <c r="IU67" s="7"/>
      <c r="IV67" s="7"/>
      <c r="IW67" s="7"/>
      <c r="IX67" s="7"/>
      <c r="IY67" s="7"/>
      <c r="IZ67" s="7"/>
      <c r="JA67" s="381">
        <f>SUM(Tabla1[AÑO 1 13])</f>
        <v>0</v>
      </c>
      <c r="JB67" s="381">
        <f>SUM(Tabla1[AÑO 2 13])</f>
        <v>0</v>
      </c>
      <c r="JC67" s="381">
        <f>SUM(Tabla1[AÑO 3 13])</f>
        <v>0</v>
      </c>
      <c r="JD67" s="381">
        <f>SUM(Tabla1[AÑO 4 13])</f>
        <v>0</v>
      </c>
      <c r="JE67" s="381">
        <f>SUM(Tabla1[AÑO 5 13])</f>
        <v>0</v>
      </c>
      <c r="JF67" s="7"/>
      <c r="JG67" s="7"/>
      <c r="JH67" s="7"/>
      <c r="JI67" s="7"/>
      <c r="JJ67" s="7"/>
      <c r="JK67" s="7"/>
      <c r="JL67" s="7"/>
      <c r="JM67" s="7"/>
      <c r="JN67" s="7"/>
      <c r="JO67" s="7"/>
      <c r="JP67" s="7"/>
      <c r="JQ67" s="7"/>
      <c r="JR67" s="7"/>
      <c r="JS67" s="7"/>
      <c r="JT67" s="7"/>
      <c r="JU67" s="381">
        <f>SUM(Tabla1[AÑO 1 14])</f>
        <v>0</v>
      </c>
      <c r="JV67" s="381">
        <f>SUM(Tabla1[AÑO 2 14])</f>
        <v>0</v>
      </c>
      <c r="JW67" s="381">
        <f>SUM(Tabla1[AÑO 3 14])</f>
        <v>0</v>
      </c>
      <c r="JX67" s="381">
        <f>SUM(Tabla1[AÑO 4 14])</f>
        <v>0</v>
      </c>
      <c r="JY67" s="381">
        <f>SUM(Tabla1[AÑO 5 14])</f>
        <v>0</v>
      </c>
      <c r="JZ67" s="7"/>
      <c r="KA67" s="7"/>
      <c r="KB67" s="7"/>
      <c r="KC67" s="7"/>
      <c r="KD67" s="7"/>
      <c r="KE67" s="7"/>
      <c r="KF67" s="7"/>
      <c r="KG67" s="7"/>
      <c r="KH67" s="7"/>
      <c r="KI67" s="7"/>
      <c r="KJ67" s="7"/>
      <c r="KK67" s="7"/>
      <c r="KL67" s="7"/>
      <c r="KM67" s="7"/>
      <c r="KN67" s="7"/>
      <c r="KO67" s="381">
        <f>SUM(Tabla1[AÑO 1 15])</f>
        <v>0</v>
      </c>
      <c r="KP67" s="381">
        <f>SUM(Tabla1[AÑO 2 15])</f>
        <v>0</v>
      </c>
      <c r="KQ67" s="381">
        <f>SUM(Tabla1[AÑO 3 15])</f>
        <v>0</v>
      </c>
      <c r="KR67" s="381">
        <f>SUM(Tabla1[AÑO 4 15])</f>
        <v>0</v>
      </c>
      <c r="KS67" s="381">
        <f>SUM(Tabla1[AÑO 5 15])</f>
        <v>0</v>
      </c>
      <c r="KT67" s="7"/>
      <c r="KU67" s="7"/>
      <c r="KV67" s="7"/>
      <c r="KW67" s="7"/>
      <c r="KX67" s="7"/>
      <c r="KY67" s="7"/>
      <c r="KZ67" s="7"/>
      <c r="LA67" s="7"/>
      <c r="LB67" s="7"/>
      <c r="LC67" s="7"/>
      <c r="LD67" s="7"/>
      <c r="LE67" s="7"/>
      <c r="LF67" s="7"/>
      <c r="LG67" s="7"/>
      <c r="LH67" s="7"/>
      <c r="LI67" s="381">
        <f>SUM(Tabla1[AÑO 1 16])</f>
        <v>0</v>
      </c>
      <c r="LJ67" s="381">
        <f>SUM(Tabla1[AÑO 2 16])</f>
        <v>0</v>
      </c>
      <c r="LK67" s="381">
        <f>SUM(Tabla1[AÑO 3 16])</f>
        <v>0</v>
      </c>
      <c r="LL67" s="381">
        <f>SUM(Tabla1[AÑO 4 16])</f>
        <v>0</v>
      </c>
      <c r="LM67" s="381">
        <f>SUM(Tabla1[AÑO 5 16])</f>
        <v>0</v>
      </c>
      <c r="LN67" s="7"/>
      <c r="LO67" s="7"/>
      <c r="LP67" s="7"/>
      <c r="LQ67" s="7"/>
      <c r="LR67" s="7"/>
      <c r="LS67" s="7"/>
      <c r="LT67" s="7"/>
      <c r="LU67" s="7"/>
      <c r="LV67" s="7"/>
      <c r="LW67" s="7"/>
      <c r="LX67" s="7"/>
      <c r="LY67" s="7"/>
      <c r="LZ67" s="7"/>
      <c r="MA67" s="7"/>
      <c r="MB67" s="7"/>
      <c r="MC67" s="381">
        <f>SUM(Tabla1[AÑO 1 17])</f>
        <v>0</v>
      </c>
      <c r="MD67" s="381">
        <f>SUM(Tabla1[AÑO 2 17])</f>
        <v>0</v>
      </c>
      <c r="ME67" s="381">
        <f>SUM(Tabla1[AÑO 3 17])</f>
        <v>0</v>
      </c>
      <c r="MF67" s="381">
        <f>SUM(Tabla1[AÑO 4 17])</f>
        <v>0</v>
      </c>
      <c r="MG67" s="381">
        <f>SUM(Tabla1[AÑO 5 17])</f>
        <v>0</v>
      </c>
      <c r="MH67" s="7"/>
      <c r="MI67" s="7"/>
      <c r="MJ67" s="7"/>
      <c r="MK67" s="7"/>
      <c r="ML67" s="7"/>
      <c r="MM67" s="7"/>
      <c r="MN67" s="7"/>
      <c r="MO67" s="7"/>
      <c r="MP67" s="7"/>
      <c r="MQ67" s="7"/>
      <c r="MR67" s="7"/>
      <c r="MS67" s="7"/>
      <c r="MT67" s="7"/>
      <c r="MU67" s="7"/>
      <c r="MV67" s="7"/>
      <c r="MW67" s="381">
        <f>SUM(Tabla1[[AÑO 1 18 ]])</f>
        <v>0</v>
      </c>
      <c r="MX67" s="381">
        <f>SUM(Tabla1[[AÑO 2 18 ]])</f>
        <v>0</v>
      </c>
      <c r="MY67" s="381">
        <f>SUM(Tabla1[[AÑO 3 18 ]])</f>
        <v>0</v>
      </c>
      <c r="MZ67" s="381">
        <f>SUM(Tabla1[[AÑO 4 18 ]])</f>
        <v>0</v>
      </c>
      <c r="NA67" s="381">
        <f>SUM(Tabla1[[AÑO 5 18 ]])</f>
        <v>0</v>
      </c>
      <c r="NQ67" s="379">
        <f>SUM(Tabla1[[AÑO 1 19 ]])</f>
        <v>0</v>
      </c>
      <c r="NR67" s="379">
        <f>SUM(Tabla1[[AÑO 2 19 ]])</f>
        <v>0</v>
      </c>
      <c r="NS67" s="379">
        <f>SUM(Tabla1[[AÑO 3 19 ]])</f>
        <v>0</v>
      </c>
      <c r="NT67" s="379">
        <f>SUM(Tabla1[[AÑO 4 19 ]])</f>
        <v>0</v>
      </c>
      <c r="NU67" s="379">
        <f>SUM(Tabla1[[AÑO 5 19 ]])</f>
        <v>0</v>
      </c>
      <c r="OK67" s="379">
        <f>SUM(Tabla1[[AÑO 1 20 ]])</f>
        <v>0</v>
      </c>
      <c r="OL67" s="379">
        <f>SUM(Tabla1[[AÑO 2 20 ]])</f>
        <v>0</v>
      </c>
      <c r="OM67" s="379">
        <f>SUM(Tabla1[[AÑO 3 20 ]])</f>
        <v>0</v>
      </c>
      <c r="ON67" s="379">
        <f>SUM(Tabla1[[AÑO 4 20 ]])</f>
        <v>0</v>
      </c>
      <c r="OO67" s="379">
        <f>SUM(Tabla1[[AÑO 5 20 ]])</f>
        <v>0</v>
      </c>
    </row>
    <row r="68" spans="1:405" x14ac:dyDescent="0.25">
      <c r="C68" s="331"/>
      <c r="D68" s="331"/>
    </row>
    <row r="69" spans="1:405" x14ac:dyDescent="0.25">
      <c r="C69" s="331"/>
      <c r="D69" s="331"/>
    </row>
    <row r="70" spans="1:405" x14ac:dyDescent="0.25">
      <c r="C70" s="331"/>
      <c r="D70" s="331"/>
    </row>
    <row r="71" spans="1:405" x14ac:dyDescent="0.25">
      <c r="C71" s="331"/>
      <c r="D71" s="331"/>
    </row>
    <row r="72" spans="1:405" ht="15.75" x14ac:dyDescent="0.25">
      <c r="B72" s="69" t="s">
        <v>42</v>
      </c>
      <c r="C72" s="368" t="s">
        <v>440</v>
      </c>
      <c r="D72" s="331"/>
    </row>
    <row r="73" spans="1:405" ht="15.75" x14ac:dyDescent="0.25">
      <c r="B73" s="334"/>
      <c r="C73" s="365"/>
      <c r="D73" s="331"/>
    </row>
    <row r="74" spans="1:405" ht="15.75" x14ac:dyDescent="0.25">
      <c r="B74" s="337"/>
      <c r="C74" s="366"/>
      <c r="D74" s="331"/>
    </row>
    <row r="75" spans="1:405" ht="15.75" x14ac:dyDescent="0.25">
      <c r="B75" s="337"/>
      <c r="C75" s="366"/>
      <c r="D75" s="331"/>
    </row>
    <row r="76" spans="1:405" ht="15.75" x14ac:dyDescent="0.25">
      <c r="B76" s="337"/>
      <c r="C76" s="366"/>
      <c r="D76" s="331"/>
    </row>
    <row r="77" spans="1:405" ht="15.75" x14ac:dyDescent="0.25">
      <c r="B77" s="337"/>
      <c r="C77" s="366"/>
      <c r="D77" s="331"/>
    </row>
    <row r="78" spans="1:405" ht="15.75" x14ac:dyDescent="0.25">
      <c r="B78" s="337"/>
      <c r="C78" s="366"/>
      <c r="D78" s="331"/>
    </row>
    <row r="79" spans="1:405" ht="15.75" x14ac:dyDescent="0.25">
      <c r="B79" s="337"/>
      <c r="C79" s="366"/>
      <c r="D79" s="331"/>
    </row>
    <row r="80" spans="1:405" ht="15.75" x14ac:dyDescent="0.25">
      <c r="B80" s="337"/>
      <c r="C80" s="366"/>
      <c r="D80" s="331"/>
    </row>
    <row r="81" spans="2:29" ht="15.75" x14ac:dyDescent="0.25">
      <c r="B81" s="337"/>
      <c r="C81" s="366"/>
      <c r="D81" s="331"/>
    </row>
    <row r="82" spans="2:29" ht="15.75" x14ac:dyDescent="0.25">
      <c r="B82" s="340"/>
      <c r="C82" s="367"/>
      <c r="D82" s="331"/>
    </row>
    <row r="83" spans="2:29" x14ac:dyDescent="0.25">
      <c r="C83" s="331"/>
      <c r="D83" s="331"/>
    </row>
    <row r="84" spans="2:29" x14ac:dyDescent="0.25">
      <c r="C84" s="331"/>
      <c r="D84" s="331"/>
    </row>
    <row r="85" spans="2:29" x14ac:dyDescent="0.25">
      <c r="C85" s="331"/>
      <c r="D85" s="331"/>
    </row>
    <row r="86" spans="2:29" x14ac:dyDescent="0.25">
      <c r="C86" s="331"/>
      <c r="D86" s="331"/>
    </row>
    <row r="87" spans="2:29" x14ac:dyDescent="0.25">
      <c r="C87" s="331"/>
      <c r="D87" s="331"/>
    </row>
    <row r="88" spans="2:29" ht="15.75" x14ac:dyDescent="0.25">
      <c r="C88" s="331"/>
      <c r="D88" s="331"/>
      <c r="F88" s="620" t="s">
        <v>650</v>
      </c>
      <c r="G88" s="621"/>
      <c r="H88" s="621"/>
      <c r="I88" s="621"/>
      <c r="J88" s="621"/>
      <c r="K88" s="621"/>
      <c r="L88" s="621"/>
      <c r="M88" s="621"/>
      <c r="N88" s="621"/>
      <c r="O88" s="622"/>
      <c r="P88"/>
      <c r="Q88"/>
      <c r="R88"/>
      <c r="S88"/>
      <c r="T88"/>
      <c r="U88"/>
      <c r="V88"/>
      <c r="W88"/>
      <c r="X88"/>
      <c r="Y88"/>
      <c r="Z88"/>
      <c r="AA88"/>
      <c r="AB88"/>
      <c r="AC88"/>
    </row>
    <row r="89" spans="2:29" ht="15.75" x14ac:dyDescent="0.25">
      <c r="C89" s="368" t="s">
        <v>437</v>
      </c>
      <c r="D89" s="368" t="s">
        <v>438</v>
      </c>
      <c r="E89" s="52"/>
      <c r="F89" s="455" cm="1">
        <f t="array" ref="F89:O89">TRANSPOSE(Tabla4[[MANO DE OBRA DIRECTA ]])</f>
        <v>0</v>
      </c>
      <c r="G89" s="455">
        <v>0</v>
      </c>
      <c r="H89" s="455">
        <v>0</v>
      </c>
      <c r="I89" s="455">
        <v>0</v>
      </c>
      <c r="J89" s="455">
        <v>0</v>
      </c>
      <c r="K89" s="455">
        <v>0</v>
      </c>
      <c r="L89" s="455">
        <v>0</v>
      </c>
      <c r="M89" s="455">
        <v>0</v>
      </c>
      <c r="N89" s="455">
        <v>0</v>
      </c>
      <c r="O89" s="455">
        <v>0</v>
      </c>
      <c r="P89"/>
      <c r="Q89"/>
      <c r="R89"/>
      <c r="S89"/>
      <c r="T89"/>
      <c r="U89"/>
      <c r="V89"/>
      <c r="W89"/>
      <c r="X89"/>
      <c r="Y89"/>
      <c r="Z89"/>
      <c r="AA89"/>
      <c r="AB89"/>
      <c r="AC89"/>
    </row>
    <row r="90" spans="2:29" ht="15.75" x14ac:dyDescent="0.25">
      <c r="C90" s="436">
        <v>0</v>
      </c>
      <c r="D90" s="369" t="str">
        <f>VLOOKUP(Tabla10[[#This Row],[CÓDIGO DEL PRODUCTO Y/O SERVICIO ]],Tabla3[],2,0)</f>
        <v xml:space="preserve">Seleccionar producto o servicio </v>
      </c>
      <c r="E90" s="104"/>
      <c r="F90" s="71"/>
      <c r="G90" s="71"/>
      <c r="H90" s="71"/>
      <c r="I90" s="71"/>
      <c r="J90" s="71"/>
      <c r="K90" s="71"/>
      <c r="L90" s="71"/>
      <c r="M90" s="71"/>
      <c r="N90" s="71"/>
      <c r="O90" s="71"/>
      <c r="P90"/>
      <c r="Q90"/>
      <c r="R90"/>
      <c r="S90"/>
      <c r="T90"/>
      <c r="U90"/>
      <c r="V90"/>
      <c r="W90"/>
      <c r="X90"/>
      <c r="Y90"/>
      <c r="Z90"/>
      <c r="AA90"/>
      <c r="AB90"/>
      <c r="AC90"/>
    </row>
    <row r="91" spans="2:29" ht="15.75" x14ac:dyDescent="0.25">
      <c r="C91" s="362"/>
      <c r="D91" s="369" t="str">
        <f>VLOOKUP(Tabla10[[#This Row],[CÓDIGO DEL PRODUCTO Y/O SERVICIO ]],Tabla3[],2,0)</f>
        <v xml:space="preserve">Seleccionar producto o servicio </v>
      </c>
      <c r="E91" s="104"/>
      <c r="F91" s="71"/>
      <c r="G91" s="71"/>
      <c r="H91" s="71"/>
      <c r="I91" s="71"/>
      <c r="J91" s="71"/>
      <c r="K91" s="71"/>
      <c r="L91" s="71"/>
      <c r="M91" s="71"/>
      <c r="N91" s="71"/>
      <c r="O91" s="71"/>
      <c r="P91"/>
      <c r="Q91"/>
      <c r="R91"/>
      <c r="S91"/>
      <c r="T91"/>
      <c r="U91"/>
      <c r="V91"/>
      <c r="W91"/>
      <c r="X91"/>
      <c r="Y91"/>
      <c r="Z91"/>
      <c r="AA91"/>
      <c r="AB91"/>
      <c r="AC91"/>
    </row>
    <row r="92" spans="2:29" x14ac:dyDescent="0.25">
      <c r="C92" s="331"/>
      <c r="D92" s="331"/>
    </row>
    <row r="93" spans="2:29" x14ac:dyDescent="0.25">
      <c r="C93" s="331"/>
      <c r="D93" s="331"/>
    </row>
    <row r="94" spans="2:29" x14ac:dyDescent="0.25">
      <c r="C94" s="331"/>
      <c r="D94" s="331"/>
    </row>
    <row r="95" spans="2:29" x14ac:dyDescent="0.25">
      <c r="C95" s="331"/>
      <c r="D95" s="331"/>
    </row>
    <row r="96" spans="2:29" x14ac:dyDescent="0.25">
      <c r="C96" s="331"/>
      <c r="D96" s="331"/>
    </row>
    <row r="97" spans="3:210" x14ac:dyDescent="0.25">
      <c r="C97" s="331"/>
      <c r="D97" s="331"/>
    </row>
    <row r="98" spans="3:210" x14ac:dyDescent="0.25">
      <c r="C98" s="331"/>
      <c r="D98" s="331"/>
    </row>
    <row r="99" spans="3:210" x14ac:dyDescent="0.25">
      <c r="C99" s="331"/>
      <c r="D99" s="331"/>
    </row>
    <row r="100" spans="3:210" x14ac:dyDescent="0.25">
      <c r="C100" s="331"/>
      <c r="D100" s="331"/>
    </row>
    <row r="101" spans="3:210" x14ac:dyDescent="0.25">
      <c r="C101" s="331"/>
      <c r="D101" s="331"/>
    </row>
    <row r="102" spans="3:210" ht="15.75" customHeight="1" x14ac:dyDescent="0.25"/>
    <row r="103" spans="3:210" ht="15.75" customHeight="1" thickBot="1" x14ac:dyDescent="0.3"/>
    <row r="104" spans="3:210" ht="16.5" thickBot="1" x14ac:dyDescent="0.3">
      <c r="F104" s="557">
        <f>B73</f>
        <v>0</v>
      </c>
      <c r="G104" s="558"/>
      <c r="H104" s="558"/>
      <c r="I104" s="558"/>
      <c r="J104" s="558"/>
      <c r="K104" s="558"/>
      <c r="L104" s="558"/>
      <c r="M104" s="558"/>
      <c r="N104" s="558"/>
      <c r="O104" s="558"/>
      <c r="P104" s="558"/>
      <c r="Q104" s="558"/>
      <c r="R104" s="558"/>
      <c r="S104" s="558"/>
      <c r="T104" s="558"/>
      <c r="U104" s="558"/>
      <c r="V104" s="558"/>
      <c r="W104" s="558"/>
      <c r="X104" s="558"/>
      <c r="Y104" s="559"/>
      <c r="Z104" s="553">
        <f>B74</f>
        <v>0</v>
      </c>
      <c r="AA104" s="554"/>
      <c r="AB104" s="554"/>
      <c r="AC104" s="554"/>
      <c r="AD104" s="554"/>
      <c r="AE104" s="554"/>
      <c r="AF104" s="554"/>
      <c r="AG104" s="554"/>
      <c r="AH104" s="554"/>
      <c r="AI104" s="554"/>
      <c r="AJ104" s="554"/>
      <c r="AK104" s="554"/>
      <c r="AL104" s="554"/>
      <c r="AM104" s="554"/>
      <c r="AN104" s="554"/>
      <c r="AO104" s="554"/>
      <c r="AP104" s="554"/>
      <c r="AQ104" s="554"/>
      <c r="AR104" s="554"/>
      <c r="AS104" s="565"/>
      <c r="AT104" s="557">
        <f>B75</f>
        <v>0</v>
      </c>
      <c r="AU104" s="558"/>
      <c r="AV104" s="558"/>
      <c r="AW104" s="558"/>
      <c r="AX104" s="558"/>
      <c r="AY104" s="558"/>
      <c r="AZ104" s="558"/>
      <c r="BA104" s="558"/>
      <c r="BB104" s="558"/>
      <c r="BC104" s="558"/>
      <c r="BD104" s="558"/>
      <c r="BE104" s="558"/>
      <c r="BF104" s="558"/>
      <c r="BG104" s="558"/>
      <c r="BH104" s="558"/>
      <c r="BI104" s="558"/>
      <c r="BJ104" s="558"/>
      <c r="BK104" s="558"/>
      <c r="BL104" s="558"/>
      <c r="BM104" s="559"/>
      <c r="BN104" s="609">
        <f>B76</f>
        <v>0</v>
      </c>
      <c r="BO104" s="610"/>
      <c r="BP104" s="610"/>
      <c r="BQ104" s="610"/>
      <c r="BR104" s="610"/>
      <c r="BS104" s="610"/>
      <c r="BT104" s="610"/>
      <c r="BU104" s="610"/>
      <c r="BV104" s="610"/>
      <c r="BW104" s="610"/>
      <c r="BX104" s="610"/>
      <c r="BY104" s="610"/>
      <c r="BZ104" s="610"/>
      <c r="CA104" s="610"/>
      <c r="CB104" s="610"/>
      <c r="CC104" s="610"/>
      <c r="CD104" s="610"/>
      <c r="CE104" s="610"/>
      <c r="CF104" s="610"/>
      <c r="CG104" s="611"/>
      <c r="CH104" s="573">
        <f>B77</f>
        <v>0</v>
      </c>
      <c r="CI104" s="574"/>
      <c r="CJ104" s="574"/>
      <c r="CK104" s="574"/>
      <c r="CL104" s="574"/>
      <c r="CM104" s="574"/>
      <c r="CN104" s="574"/>
      <c r="CO104" s="574"/>
      <c r="CP104" s="574"/>
      <c r="CQ104" s="574"/>
      <c r="CR104" s="574"/>
      <c r="CS104" s="574"/>
      <c r="CT104" s="574"/>
      <c r="CU104" s="574"/>
      <c r="CV104" s="574"/>
      <c r="CW104" s="574"/>
      <c r="CX104" s="574"/>
      <c r="CY104" s="574"/>
      <c r="CZ104" s="574"/>
      <c r="DA104" s="575"/>
      <c r="DB104" s="570">
        <f>B78</f>
        <v>0</v>
      </c>
      <c r="DC104" s="571"/>
      <c r="DD104" s="571"/>
      <c r="DE104" s="571"/>
      <c r="DF104" s="571"/>
      <c r="DG104" s="571"/>
      <c r="DH104" s="571"/>
      <c r="DI104" s="571"/>
      <c r="DJ104" s="571"/>
      <c r="DK104" s="571"/>
      <c r="DL104" s="571"/>
      <c r="DM104" s="571"/>
      <c r="DN104" s="571"/>
      <c r="DO104" s="571"/>
      <c r="DP104" s="571"/>
      <c r="DQ104" s="571"/>
      <c r="DR104" s="571"/>
      <c r="DS104" s="571"/>
      <c r="DT104" s="571"/>
      <c r="DU104" s="572"/>
      <c r="DV104" s="573">
        <f>B79</f>
        <v>0</v>
      </c>
      <c r="DW104" s="574"/>
      <c r="DX104" s="574"/>
      <c r="DY104" s="574"/>
      <c r="DZ104" s="574"/>
      <c r="EA104" s="574"/>
      <c r="EB104" s="574"/>
      <c r="EC104" s="574"/>
      <c r="ED104" s="574"/>
      <c r="EE104" s="574"/>
      <c r="EF104" s="574"/>
      <c r="EG104" s="574"/>
      <c r="EH104" s="574"/>
      <c r="EI104" s="574"/>
      <c r="EJ104" s="574"/>
      <c r="EK104" s="574"/>
      <c r="EL104" s="574"/>
      <c r="EM104" s="574"/>
      <c r="EN104" s="574"/>
      <c r="EO104" s="575"/>
      <c r="EP104" s="563">
        <f>B80</f>
        <v>0</v>
      </c>
      <c r="EQ104" s="564"/>
      <c r="ER104" s="564"/>
      <c r="ES104" s="564"/>
      <c r="ET104" s="564"/>
      <c r="EU104" s="564"/>
      <c r="EV104" s="564"/>
      <c r="EW104" s="564"/>
      <c r="EX104" s="564"/>
      <c r="EY104" s="564"/>
      <c r="EZ104" s="564"/>
      <c r="FA104" s="564"/>
      <c r="FB104" s="564"/>
      <c r="FC104" s="564"/>
      <c r="FD104" s="564"/>
      <c r="FE104" s="564"/>
      <c r="FF104" s="564"/>
      <c r="FG104" s="564"/>
      <c r="FH104" s="564"/>
      <c r="FI104" s="567"/>
      <c r="FJ104" s="557">
        <f>B81</f>
        <v>0</v>
      </c>
      <c r="FK104" s="558"/>
      <c r="FL104" s="558"/>
      <c r="FM104" s="558"/>
      <c r="FN104" s="558"/>
      <c r="FO104" s="558"/>
      <c r="FP104" s="558"/>
      <c r="FQ104" s="558"/>
      <c r="FR104" s="558"/>
      <c r="FS104" s="558"/>
      <c r="FT104" s="558"/>
      <c r="FU104" s="558"/>
      <c r="FV104" s="558"/>
      <c r="FW104" s="558"/>
      <c r="FX104" s="558"/>
      <c r="FY104" s="558"/>
      <c r="FZ104" s="558"/>
      <c r="GA104" s="558"/>
      <c r="GB104" s="558"/>
      <c r="GC104" s="559"/>
      <c r="GD104" s="563">
        <f>B82</f>
        <v>0</v>
      </c>
      <c r="GE104" s="564"/>
      <c r="GF104" s="564"/>
      <c r="GG104" s="564"/>
      <c r="GH104" s="564"/>
      <c r="GI104" s="564"/>
      <c r="GJ104" s="564"/>
      <c r="GK104" s="564"/>
      <c r="GL104" s="564"/>
      <c r="GM104" s="564"/>
      <c r="GN104" s="564"/>
      <c r="GO104" s="564"/>
      <c r="GP104" s="564"/>
      <c r="GQ104" s="564"/>
      <c r="GR104" s="564"/>
      <c r="GS104" s="564"/>
      <c r="GT104" s="564"/>
      <c r="GU104" s="564"/>
      <c r="GV104" s="564"/>
      <c r="GW104" s="564"/>
      <c r="GX104" s="549" t="s">
        <v>872</v>
      </c>
      <c r="GY104" s="549"/>
      <c r="GZ104" s="549"/>
      <c r="HA104" s="549"/>
      <c r="HB104" s="549"/>
    </row>
    <row r="105" spans="3:210" ht="15.75" x14ac:dyDescent="0.25">
      <c r="F105" s="370"/>
      <c r="G105" s="370"/>
      <c r="H105" s="370"/>
      <c r="I105" s="370"/>
      <c r="J105" s="370"/>
      <c r="K105" s="370"/>
      <c r="L105" s="370"/>
      <c r="M105" s="370"/>
      <c r="N105" s="370"/>
      <c r="O105" s="370"/>
      <c r="P105" s="566" t="s">
        <v>443</v>
      </c>
      <c r="Q105" s="566"/>
      <c r="R105" s="566"/>
      <c r="S105" s="566"/>
      <c r="T105" s="566"/>
      <c r="U105" s="566" t="s">
        <v>444</v>
      </c>
      <c r="V105" s="566"/>
      <c r="W105" s="566"/>
      <c r="X105" s="566"/>
      <c r="Y105" s="566"/>
      <c r="Z105" s="371"/>
      <c r="AA105" s="371"/>
      <c r="AB105" s="371"/>
      <c r="AC105" s="371"/>
      <c r="AD105" s="371"/>
      <c r="AE105" s="371"/>
      <c r="AF105" s="371"/>
      <c r="AG105" s="371"/>
      <c r="AH105" s="371"/>
      <c r="AI105" s="371"/>
      <c r="AJ105" s="551" t="s">
        <v>443</v>
      </c>
      <c r="AK105" s="551"/>
      <c r="AL105" s="551"/>
      <c r="AM105" s="551"/>
      <c r="AN105" s="551"/>
      <c r="AO105" s="551" t="s">
        <v>444</v>
      </c>
      <c r="AP105" s="551"/>
      <c r="AQ105" s="551"/>
      <c r="AR105" s="551"/>
      <c r="AS105" s="551"/>
      <c r="AT105" s="612"/>
      <c r="AU105" s="613"/>
      <c r="AV105" s="613"/>
      <c r="AW105" s="613"/>
      <c r="AX105" s="613"/>
      <c r="AY105" s="613"/>
      <c r="AZ105" s="613"/>
      <c r="BA105" s="613"/>
      <c r="BB105" s="613"/>
      <c r="BC105" s="614"/>
      <c r="BD105" s="555" t="s">
        <v>443</v>
      </c>
      <c r="BE105" s="555"/>
      <c r="BF105" s="555"/>
      <c r="BG105" s="555"/>
      <c r="BH105" s="555"/>
      <c r="BI105" s="555" t="s">
        <v>444</v>
      </c>
      <c r="BJ105" s="555"/>
      <c r="BK105" s="555"/>
      <c r="BL105" s="555"/>
      <c r="BM105" s="555"/>
      <c r="BN105" s="562"/>
      <c r="BO105" s="618"/>
      <c r="BP105" s="618"/>
      <c r="BQ105" s="618"/>
      <c r="BR105" s="618"/>
      <c r="BS105" s="618"/>
      <c r="BT105" s="618"/>
      <c r="BU105" s="618"/>
      <c r="BV105" s="618"/>
      <c r="BW105" s="619"/>
      <c r="BX105" s="560" t="s">
        <v>443</v>
      </c>
      <c r="BY105" s="561"/>
      <c r="BZ105" s="561"/>
      <c r="CA105" s="561"/>
      <c r="CB105" s="561"/>
      <c r="CC105" s="568" t="s">
        <v>626</v>
      </c>
      <c r="CD105" s="569"/>
      <c r="CE105" s="569"/>
      <c r="CF105" s="569"/>
      <c r="CG105" s="569"/>
      <c r="CH105" s="556"/>
      <c r="CI105" s="556"/>
      <c r="CJ105" s="556"/>
      <c r="CK105" s="556"/>
      <c r="CL105" s="556"/>
      <c r="CM105" s="556"/>
      <c r="CN105" s="556"/>
      <c r="CO105" s="556"/>
      <c r="CP105" s="556"/>
      <c r="CQ105" s="556"/>
      <c r="CR105" s="615" t="s">
        <v>560</v>
      </c>
      <c r="CS105" s="616"/>
      <c r="CT105" s="616"/>
      <c r="CU105" s="616"/>
      <c r="CV105" s="617"/>
      <c r="CW105" s="555" t="s">
        <v>626</v>
      </c>
      <c r="CX105" s="556"/>
      <c r="CY105" s="556"/>
      <c r="CZ105" s="556"/>
      <c r="DA105" s="556"/>
      <c r="DB105" s="569"/>
      <c r="DC105" s="569"/>
      <c r="DD105" s="569"/>
      <c r="DE105" s="569"/>
      <c r="DF105" s="569"/>
      <c r="DG105" s="569"/>
      <c r="DH105" s="569"/>
      <c r="DI105" s="569"/>
      <c r="DJ105" s="569"/>
      <c r="DK105" s="569"/>
      <c r="DL105" s="568" t="s">
        <v>560</v>
      </c>
      <c r="DM105" s="569"/>
      <c r="DN105" s="569"/>
      <c r="DO105" s="569"/>
      <c r="DP105" s="569"/>
      <c r="DQ105" s="568" t="s">
        <v>444</v>
      </c>
      <c r="DR105" s="569"/>
      <c r="DS105" s="569"/>
      <c r="DT105" s="569"/>
      <c r="DU105" s="569"/>
      <c r="DV105" s="556"/>
      <c r="DW105" s="556"/>
      <c r="DX105" s="556"/>
      <c r="DY105" s="556"/>
      <c r="DZ105" s="556"/>
      <c r="EA105" s="556"/>
      <c r="EB105" s="556"/>
      <c r="EC105" s="556"/>
      <c r="ED105" s="556"/>
      <c r="EE105" s="556"/>
      <c r="EF105" s="556"/>
      <c r="EG105" s="555" t="s">
        <v>560</v>
      </c>
      <c r="EH105" s="556"/>
      <c r="EI105" s="556"/>
      <c r="EJ105" s="556"/>
      <c r="EK105" s="555" t="s">
        <v>626</v>
      </c>
      <c r="EL105" s="556"/>
      <c r="EM105" s="556"/>
      <c r="EN105" s="556"/>
      <c r="EO105" s="556"/>
      <c r="EP105" s="561"/>
      <c r="EQ105" s="561"/>
      <c r="ER105" s="561"/>
      <c r="ES105" s="561"/>
      <c r="ET105" s="561"/>
      <c r="EU105" s="561"/>
      <c r="EV105" s="561"/>
      <c r="EW105" s="561"/>
      <c r="EX105" s="561"/>
      <c r="EY105" s="561"/>
      <c r="EZ105" s="560" t="s">
        <v>560</v>
      </c>
      <c r="FA105" s="561"/>
      <c r="FB105" s="561"/>
      <c r="FC105" s="561"/>
      <c r="FD105" s="561"/>
      <c r="FE105" s="560" t="s">
        <v>444</v>
      </c>
      <c r="FF105" s="561"/>
      <c r="FG105" s="561"/>
      <c r="FH105" s="561"/>
      <c r="FI105" s="561"/>
      <c r="FJ105" s="556"/>
      <c r="FK105" s="556"/>
      <c r="FL105" s="556"/>
      <c r="FM105" s="556"/>
      <c r="FN105" s="556"/>
      <c r="FO105" s="556"/>
      <c r="FP105" s="556"/>
      <c r="FQ105" s="556"/>
      <c r="FR105" s="556"/>
      <c r="FS105" s="556"/>
      <c r="FT105" s="555" t="s">
        <v>560</v>
      </c>
      <c r="FU105" s="556"/>
      <c r="FV105" s="556"/>
      <c r="FW105" s="556"/>
      <c r="FX105" s="556"/>
      <c r="FY105" s="555" t="s">
        <v>626</v>
      </c>
      <c r="FZ105" s="556"/>
      <c r="GA105" s="556"/>
      <c r="GB105" s="556"/>
      <c r="GC105" s="556"/>
      <c r="GD105" s="561"/>
      <c r="GE105" s="561"/>
      <c r="GF105" s="561"/>
      <c r="GG105" s="561"/>
      <c r="GH105" s="561"/>
      <c r="GI105" s="561"/>
      <c r="GJ105" s="561"/>
      <c r="GK105" s="561"/>
      <c r="GL105" s="561"/>
      <c r="GM105" s="561"/>
      <c r="GN105" s="560" t="s">
        <v>560</v>
      </c>
      <c r="GO105" s="561"/>
      <c r="GP105" s="561"/>
      <c r="GQ105" s="561"/>
      <c r="GR105" s="561"/>
      <c r="GS105" s="560" t="s">
        <v>626</v>
      </c>
      <c r="GT105" s="561"/>
      <c r="GU105" s="561"/>
      <c r="GV105" s="561"/>
      <c r="GW105" s="562"/>
      <c r="GX105" s="549"/>
      <c r="GY105" s="549"/>
      <c r="GZ105" s="549"/>
      <c r="HA105" s="549"/>
      <c r="HB105" s="549"/>
    </row>
    <row r="106" spans="3:210" ht="45" customHeight="1" x14ac:dyDescent="0.25">
      <c r="C106" s="368" t="s">
        <v>437</v>
      </c>
      <c r="D106" s="368" t="s">
        <v>438</v>
      </c>
      <c r="E106" s="52" t="s">
        <v>442</v>
      </c>
      <c r="F106" s="372" t="s">
        <v>652</v>
      </c>
      <c r="G106" s="372" t="s">
        <v>653</v>
      </c>
      <c r="H106" s="372" t="s">
        <v>654</v>
      </c>
      <c r="I106" s="372" t="s">
        <v>655</v>
      </c>
      <c r="J106" s="372" t="s">
        <v>656</v>
      </c>
      <c r="K106" s="372" t="s">
        <v>657</v>
      </c>
      <c r="L106" s="372" t="s">
        <v>658</v>
      </c>
      <c r="M106" s="372" t="s">
        <v>659</v>
      </c>
      <c r="N106" s="372" t="s">
        <v>660</v>
      </c>
      <c r="O106" s="372" t="s">
        <v>661</v>
      </c>
      <c r="P106" s="372" t="s">
        <v>449</v>
      </c>
      <c r="Q106" s="372" t="s">
        <v>662</v>
      </c>
      <c r="R106" s="372" t="s">
        <v>663</v>
      </c>
      <c r="S106" s="372" t="s">
        <v>664</v>
      </c>
      <c r="T106" s="372" t="s">
        <v>665</v>
      </c>
      <c r="U106" s="372" t="s">
        <v>666</v>
      </c>
      <c r="V106" s="372" t="s">
        <v>667</v>
      </c>
      <c r="W106" s="372" t="s">
        <v>668</v>
      </c>
      <c r="X106" s="372" t="s">
        <v>669</v>
      </c>
      <c r="Y106" s="372" t="s">
        <v>670</v>
      </c>
      <c r="Z106" s="373" t="s">
        <v>457</v>
      </c>
      <c r="AA106" s="373" t="s">
        <v>672</v>
      </c>
      <c r="AB106" s="373" t="s">
        <v>673</v>
      </c>
      <c r="AC106" s="373" t="s">
        <v>674</v>
      </c>
      <c r="AD106" s="373" t="s">
        <v>675</v>
      </c>
      <c r="AE106" s="373" t="s">
        <v>676</v>
      </c>
      <c r="AF106" s="373" t="s">
        <v>677</v>
      </c>
      <c r="AG106" s="373" t="s">
        <v>678</v>
      </c>
      <c r="AH106" s="373" t="s">
        <v>679</v>
      </c>
      <c r="AI106" s="373" t="s">
        <v>680</v>
      </c>
      <c r="AJ106" s="373" t="s">
        <v>671</v>
      </c>
      <c r="AK106" s="373" t="s">
        <v>681</v>
      </c>
      <c r="AL106" s="373" t="s">
        <v>682</v>
      </c>
      <c r="AM106" s="373" t="s">
        <v>683</v>
      </c>
      <c r="AN106" s="373" t="s">
        <v>684</v>
      </c>
      <c r="AO106" s="373" t="s">
        <v>686</v>
      </c>
      <c r="AP106" s="373" t="s">
        <v>685</v>
      </c>
      <c r="AQ106" s="373" t="s">
        <v>463</v>
      </c>
      <c r="AR106" s="373" t="s">
        <v>464</v>
      </c>
      <c r="AS106" s="373" t="s">
        <v>465</v>
      </c>
      <c r="AT106" s="372" t="s">
        <v>466</v>
      </c>
      <c r="AU106" s="372" t="s">
        <v>687</v>
      </c>
      <c r="AV106" s="372" t="s">
        <v>688</v>
      </c>
      <c r="AW106" s="372" t="s">
        <v>689</v>
      </c>
      <c r="AX106" s="372" t="s">
        <v>690</v>
      </c>
      <c r="AY106" s="372" t="s">
        <v>691</v>
      </c>
      <c r="AZ106" s="372" t="s">
        <v>471</v>
      </c>
      <c r="BA106" s="372" t="s">
        <v>692</v>
      </c>
      <c r="BB106" s="372" t="s">
        <v>693</v>
      </c>
      <c r="BC106" s="372" t="s">
        <v>694</v>
      </c>
      <c r="BD106" s="372" t="s">
        <v>720</v>
      </c>
      <c r="BE106" s="372" t="s">
        <v>695</v>
      </c>
      <c r="BF106" s="372" t="s">
        <v>696</v>
      </c>
      <c r="BG106" s="372" t="s">
        <v>697</v>
      </c>
      <c r="BH106" s="372" t="s">
        <v>721</v>
      </c>
      <c r="BI106" s="372" t="s">
        <v>698</v>
      </c>
      <c r="BJ106" s="372" t="s">
        <v>699</v>
      </c>
      <c r="BK106" s="372" t="s">
        <v>700</v>
      </c>
      <c r="BL106" s="372" t="s">
        <v>701</v>
      </c>
      <c r="BM106" s="372" t="s">
        <v>476</v>
      </c>
      <c r="BN106" s="373" t="s">
        <v>477</v>
      </c>
      <c r="BO106" s="373" t="s">
        <v>702</v>
      </c>
      <c r="BP106" s="373" t="s">
        <v>478</v>
      </c>
      <c r="BQ106" s="373" t="s">
        <v>479</v>
      </c>
      <c r="BR106" s="373" t="s">
        <v>480</v>
      </c>
      <c r="BS106" s="373" t="s">
        <v>703</v>
      </c>
      <c r="BT106" s="373" t="s">
        <v>704</v>
      </c>
      <c r="BU106" s="373" t="s">
        <v>482</v>
      </c>
      <c r="BV106" s="373" t="s">
        <v>483</v>
      </c>
      <c r="BW106" s="373" t="s">
        <v>705</v>
      </c>
      <c r="BX106" s="373" t="s">
        <v>722</v>
      </c>
      <c r="BY106" s="373" t="s">
        <v>485</v>
      </c>
      <c r="BZ106" s="373" t="s">
        <v>706</v>
      </c>
      <c r="CA106" s="373" t="s">
        <v>486</v>
      </c>
      <c r="CB106" s="373" t="s">
        <v>707</v>
      </c>
      <c r="CC106" s="373" t="s">
        <v>487</v>
      </c>
      <c r="CD106" s="373" t="s">
        <v>488</v>
      </c>
      <c r="CE106" s="373" t="s">
        <v>489</v>
      </c>
      <c r="CF106" s="373" t="s">
        <v>708</v>
      </c>
      <c r="CG106" s="373" t="s">
        <v>490</v>
      </c>
      <c r="CH106" s="372" t="s">
        <v>709</v>
      </c>
      <c r="CI106" s="372" t="s">
        <v>492</v>
      </c>
      <c r="CJ106" s="372" t="s">
        <v>493</v>
      </c>
      <c r="CK106" s="372" t="s">
        <v>494</v>
      </c>
      <c r="CL106" s="372" t="s">
        <v>710</v>
      </c>
      <c r="CM106" s="372" t="s">
        <v>711</v>
      </c>
      <c r="CN106" s="372" t="s">
        <v>712</v>
      </c>
      <c r="CO106" s="372" t="s">
        <v>713</v>
      </c>
      <c r="CP106" s="372" t="s">
        <v>497</v>
      </c>
      <c r="CQ106" s="372" t="s">
        <v>498</v>
      </c>
      <c r="CR106" s="372" t="s">
        <v>723</v>
      </c>
      <c r="CS106" s="372" t="s">
        <v>714</v>
      </c>
      <c r="CT106" s="372" t="s">
        <v>715</v>
      </c>
      <c r="CU106" s="372" t="s">
        <v>716</v>
      </c>
      <c r="CV106" s="372" t="s">
        <v>717</v>
      </c>
      <c r="CW106" s="372" t="s">
        <v>503</v>
      </c>
      <c r="CX106" s="372" t="s">
        <v>499</v>
      </c>
      <c r="CY106" s="372" t="s">
        <v>718</v>
      </c>
      <c r="CZ106" s="372" t="s">
        <v>504</v>
      </c>
      <c r="DA106" s="372" t="s">
        <v>719</v>
      </c>
      <c r="DB106" s="373" t="s">
        <v>724</v>
      </c>
      <c r="DC106" s="373" t="s">
        <v>508</v>
      </c>
      <c r="DD106" s="373" t="s">
        <v>509</v>
      </c>
      <c r="DE106" s="373" t="s">
        <v>725</v>
      </c>
      <c r="DF106" s="373" t="s">
        <v>726</v>
      </c>
      <c r="DG106" s="373" t="s">
        <v>727</v>
      </c>
      <c r="DH106" s="373" t="s">
        <v>511</v>
      </c>
      <c r="DI106" s="373" t="s">
        <v>512</v>
      </c>
      <c r="DJ106" s="373" t="s">
        <v>513</v>
      </c>
      <c r="DK106" s="373" t="s">
        <v>514</v>
      </c>
      <c r="DL106" s="373" t="s">
        <v>760</v>
      </c>
      <c r="DM106" s="373" t="s">
        <v>728</v>
      </c>
      <c r="DN106" s="373" t="s">
        <v>516</v>
      </c>
      <c r="DO106" s="373" t="s">
        <v>729</v>
      </c>
      <c r="DP106" s="373" t="s">
        <v>517</v>
      </c>
      <c r="DQ106" s="373" t="s">
        <v>518</v>
      </c>
      <c r="DR106" s="373" t="s">
        <v>519</v>
      </c>
      <c r="DS106" s="373" t="s">
        <v>520</v>
      </c>
      <c r="DT106" s="373" t="s">
        <v>521</v>
      </c>
      <c r="DU106" s="373" t="s">
        <v>522</v>
      </c>
      <c r="DV106" s="372" t="s">
        <v>524</v>
      </c>
      <c r="DW106" s="372" t="s">
        <v>730</v>
      </c>
      <c r="DX106" s="372" t="s">
        <v>526</v>
      </c>
      <c r="DY106" s="372" t="s">
        <v>527</v>
      </c>
      <c r="DZ106" s="372" t="s">
        <v>731</v>
      </c>
      <c r="EA106" s="372" t="s">
        <v>732</v>
      </c>
      <c r="EB106" s="372" t="s">
        <v>529</v>
      </c>
      <c r="EC106" s="372" t="s">
        <v>530</v>
      </c>
      <c r="ED106" s="372" t="s">
        <v>531</v>
      </c>
      <c r="EE106" s="372" t="s">
        <v>532</v>
      </c>
      <c r="EF106" s="372" t="s">
        <v>761</v>
      </c>
      <c r="EG106" s="372" t="s">
        <v>533</v>
      </c>
      <c r="EH106" s="372" t="s">
        <v>534</v>
      </c>
      <c r="EI106" s="372" t="s">
        <v>535</v>
      </c>
      <c r="EJ106" s="372" t="s">
        <v>536</v>
      </c>
      <c r="EK106" s="372" t="s">
        <v>537</v>
      </c>
      <c r="EL106" s="372" t="s">
        <v>733</v>
      </c>
      <c r="EM106" s="372" t="s">
        <v>539</v>
      </c>
      <c r="EN106" s="372" t="s">
        <v>734</v>
      </c>
      <c r="EO106" s="372" t="s">
        <v>735</v>
      </c>
      <c r="EP106" s="373" t="s">
        <v>542</v>
      </c>
      <c r="EQ106" s="373" t="s">
        <v>543</v>
      </c>
      <c r="ER106" s="373" t="s">
        <v>736</v>
      </c>
      <c r="ES106" s="373" t="s">
        <v>545</v>
      </c>
      <c r="ET106" s="373" t="s">
        <v>546</v>
      </c>
      <c r="EU106" s="373" t="s">
        <v>547</v>
      </c>
      <c r="EV106" s="373" t="s">
        <v>548</v>
      </c>
      <c r="EW106" s="373" t="s">
        <v>549</v>
      </c>
      <c r="EX106" s="373" t="s">
        <v>550</v>
      </c>
      <c r="EY106" s="373" t="s">
        <v>737</v>
      </c>
      <c r="EZ106" s="373" t="s">
        <v>762</v>
      </c>
      <c r="FA106" s="373" t="s">
        <v>551</v>
      </c>
      <c r="FB106" s="373" t="s">
        <v>552</v>
      </c>
      <c r="FC106" s="373" t="s">
        <v>553</v>
      </c>
      <c r="FD106" s="373" t="s">
        <v>738</v>
      </c>
      <c r="FE106" s="373" t="s">
        <v>739</v>
      </c>
      <c r="FF106" s="373" t="s">
        <v>555</v>
      </c>
      <c r="FG106" s="373" t="s">
        <v>556</v>
      </c>
      <c r="FH106" s="373" t="s">
        <v>557</v>
      </c>
      <c r="FI106" s="373" t="s">
        <v>558</v>
      </c>
      <c r="FJ106" s="372" t="s">
        <v>740</v>
      </c>
      <c r="FK106" s="372" t="s">
        <v>562</v>
      </c>
      <c r="FL106" s="372" t="s">
        <v>563</v>
      </c>
      <c r="FM106" s="372" t="s">
        <v>741</v>
      </c>
      <c r="FN106" s="372" t="s">
        <v>564</v>
      </c>
      <c r="FO106" s="372" t="s">
        <v>565</v>
      </c>
      <c r="FP106" s="372" t="s">
        <v>742</v>
      </c>
      <c r="FQ106" s="372" t="s">
        <v>743</v>
      </c>
      <c r="FR106" s="372" t="s">
        <v>567</v>
      </c>
      <c r="FS106" s="372" t="s">
        <v>568</v>
      </c>
      <c r="FT106" s="372" t="s">
        <v>763</v>
      </c>
      <c r="FU106" s="372" t="s">
        <v>569</v>
      </c>
      <c r="FV106" s="372" t="s">
        <v>570</v>
      </c>
      <c r="FW106" s="372" t="s">
        <v>571</v>
      </c>
      <c r="FX106" s="372" t="s">
        <v>572</v>
      </c>
      <c r="FY106" s="372" t="s">
        <v>573</v>
      </c>
      <c r="FZ106" s="372" t="s">
        <v>744</v>
      </c>
      <c r="GA106" s="372" t="s">
        <v>574</v>
      </c>
      <c r="GB106" s="372" t="s">
        <v>745</v>
      </c>
      <c r="GC106" s="372" t="s">
        <v>746</v>
      </c>
      <c r="GD106" s="373" t="s">
        <v>576</v>
      </c>
      <c r="GE106" s="373" t="s">
        <v>577</v>
      </c>
      <c r="GF106" s="373" t="s">
        <v>747</v>
      </c>
      <c r="GG106" s="373" t="s">
        <v>579</v>
      </c>
      <c r="GH106" s="373" t="s">
        <v>580</v>
      </c>
      <c r="GI106" s="373" t="s">
        <v>748</v>
      </c>
      <c r="GJ106" s="373" t="s">
        <v>749</v>
      </c>
      <c r="GK106" s="373" t="s">
        <v>750</v>
      </c>
      <c r="GL106" s="373" t="s">
        <v>583</v>
      </c>
      <c r="GM106" s="373" t="s">
        <v>751</v>
      </c>
      <c r="GN106" s="373" t="s">
        <v>764</v>
      </c>
      <c r="GO106" s="373" t="s">
        <v>752</v>
      </c>
      <c r="GP106" s="373" t="s">
        <v>753</v>
      </c>
      <c r="GQ106" s="373" t="s">
        <v>584</v>
      </c>
      <c r="GR106" s="373" t="s">
        <v>754</v>
      </c>
      <c r="GS106" s="373" t="s">
        <v>755</v>
      </c>
      <c r="GT106" s="373" t="s">
        <v>756</v>
      </c>
      <c r="GU106" s="373" t="s">
        <v>757</v>
      </c>
      <c r="GV106" s="373" t="s">
        <v>758</v>
      </c>
      <c r="GW106" s="383" t="s">
        <v>759</v>
      </c>
      <c r="GX106" s="421" t="s">
        <v>878</v>
      </c>
      <c r="GY106" s="421" t="s">
        <v>879</v>
      </c>
      <c r="GZ106" s="421" t="s">
        <v>880</v>
      </c>
      <c r="HA106" s="420" t="s">
        <v>882</v>
      </c>
      <c r="HB106" s="421" t="s">
        <v>881</v>
      </c>
    </row>
    <row r="107" spans="3:210" ht="15.75" x14ac:dyDescent="0.25">
      <c r="C107" s="437">
        <v>0</v>
      </c>
      <c r="D107" s="374" t="str">
        <f>VLOOKUP(Tabla16[[#This Row],[CÓDIGO DEL PRODUCTO Y/O SERVICIO ]],Tabla3[],2,0)</f>
        <v xml:space="preserve">Seleccionar producto o servicio </v>
      </c>
      <c r="E107" s="72"/>
      <c r="F107" s="72">
        <f>VLOOKUP(Tabla16[[#This Row],[CÓDIGO DEL PRODUCTO Y/O SERVICIO ]],Tabla3[],3)</f>
        <v>0</v>
      </c>
      <c r="G107" s="72">
        <f>Tabla16[[#This Row],[UNIDADES PRODUCIDAS AÑO 1 1]]*F90</f>
        <v>0</v>
      </c>
      <c r="H107" s="112">
        <f>VLOOKUP(Tabla16[[#This Row],[CÓDIGO DEL PRODUCTO Y/O SERVICIO ]],Tabla3[],9)</f>
        <v>0</v>
      </c>
      <c r="I107" s="72">
        <f>Tabla16[[#This Row],[CANTIDADES A UTILIZAR EN EL AÑO 1 1]]*(1+Tabla16[[#This Row],[CAMBIO PORCENTUAL EN UNIDADES VENDIDAS AÑO 2 1]])</f>
        <v>0</v>
      </c>
      <c r="J107" s="112">
        <f>VLOOKUP(Tabla16[[#This Row],[CÓDIGO DEL PRODUCTO Y/O SERVICIO ]],Tabla3[],13)</f>
        <v>0</v>
      </c>
      <c r="K107" s="72">
        <f>Tabla16[[#This Row],[CANTIDADES  A UTILIZAR EN EL AÑO 2 1]]*(1+Tabla16[[#This Row],[CAMBIO PORCENTUAL EN UNIDADES VENDIDAS AÑO 3 1]])</f>
        <v>0</v>
      </c>
      <c r="L107" s="112">
        <f>VLOOKUP(Tabla16[[#This Row],[CÓDIGO DEL PRODUCTO Y/O SERVICIO ]],Tabla3[],17)</f>
        <v>0</v>
      </c>
      <c r="M107" s="72">
        <f>Tabla16[[#This Row],[CANTIDADES A UTILIZAR EN EL AÑO 3 1]]*(1+Tabla16[[#This Row],[CAMBIO PORCENTUAL EN UNIDADES VENDIDAS AÑO 4 1]])</f>
        <v>0</v>
      </c>
      <c r="N107" s="112">
        <f>VLOOKUP(Tabla16[[#This Row],[CÓDIGO DEL PRODUCTO Y/O SERVICIO ]],Tabla3[],21)</f>
        <v>0</v>
      </c>
      <c r="O107" s="72">
        <f>Tabla16[[#This Row],[CANTIDADES A UTILIZAR EN EL AÑO 4 1 ]]*(1+Tabla16[[#This Row],[CAMBIO PORCENTUAL EN UNIDADES VENDIDAS AÑO 5 1]])</f>
        <v>0</v>
      </c>
      <c r="P107" s="345">
        <f>IF(Tabla16[[#This Row],[CANTIDADES A UTILIZAR EN EL AÑO 1 1]]=0,0,Tabla16[[#This Row],[CANTIDADES A UTILIZAR EN EL AÑO 1 1]]*1/Tabla16[[#This Row],[UNIDADES PRODUCIDAS AÑO 1 1]])</f>
        <v>0</v>
      </c>
      <c r="Q107" s="345">
        <f>$C$73*(1+BASES!$E$10)</f>
        <v>0</v>
      </c>
      <c r="R107" s="345">
        <f>Tabla16[[#This Row],[COSTO UNITARIO AÑO 2 1]]*(1+BASES!$F$10)</f>
        <v>0</v>
      </c>
      <c r="S107" s="345">
        <f>Tabla16[[#This Row],[COSTO UNITARIO AÑO 3 1]]*(1+BASES!$G$10)</f>
        <v>0</v>
      </c>
      <c r="T107" s="345">
        <f>Tabla16[[#This Row],[COSTO UNITARIO AÑO 4 1]]*(1+BASES!$H$10)</f>
        <v>0</v>
      </c>
      <c r="U107" s="345">
        <f>Tabla16[[#This Row],[COSTO POR UNIDAD DE PRODUCTO (1)]]*$C$73*VLOOKUP(Tabla16[[#This Row],[CÓDIGO DEL PRODUCTO Y/O SERVICIO ]],Tabla3[],3)</f>
        <v>0</v>
      </c>
      <c r="V107" s="345">
        <f>Tabla16[[#This Row],[COSTO POR UNIDAD DE PRODUCTO (1)]]*Tabla16[[#This Row],[COSTO UNITARIO AÑO 2 1]]*VLOOKUP(Tabla16[[#This Row],[CÓDIGO DEL PRODUCTO Y/O SERVICIO ]],Tabla3[],6)</f>
        <v>0</v>
      </c>
      <c r="W107" s="345">
        <f>Tabla16[[#This Row],[COSTO POR UNIDAD DE PRODUCTO (1)]]*Tabla16[[#This Row],[COSTO UNITARIO AÑO 3 1]]*VLOOKUP(Tabla16[[#This Row],[CÓDIGO DEL PRODUCTO Y/O SERVICIO ]],Tabla3[],10)</f>
        <v>0</v>
      </c>
      <c r="X107" s="345">
        <f>Tabla16[[#This Row],[COSTO POR UNIDAD DE PRODUCTO (1)]]*Tabla16[[#This Row],[COSTO UNITARIO AÑO 4 1]]*VLOOKUP(Tabla16[[#This Row],[CÓDIGO DEL PRODUCTO Y/O SERVICIO ]],Tabla3[],14)</f>
        <v>0</v>
      </c>
      <c r="Y107" s="345">
        <f>Tabla16[[#This Row],[COSTO POR UNIDAD DE PRODUCTO (1)]]*Tabla16[[#This Row],[COSTO UNITARIO AÑO 5 1]]*VLOOKUP(Tabla16[[#This Row],[CÓDIGO DEL PRODUCTO Y/O SERVICIO ]],Tabla3[],18)</f>
        <v>0</v>
      </c>
      <c r="Z107" s="114">
        <f>VLOOKUP(Tabla16[[#This Row],[CÓDIGO DEL PRODUCTO Y/O SERVICIO ]],Tabla3[],3)</f>
        <v>0</v>
      </c>
      <c r="AA107" s="114">
        <f>Tabla16[[#This Row],[UNIDADES PRODUCIDAS AÑO 1 2]]*G90</f>
        <v>0</v>
      </c>
      <c r="AB107" s="112">
        <f>VLOOKUP(Tabla16[[#This Row],[CÓDIGO DEL PRODUCTO Y/O SERVICIO ]],Tabla3[],9)</f>
        <v>0</v>
      </c>
      <c r="AC107" s="114">
        <f>Tabla16[[#This Row],[CANTIDADES A UTILIZAR EN EL AÑO 1 2]]*(1+Tabla16[[#This Row],[CAMBIO PORCENTUAL EN UNIDADES VENDIDAS AÑO 2 2]])</f>
        <v>0</v>
      </c>
      <c r="AD107" s="112">
        <f>VLOOKUP(Tabla16[[#This Row],[CÓDIGO DEL PRODUCTO Y/O SERVICIO ]],Tabla3[],13)</f>
        <v>0</v>
      </c>
      <c r="AE107" s="114">
        <f>Tabla16[[#This Row],[CANTIDADES A UTILIZAR EN EL AÑO 2 2]]*(1+Tabla16[[#This Row],[CAMBIO PORCENTUAL EN UNIDADES VENDIDAS AÑO 3 2 ]])</f>
        <v>0</v>
      </c>
      <c r="AF107" s="112">
        <f>VLOOKUP(Tabla16[[#This Row],[CÓDIGO DEL PRODUCTO Y/O SERVICIO ]],Tabla3[],17)</f>
        <v>0</v>
      </c>
      <c r="AG107" s="114">
        <f>Tabla16[[#This Row],[CANTIDADES A UTILIZAR EN EL AÑO 3 2]]*(1+Tabla16[[#This Row],[CAMBIO PORCENTUAL EN UNIDADES VENDIDAS AÑO 4 2]])</f>
        <v>0</v>
      </c>
      <c r="AH107" s="112">
        <f>VLOOKUP(Tabla16[[#This Row],[CÓDIGO DEL PRODUCTO Y/O SERVICIO ]],Tabla3[],21)</f>
        <v>0</v>
      </c>
      <c r="AI107" s="114">
        <f>Tabla16[[#This Row],[CANTIDADES A UTILIZAR EN EL AÑO 4 2]]*(1+Tabla16[[#This Row],[CAMBIO PORCENTUAL EN UNIDADES VENDIDAS AÑO 5 2]])</f>
        <v>0</v>
      </c>
      <c r="AJ107" s="345">
        <f>IF(Tabla16[[#This Row],[CANTIDADES A UTILIZAR EN EL AÑO 1 2]]=0,0,Tabla16[[#This Row],[CANTIDADES A UTILIZAR EN EL AÑO 1 2]]*1/Tabla16[[#This Row],[UNIDADES PRODUCIDAS AÑO 1 2]])</f>
        <v>0</v>
      </c>
      <c r="AK107" s="345">
        <f>$C$74*(1+BASES!$E$10)</f>
        <v>0</v>
      </c>
      <c r="AL107" s="345">
        <f>Tabla16[[#This Row],[COSTO UNITARIO AÑO 2 2]]*(1+BASES!$F$10)</f>
        <v>0</v>
      </c>
      <c r="AM107" s="345">
        <f>Tabla16[[#This Row],[COSTO UNITARIO AÑO 3 2]]*(1+BASES!$G$10)</f>
        <v>0</v>
      </c>
      <c r="AN107" s="345">
        <f>Tabla16[[#This Row],[COSTO UNITARIO AÑO 4 2]]*(1+BASES!$H$10)</f>
        <v>0</v>
      </c>
      <c r="AO107" s="345">
        <f>Tabla16[[#This Row],[COSTO POR UNIDAD DE PRODUCTO (2) ]]*$C$74*VLOOKUP(Tabla16[[#This Row],[CÓDIGO DEL PRODUCTO Y/O SERVICIO ]],Tabla3[],3)</f>
        <v>0</v>
      </c>
      <c r="AP107" s="345">
        <f>Tabla16[[#This Row],[COSTO POR UNIDAD DE PRODUCTO (2) ]]*Tabla16[[#This Row],[COSTO UNITARIO AÑO 2 2]]*VLOOKUP(Tabla16[[#This Row],[CÓDIGO DEL PRODUCTO Y/O SERVICIO ]],Tabla3[],6)</f>
        <v>0</v>
      </c>
      <c r="AQ107" s="345">
        <f>Tabla16[[#This Row],[COSTO POR UNIDAD DE PRODUCTO (2) ]]*Tabla16[[#This Row],[COSTO UNITARIO AÑO 3 2]]*VLOOKUP(Tabla16[[#This Row],[CÓDIGO DEL PRODUCTO Y/O SERVICIO ]],Tabla3[],10)</f>
        <v>0</v>
      </c>
      <c r="AR107" s="345">
        <f>Tabla16[[#This Row],[COSTO POR UNIDAD DE PRODUCTO (2) ]]*Tabla16[[#This Row],[COSTO UNITARIO AÑO 4 2]]*VLOOKUP(Tabla16[[#This Row],[CÓDIGO DEL PRODUCTO Y/O SERVICIO ]],Tabla3[],14)</f>
        <v>0</v>
      </c>
      <c r="AS107" s="345">
        <f>Tabla16[[#This Row],[COSTO POR UNIDAD DE PRODUCTO (2) ]]*Tabla16[[#This Row],[COSTO UNITARIO AÑO 5 2 ]]*VLOOKUP(Tabla16[[#This Row],[CÓDIGO DEL PRODUCTO Y/O SERVICIO ]],Tabla3[],18)</f>
        <v>0</v>
      </c>
      <c r="AT107" s="114">
        <f>VLOOKUP(Tabla16[[#This Row],[CÓDIGO DEL PRODUCTO Y/O SERVICIO ]],Tabla3[],3)</f>
        <v>0</v>
      </c>
      <c r="AU107" s="114">
        <f>Tabla16[[#This Row],[UNIDADES PRODUCIDAS AÑO 1 3]]*H90</f>
        <v>0</v>
      </c>
      <c r="AV107" s="112">
        <f>VLOOKUP(Tabla16[[#This Row],[CÓDIGO DEL PRODUCTO Y/O SERVICIO ]],Tabla3[],9)</f>
        <v>0</v>
      </c>
      <c r="AW107" s="114">
        <f>Tabla16[[#This Row],[CANTIDADES A UTILIZAR EN EL AÑO 1 3]]*(1+Tabla16[[#This Row],[CAMBIO PORCENTUAL EN UNIDADES VENDIDAS AÑO 2 3]])</f>
        <v>0</v>
      </c>
      <c r="AX107" s="112">
        <f>VLOOKUP(Tabla16[[#This Row],[CÓDIGO DEL PRODUCTO Y/O SERVICIO ]],Tabla3[],13)</f>
        <v>0</v>
      </c>
      <c r="AY107" s="114">
        <f>Tabla16[[#This Row],[CANTIDADES A UTILIZAR EN EL AÑO 2 3]]*(1+Tabla16[[#This Row],[CAMBIO PORCENTUAL EN UNIDADES VENDIDAS AÑO 3 3]])</f>
        <v>0</v>
      </c>
      <c r="AZ107" s="112">
        <f>VLOOKUP(Tabla16[[#This Row],[CÓDIGO DEL PRODUCTO Y/O SERVICIO ]],Tabla3[],17)</f>
        <v>0</v>
      </c>
      <c r="BA107" s="114">
        <f>Tabla16[[#This Row],[CANTIDADES A UTILIZAR EN EL AÑO 3 3]]*(1+Tabla16[[#This Row],[CAMBIO PORCENTUAL EN UNIDADES VENDIDAS AÑO 4 3]])</f>
        <v>0</v>
      </c>
      <c r="BB107" s="112">
        <f>VLOOKUP(Tabla16[[#This Row],[CÓDIGO DEL PRODUCTO Y/O SERVICIO ]],Tabla3[],21)</f>
        <v>0</v>
      </c>
      <c r="BC107" s="114">
        <f>Tabla16[[#This Row],[CANTIDADES A UTILIZAR EN EL AÑO 4 3]]*(1+Tabla16[[#This Row],[CAMBIO PORCENTUAL EN UNIDADES VENDIDAS AÑO 5 3]])</f>
        <v>0</v>
      </c>
      <c r="BD107" s="345">
        <f>IF(Tabla16[[#This Row],[CANTIDADES A UTILIZAR EN EL AÑO 1 3]]=0,0,Tabla16[[#This Row],[CANTIDADES A UTILIZAR EN EL AÑO 1 3]]*1/Tabla16[[#This Row],[UNIDADES PRODUCIDAS AÑO 1 3]])</f>
        <v>0</v>
      </c>
      <c r="BE107" s="345">
        <f>$C$75*(1+BASES!$E$10)</f>
        <v>0</v>
      </c>
      <c r="BF107" s="345">
        <f>Tabla16[[#This Row],[COSTO UNITARIO AÑO 2 3]]*(1+BASES!$F$10)</f>
        <v>0</v>
      </c>
      <c r="BG107" s="345">
        <f>Tabla16[[#This Row],[COSTO UNITARIO AÑO 3 3]]*(1+BASES!$G$10)</f>
        <v>0</v>
      </c>
      <c r="BH107" s="345">
        <f>Tabla16[[#This Row],[COSTO UNITARIO AÑO 4 3]]*(1+BASES!$H$10)</f>
        <v>0</v>
      </c>
      <c r="BI107" s="345">
        <f>Tabla16[[#This Row],[COSTO POR UNIDAD DE PRODUCTO (3) ]]*$C$75*VLOOKUP(Tabla16[[#This Row],[CÓDIGO DEL PRODUCTO Y/O SERVICIO ]],Tabla3[],3)</f>
        <v>0</v>
      </c>
      <c r="BJ107" s="345">
        <f>Tabla16[[#This Row],[COSTO POR UNIDAD DE PRODUCTO (3) ]]*Tabla16[[#This Row],[COSTO UNITARIO AÑO 2 3]]*VLOOKUP(Tabla16[[#This Row],[CÓDIGO DEL PRODUCTO Y/O SERVICIO ]],Tabla3[],6)</f>
        <v>0</v>
      </c>
      <c r="BK107" s="345">
        <f>Tabla16[[#This Row],[COSTO POR UNIDAD DE PRODUCTO (3) ]]*Tabla16[[#This Row],[COSTO UNITARIO AÑO 3 3]]*VLOOKUP(Tabla16[[#This Row],[CÓDIGO DEL PRODUCTO Y/O SERVICIO ]],Tabla3[],10)</f>
        <v>0</v>
      </c>
      <c r="BL107" s="345">
        <f>Tabla16[[#This Row],[COSTO POR UNIDAD DE PRODUCTO (3) ]]*Tabla16[[#This Row],[COSTO UNITARIO AÑO 4 3]]*VLOOKUP(Tabla16[[#This Row],[CÓDIGO DEL PRODUCTO Y/O SERVICIO ]],Tabla3[],14)</f>
        <v>0</v>
      </c>
      <c r="BM107" s="345">
        <f>Tabla16[[#This Row],[COSTO POR UNIDAD DE PRODUCTO (3) ]]*Tabla16[[#This Row],[COSTO UNITARIO AÑO 5 3]]*VLOOKUP(Tabla16[[#This Row],[CÓDIGO DEL PRODUCTO Y/O SERVICIO ]],Tabla3[],18)</f>
        <v>0</v>
      </c>
      <c r="BN107" s="114">
        <f>VLOOKUP(Tabla16[[#This Row],[CÓDIGO DEL PRODUCTO Y/O SERVICIO ]],Tabla3[],3)</f>
        <v>0</v>
      </c>
      <c r="BO107" s="114">
        <f>Tabla16[[#This Row],[UNIDADES PRODUCIDAS AÑO 1 4]]*I90</f>
        <v>0</v>
      </c>
      <c r="BP107" s="112">
        <f>VLOOKUP(Tabla16[[#This Row],[CÓDIGO DEL PRODUCTO Y/O SERVICIO ]],Tabla3[],9)</f>
        <v>0</v>
      </c>
      <c r="BQ107" s="114">
        <f>Tabla16[[#This Row],[CANTIDADES A UTILIZAR EN EL AÑO 1 4]]*(1+Tabla16[[#This Row],[CAMBIO PORCENTUAL EN UNIDADES VENDIDAS AÑO 2 4]])</f>
        <v>0</v>
      </c>
      <c r="BR107" s="112">
        <f>VLOOKUP(Tabla16[[#This Row],[CÓDIGO DEL PRODUCTO Y/O SERVICIO ]],Tabla3[],13)</f>
        <v>0</v>
      </c>
      <c r="BS107" s="114">
        <f>Tabla16[[#This Row],[CANTIDADES A UTILIZAR EN EL AÑO 2 4]]*(1+Tabla16[[#This Row],[CAMBIO PORCENTUAL EN UNIDADES VENDIDAS AÑO 3 4]])</f>
        <v>0</v>
      </c>
      <c r="BT107" s="112">
        <f>VLOOKUP(Tabla16[[#This Row],[CÓDIGO DEL PRODUCTO Y/O SERVICIO ]],Tabla3[],17)</f>
        <v>0</v>
      </c>
      <c r="BU107" s="114">
        <f>Tabla16[[#This Row],[CANTIDADES A UTILIZAR EN EL AÑO 3 4]]*(1+Tabla16[[#This Row],[CAMBIO PORCENTUAL EN UNIDADES VENDIDAS AÑO 4 4]])</f>
        <v>0</v>
      </c>
      <c r="BV107" s="112">
        <f>VLOOKUP(Tabla16[[#This Row],[CÓDIGO DEL PRODUCTO Y/O SERVICIO ]],Tabla3[],21)</f>
        <v>0</v>
      </c>
      <c r="BW107" s="114">
        <f>Tabla16[[#This Row],[CANTIDADES A UTILIZAR EN EL AÑO 4 4]]*(1+Tabla16[[#This Row],[CAMBIO PORCENTUAL EN UNIDADES VENDIDAS AÑO 5 4]])</f>
        <v>0</v>
      </c>
      <c r="BX107" s="345">
        <f>IF(Tabla16[[#This Row],[CANTIDADES A UTILIZAR EN EL AÑO 1 4]]=0,0,Tabla16[[#This Row],[CANTIDADES A UTILIZAR EN EL AÑO 1 4]]*1/Tabla16[[#This Row],[UNIDADES PRODUCIDAS AÑO 1 4]])</f>
        <v>0</v>
      </c>
      <c r="BY107" s="345">
        <f>$C$76*(1+BASES!$E$10)</f>
        <v>0</v>
      </c>
      <c r="BZ107" s="345">
        <f>Tabla16[[#This Row],[COSTO UNITARIO AÑO 2 4]]*(1+BASES!$F$10)</f>
        <v>0</v>
      </c>
      <c r="CA107" s="345">
        <f>Tabla16[[#This Row],[COSTO UNITARIO AÑO 3 4 ]]*(1+BASES!$G$10)</f>
        <v>0</v>
      </c>
      <c r="CB107" s="345">
        <f>Tabla16[[#This Row],[COSTO UNITARIO AÑO 4 4]]*(1+BASES!$H$10)</f>
        <v>0</v>
      </c>
      <c r="CC107" s="345">
        <f>Tabla16[[#This Row],[COSTO POR UNIDAD DE PRODUCTO (4)]]*$C$76*VLOOKUP(Tabla16[[#This Row],[CÓDIGO DEL PRODUCTO Y/O SERVICIO ]],Tabla3[],3)</f>
        <v>0</v>
      </c>
      <c r="CD107" s="345">
        <f>Tabla16[[#This Row],[COSTO POR UNIDAD DE PRODUCTO (4)]]*Tabla16[[#This Row],[COSTO UNITARIO AÑO 2 4]]*VLOOKUP(Tabla16[[#This Row],[CÓDIGO DEL PRODUCTO Y/O SERVICIO ]],Tabla3[],6)</f>
        <v>0</v>
      </c>
      <c r="CE107" s="345">
        <f>Tabla16[[#This Row],[COSTO POR UNIDAD DE PRODUCTO (4)]]*Tabla16[[#This Row],[COSTO UNITARIO AÑO 3 4 ]]*VLOOKUP(Tabla16[[#This Row],[CÓDIGO DEL PRODUCTO Y/O SERVICIO ]],Tabla3[],10)</f>
        <v>0</v>
      </c>
      <c r="CF107" s="345">
        <f>Tabla16[[#This Row],[COSTO POR UNIDAD DE PRODUCTO (4)]]*Tabla16[[#This Row],[COSTO UNITARIO AÑO 4 4]]*VLOOKUP(Tabla16[[#This Row],[CÓDIGO DEL PRODUCTO Y/O SERVICIO ]],Tabla3[],14)</f>
        <v>0</v>
      </c>
      <c r="CG107" s="345">
        <f>Tabla16[[#This Row],[COSTO POR UNIDAD DE PRODUCTO (4)]]*Tabla16[[#This Row],[COSTO UNITARIO AÑO 5 4 ]]*VLOOKUP(Tabla16[[#This Row],[CÓDIGO DEL PRODUCTO Y/O SERVICIO ]],Tabla3[],18)</f>
        <v>0</v>
      </c>
      <c r="CH107" s="114">
        <f>VLOOKUP(Tabla16[[#This Row],[CÓDIGO DEL PRODUCTO Y/O SERVICIO ]],Tabla3[],3)</f>
        <v>0</v>
      </c>
      <c r="CI107" s="114">
        <f>Tabla16[[#This Row],[UNIDADES PRODUCIDAS AÑO 1 5]]*J90</f>
        <v>0</v>
      </c>
      <c r="CJ107" s="112">
        <f>VLOOKUP(Tabla16[[#This Row],[CÓDIGO DEL PRODUCTO Y/O SERVICIO ]],Tabla3[],9)</f>
        <v>0</v>
      </c>
      <c r="CK107" s="114">
        <f>Tabla16[[#This Row],[CANTIDADES A UTILIZAR EN EL AÑO 1 5]]*(1+Tabla16[[#This Row],[CAMBIO PORCENTUAL EN UNIDADES VENDIDAS AÑO 2 5]])</f>
        <v>0</v>
      </c>
      <c r="CL107" s="112">
        <f>VLOOKUP(Tabla16[[#This Row],[CÓDIGO DEL PRODUCTO Y/O SERVICIO ]],Tabla3[],13)</f>
        <v>0</v>
      </c>
      <c r="CM107" s="114">
        <f>Tabla16[[#This Row],[CANTIDADES A UTILIZAR EN EL AÑO 2 5]]*(1+Tabla16[[#This Row],[CAMBIO PORCENTUAL EN UNIDADES VENDIDAS AÑO 3 5]])</f>
        <v>0</v>
      </c>
      <c r="CN107" s="112">
        <f>VLOOKUP(Tabla16[[#This Row],[CÓDIGO DEL PRODUCTO Y/O SERVICIO ]],Tabla3[],17)</f>
        <v>0</v>
      </c>
      <c r="CO107" s="114">
        <f>Tabla16[[#This Row],[CANTIDADES A UTILIZAR EN EL AÑO 3 5 ]]*(1+Tabla16[[#This Row],[CAMBIO PORCENTUAL EN UNIDADES VENDIDAS AÑO 4 5]])</f>
        <v>0</v>
      </c>
      <c r="CP107" s="112">
        <f>VLOOKUP(Tabla16[[#This Row],[CÓDIGO DEL PRODUCTO Y/O SERVICIO ]],Tabla3[],21)</f>
        <v>0</v>
      </c>
      <c r="CQ107" s="114">
        <f>Tabla16[[#This Row],[CANTIDADES A UTILIZAR EN EL AÑO 4 5]]*(1+Tabla16[[#This Row],[CAMBIO PORCENTUAL EN UNIDADES VENDIDAS AÑO 5 5]])</f>
        <v>0</v>
      </c>
      <c r="CR107" s="345">
        <f>IF(Tabla16[[#This Row],[CANTIDADES A UTILIZAR EN EL AÑO 1 5]]=0,0,Tabla16[[#This Row],[CANTIDADES A UTILIZAR EN EL AÑO 1 5]]*1/Tabla16[[#This Row],[UNIDADES PRODUCIDAS AÑO 1 5]])</f>
        <v>0</v>
      </c>
      <c r="CS107" s="345">
        <f>$C$77*(1+BASES!$E$10)</f>
        <v>0</v>
      </c>
      <c r="CT107" s="345">
        <f>Tabla16[[#This Row],[COSTO UNITARIO AÑO 2 5]]*(1+BASES!$F$10)</f>
        <v>0</v>
      </c>
      <c r="CU107" s="345">
        <f>Tabla16[[#This Row],[COSTO UNITARIO AÑO 3 5]]*(1+BASES!$G$10)</f>
        <v>0</v>
      </c>
      <c r="CV107" s="345">
        <f>Tabla16[[#This Row],[COSTO UNITARIO AÑO 4 5]]*(1+BASES!$H$10)</f>
        <v>0</v>
      </c>
      <c r="CW107" s="345">
        <f>Tabla16[[#This Row],[COSTO POR UNIDAD DE PRODUCTO (5) ]]*$C$77*VLOOKUP(Tabla16[[#This Row],[CÓDIGO DEL PRODUCTO Y/O SERVICIO ]],Tabla3[],3)</f>
        <v>0</v>
      </c>
      <c r="CX107" s="345">
        <f>Tabla16[[#This Row],[COSTO POR UNIDAD DE PRODUCTO (5) ]]*Tabla16[[#This Row],[COSTO UNITARIO AÑO 2 5]]*VLOOKUP(Tabla16[[#This Row],[CÓDIGO DEL PRODUCTO Y/O SERVICIO ]],Tabla3[],6)</f>
        <v>0</v>
      </c>
      <c r="CY107" s="345">
        <f>Tabla16[[#This Row],[COSTO POR UNIDAD DE PRODUCTO (5) ]]*Tabla16[[#This Row],[COSTO UNITARIO AÑO 3 5]]*VLOOKUP(Tabla16[[#This Row],[CÓDIGO DEL PRODUCTO Y/O SERVICIO ]],Tabla3[],10)</f>
        <v>0</v>
      </c>
      <c r="CZ107" s="345">
        <f>Tabla16[[#This Row],[COSTO POR UNIDAD DE PRODUCTO (5) ]]*Tabla16[[#This Row],[COSTO UNITARIO AÑO 4 5]]*VLOOKUP(Tabla16[[#This Row],[CÓDIGO DEL PRODUCTO Y/O SERVICIO ]],Tabla3[],14)</f>
        <v>0</v>
      </c>
      <c r="DA107" s="345">
        <f>Tabla16[[#This Row],[COSTO POR UNIDAD DE PRODUCTO (5) ]]*Tabla16[[#This Row],[COSTO UNITARIO AÑO 5 5]]*VLOOKUP(Tabla16[[#This Row],[CÓDIGO DEL PRODUCTO Y/O SERVICIO ]],Tabla3[],18)</f>
        <v>0</v>
      </c>
      <c r="DB107" s="114">
        <f>VLOOKUP(Tabla16[[#This Row],[CÓDIGO DEL PRODUCTO Y/O SERVICIO ]],Tabla3[],3)</f>
        <v>0</v>
      </c>
      <c r="DC107" s="114">
        <f>Tabla16[[#This Row],[UNIDADES PRODUCIDAS AÑO 1 6]]*K90</f>
        <v>0</v>
      </c>
      <c r="DD107" s="112">
        <f>VLOOKUP(Tabla16[[#This Row],[CÓDIGO DEL PRODUCTO Y/O SERVICIO ]],Tabla3[],9)</f>
        <v>0</v>
      </c>
      <c r="DE107" s="114">
        <f>Tabla16[[#This Row],[CANTIDADES A UTILIZAR EN EL AÑO 1 6]]*(1+Tabla16[[#This Row],[CAMBIO PORCENTUAL EN UNIDADES VENDIDAS AÑO 2 6]])</f>
        <v>0</v>
      </c>
      <c r="DF107" s="112">
        <f>VLOOKUP(Tabla16[[#This Row],[CÓDIGO DEL PRODUCTO Y/O SERVICIO ]],Tabla3[],13)</f>
        <v>0</v>
      </c>
      <c r="DG107" s="114">
        <f>Tabla16[[#This Row],[CANTIDADES A UTILIZAR EN EL AÑO 2 6]]*(1+Tabla16[[#This Row],[CAMBIO PORCENTUAL EN UNIDADES VENDIDAS AÑO 3 6]])</f>
        <v>0</v>
      </c>
      <c r="DH107" s="112">
        <f>VLOOKUP(Tabla16[[#This Row],[CÓDIGO DEL PRODUCTO Y/O SERVICIO ]],Tabla3[],17)</f>
        <v>0</v>
      </c>
      <c r="DI107" s="114">
        <f>Tabla16[[#This Row],[CANTIDADES A UTILIZAR EN EL AÑO 3 6]]*(1+Tabla16[[#This Row],[CAMBIO PORCENTUAL EN UNIDADES VENDIDAS AÑO 4 6]])</f>
        <v>0</v>
      </c>
      <c r="DJ107" s="112">
        <f>VLOOKUP(Tabla16[[#This Row],[CÓDIGO DEL PRODUCTO Y/O SERVICIO ]],Tabla3[],21)</f>
        <v>0</v>
      </c>
      <c r="DK107" s="114">
        <f>Tabla16[[#This Row],[CANTIDADES A UTILIZAR EN EL AÑO 4 6]]*(1+Tabla16[[#This Row],[CAMBIO PORCENTUAL EN UNIDADES VENDIDAS AÑO 5 6]])</f>
        <v>0</v>
      </c>
      <c r="DL107" s="345">
        <f>IF(Tabla16[[#This Row],[CANTIDADES A UTILIZAR EN EL AÑO 1 6]]=0,0,Tabla16[[#This Row],[CANTIDADES A UTILIZAR EN EL AÑO 1 6]]*1/Tabla16[[#This Row],[UNIDADES PRODUCIDAS AÑO 1 6]])</f>
        <v>0</v>
      </c>
      <c r="DM107" s="345">
        <f>$C$78*(1+BASES!$E$10)</f>
        <v>0</v>
      </c>
      <c r="DN107" s="345">
        <f>Tabla16[[#This Row],[COSTO UNITARIO AÑO 2 6]]*(1+BASES!$F$10)</f>
        <v>0</v>
      </c>
      <c r="DO107" s="345">
        <f>Tabla16[[#This Row],[COSTO UNITARIO AÑO 3 6]]*(1+BASES!$G$10)</f>
        <v>0</v>
      </c>
      <c r="DP107" s="345">
        <f>Tabla16[[#This Row],[COSTO UNITARIO AÑO 4 6]]*(1+BASES!$H$10)</f>
        <v>0</v>
      </c>
      <c r="DQ107" s="345">
        <f>Tabla16[[#This Row],[COSTO POR UNIDAD DE PRODUCTO (6) ]]*$C$78*VLOOKUP(Tabla16[[#This Row],[CÓDIGO DEL PRODUCTO Y/O SERVICIO ]],Tabla3[],3)</f>
        <v>0</v>
      </c>
      <c r="DR107" s="345">
        <f>Tabla16[[#This Row],[COSTO POR UNIDAD DE PRODUCTO (6) ]]*Tabla16[[#This Row],[COSTO UNITARIO AÑO 2 6]]*VLOOKUP(Tabla16[[#This Row],[CÓDIGO DEL PRODUCTO Y/O SERVICIO ]],Tabla3[],6)</f>
        <v>0</v>
      </c>
      <c r="DS107" s="345">
        <f>Tabla16[[#This Row],[COSTO POR UNIDAD DE PRODUCTO (6) ]]*Tabla16[[#This Row],[COSTO UNITARIO AÑO 3 6]]*VLOOKUP(Tabla16[[#This Row],[CÓDIGO DEL PRODUCTO Y/O SERVICIO ]],Tabla3[],10)</f>
        <v>0</v>
      </c>
      <c r="DT107" s="345">
        <f>Tabla16[[#This Row],[COSTO POR UNIDAD DE PRODUCTO (6) ]]*Tabla16[[#This Row],[COSTO UNITARIO AÑO 4 6]]*VLOOKUP(Tabla16[[#This Row],[CÓDIGO DEL PRODUCTO Y/O SERVICIO ]],Tabla3[],14)</f>
        <v>0</v>
      </c>
      <c r="DU107" s="345">
        <f>Tabla16[[#This Row],[COSTO POR UNIDAD DE PRODUCTO (6) ]]*Tabla16[[#This Row],[COSTO UNITARIO AÑO 5 6]]*VLOOKUP(Tabla16[[#This Row],[CÓDIGO DEL PRODUCTO Y/O SERVICIO ]],Tabla3[],18)</f>
        <v>0</v>
      </c>
      <c r="DV107" s="114">
        <f>VLOOKUP(Tabla16[[#This Row],[CÓDIGO DEL PRODUCTO Y/O SERVICIO ]],Tabla3[],3)</f>
        <v>0</v>
      </c>
      <c r="DW107" s="114">
        <f>Tabla16[[#This Row],[UNIDADES PRODUCIDAS AÑO 1 7]]*L90</f>
        <v>0</v>
      </c>
      <c r="DX107" s="112">
        <f>VLOOKUP(Tabla16[[#This Row],[CÓDIGO DEL PRODUCTO Y/O SERVICIO ]],Tabla3[],9)</f>
        <v>0</v>
      </c>
      <c r="DY107" s="114">
        <f>Tabla16[[#This Row],[CANTIDADES A UTILIZAR EN EL AÑO 1 7]]*(1+Tabla16[[#This Row],[CAMBIO PORCENTUAL EN UNIDADES VENDIDAS AÑO 2 7]])</f>
        <v>0</v>
      </c>
      <c r="DZ107" s="112">
        <f>VLOOKUP(Tabla16[[#This Row],[CÓDIGO DEL PRODUCTO Y/O SERVICIO ]],Tabla3[],13)</f>
        <v>0</v>
      </c>
      <c r="EA107" s="114">
        <f>Tabla16[[#This Row],[CANTIDADES A UTILIZAR EN EL AÑO 2 7]]*(1+Tabla16[[#This Row],[CAMBIO PORCENTUAL EN UNIDADES VENDIDAS AÑO 3 7]])</f>
        <v>0</v>
      </c>
      <c r="EB107" s="112">
        <f>VLOOKUP(Tabla16[[#This Row],[CÓDIGO DEL PRODUCTO Y/O SERVICIO ]],Tabla3[],17)</f>
        <v>0</v>
      </c>
      <c r="EC107" s="114">
        <f>Tabla16[[#This Row],[CANTIDADES A UTILIZAR EN EL AÑO 3 7]]*(1+Tabla16[[#This Row],[CAMBIO PORCENTUAL EN UNIDADES VENDIDAS AÑO 4 7]])</f>
        <v>0</v>
      </c>
      <c r="ED107" s="112">
        <f>VLOOKUP(Tabla16[[#This Row],[CÓDIGO DEL PRODUCTO Y/O SERVICIO ]],Tabla3[],21)</f>
        <v>0</v>
      </c>
      <c r="EE107" s="114">
        <f>Tabla16[[#This Row],[CANTIDADES A UTILIZAR EN EL AÑO 4 7]]*(1+Tabla16[[#This Row],[CAMBIO PORCENTUAL EN UNIDADES VENDIDAS AÑO 5 7]])</f>
        <v>0</v>
      </c>
      <c r="EF107" s="345">
        <f>IF(Tabla16[[#This Row],[CANTIDADES A UTILIZAR EN EL AÑO 1 7]]=0,0,Tabla16[[#This Row],[CANTIDADES A UTILIZAR EN EL AÑO 1 7]]*1/Tabla16[[#This Row],[UNIDADES PRODUCIDAS AÑO 1 7]])</f>
        <v>0</v>
      </c>
      <c r="EG107" s="345">
        <f>$C$79*(1+BASES!$E$10)</f>
        <v>0</v>
      </c>
      <c r="EH107" s="345">
        <f>Tabla16[[#This Row],[COSTO UNITARIO AÑO 2 7]]*(1+BASES!$F$10)</f>
        <v>0</v>
      </c>
      <c r="EI107" s="345">
        <f>Tabla16[[#This Row],[COSTO UNITARIO AÑO 3 7]]*(1+BASES!$G$10)</f>
        <v>0</v>
      </c>
      <c r="EJ107" s="345">
        <f>Tabla16[[#This Row],[COSTO UNITARIO AÑO 4 7]]*(1+BASES!$H$10)</f>
        <v>0</v>
      </c>
      <c r="EK107" s="345">
        <f>Tabla16[[#This Row],[COSTO POR UNIDAD DE PRODUCTO (7) ]]*$C$79*VLOOKUP(Tabla16[[#This Row],[CÓDIGO DEL PRODUCTO Y/O SERVICIO ]],Tabla3[],3)</f>
        <v>0</v>
      </c>
      <c r="EL107" s="345">
        <f>Tabla16[[#This Row],[COSTO POR UNIDAD DE PRODUCTO (7) ]]*Tabla16[[#This Row],[COSTO UNITARIO AÑO 2 7]]*VLOOKUP(Tabla16[[#This Row],[CÓDIGO DEL PRODUCTO Y/O SERVICIO ]],Tabla3[],6)</f>
        <v>0</v>
      </c>
      <c r="EM107" s="345">
        <f>Tabla16[[#This Row],[COSTO POR UNIDAD DE PRODUCTO (7) ]]*Tabla16[[#This Row],[COSTO UNITARIO AÑO 3 7]]*VLOOKUP(Tabla16[[#This Row],[CÓDIGO DEL PRODUCTO Y/O SERVICIO ]],Tabla3[],10)</f>
        <v>0</v>
      </c>
      <c r="EN107" s="345">
        <f>Tabla16[[#This Row],[COSTO POR UNIDAD DE PRODUCTO (7) ]]*Tabla16[[#This Row],[COSTO UNITARIO AÑO 4 7]]*VLOOKUP(Tabla16[[#This Row],[CÓDIGO DEL PRODUCTO Y/O SERVICIO ]],Tabla3[],14)</f>
        <v>0</v>
      </c>
      <c r="EO107" s="345">
        <f>Tabla16[[#This Row],[COSTO POR UNIDAD DE PRODUCTO (7) ]]*Tabla16[[#This Row],[COSTO UNITARIO AÑO 5 7]]*VLOOKUP(Tabla16[[#This Row],[CÓDIGO DEL PRODUCTO Y/O SERVICIO ]],Tabla3[],18)</f>
        <v>0</v>
      </c>
      <c r="EP107" s="114">
        <f>VLOOKUP(Tabla16[[#This Row],[CÓDIGO DEL PRODUCTO Y/O SERVICIO ]],Tabla3[],3)</f>
        <v>0</v>
      </c>
      <c r="EQ107" s="114">
        <f>Tabla16[[#This Row],[UNIDADES PRODUCIDAS AÑO 1 8]]*M90</f>
        <v>0</v>
      </c>
      <c r="ER107" s="112">
        <f>VLOOKUP(Tabla16[[#This Row],[CÓDIGO DEL PRODUCTO Y/O SERVICIO ]],Tabla3[],9)</f>
        <v>0</v>
      </c>
      <c r="ES107" s="114">
        <f>Tabla16[[#This Row],[CANTIDADES A UTILIZAR EN EL AÑO 1 8]]*(1+Tabla16[[#This Row],[CAMBIO PORCENTUAL EN UNIDADES VENDIDAS AÑO 2 8]])</f>
        <v>0</v>
      </c>
      <c r="ET107" s="112">
        <f>VLOOKUP(Tabla16[[#This Row],[CÓDIGO DEL PRODUCTO Y/O SERVICIO ]],Tabla3[],13)</f>
        <v>0</v>
      </c>
      <c r="EU107" s="114">
        <f>Tabla16[[#This Row],[CANTIDADES A UTILIZAR EN EL AÑO 2 8]]*(1+Tabla16[[#This Row],[CAMBIO PORCENTUAL EN UNIDADES VENDIDAS AÑO 3 8]])</f>
        <v>0</v>
      </c>
      <c r="EV107" s="112">
        <f>VLOOKUP(Tabla16[[#This Row],[CÓDIGO DEL PRODUCTO Y/O SERVICIO ]],Tabla3[],17)</f>
        <v>0</v>
      </c>
      <c r="EW107" s="114">
        <f>Tabla16[[#This Row],[CANTIDADES A UTILIZAR EN EL AÑO 3 8]]*(1+Tabla16[[#This Row],[CAMBIO PORCENTUAL EN UNIDADES VENDIDAS AÑO 4 8]])</f>
        <v>0</v>
      </c>
      <c r="EX107" s="112">
        <f>VLOOKUP(Tabla16[[#This Row],[CÓDIGO DEL PRODUCTO Y/O SERVICIO ]],Tabla3[],21)</f>
        <v>0</v>
      </c>
      <c r="EY107" s="114">
        <f>Tabla16[[#This Row],[CANTIDADES A UTILIZAR EN EL AÑO 4 8]]*(1+Tabla16[[#This Row],[CAMBIO PORCENTUAL EN UNIDADES VENDIDAS AÑO 5 8]])</f>
        <v>0</v>
      </c>
      <c r="EZ107" s="345">
        <f>IF(Tabla16[[#This Row],[CANTIDADES A UTILIZAR EN EL AÑO 1 8]]=0,0,Tabla16[[#This Row],[CANTIDADES A UTILIZAR EN EL AÑO 1 8]]*1/Tabla16[[#This Row],[UNIDADES PRODUCIDAS AÑO 1 8]])</f>
        <v>0</v>
      </c>
      <c r="FA107" s="345">
        <f>$C$80*(1+BASES!$E$10)</f>
        <v>0</v>
      </c>
      <c r="FB107" s="345">
        <f>Tabla16[[#This Row],[COSTO UNITARIO AÑO 2 8]]*(1+BASES!$F$10)</f>
        <v>0</v>
      </c>
      <c r="FC107" s="345">
        <f>Tabla16[[#This Row],[COSTO UNITARIO AÑO 3 8]]*(1+BASES!$G$10)</f>
        <v>0</v>
      </c>
      <c r="FD107" s="345">
        <f>Tabla16[[#This Row],[COSTO UNITARIO AÑO 4 8]]*(1+BASES!$H$10)</f>
        <v>0</v>
      </c>
      <c r="FE107" s="345">
        <f>Tabla16[[#This Row],[COSTO POR UNIDAD DE PRODUCTO (8) ]]*$C$80*VLOOKUP(Tabla16[[#This Row],[CÓDIGO DEL PRODUCTO Y/O SERVICIO ]],Tabla3[],3)</f>
        <v>0</v>
      </c>
      <c r="FF107" s="345">
        <f>Tabla16[[#This Row],[COSTO POR UNIDAD DE PRODUCTO (8) ]]*Tabla16[[#This Row],[COSTO UNITARIO AÑO 2 8]]*VLOOKUP(Tabla16[[#This Row],[CÓDIGO DEL PRODUCTO Y/O SERVICIO ]],Tabla3[],6)</f>
        <v>0</v>
      </c>
      <c r="FG107" s="345">
        <f>Tabla16[[#This Row],[COSTO POR UNIDAD DE PRODUCTO (8) ]]*Tabla16[[#This Row],[COSTO UNITARIO AÑO 3 8]]*VLOOKUP(Tabla16[[#This Row],[CÓDIGO DEL PRODUCTO Y/O SERVICIO ]],Tabla3[],10)</f>
        <v>0</v>
      </c>
      <c r="FH107" s="345">
        <f>Tabla16[[#This Row],[COSTO POR UNIDAD DE PRODUCTO (8) ]]*Tabla16[[#This Row],[COSTO UNITARIO AÑO 4 8]]*VLOOKUP(Tabla16[[#This Row],[CÓDIGO DEL PRODUCTO Y/O SERVICIO ]],Tabla3[],14)</f>
        <v>0</v>
      </c>
      <c r="FI107" s="345">
        <f>Tabla16[[#This Row],[COSTO POR UNIDAD DE PRODUCTO (8) ]]*Tabla16[[#This Row],[COSTO UNITARIO AÑO 5 8]]*VLOOKUP(Tabla16[[#This Row],[CÓDIGO DEL PRODUCTO Y/O SERVICIO ]],Tabla3[],18)</f>
        <v>0</v>
      </c>
      <c r="FJ107" s="114">
        <f>VLOOKUP(Tabla16[[#This Row],[CÓDIGO DEL PRODUCTO Y/O SERVICIO ]],Tabla3[],3)</f>
        <v>0</v>
      </c>
      <c r="FK107" s="114">
        <f>Tabla16[[#This Row],[UNIDADES PRODUCIDAS AÑO 1 9]]*N90</f>
        <v>0</v>
      </c>
      <c r="FL107" s="112">
        <f>VLOOKUP(Tabla16[[#This Row],[CÓDIGO DEL PRODUCTO Y/O SERVICIO ]],Tabla3[],9)</f>
        <v>0</v>
      </c>
      <c r="FM107" s="114">
        <f>Tabla16[[#This Row],[CANTIDADES A UTILIZAR EN EL AÑO 1 9]]*(1+Tabla16[[#This Row],[CAMBIO PORCENTUAL EN UNIDADES VENDIDAS AÑO 2 9]])</f>
        <v>0</v>
      </c>
      <c r="FN107" s="112">
        <f>VLOOKUP(Tabla16[[#This Row],[CÓDIGO DEL PRODUCTO Y/O SERVICIO ]],Tabla3[],13)</f>
        <v>0</v>
      </c>
      <c r="FO107" s="114">
        <f>Tabla16[[#This Row],[CANTIDADES A UTILIZAR EN EL AÑO 2 9]]*(1+Tabla16[[#This Row],[CAMBIO PORCENTUAL EN UNIDADES VENDIDAS AÑO 3 9]])</f>
        <v>0</v>
      </c>
      <c r="FP107" s="112">
        <f>VLOOKUP(Tabla16[[#This Row],[CÓDIGO DEL PRODUCTO Y/O SERVICIO ]],Tabla3[],17)</f>
        <v>0</v>
      </c>
      <c r="FQ107" s="114">
        <f>Tabla16[[#This Row],[CANTIDADES A UTILIZAR EN EL AÑO 3 9]]*(1+Tabla16[[#This Row],[CAMBIO PORCENTUAL EN UNIDADES VENDIDAS AÑO 4 9]])</f>
        <v>0</v>
      </c>
      <c r="FR107" s="112">
        <f>VLOOKUP(Tabla16[[#This Row],[CÓDIGO DEL PRODUCTO Y/O SERVICIO ]],Tabla3[],21)</f>
        <v>0</v>
      </c>
      <c r="FS107" s="114">
        <f>Tabla16[[#This Row],[CANTIDADES A UTILIZAR EN EL AÑO 4 9]]*(1+Tabla16[[#This Row],[CAMBIO PORCENTUAL EN UNIDADES VENDIDAS AÑO 5 9]])</f>
        <v>0</v>
      </c>
      <c r="FT107" s="345">
        <f>IF(Tabla16[[#This Row],[CANTIDADES A UTILIZAR EN EL AÑO 1 9]]=0,0,Tabla16[[#This Row],[CANTIDADES A UTILIZAR EN EL AÑO 1 9]]*1/Tabla16[[#This Row],[UNIDADES PRODUCIDAS AÑO 1 9]])</f>
        <v>0</v>
      </c>
      <c r="FU107" s="345">
        <f>$C$81*(1+BASES!$E$10)</f>
        <v>0</v>
      </c>
      <c r="FV107" s="345">
        <f>Tabla16[[#This Row],[COSTO UNITARIO AÑO 2 9]]*(1+BASES!$F$10)</f>
        <v>0</v>
      </c>
      <c r="FW107" s="345">
        <f>Tabla16[[#This Row],[COSTO UNITARIO AÑO 3 9]]*(1+BASES!$G$10)</f>
        <v>0</v>
      </c>
      <c r="FX107" s="345">
        <f>Tabla16[[#This Row],[COSTO UNITARIO AÑO 4 9]]*(1+BASES!$H$10)</f>
        <v>0</v>
      </c>
      <c r="FY107" s="345">
        <f>Tabla16[[#This Row],[COSTO POR UNIDAD DE PRODUCTO (9) ]]*$C$81*VLOOKUP(Tabla16[[#This Row],[CÓDIGO DEL PRODUCTO Y/O SERVICIO ]],Tabla3[],3)</f>
        <v>0</v>
      </c>
      <c r="FZ107" s="345">
        <f>Tabla16[[#This Row],[COSTO POR UNIDAD DE PRODUCTO (9) ]]*Tabla16[[#This Row],[COSTO UNITARIO AÑO 2 9]]*VLOOKUP(Tabla16[[#This Row],[CÓDIGO DEL PRODUCTO Y/O SERVICIO ]],Tabla3[],6)</f>
        <v>0</v>
      </c>
      <c r="GA107" s="345">
        <f>Tabla16[[#This Row],[COSTO POR UNIDAD DE PRODUCTO (9) ]]*Tabla16[[#This Row],[COSTO UNITARIO AÑO 3 9]]*VLOOKUP(Tabla16[[#This Row],[CÓDIGO DEL PRODUCTO Y/O SERVICIO ]],Tabla3[],10)</f>
        <v>0</v>
      </c>
      <c r="GB107" s="345">
        <f>Tabla16[[#This Row],[COSTO POR UNIDAD DE PRODUCTO (9) ]]*Tabla16[[#This Row],[COSTO UNITARIO AÑO 4 9]]*VLOOKUP(Tabla16[[#This Row],[CÓDIGO DEL PRODUCTO Y/O SERVICIO ]],Tabla3[],14)</f>
        <v>0</v>
      </c>
      <c r="GC107" s="345">
        <f>Tabla16[[#This Row],[COSTO POR UNIDAD DE PRODUCTO (9) ]]*Tabla16[[#This Row],[COSTO UNITARIO AÑO 5 9]]*VLOOKUP(Tabla16[[#This Row],[CÓDIGO DEL PRODUCTO Y/O SERVICIO ]],Tabla3[],18)</f>
        <v>0</v>
      </c>
      <c r="GD107" s="114">
        <f>VLOOKUP(Tabla16[[#This Row],[CÓDIGO DEL PRODUCTO Y/O SERVICIO ]],Tabla3[],3)</f>
        <v>0</v>
      </c>
      <c r="GE107" s="114">
        <f>Tabla16[[#This Row],[UNIDADES PRODUCIDAS AÑO 1 10]]*O90</f>
        <v>0</v>
      </c>
      <c r="GF107" s="112">
        <f>VLOOKUP(Tabla16[[#This Row],[CÓDIGO DEL PRODUCTO Y/O SERVICIO ]],Tabla3[],9)</f>
        <v>0</v>
      </c>
      <c r="GG107" s="114">
        <f>Tabla16[[#This Row],[CANTIDADES A UTILIZAR EN EL AÑO 1 10]]*(1+Tabla16[[#This Row],[CAMBIO PORCENTUAL EN UNIDADES VENDIDAS AÑO 2 10]])</f>
        <v>0</v>
      </c>
      <c r="GH107" s="112">
        <f>VLOOKUP(Tabla16[[#This Row],[CÓDIGO DEL PRODUCTO Y/O SERVICIO ]],Tabla3[],13)</f>
        <v>0</v>
      </c>
      <c r="GI107" s="114">
        <f>Tabla16[[#This Row],[CANTIDADES A UTILIZAR EN EL AÑO 2 10]]*(1+Tabla16[[#This Row],[CAMBIO PORCENTUAL EN UNIDADES VENDIDAS AÑO 3 10]])</f>
        <v>0</v>
      </c>
      <c r="GJ107" s="112">
        <f>VLOOKUP(Tabla16[[#This Row],[CÓDIGO DEL PRODUCTO Y/O SERVICIO ]],Tabla3[],17)</f>
        <v>0</v>
      </c>
      <c r="GK107" s="114">
        <f>Tabla16[[#This Row],[CANTIDADES A UTILIZAR EN EL AÑO 3 10]]*(1+Tabla16[[#This Row],[CAMBIO PORCENTUAL EN UNIDADES VENDIDAS AÑO 4 10 ]])</f>
        <v>0</v>
      </c>
      <c r="GL107" s="112">
        <f>VLOOKUP(Tabla16[[#This Row],[CÓDIGO DEL PRODUCTO Y/O SERVICIO ]],Tabla3[],21)</f>
        <v>0</v>
      </c>
      <c r="GM107" s="114">
        <f>Tabla16[[#This Row],[CANTIDADES A UTILIZAR EN EL AÑO 4 10]]*(1+Tabla16[[#This Row],[CAMBIO PORCENTUAL EN UNIDADES VENDIDAS AÑO 5 10]])</f>
        <v>0</v>
      </c>
      <c r="GN107" s="345">
        <f>IF(Tabla16[[#This Row],[CANTIDADES A UTILIZAR EN EL AÑO 1 10]]=0,0,Tabla16[[#This Row],[CANTIDADES A UTILIZAR EN EL AÑO 1 10]]*1/Tabla16[[#This Row],[UNIDADES PRODUCIDAS AÑO 1 10]])</f>
        <v>0</v>
      </c>
      <c r="GO107" s="345">
        <f>$C$82*(1+BASES!$E$10)</f>
        <v>0</v>
      </c>
      <c r="GP107" s="345">
        <f>Tabla16[[#This Row],[COSTO UNITARIO AÑO 2 10]]*(1+BASES!$F$10)</f>
        <v>0</v>
      </c>
      <c r="GQ107" s="345">
        <f>Tabla16[[#This Row],[COSTO UNITARIO AÑO 3 10]]*(1+BASES!$G$10)</f>
        <v>0</v>
      </c>
      <c r="GR107" s="345">
        <f>Tabla16[[#This Row],[COSTO UNITARIO AÑO 4 10]]*(1+BASES!$H$10)</f>
        <v>0</v>
      </c>
      <c r="GS107" s="345">
        <f>Tabla16[[#This Row],[COSTO POR UNIDAD DE PRODUCTO (10) ]]*C82*VLOOKUP(Tabla16[[#This Row],[CÓDIGO DEL PRODUCTO Y/O SERVICIO ]],Tabla3[],3)</f>
        <v>0</v>
      </c>
      <c r="GT107" s="345">
        <f>Tabla16[[#This Row],[COSTO POR UNIDAD DE PRODUCTO (10) ]]*Tabla16[[#This Row],[COSTO UNITARIO AÑO 2 10]]*VLOOKUP(Tabla16[[#This Row],[CÓDIGO DEL PRODUCTO Y/O SERVICIO ]],Tabla3[],6)</f>
        <v>0</v>
      </c>
      <c r="GU107" s="345">
        <f>Tabla16[[#This Row],[COSTO POR UNIDAD DE PRODUCTO (10) ]]*Tabla16[[#This Row],[COSTO UNITARIO AÑO 3 10]]*VLOOKUP(Tabla16[[#This Row],[CÓDIGO DEL PRODUCTO Y/O SERVICIO ]],Tabla3[],10)</f>
        <v>0</v>
      </c>
      <c r="GV107" s="345">
        <f>Tabla16[[#This Row],[COSTO POR UNIDAD DE PRODUCTO (10) ]]*Tabla16[[#This Row],[COSTO UNITARIO AÑO 4 10]]*VLOOKUP(Tabla16[[#This Row],[CÓDIGO DEL PRODUCTO Y/O SERVICIO ]],Tabla3[],14)</f>
        <v>0</v>
      </c>
      <c r="GW107" s="345">
        <f>Tabla16[[#This Row],[COSTO POR UNIDAD DE PRODUCTO (10) ]]*Tabla16[[#This Row],[COSTO UNITARIO AÑO 5 10]]*VLOOKUP(Tabla16[[#This Row],[CÓDIGO DEL PRODUCTO Y/O SERVICIO ]],Tabla3[],18)</f>
        <v>0</v>
      </c>
      <c r="GX107" s="382">
        <f>Tabla16[[#This Row],[AÑO 1 10]]+Tabla16[[#This Row],[AÑO 1 9]]+Tabla16[[#This Row],[AÑO 1 8]]+Tabla16[[#This Row],[AÑO 1 7]]+Tabla16[[#This Row],[AÑO 1 6]]+Tabla16[[#This Row],[AÑO 1 5]]+Tabla16[[#This Row],[AÑO 1 4]]+Tabla16[[#This Row],[AÑO 1 3]]+Tabla16[[#This Row],[AÑO 1 2]]+Tabla16[[#This Row],[AÑO 1 1]]</f>
        <v>0</v>
      </c>
      <c r="GY107" s="382">
        <f>Tabla16[[#This Row],[AÑO 2 10]]+Tabla16[[#This Row],[AÑO 2 9]]+Tabla16[[#This Row],[AÑO 2 8]]+Tabla16[[#This Row],[AÑO 2 7]]+Tabla16[[#This Row],[AÑO 2 6]]+Tabla16[[#This Row],[AÑO 2 5]]+Tabla16[[#This Row],[AÑO 2 4]]+Tabla16[[#This Row],[AÑO 2 3]]+Tabla16[[#This Row],[AÑO 2 2]]+Tabla16[[#This Row],[AÑO 2 1]]</f>
        <v>0</v>
      </c>
      <c r="GZ107" s="382">
        <f>Tabla16[[#This Row],[AÑO 3 10]]+Tabla16[[#This Row],[AÑO 3 9]]+Tabla16[[#This Row],[AÑO 3 8]]+Tabla16[[#This Row],[AÑO 3 7]]+Tabla16[[#This Row],[AÑO 3 6]]+Tabla16[[#This Row],[AÑO 3 5]]+Tabla16[[#This Row],[AÑO 3 4]]+Tabla16[[#This Row],[AÑO 3 3]]+Tabla16[[#This Row],[AÑO 3 2]]+Tabla16[[#This Row],[AÑO 3 1]]</f>
        <v>0</v>
      </c>
      <c r="HA107" s="382">
        <f>Tabla16[[#This Row],[AÑO 4 10]]+Tabla16[[#This Row],[AÑO 4 9]]+Tabla16[[#This Row],[AÑO 4 8]]+Tabla16[[#This Row],[AÑO 4 7]]+Tabla16[[#This Row],[AÑO 4 6]]+Tabla16[[#This Row],[AÑO 4 5]]+Tabla16[[#This Row],[AÑO 4 4 ]]+Tabla16[[#This Row],[AÑO 4 3]]+Tabla16[[#This Row],[AÑO 4 2]]+Tabla16[[#This Row],[AÑO 4 1]]</f>
        <v>0</v>
      </c>
      <c r="HB107" s="382">
        <f>Tabla16[[#This Row],[AÑO 5 10]]+Tabla16[[#This Row],[AÑO 5 9]]+Tabla16[[#This Row],[AÑO 5 8]]+Tabla16[[#This Row],[AÑO 5 7]]+Tabla16[[#This Row],[AÑO 5 6]]+Tabla16[[#This Row],[AÑO 5 5]]+Tabla16[[#This Row],[AÑO 5 4]]+Tabla16[[#This Row],[AÑO 5 3]]+Tabla16[[#This Row],[AÑO 5 2]]+Tabla16[[#This Row],[AÑO 5 1]]</f>
        <v>0</v>
      </c>
    </row>
    <row r="108" spans="3:210" ht="15.75" x14ac:dyDescent="0.25">
      <c r="C108" s="363"/>
      <c r="D108" s="452" t="str">
        <f>VLOOKUP(Tabla16[[#This Row],[CÓDIGO DEL PRODUCTO Y/O SERVICIO ]],Tabla3[],2,0)</f>
        <v xml:space="preserve">Seleccionar producto o servicio </v>
      </c>
      <c r="E108" s="72"/>
      <c r="F108" s="360">
        <f>VLOOKUP(Tabla16[[#This Row],[CÓDIGO DEL PRODUCTO Y/O SERVICIO ]],Tabla3[],3)</f>
        <v>0</v>
      </c>
      <c r="G108" s="360">
        <f>Tabla16[[#This Row],[UNIDADES PRODUCIDAS AÑO 1 1]]*F91</f>
        <v>0</v>
      </c>
      <c r="H108" s="112">
        <f>VLOOKUP(Tabla16[[#This Row],[CÓDIGO DEL PRODUCTO Y/O SERVICIO ]],Tabla3[],9)</f>
        <v>0</v>
      </c>
      <c r="I108" s="360">
        <f>Tabla16[[#This Row],[CANTIDADES A UTILIZAR EN EL AÑO 1 1]]*(1+Tabla16[[#This Row],[CAMBIO PORCENTUAL EN UNIDADES VENDIDAS AÑO 2 1]])</f>
        <v>0</v>
      </c>
      <c r="J108" s="112">
        <f>VLOOKUP(Tabla16[[#This Row],[CÓDIGO DEL PRODUCTO Y/O SERVICIO ]],Tabla3[],13)</f>
        <v>0</v>
      </c>
      <c r="K108" s="360">
        <f>Tabla16[[#This Row],[CANTIDADES  A UTILIZAR EN EL AÑO 2 1]]*(1+Tabla16[[#This Row],[CAMBIO PORCENTUAL EN UNIDADES VENDIDAS AÑO 3 1]])</f>
        <v>0</v>
      </c>
      <c r="L108" s="112">
        <f>VLOOKUP(Tabla16[[#This Row],[CÓDIGO DEL PRODUCTO Y/O SERVICIO ]],Tabla3[],17)</f>
        <v>0</v>
      </c>
      <c r="M108" s="360">
        <f>Tabla16[[#This Row],[CANTIDADES A UTILIZAR EN EL AÑO 3 1]]*(1+Tabla16[[#This Row],[CAMBIO PORCENTUAL EN UNIDADES VENDIDAS AÑO 4 1]])</f>
        <v>0</v>
      </c>
      <c r="N108" s="112">
        <f>VLOOKUP(Tabla16[[#This Row],[CÓDIGO DEL PRODUCTO Y/O SERVICIO ]],Tabla3[],21)</f>
        <v>0</v>
      </c>
      <c r="O108" s="360">
        <f>Tabla16[[#This Row],[CANTIDADES A UTILIZAR EN EL AÑO 4 1 ]]*(1+Tabla16[[#This Row],[CAMBIO PORCENTUAL EN UNIDADES VENDIDAS AÑO 5 1]])</f>
        <v>0</v>
      </c>
      <c r="P108" s="345">
        <f>IF(Tabla16[[#This Row],[CANTIDADES A UTILIZAR EN EL AÑO 1 1]]=0,0,Tabla16[[#This Row],[CANTIDADES A UTILIZAR EN EL AÑO 1 1]]*1/Tabla16[[#This Row],[UNIDADES PRODUCIDAS AÑO 1 1]])</f>
        <v>0</v>
      </c>
      <c r="Q108" s="345">
        <f>$C$73*(1+BASES!$E$10)</f>
        <v>0</v>
      </c>
      <c r="R108" s="345">
        <f>Tabla16[[#This Row],[COSTO UNITARIO AÑO 2 1]]*(1+BASES!$F$10)</f>
        <v>0</v>
      </c>
      <c r="S108" s="345">
        <f>Tabla16[[#This Row],[COSTO UNITARIO AÑO 3 1]]*(1+BASES!$G$10)</f>
        <v>0</v>
      </c>
      <c r="T108" s="345">
        <f>Tabla16[[#This Row],[COSTO UNITARIO AÑO 4 1]]*(1+BASES!$H$10)</f>
        <v>0</v>
      </c>
      <c r="U108" s="345">
        <f>Tabla16[[#This Row],[COSTO POR UNIDAD DE PRODUCTO (1)]]*$C$73*VLOOKUP(Tabla16[[#This Row],[CÓDIGO DEL PRODUCTO Y/O SERVICIO ]],Tabla3[],3)</f>
        <v>0</v>
      </c>
      <c r="V108" s="345">
        <f>Tabla16[[#This Row],[COSTO POR UNIDAD DE PRODUCTO (1)]]*Tabla16[[#This Row],[COSTO UNITARIO AÑO 2 1]]*VLOOKUP(Tabla16[[#This Row],[CÓDIGO DEL PRODUCTO Y/O SERVICIO ]],Tabla3[],6)</f>
        <v>0</v>
      </c>
      <c r="W108" s="345">
        <f>Tabla16[[#This Row],[COSTO POR UNIDAD DE PRODUCTO (1)]]*Tabla16[[#This Row],[COSTO UNITARIO AÑO 3 1]]*VLOOKUP(Tabla16[[#This Row],[CÓDIGO DEL PRODUCTO Y/O SERVICIO ]],Tabla3[],10)</f>
        <v>0</v>
      </c>
      <c r="X108" s="345">
        <f>Tabla16[[#This Row],[COSTO POR UNIDAD DE PRODUCTO (1)]]*Tabla16[[#This Row],[COSTO UNITARIO AÑO 4 1]]*VLOOKUP(Tabla16[[#This Row],[CÓDIGO DEL PRODUCTO Y/O SERVICIO ]],Tabla3[],14)</f>
        <v>0</v>
      </c>
      <c r="Y108" s="345">
        <f>Tabla16[[#This Row],[COSTO POR UNIDAD DE PRODUCTO (1)]]*Tabla16[[#This Row],[COSTO UNITARIO AÑO 5 1]]*VLOOKUP(Tabla16[[#This Row],[CÓDIGO DEL PRODUCTO Y/O SERVICIO ]],Tabla3[],18)</f>
        <v>0</v>
      </c>
      <c r="Z108" s="114">
        <f>VLOOKUP(Tabla16[[#This Row],[CÓDIGO DEL PRODUCTO Y/O SERVICIO ]],Tabla3[],3)</f>
        <v>0</v>
      </c>
      <c r="AA108" s="114">
        <f>Tabla16[[#This Row],[UNIDADES PRODUCIDAS AÑO 1 2]]*G91</f>
        <v>0</v>
      </c>
      <c r="AB108" s="112">
        <f>VLOOKUP(Tabla16[[#This Row],[CÓDIGO DEL PRODUCTO Y/O SERVICIO ]],Tabla3[],9)</f>
        <v>0</v>
      </c>
      <c r="AC108" s="114">
        <f>Tabla16[[#This Row],[CANTIDADES A UTILIZAR EN EL AÑO 1 2]]*(1+Tabla16[[#This Row],[CAMBIO PORCENTUAL EN UNIDADES VENDIDAS AÑO 2 2]])</f>
        <v>0</v>
      </c>
      <c r="AD108" s="112">
        <f>VLOOKUP(Tabla16[[#This Row],[CÓDIGO DEL PRODUCTO Y/O SERVICIO ]],Tabla3[],13)</f>
        <v>0</v>
      </c>
      <c r="AE108" s="114">
        <f>Tabla16[[#This Row],[CANTIDADES A UTILIZAR EN EL AÑO 2 2]]*(1+Tabla16[[#This Row],[CAMBIO PORCENTUAL EN UNIDADES VENDIDAS AÑO 3 2 ]])</f>
        <v>0</v>
      </c>
      <c r="AF108" s="112">
        <f>VLOOKUP(Tabla16[[#This Row],[CÓDIGO DEL PRODUCTO Y/O SERVICIO ]],Tabla3[],17)</f>
        <v>0</v>
      </c>
      <c r="AG108" s="114">
        <f>Tabla16[[#This Row],[CANTIDADES A UTILIZAR EN EL AÑO 3 2]]*(1+Tabla16[[#This Row],[CAMBIO PORCENTUAL EN UNIDADES VENDIDAS AÑO 4 2]])</f>
        <v>0</v>
      </c>
      <c r="AH108" s="112">
        <f>VLOOKUP(Tabla16[[#This Row],[CÓDIGO DEL PRODUCTO Y/O SERVICIO ]],Tabla3[],21)</f>
        <v>0</v>
      </c>
      <c r="AI108" s="114">
        <f>Tabla16[[#This Row],[CANTIDADES A UTILIZAR EN EL AÑO 4 2]]*(1+Tabla16[[#This Row],[CAMBIO PORCENTUAL EN UNIDADES VENDIDAS AÑO 5 2]])</f>
        <v>0</v>
      </c>
      <c r="AJ108" s="345">
        <f>IF(Tabla16[[#This Row],[CANTIDADES A UTILIZAR EN EL AÑO 1 2]]=0,0,Tabla16[[#This Row],[CANTIDADES A UTILIZAR EN EL AÑO 1 2]]*1/Tabla16[[#This Row],[UNIDADES PRODUCIDAS AÑO 1 2]])</f>
        <v>0</v>
      </c>
      <c r="AK108" s="345">
        <f>$C$74*(1+BASES!$E$10)</f>
        <v>0</v>
      </c>
      <c r="AL108" s="345">
        <f>Tabla16[[#This Row],[COSTO UNITARIO AÑO 2 2]]*(1+BASES!$F$10)</f>
        <v>0</v>
      </c>
      <c r="AM108" s="345">
        <f>Tabla16[[#This Row],[COSTO UNITARIO AÑO 3 2]]*(1+BASES!$G$10)</f>
        <v>0</v>
      </c>
      <c r="AN108" s="345">
        <f>Tabla16[[#This Row],[COSTO UNITARIO AÑO 4 2]]*(1+BASES!$H$10)</f>
        <v>0</v>
      </c>
      <c r="AO108" s="345">
        <f>Tabla16[[#This Row],[COSTO POR UNIDAD DE PRODUCTO (2) ]]*$C$74*VLOOKUP(Tabla16[[#This Row],[CÓDIGO DEL PRODUCTO Y/O SERVICIO ]],Tabla3[],3)</f>
        <v>0</v>
      </c>
      <c r="AP108" s="345">
        <f>Tabla16[[#This Row],[COSTO POR UNIDAD DE PRODUCTO (2) ]]*Tabla16[[#This Row],[COSTO UNITARIO AÑO 2 2]]*VLOOKUP(Tabla16[[#This Row],[CÓDIGO DEL PRODUCTO Y/O SERVICIO ]],Tabla3[],6)</f>
        <v>0</v>
      </c>
      <c r="AQ108" s="345">
        <f>Tabla16[[#This Row],[COSTO POR UNIDAD DE PRODUCTO (2) ]]*Tabla16[[#This Row],[COSTO UNITARIO AÑO 3 2]]*VLOOKUP(Tabla16[[#This Row],[CÓDIGO DEL PRODUCTO Y/O SERVICIO ]],Tabla3[],10)</f>
        <v>0</v>
      </c>
      <c r="AR108" s="345">
        <f>Tabla16[[#This Row],[COSTO POR UNIDAD DE PRODUCTO (2) ]]*Tabla16[[#This Row],[COSTO UNITARIO AÑO 4 2]]*VLOOKUP(Tabla16[[#This Row],[CÓDIGO DEL PRODUCTO Y/O SERVICIO ]],Tabla3[],14)</f>
        <v>0</v>
      </c>
      <c r="AS108" s="345">
        <f>Tabla16[[#This Row],[COSTO POR UNIDAD DE PRODUCTO (2) ]]*Tabla16[[#This Row],[COSTO UNITARIO AÑO 5 2 ]]*VLOOKUP(Tabla16[[#This Row],[CÓDIGO DEL PRODUCTO Y/O SERVICIO ]],Tabla3[],18)</f>
        <v>0</v>
      </c>
      <c r="AT108" s="114">
        <f>VLOOKUP(Tabla16[[#This Row],[CÓDIGO DEL PRODUCTO Y/O SERVICIO ]],Tabla3[],3)</f>
        <v>0</v>
      </c>
      <c r="AU108" s="114">
        <f>Tabla16[[#This Row],[UNIDADES PRODUCIDAS AÑO 1 3]]*H91</f>
        <v>0</v>
      </c>
      <c r="AV108" s="112">
        <f>VLOOKUP(Tabla16[[#This Row],[CÓDIGO DEL PRODUCTO Y/O SERVICIO ]],Tabla3[],9)</f>
        <v>0</v>
      </c>
      <c r="AW108" s="114">
        <f>Tabla16[[#This Row],[CANTIDADES A UTILIZAR EN EL AÑO 1 3]]*(1+Tabla16[[#This Row],[CAMBIO PORCENTUAL EN UNIDADES VENDIDAS AÑO 2 3]])</f>
        <v>0</v>
      </c>
      <c r="AX108" s="112">
        <f>VLOOKUP(Tabla16[[#This Row],[CÓDIGO DEL PRODUCTO Y/O SERVICIO ]],Tabla3[],13)</f>
        <v>0</v>
      </c>
      <c r="AY108" s="114">
        <f>Tabla16[[#This Row],[CANTIDADES A UTILIZAR EN EL AÑO 2 3]]*(1+Tabla16[[#This Row],[CAMBIO PORCENTUAL EN UNIDADES VENDIDAS AÑO 3 3]])</f>
        <v>0</v>
      </c>
      <c r="AZ108" s="112">
        <f>VLOOKUP(Tabla16[[#This Row],[CÓDIGO DEL PRODUCTO Y/O SERVICIO ]],Tabla3[],17)</f>
        <v>0</v>
      </c>
      <c r="BA108" s="114">
        <f>Tabla16[[#This Row],[CANTIDADES A UTILIZAR EN EL AÑO 3 3]]*(1+Tabla16[[#This Row],[CAMBIO PORCENTUAL EN UNIDADES VENDIDAS AÑO 4 3]])</f>
        <v>0</v>
      </c>
      <c r="BB108" s="112">
        <f>VLOOKUP(Tabla16[[#This Row],[CÓDIGO DEL PRODUCTO Y/O SERVICIO ]],Tabla3[],21)</f>
        <v>0</v>
      </c>
      <c r="BC108" s="114">
        <f>Tabla16[[#This Row],[CANTIDADES A UTILIZAR EN EL AÑO 4 3]]*(1+Tabla16[[#This Row],[CAMBIO PORCENTUAL EN UNIDADES VENDIDAS AÑO 5 3]])</f>
        <v>0</v>
      </c>
      <c r="BD108" s="345">
        <f>IF(Tabla16[[#This Row],[CANTIDADES A UTILIZAR EN EL AÑO 1 3]]=0,0,Tabla16[[#This Row],[CANTIDADES A UTILIZAR EN EL AÑO 1 3]]*1/Tabla16[[#This Row],[UNIDADES PRODUCIDAS AÑO 1 3]])</f>
        <v>0</v>
      </c>
      <c r="BE108" s="345">
        <f>$C$75*(1+BASES!$E$10)</f>
        <v>0</v>
      </c>
      <c r="BF108" s="345">
        <f>Tabla16[[#This Row],[COSTO UNITARIO AÑO 2 3]]*(1+BASES!$F$10)</f>
        <v>0</v>
      </c>
      <c r="BG108" s="345">
        <f>Tabla16[[#This Row],[COSTO UNITARIO AÑO 3 3]]*(1+BASES!$G$10)</f>
        <v>0</v>
      </c>
      <c r="BH108" s="345">
        <f>Tabla16[[#This Row],[COSTO UNITARIO AÑO 4 3]]*(1+BASES!$H$10)</f>
        <v>0</v>
      </c>
      <c r="BI108" s="345">
        <f>Tabla16[[#This Row],[COSTO POR UNIDAD DE PRODUCTO (3) ]]*$C$75*VLOOKUP(Tabla16[[#This Row],[CÓDIGO DEL PRODUCTO Y/O SERVICIO ]],Tabla3[],3)</f>
        <v>0</v>
      </c>
      <c r="BJ108" s="345">
        <f>Tabla16[[#This Row],[COSTO POR UNIDAD DE PRODUCTO (3) ]]*Tabla16[[#This Row],[COSTO UNITARIO AÑO 2 3]]*VLOOKUP(Tabla16[[#This Row],[CÓDIGO DEL PRODUCTO Y/O SERVICIO ]],Tabla3[],6)</f>
        <v>0</v>
      </c>
      <c r="BK108" s="345">
        <f>Tabla16[[#This Row],[COSTO POR UNIDAD DE PRODUCTO (3) ]]*Tabla16[[#This Row],[COSTO UNITARIO AÑO 3 3]]*VLOOKUP(Tabla16[[#This Row],[CÓDIGO DEL PRODUCTO Y/O SERVICIO ]],Tabla3[],10)</f>
        <v>0</v>
      </c>
      <c r="BL108" s="345">
        <f>Tabla16[[#This Row],[COSTO POR UNIDAD DE PRODUCTO (3) ]]*Tabla16[[#This Row],[COSTO UNITARIO AÑO 4 3]]*VLOOKUP(Tabla16[[#This Row],[CÓDIGO DEL PRODUCTO Y/O SERVICIO ]],Tabla3[],14)</f>
        <v>0</v>
      </c>
      <c r="BM108" s="345">
        <f>Tabla16[[#This Row],[COSTO POR UNIDAD DE PRODUCTO (3) ]]*Tabla16[[#This Row],[COSTO UNITARIO AÑO 5 3]]*VLOOKUP(Tabla16[[#This Row],[CÓDIGO DEL PRODUCTO Y/O SERVICIO ]],Tabla3[],18)</f>
        <v>0</v>
      </c>
      <c r="BN108" s="114">
        <f>VLOOKUP(Tabla16[[#This Row],[CÓDIGO DEL PRODUCTO Y/O SERVICIO ]],Tabla3[],3)</f>
        <v>0</v>
      </c>
      <c r="BO108" s="114">
        <f>Tabla16[[#This Row],[UNIDADES PRODUCIDAS AÑO 1 4]]*I91</f>
        <v>0</v>
      </c>
      <c r="BP108" s="112">
        <f>VLOOKUP(Tabla16[[#This Row],[CÓDIGO DEL PRODUCTO Y/O SERVICIO ]],Tabla3[],9)</f>
        <v>0</v>
      </c>
      <c r="BQ108" s="114">
        <f>Tabla16[[#This Row],[CANTIDADES A UTILIZAR EN EL AÑO 1 4]]*(1+Tabla16[[#This Row],[CAMBIO PORCENTUAL EN UNIDADES VENDIDAS AÑO 2 4]])</f>
        <v>0</v>
      </c>
      <c r="BR108" s="112">
        <f>VLOOKUP(Tabla16[[#This Row],[CÓDIGO DEL PRODUCTO Y/O SERVICIO ]],Tabla3[],13)</f>
        <v>0</v>
      </c>
      <c r="BS108" s="114">
        <f>Tabla16[[#This Row],[CANTIDADES A UTILIZAR EN EL AÑO 2 4]]*(1+Tabla16[[#This Row],[CAMBIO PORCENTUAL EN UNIDADES VENDIDAS AÑO 3 4]])</f>
        <v>0</v>
      </c>
      <c r="BT108" s="112">
        <f>VLOOKUP(Tabla16[[#This Row],[CÓDIGO DEL PRODUCTO Y/O SERVICIO ]],Tabla3[],17)</f>
        <v>0</v>
      </c>
      <c r="BU108" s="114">
        <f>Tabla16[[#This Row],[CANTIDADES A UTILIZAR EN EL AÑO 3 4]]*(1+Tabla16[[#This Row],[CAMBIO PORCENTUAL EN UNIDADES VENDIDAS AÑO 4 4]])</f>
        <v>0</v>
      </c>
      <c r="BV108" s="112">
        <f>VLOOKUP(Tabla16[[#This Row],[CÓDIGO DEL PRODUCTO Y/O SERVICIO ]],Tabla3[],21)</f>
        <v>0</v>
      </c>
      <c r="BW108" s="114">
        <f>Tabla16[[#This Row],[CANTIDADES A UTILIZAR EN EL AÑO 4 4]]*(1+Tabla16[[#This Row],[CAMBIO PORCENTUAL EN UNIDADES VENDIDAS AÑO 5 4]])</f>
        <v>0</v>
      </c>
      <c r="BX108" s="345">
        <f>IF(Tabla16[[#This Row],[CANTIDADES A UTILIZAR EN EL AÑO 1 4]]=0,0,Tabla16[[#This Row],[CANTIDADES A UTILIZAR EN EL AÑO 1 4]]*1/Tabla16[[#This Row],[UNIDADES PRODUCIDAS AÑO 1 4]])</f>
        <v>0</v>
      </c>
      <c r="BY108" s="345">
        <f>$C$76*(1+BASES!$E$10)</f>
        <v>0</v>
      </c>
      <c r="BZ108" s="345">
        <f>Tabla16[[#This Row],[COSTO UNITARIO AÑO 2 4]]*(1+BASES!$F$10)</f>
        <v>0</v>
      </c>
      <c r="CA108" s="345">
        <f>Tabla16[[#This Row],[COSTO UNITARIO AÑO 3 4 ]]*(1+BASES!$G$10)</f>
        <v>0</v>
      </c>
      <c r="CB108" s="345">
        <f>Tabla16[[#This Row],[COSTO UNITARIO AÑO 4 4]]*(1+BASES!$H$10)</f>
        <v>0</v>
      </c>
      <c r="CC108" s="345">
        <f>Tabla16[[#This Row],[COSTO POR UNIDAD DE PRODUCTO (4)]]*$C$76*VLOOKUP(Tabla16[[#This Row],[CÓDIGO DEL PRODUCTO Y/O SERVICIO ]],Tabla3[],3)</f>
        <v>0</v>
      </c>
      <c r="CD108" s="345">
        <f>Tabla16[[#This Row],[COSTO POR UNIDAD DE PRODUCTO (4)]]*Tabla16[[#This Row],[COSTO UNITARIO AÑO 2 4]]*VLOOKUP(Tabla16[[#This Row],[CÓDIGO DEL PRODUCTO Y/O SERVICIO ]],Tabla3[],6)</f>
        <v>0</v>
      </c>
      <c r="CE108" s="345">
        <f>Tabla16[[#This Row],[COSTO POR UNIDAD DE PRODUCTO (4)]]*Tabla16[[#This Row],[COSTO UNITARIO AÑO 3 4 ]]*VLOOKUP(Tabla16[[#This Row],[CÓDIGO DEL PRODUCTO Y/O SERVICIO ]],Tabla3[],10)</f>
        <v>0</v>
      </c>
      <c r="CF108" s="345">
        <f>Tabla16[[#This Row],[COSTO POR UNIDAD DE PRODUCTO (4)]]*Tabla16[[#This Row],[COSTO UNITARIO AÑO 4 4]]*VLOOKUP(Tabla16[[#This Row],[CÓDIGO DEL PRODUCTO Y/O SERVICIO ]],Tabla3[],14)</f>
        <v>0</v>
      </c>
      <c r="CG108" s="345">
        <f>Tabla16[[#This Row],[COSTO POR UNIDAD DE PRODUCTO (4)]]*Tabla16[[#This Row],[COSTO UNITARIO AÑO 5 4 ]]*VLOOKUP(Tabla16[[#This Row],[CÓDIGO DEL PRODUCTO Y/O SERVICIO ]],Tabla3[],18)</f>
        <v>0</v>
      </c>
      <c r="CH108" s="114">
        <f>VLOOKUP(Tabla16[[#This Row],[CÓDIGO DEL PRODUCTO Y/O SERVICIO ]],Tabla3[],3)</f>
        <v>0</v>
      </c>
      <c r="CI108" s="114">
        <f>Tabla16[[#This Row],[UNIDADES PRODUCIDAS AÑO 1 5]]*J91</f>
        <v>0</v>
      </c>
      <c r="CJ108" s="112">
        <f>VLOOKUP(Tabla16[[#This Row],[CÓDIGO DEL PRODUCTO Y/O SERVICIO ]],Tabla3[],9)</f>
        <v>0</v>
      </c>
      <c r="CK108" s="114">
        <f>Tabla16[[#This Row],[CANTIDADES A UTILIZAR EN EL AÑO 1 5]]*(1+Tabla16[[#This Row],[CAMBIO PORCENTUAL EN UNIDADES VENDIDAS AÑO 2 5]])</f>
        <v>0</v>
      </c>
      <c r="CL108" s="112">
        <f>VLOOKUP(Tabla16[[#This Row],[CÓDIGO DEL PRODUCTO Y/O SERVICIO ]],Tabla3[],13)</f>
        <v>0</v>
      </c>
      <c r="CM108" s="114">
        <f>Tabla16[[#This Row],[CANTIDADES A UTILIZAR EN EL AÑO 2 5]]*(1+Tabla16[[#This Row],[CAMBIO PORCENTUAL EN UNIDADES VENDIDAS AÑO 3 5]])</f>
        <v>0</v>
      </c>
      <c r="CN108" s="112">
        <f>VLOOKUP(Tabla16[[#This Row],[CÓDIGO DEL PRODUCTO Y/O SERVICIO ]],Tabla3[],17)</f>
        <v>0</v>
      </c>
      <c r="CO108" s="114">
        <f>Tabla16[[#This Row],[CANTIDADES A UTILIZAR EN EL AÑO 3 5 ]]*(1+Tabla16[[#This Row],[CAMBIO PORCENTUAL EN UNIDADES VENDIDAS AÑO 4 5]])</f>
        <v>0</v>
      </c>
      <c r="CP108" s="112">
        <f>VLOOKUP(Tabla16[[#This Row],[CÓDIGO DEL PRODUCTO Y/O SERVICIO ]],Tabla3[],21)</f>
        <v>0</v>
      </c>
      <c r="CQ108" s="114">
        <f>Tabla16[[#This Row],[CANTIDADES A UTILIZAR EN EL AÑO 4 5]]*(1+Tabla16[[#This Row],[CAMBIO PORCENTUAL EN UNIDADES VENDIDAS AÑO 5 5]])</f>
        <v>0</v>
      </c>
      <c r="CR108" s="345">
        <f>IF(Tabla16[[#This Row],[CANTIDADES A UTILIZAR EN EL AÑO 1 5]]=0,0,Tabla16[[#This Row],[CANTIDADES A UTILIZAR EN EL AÑO 1 5]]*1/Tabla16[[#This Row],[UNIDADES PRODUCIDAS AÑO 1 5]])</f>
        <v>0</v>
      </c>
      <c r="CS108" s="345">
        <f>$C$77*(1+BASES!$E$10)</f>
        <v>0</v>
      </c>
      <c r="CT108" s="345">
        <f>Tabla16[[#This Row],[COSTO UNITARIO AÑO 2 5]]*(1+BASES!$F$10)</f>
        <v>0</v>
      </c>
      <c r="CU108" s="345">
        <f>Tabla16[[#This Row],[COSTO UNITARIO AÑO 3 5]]*(1+BASES!$G$10)</f>
        <v>0</v>
      </c>
      <c r="CV108" s="345">
        <f>Tabla16[[#This Row],[COSTO UNITARIO AÑO 4 5]]*(1+BASES!$H$10)</f>
        <v>0</v>
      </c>
      <c r="CW108" s="345">
        <f>Tabla16[[#This Row],[COSTO POR UNIDAD DE PRODUCTO (5) ]]*$C$77*VLOOKUP(Tabla16[[#This Row],[CÓDIGO DEL PRODUCTO Y/O SERVICIO ]],Tabla3[],3)</f>
        <v>0</v>
      </c>
      <c r="CX108" s="345">
        <f>Tabla16[[#This Row],[COSTO POR UNIDAD DE PRODUCTO (5) ]]*Tabla16[[#This Row],[COSTO UNITARIO AÑO 2 5]]*VLOOKUP(Tabla16[[#This Row],[CÓDIGO DEL PRODUCTO Y/O SERVICIO ]],Tabla3[],6)</f>
        <v>0</v>
      </c>
      <c r="CY108" s="345">
        <f>Tabla16[[#This Row],[COSTO POR UNIDAD DE PRODUCTO (5) ]]*Tabla16[[#This Row],[COSTO UNITARIO AÑO 3 5]]*VLOOKUP(Tabla16[[#This Row],[CÓDIGO DEL PRODUCTO Y/O SERVICIO ]],Tabla3[],10)</f>
        <v>0</v>
      </c>
      <c r="CZ108" s="345">
        <f>Tabla16[[#This Row],[COSTO POR UNIDAD DE PRODUCTO (5) ]]*Tabla16[[#This Row],[COSTO UNITARIO AÑO 4 5]]*VLOOKUP(Tabla16[[#This Row],[CÓDIGO DEL PRODUCTO Y/O SERVICIO ]],Tabla3[],14)</f>
        <v>0</v>
      </c>
      <c r="DA108" s="345">
        <f>Tabla16[[#This Row],[COSTO POR UNIDAD DE PRODUCTO (5) ]]*Tabla16[[#This Row],[COSTO UNITARIO AÑO 5 5]]*VLOOKUP(Tabla16[[#This Row],[CÓDIGO DEL PRODUCTO Y/O SERVICIO ]],Tabla3[],18)</f>
        <v>0</v>
      </c>
      <c r="DB108" s="114">
        <f>VLOOKUP(Tabla16[[#This Row],[CÓDIGO DEL PRODUCTO Y/O SERVICIO ]],Tabla3[],3)</f>
        <v>0</v>
      </c>
      <c r="DC108" s="114">
        <f>Tabla16[[#This Row],[UNIDADES PRODUCIDAS AÑO 1 6]]*K91</f>
        <v>0</v>
      </c>
      <c r="DD108" s="112">
        <f>VLOOKUP(Tabla16[[#This Row],[CÓDIGO DEL PRODUCTO Y/O SERVICIO ]],Tabla3[],9)</f>
        <v>0</v>
      </c>
      <c r="DE108" s="114">
        <f>Tabla16[[#This Row],[CANTIDADES A UTILIZAR EN EL AÑO 1 6]]*(1+Tabla16[[#This Row],[CAMBIO PORCENTUAL EN UNIDADES VENDIDAS AÑO 2 6]])</f>
        <v>0</v>
      </c>
      <c r="DF108" s="112">
        <f>VLOOKUP(Tabla16[[#This Row],[CÓDIGO DEL PRODUCTO Y/O SERVICIO ]],Tabla3[],13)</f>
        <v>0</v>
      </c>
      <c r="DG108" s="114">
        <f>Tabla16[[#This Row],[CANTIDADES A UTILIZAR EN EL AÑO 2 6]]*(1+Tabla16[[#This Row],[CAMBIO PORCENTUAL EN UNIDADES VENDIDAS AÑO 3 6]])</f>
        <v>0</v>
      </c>
      <c r="DH108" s="112">
        <f>VLOOKUP(Tabla16[[#This Row],[CÓDIGO DEL PRODUCTO Y/O SERVICIO ]],Tabla3[],17)</f>
        <v>0</v>
      </c>
      <c r="DI108" s="114">
        <f>Tabla16[[#This Row],[CANTIDADES A UTILIZAR EN EL AÑO 3 6]]*(1+Tabla16[[#This Row],[CAMBIO PORCENTUAL EN UNIDADES VENDIDAS AÑO 4 6]])</f>
        <v>0</v>
      </c>
      <c r="DJ108" s="112">
        <f>VLOOKUP(Tabla16[[#This Row],[CÓDIGO DEL PRODUCTO Y/O SERVICIO ]],Tabla3[],21)</f>
        <v>0</v>
      </c>
      <c r="DK108" s="114">
        <f>Tabla16[[#This Row],[CANTIDADES A UTILIZAR EN EL AÑO 4 6]]*(1+Tabla16[[#This Row],[CAMBIO PORCENTUAL EN UNIDADES VENDIDAS AÑO 5 6]])</f>
        <v>0</v>
      </c>
      <c r="DL108" s="345">
        <f>IF(Tabla16[[#This Row],[CANTIDADES A UTILIZAR EN EL AÑO 1 6]]=0,0,Tabla16[[#This Row],[CANTIDADES A UTILIZAR EN EL AÑO 1 6]]*1/Tabla16[[#This Row],[UNIDADES PRODUCIDAS AÑO 1 6]])</f>
        <v>0</v>
      </c>
      <c r="DM108" s="345">
        <f>$C$78*(1+BASES!$E$10)</f>
        <v>0</v>
      </c>
      <c r="DN108" s="345">
        <f>Tabla16[[#This Row],[COSTO UNITARIO AÑO 2 6]]*(1+BASES!$F$10)</f>
        <v>0</v>
      </c>
      <c r="DO108" s="345">
        <f>Tabla16[[#This Row],[COSTO UNITARIO AÑO 3 6]]*(1+BASES!$G$10)</f>
        <v>0</v>
      </c>
      <c r="DP108" s="345">
        <f>Tabla16[[#This Row],[COSTO UNITARIO AÑO 4 6]]*(1+BASES!$H$10)</f>
        <v>0</v>
      </c>
      <c r="DQ108" s="345">
        <f>Tabla16[[#This Row],[COSTO POR UNIDAD DE PRODUCTO (6) ]]*$C$78*VLOOKUP(Tabla16[[#This Row],[CÓDIGO DEL PRODUCTO Y/O SERVICIO ]],Tabla3[],3)</f>
        <v>0</v>
      </c>
      <c r="DR108" s="345">
        <f>Tabla16[[#This Row],[COSTO POR UNIDAD DE PRODUCTO (6) ]]*Tabla16[[#This Row],[COSTO UNITARIO AÑO 2 6]]*VLOOKUP(Tabla16[[#This Row],[CÓDIGO DEL PRODUCTO Y/O SERVICIO ]],Tabla3[],6)</f>
        <v>0</v>
      </c>
      <c r="DS108" s="345">
        <f>Tabla16[[#This Row],[COSTO POR UNIDAD DE PRODUCTO (6) ]]*Tabla16[[#This Row],[COSTO UNITARIO AÑO 3 6]]*VLOOKUP(Tabla16[[#This Row],[CÓDIGO DEL PRODUCTO Y/O SERVICIO ]],Tabla3[],10)</f>
        <v>0</v>
      </c>
      <c r="DT108" s="345">
        <f>Tabla16[[#This Row],[COSTO POR UNIDAD DE PRODUCTO (6) ]]*Tabla16[[#This Row],[COSTO UNITARIO AÑO 4 6]]*VLOOKUP(Tabla16[[#This Row],[CÓDIGO DEL PRODUCTO Y/O SERVICIO ]],Tabla3[],14)</f>
        <v>0</v>
      </c>
      <c r="DU108" s="345">
        <f>Tabla16[[#This Row],[COSTO POR UNIDAD DE PRODUCTO (6) ]]*Tabla16[[#This Row],[COSTO UNITARIO AÑO 5 6]]*VLOOKUP(Tabla16[[#This Row],[CÓDIGO DEL PRODUCTO Y/O SERVICIO ]],Tabla3[],18)</f>
        <v>0</v>
      </c>
      <c r="DV108" s="114">
        <f>VLOOKUP(Tabla16[[#This Row],[CÓDIGO DEL PRODUCTO Y/O SERVICIO ]],Tabla3[],3)</f>
        <v>0</v>
      </c>
      <c r="DW108" s="114">
        <f>Tabla16[[#This Row],[UNIDADES PRODUCIDAS AÑO 1 7]]*L91</f>
        <v>0</v>
      </c>
      <c r="DX108" s="112">
        <f>VLOOKUP(Tabla16[[#This Row],[CÓDIGO DEL PRODUCTO Y/O SERVICIO ]],Tabla3[],9)</f>
        <v>0</v>
      </c>
      <c r="DY108" s="114">
        <f>Tabla16[[#This Row],[CANTIDADES A UTILIZAR EN EL AÑO 1 7]]*(1+Tabla16[[#This Row],[CAMBIO PORCENTUAL EN UNIDADES VENDIDAS AÑO 2 7]])</f>
        <v>0</v>
      </c>
      <c r="DZ108" s="112">
        <f>VLOOKUP(Tabla16[[#This Row],[CÓDIGO DEL PRODUCTO Y/O SERVICIO ]],Tabla3[],13)</f>
        <v>0</v>
      </c>
      <c r="EA108" s="114">
        <f>Tabla16[[#This Row],[CANTIDADES A UTILIZAR EN EL AÑO 2 7]]*(1+Tabla16[[#This Row],[CAMBIO PORCENTUAL EN UNIDADES VENDIDAS AÑO 3 7]])</f>
        <v>0</v>
      </c>
      <c r="EB108" s="112">
        <f>VLOOKUP(Tabla16[[#This Row],[CÓDIGO DEL PRODUCTO Y/O SERVICIO ]],Tabla3[],17)</f>
        <v>0</v>
      </c>
      <c r="EC108" s="114">
        <f>Tabla16[[#This Row],[CANTIDADES A UTILIZAR EN EL AÑO 3 7]]*(1+Tabla16[[#This Row],[CAMBIO PORCENTUAL EN UNIDADES VENDIDAS AÑO 4 7]])</f>
        <v>0</v>
      </c>
      <c r="ED108" s="112">
        <f>VLOOKUP(Tabla16[[#This Row],[CÓDIGO DEL PRODUCTO Y/O SERVICIO ]],Tabla3[],21)</f>
        <v>0</v>
      </c>
      <c r="EE108" s="114">
        <f>Tabla16[[#This Row],[CANTIDADES A UTILIZAR EN EL AÑO 4 7]]*(1+Tabla16[[#This Row],[CAMBIO PORCENTUAL EN UNIDADES VENDIDAS AÑO 5 7]])</f>
        <v>0</v>
      </c>
      <c r="EF108" s="345">
        <f>IF(Tabla16[[#This Row],[CANTIDADES A UTILIZAR EN EL AÑO 1 7]]=0,0,Tabla16[[#This Row],[CANTIDADES A UTILIZAR EN EL AÑO 1 7]]*1/Tabla16[[#This Row],[UNIDADES PRODUCIDAS AÑO 1 7]])</f>
        <v>0</v>
      </c>
      <c r="EG108" s="345">
        <f>$C$79*(1+BASES!$E$10)</f>
        <v>0</v>
      </c>
      <c r="EH108" s="345">
        <f>Tabla16[[#This Row],[COSTO UNITARIO AÑO 2 7]]*(1+BASES!$F$10)</f>
        <v>0</v>
      </c>
      <c r="EI108" s="345">
        <f>Tabla16[[#This Row],[COSTO UNITARIO AÑO 3 7]]*(1+BASES!$G$10)</f>
        <v>0</v>
      </c>
      <c r="EJ108" s="345">
        <f>Tabla16[[#This Row],[COSTO UNITARIO AÑO 4 7]]*(1+BASES!$H$10)</f>
        <v>0</v>
      </c>
      <c r="EK108" s="345">
        <f>Tabla16[[#This Row],[COSTO POR UNIDAD DE PRODUCTO (7) ]]*$C$79*VLOOKUP(Tabla16[[#This Row],[CÓDIGO DEL PRODUCTO Y/O SERVICIO ]],Tabla3[],3)</f>
        <v>0</v>
      </c>
      <c r="EL108" s="345">
        <f>Tabla16[[#This Row],[COSTO POR UNIDAD DE PRODUCTO (7) ]]*Tabla16[[#This Row],[COSTO UNITARIO AÑO 2 7]]*VLOOKUP(Tabla16[[#This Row],[CÓDIGO DEL PRODUCTO Y/O SERVICIO ]],Tabla3[],6)</f>
        <v>0</v>
      </c>
      <c r="EM108" s="345">
        <f>Tabla16[[#This Row],[COSTO POR UNIDAD DE PRODUCTO (7) ]]*Tabla16[[#This Row],[COSTO UNITARIO AÑO 3 7]]*VLOOKUP(Tabla16[[#This Row],[CÓDIGO DEL PRODUCTO Y/O SERVICIO ]],Tabla3[],10)</f>
        <v>0</v>
      </c>
      <c r="EN108" s="345">
        <f>Tabla16[[#This Row],[COSTO POR UNIDAD DE PRODUCTO (7) ]]*Tabla16[[#This Row],[COSTO UNITARIO AÑO 4 7]]*VLOOKUP(Tabla16[[#This Row],[CÓDIGO DEL PRODUCTO Y/O SERVICIO ]],Tabla3[],14)</f>
        <v>0</v>
      </c>
      <c r="EO108" s="345">
        <f>Tabla16[[#This Row],[COSTO POR UNIDAD DE PRODUCTO (7) ]]*Tabla16[[#This Row],[COSTO UNITARIO AÑO 5 7]]*VLOOKUP(Tabla16[[#This Row],[CÓDIGO DEL PRODUCTO Y/O SERVICIO ]],Tabla3[],18)</f>
        <v>0</v>
      </c>
      <c r="EP108" s="114">
        <f>VLOOKUP(Tabla16[[#This Row],[CÓDIGO DEL PRODUCTO Y/O SERVICIO ]],Tabla3[],3)</f>
        <v>0</v>
      </c>
      <c r="EQ108" s="114">
        <f>Tabla16[[#This Row],[UNIDADES PRODUCIDAS AÑO 1 8]]*M91</f>
        <v>0</v>
      </c>
      <c r="ER108" s="112">
        <f>VLOOKUP(Tabla16[[#This Row],[CÓDIGO DEL PRODUCTO Y/O SERVICIO ]],Tabla3[],9)</f>
        <v>0</v>
      </c>
      <c r="ES108" s="114">
        <f>Tabla16[[#This Row],[CANTIDADES A UTILIZAR EN EL AÑO 1 8]]*(1+Tabla16[[#This Row],[CAMBIO PORCENTUAL EN UNIDADES VENDIDAS AÑO 2 8]])</f>
        <v>0</v>
      </c>
      <c r="ET108" s="112">
        <f>VLOOKUP(Tabla16[[#This Row],[CÓDIGO DEL PRODUCTO Y/O SERVICIO ]],Tabla3[],13)</f>
        <v>0</v>
      </c>
      <c r="EU108" s="114">
        <f>Tabla16[[#This Row],[CANTIDADES A UTILIZAR EN EL AÑO 2 8]]*(1+Tabla16[[#This Row],[CAMBIO PORCENTUAL EN UNIDADES VENDIDAS AÑO 3 8]])</f>
        <v>0</v>
      </c>
      <c r="EV108" s="112">
        <f>VLOOKUP(Tabla16[[#This Row],[CÓDIGO DEL PRODUCTO Y/O SERVICIO ]],Tabla3[],17)</f>
        <v>0</v>
      </c>
      <c r="EW108" s="114">
        <f>Tabla16[[#This Row],[CANTIDADES A UTILIZAR EN EL AÑO 3 8]]*(1+Tabla16[[#This Row],[CAMBIO PORCENTUAL EN UNIDADES VENDIDAS AÑO 4 8]])</f>
        <v>0</v>
      </c>
      <c r="EX108" s="112">
        <f>VLOOKUP(Tabla16[[#This Row],[CÓDIGO DEL PRODUCTO Y/O SERVICIO ]],Tabla3[],21)</f>
        <v>0</v>
      </c>
      <c r="EY108" s="114">
        <f>Tabla16[[#This Row],[CANTIDADES A UTILIZAR EN EL AÑO 4 8]]*(1+Tabla16[[#This Row],[CAMBIO PORCENTUAL EN UNIDADES VENDIDAS AÑO 5 8]])</f>
        <v>0</v>
      </c>
      <c r="EZ108" s="345">
        <f>IF(Tabla16[[#This Row],[CANTIDADES A UTILIZAR EN EL AÑO 1 8]]=0,0,Tabla16[[#This Row],[CANTIDADES A UTILIZAR EN EL AÑO 1 8]]*1/Tabla16[[#This Row],[UNIDADES PRODUCIDAS AÑO 1 8]])</f>
        <v>0</v>
      </c>
      <c r="FA108" s="345">
        <f>$C$80*(1+BASES!$E$10)</f>
        <v>0</v>
      </c>
      <c r="FB108" s="345">
        <f>Tabla16[[#This Row],[COSTO UNITARIO AÑO 2 8]]*(1+BASES!$F$10)</f>
        <v>0</v>
      </c>
      <c r="FC108" s="345">
        <f>Tabla16[[#This Row],[COSTO UNITARIO AÑO 3 8]]*(1+BASES!$G$10)</f>
        <v>0</v>
      </c>
      <c r="FD108" s="345">
        <f>Tabla16[[#This Row],[COSTO UNITARIO AÑO 4 8]]*(1+BASES!$H$10)</f>
        <v>0</v>
      </c>
      <c r="FE108" s="345">
        <f>Tabla16[[#This Row],[COSTO POR UNIDAD DE PRODUCTO (8) ]]*$C$80*VLOOKUP(Tabla16[[#This Row],[CÓDIGO DEL PRODUCTO Y/O SERVICIO ]],Tabla3[],3)</f>
        <v>0</v>
      </c>
      <c r="FF108" s="345">
        <f>Tabla16[[#This Row],[COSTO POR UNIDAD DE PRODUCTO (8) ]]*Tabla16[[#This Row],[COSTO UNITARIO AÑO 2 8]]*VLOOKUP(Tabla16[[#This Row],[CÓDIGO DEL PRODUCTO Y/O SERVICIO ]],Tabla3[],6)</f>
        <v>0</v>
      </c>
      <c r="FG108" s="345">
        <f>Tabla16[[#This Row],[COSTO POR UNIDAD DE PRODUCTO (8) ]]*Tabla16[[#This Row],[COSTO UNITARIO AÑO 3 8]]*VLOOKUP(Tabla16[[#This Row],[CÓDIGO DEL PRODUCTO Y/O SERVICIO ]],Tabla3[],10)</f>
        <v>0</v>
      </c>
      <c r="FH108" s="345">
        <f>Tabla16[[#This Row],[COSTO POR UNIDAD DE PRODUCTO (8) ]]*Tabla16[[#This Row],[COSTO UNITARIO AÑO 4 8]]*VLOOKUP(Tabla16[[#This Row],[CÓDIGO DEL PRODUCTO Y/O SERVICIO ]],Tabla3[],14)</f>
        <v>0</v>
      </c>
      <c r="FI108" s="345">
        <f>Tabla16[[#This Row],[COSTO POR UNIDAD DE PRODUCTO (8) ]]*Tabla16[[#This Row],[COSTO UNITARIO AÑO 5 8]]*VLOOKUP(Tabla16[[#This Row],[CÓDIGO DEL PRODUCTO Y/O SERVICIO ]],Tabla3[],18)</f>
        <v>0</v>
      </c>
      <c r="FJ108" s="114">
        <f>VLOOKUP(Tabla16[[#This Row],[CÓDIGO DEL PRODUCTO Y/O SERVICIO ]],Tabla3[],3)</f>
        <v>0</v>
      </c>
      <c r="FK108" s="114">
        <f>Tabla16[[#This Row],[UNIDADES PRODUCIDAS AÑO 1 9]]*N91</f>
        <v>0</v>
      </c>
      <c r="FL108" s="112">
        <f>VLOOKUP(Tabla16[[#This Row],[CÓDIGO DEL PRODUCTO Y/O SERVICIO ]],Tabla3[],9)</f>
        <v>0</v>
      </c>
      <c r="FM108" s="114">
        <f>Tabla16[[#This Row],[CANTIDADES A UTILIZAR EN EL AÑO 1 9]]*(1+Tabla16[[#This Row],[CAMBIO PORCENTUAL EN UNIDADES VENDIDAS AÑO 2 9]])</f>
        <v>0</v>
      </c>
      <c r="FN108" s="112">
        <f>VLOOKUP(Tabla16[[#This Row],[CÓDIGO DEL PRODUCTO Y/O SERVICIO ]],Tabla3[],13)</f>
        <v>0</v>
      </c>
      <c r="FO108" s="114">
        <f>Tabla16[[#This Row],[CANTIDADES A UTILIZAR EN EL AÑO 2 9]]*(1+Tabla16[[#This Row],[CAMBIO PORCENTUAL EN UNIDADES VENDIDAS AÑO 3 9]])</f>
        <v>0</v>
      </c>
      <c r="FP108" s="112">
        <f>VLOOKUP(Tabla16[[#This Row],[CÓDIGO DEL PRODUCTO Y/O SERVICIO ]],Tabla3[],17)</f>
        <v>0</v>
      </c>
      <c r="FQ108" s="114">
        <f>Tabla16[[#This Row],[CANTIDADES A UTILIZAR EN EL AÑO 3 9]]*(1+Tabla16[[#This Row],[CAMBIO PORCENTUAL EN UNIDADES VENDIDAS AÑO 4 9]])</f>
        <v>0</v>
      </c>
      <c r="FR108" s="112">
        <f>VLOOKUP(Tabla16[[#This Row],[CÓDIGO DEL PRODUCTO Y/O SERVICIO ]],Tabla3[],21)</f>
        <v>0</v>
      </c>
      <c r="FS108" s="114">
        <f>Tabla16[[#This Row],[CANTIDADES A UTILIZAR EN EL AÑO 4 9]]*(1+Tabla16[[#This Row],[CAMBIO PORCENTUAL EN UNIDADES VENDIDAS AÑO 5 9]])</f>
        <v>0</v>
      </c>
      <c r="FT108" s="345">
        <f>IF(Tabla16[[#This Row],[CANTIDADES A UTILIZAR EN EL AÑO 1 9]]=0,0,Tabla16[[#This Row],[CANTIDADES A UTILIZAR EN EL AÑO 1 9]]*1/Tabla16[[#This Row],[UNIDADES PRODUCIDAS AÑO 1 9]])</f>
        <v>0</v>
      </c>
      <c r="FU108" s="345">
        <f>$C$81*(1+BASES!$E$10)</f>
        <v>0</v>
      </c>
      <c r="FV108" s="345">
        <f>Tabla16[[#This Row],[COSTO UNITARIO AÑO 2 9]]*(1+BASES!$F$10)</f>
        <v>0</v>
      </c>
      <c r="FW108" s="345">
        <f>Tabla16[[#This Row],[COSTO UNITARIO AÑO 3 9]]*(1+BASES!$G$10)</f>
        <v>0</v>
      </c>
      <c r="FX108" s="345">
        <f>Tabla16[[#This Row],[COSTO UNITARIO AÑO 4 9]]*(1+BASES!$H$10)</f>
        <v>0</v>
      </c>
      <c r="FY108" s="345">
        <f>Tabla16[[#This Row],[COSTO POR UNIDAD DE PRODUCTO (9) ]]*$C$81*VLOOKUP(Tabla16[[#This Row],[CÓDIGO DEL PRODUCTO Y/O SERVICIO ]],Tabla3[],3)</f>
        <v>0</v>
      </c>
      <c r="FZ108" s="345">
        <f>Tabla16[[#This Row],[COSTO POR UNIDAD DE PRODUCTO (9) ]]*Tabla16[[#This Row],[COSTO UNITARIO AÑO 2 9]]*VLOOKUP(Tabla16[[#This Row],[CÓDIGO DEL PRODUCTO Y/O SERVICIO ]],Tabla3[],6)</f>
        <v>0</v>
      </c>
      <c r="GA108" s="345">
        <f>Tabla16[[#This Row],[COSTO POR UNIDAD DE PRODUCTO (9) ]]*Tabla16[[#This Row],[COSTO UNITARIO AÑO 3 9]]*VLOOKUP(Tabla16[[#This Row],[CÓDIGO DEL PRODUCTO Y/O SERVICIO ]],Tabla3[],10)</f>
        <v>0</v>
      </c>
      <c r="GB108" s="345">
        <f>Tabla16[[#This Row],[COSTO POR UNIDAD DE PRODUCTO (9) ]]*Tabla16[[#This Row],[COSTO UNITARIO AÑO 4 9]]*VLOOKUP(Tabla16[[#This Row],[CÓDIGO DEL PRODUCTO Y/O SERVICIO ]],Tabla3[],14)</f>
        <v>0</v>
      </c>
      <c r="GC108" s="345">
        <f>Tabla16[[#This Row],[COSTO POR UNIDAD DE PRODUCTO (9) ]]*Tabla16[[#This Row],[COSTO UNITARIO AÑO 5 9]]*VLOOKUP(Tabla16[[#This Row],[CÓDIGO DEL PRODUCTO Y/O SERVICIO ]],Tabla3[],18)</f>
        <v>0</v>
      </c>
      <c r="GD108" s="114">
        <f>VLOOKUP(Tabla16[[#This Row],[CÓDIGO DEL PRODUCTO Y/O SERVICIO ]],Tabla3[],3)</f>
        <v>0</v>
      </c>
      <c r="GE108" s="114">
        <f>Tabla16[[#This Row],[UNIDADES PRODUCIDAS AÑO 1 10]]*O91</f>
        <v>0</v>
      </c>
      <c r="GF108" s="112">
        <f>VLOOKUP(Tabla16[[#This Row],[CÓDIGO DEL PRODUCTO Y/O SERVICIO ]],Tabla3[],9)</f>
        <v>0</v>
      </c>
      <c r="GG108" s="114">
        <f>Tabla16[[#This Row],[CANTIDADES A UTILIZAR EN EL AÑO 1 10]]*(1+Tabla16[[#This Row],[CAMBIO PORCENTUAL EN UNIDADES VENDIDAS AÑO 2 10]])</f>
        <v>0</v>
      </c>
      <c r="GH108" s="112">
        <f>VLOOKUP(Tabla16[[#This Row],[CÓDIGO DEL PRODUCTO Y/O SERVICIO ]],Tabla3[],13)</f>
        <v>0</v>
      </c>
      <c r="GI108" s="114">
        <f>Tabla16[[#This Row],[CANTIDADES A UTILIZAR EN EL AÑO 2 10]]*(1+Tabla16[[#This Row],[CAMBIO PORCENTUAL EN UNIDADES VENDIDAS AÑO 3 10]])</f>
        <v>0</v>
      </c>
      <c r="GJ108" s="112">
        <f>VLOOKUP(Tabla16[[#This Row],[CÓDIGO DEL PRODUCTO Y/O SERVICIO ]],Tabla3[],17)</f>
        <v>0</v>
      </c>
      <c r="GK108" s="114">
        <f>Tabla16[[#This Row],[CANTIDADES A UTILIZAR EN EL AÑO 3 10]]*(1+Tabla16[[#This Row],[CAMBIO PORCENTUAL EN UNIDADES VENDIDAS AÑO 4 10 ]])</f>
        <v>0</v>
      </c>
      <c r="GL108" s="112">
        <f>VLOOKUP(Tabla16[[#This Row],[CÓDIGO DEL PRODUCTO Y/O SERVICIO ]],Tabla3[],21)</f>
        <v>0</v>
      </c>
      <c r="GM108" s="114">
        <f>Tabla16[[#This Row],[CANTIDADES A UTILIZAR EN EL AÑO 4 10]]*(1+Tabla16[[#This Row],[CAMBIO PORCENTUAL EN UNIDADES VENDIDAS AÑO 5 10]])</f>
        <v>0</v>
      </c>
      <c r="GN108" s="345">
        <f>IF(Tabla16[[#This Row],[CANTIDADES A UTILIZAR EN EL AÑO 1 10]]=0,0,Tabla16[[#This Row],[CANTIDADES A UTILIZAR EN EL AÑO 1 10]]*1/Tabla16[[#This Row],[UNIDADES PRODUCIDAS AÑO 1 10]])</f>
        <v>0</v>
      </c>
      <c r="GO108" s="345">
        <f>$C$82*(1+BASES!$E$10)</f>
        <v>0</v>
      </c>
      <c r="GP108" s="345">
        <f>Tabla16[[#This Row],[COSTO UNITARIO AÑO 2 10]]*(1+BASES!$F$10)</f>
        <v>0</v>
      </c>
      <c r="GQ108" s="345">
        <f>Tabla16[[#This Row],[COSTO UNITARIO AÑO 3 10]]*(1+BASES!$G$10)</f>
        <v>0</v>
      </c>
      <c r="GR108" s="345">
        <f>Tabla16[[#This Row],[COSTO UNITARIO AÑO 4 10]]*(1+BASES!$H$10)</f>
        <v>0</v>
      </c>
      <c r="GS108" s="345">
        <f>Tabla16[[#This Row],[COSTO POR UNIDAD DE PRODUCTO (10) ]]*C83*VLOOKUP(Tabla16[[#This Row],[CÓDIGO DEL PRODUCTO Y/O SERVICIO ]],Tabla3[],3)</f>
        <v>0</v>
      </c>
      <c r="GT108" s="345">
        <f>Tabla16[[#This Row],[COSTO POR UNIDAD DE PRODUCTO (10) ]]*Tabla16[[#This Row],[COSTO UNITARIO AÑO 2 10]]*VLOOKUP(Tabla16[[#This Row],[CÓDIGO DEL PRODUCTO Y/O SERVICIO ]],Tabla3[],6)</f>
        <v>0</v>
      </c>
      <c r="GU108" s="345">
        <f>Tabla16[[#This Row],[COSTO POR UNIDAD DE PRODUCTO (10) ]]*Tabla16[[#This Row],[COSTO UNITARIO AÑO 3 10]]*VLOOKUP(Tabla16[[#This Row],[CÓDIGO DEL PRODUCTO Y/O SERVICIO ]],Tabla3[],10)</f>
        <v>0</v>
      </c>
      <c r="GV108" s="345">
        <f>Tabla16[[#This Row],[COSTO POR UNIDAD DE PRODUCTO (10) ]]*Tabla16[[#This Row],[COSTO UNITARIO AÑO 4 10]]*VLOOKUP(Tabla16[[#This Row],[CÓDIGO DEL PRODUCTO Y/O SERVICIO ]],Tabla3[],14)</f>
        <v>0</v>
      </c>
      <c r="GW108" s="345">
        <f>Tabla16[[#This Row],[COSTO POR UNIDAD DE PRODUCTO (10) ]]*Tabla16[[#This Row],[COSTO UNITARIO AÑO 5 10]]*VLOOKUP(Tabla16[[#This Row],[CÓDIGO DEL PRODUCTO Y/O SERVICIO ]],Tabla3[],18)</f>
        <v>0</v>
      </c>
      <c r="GX108" s="382">
        <f>Tabla16[[#This Row],[AÑO 1 10]]+Tabla16[[#This Row],[AÑO 1 9]]+Tabla16[[#This Row],[AÑO 1 8]]+Tabla16[[#This Row],[AÑO 1 7]]+Tabla16[[#This Row],[AÑO 1 6]]+Tabla16[[#This Row],[AÑO 1 5]]+Tabla16[[#This Row],[AÑO 1 4]]+Tabla16[[#This Row],[AÑO 1 3]]+Tabla16[[#This Row],[AÑO 1 2]]+Tabla16[[#This Row],[AÑO 1 1]]</f>
        <v>0</v>
      </c>
      <c r="GY108" s="382">
        <f>Tabla16[[#This Row],[AÑO 2 10]]+Tabla16[[#This Row],[AÑO 2 9]]+Tabla16[[#This Row],[AÑO 2 8]]+Tabla16[[#This Row],[AÑO 2 7]]+Tabla16[[#This Row],[AÑO 2 6]]+Tabla16[[#This Row],[AÑO 2 5]]+Tabla16[[#This Row],[AÑO 2 4]]+Tabla16[[#This Row],[AÑO 2 3]]+Tabla16[[#This Row],[AÑO 2 2]]+Tabla16[[#This Row],[AÑO 2 1]]</f>
        <v>0</v>
      </c>
      <c r="GZ108" s="382">
        <f>Tabla16[[#This Row],[AÑO 3 10]]+Tabla16[[#This Row],[AÑO 3 9]]+Tabla16[[#This Row],[AÑO 3 8]]+Tabla16[[#This Row],[AÑO 3 7]]+Tabla16[[#This Row],[AÑO 3 6]]+Tabla16[[#This Row],[AÑO 3 5]]+Tabla16[[#This Row],[AÑO 3 4]]+Tabla16[[#This Row],[AÑO 3 3]]+Tabla16[[#This Row],[AÑO 3 2]]+Tabla16[[#This Row],[AÑO 3 1]]</f>
        <v>0</v>
      </c>
      <c r="HA108" s="382">
        <f>Tabla16[[#This Row],[AÑO 4 10]]+Tabla16[[#This Row],[AÑO 4 9]]+Tabla16[[#This Row],[AÑO 4 8]]+Tabla16[[#This Row],[AÑO 4 7]]+Tabla16[[#This Row],[AÑO 4 6]]+Tabla16[[#This Row],[AÑO 4 5]]+Tabla16[[#This Row],[AÑO 4 4 ]]+Tabla16[[#This Row],[AÑO 4 3]]+Tabla16[[#This Row],[AÑO 4 2]]+Tabla16[[#This Row],[AÑO 4 1]]</f>
        <v>0</v>
      </c>
      <c r="HB108" s="382">
        <f>Tabla16[[#This Row],[AÑO 5 10]]+Tabla16[[#This Row],[AÑO 5 9]]+Tabla16[[#This Row],[AÑO 5 8]]+Tabla16[[#This Row],[AÑO 5 7]]+Tabla16[[#This Row],[AÑO 5 6]]+Tabla16[[#This Row],[AÑO 5 5]]+Tabla16[[#This Row],[AÑO 5 4]]+Tabla16[[#This Row],[AÑO 5 3]]+Tabla16[[#This Row],[AÑO 5 2]]+Tabla16[[#This Row],[AÑO 5 1]]</f>
        <v>0</v>
      </c>
    </row>
    <row r="109" spans="3:210" x14ac:dyDescent="0.25">
      <c r="C109" s="331"/>
      <c r="D109" s="331"/>
    </row>
    <row r="110" spans="3:210" x14ac:dyDescent="0.25">
      <c r="C110" s="331"/>
      <c r="D110" s="331"/>
    </row>
    <row r="111" spans="3:210" x14ac:dyDescent="0.25">
      <c r="C111" s="331"/>
      <c r="D111" s="331"/>
    </row>
    <row r="112" spans="3:210" x14ac:dyDescent="0.25">
      <c r="C112" s="331"/>
      <c r="D112" s="331"/>
    </row>
    <row r="113" spans="2:205" x14ac:dyDescent="0.25">
      <c r="C113" s="331"/>
      <c r="D113" s="331"/>
    </row>
    <row r="114" spans="2:205" x14ac:dyDescent="0.25">
      <c r="C114" s="331"/>
      <c r="D114" s="331"/>
    </row>
    <row r="115" spans="2:205" x14ac:dyDescent="0.25">
      <c r="C115" s="331"/>
      <c r="D115" s="331"/>
    </row>
    <row r="116" spans="2:205" x14ac:dyDescent="0.25">
      <c r="C116" s="331"/>
      <c r="D116" s="331"/>
    </row>
    <row r="117" spans="2:205" x14ac:dyDescent="0.25">
      <c r="C117" s="331"/>
      <c r="D117" s="331"/>
    </row>
    <row r="118" spans="2:205" x14ac:dyDescent="0.25">
      <c r="C118" s="331"/>
      <c r="D118" s="331"/>
    </row>
    <row r="119" spans="2:205" s="7" customFormat="1" ht="15.75" hidden="1" x14ac:dyDescent="0.25">
      <c r="C119" s="380"/>
      <c r="D119" s="380"/>
      <c r="U119" s="381">
        <f>SUM(Tabla16[AÑO 1 1])</f>
        <v>0</v>
      </c>
      <c r="V119" s="381">
        <f>SUM(Tabla16[AÑO 2 1])</f>
        <v>0</v>
      </c>
      <c r="W119" s="381">
        <f>SUM(Tabla16[AÑO 3 1])</f>
        <v>0</v>
      </c>
      <c r="X119" s="381">
        <f>SUM(Tabla16[AÑO 4 1])</f>
        <v>0</v>
      </c>
      <c r="Y119" s="381">
        <f>SUM(Tabla16[AÑO 5 1])</f>
        <v>0</v>
      </c>
      <c r="AO119" s="381">
        <f>SUM(Tabla16[AÑO 1 2])</f>
        <v>0</v>
      </c>
      <c r="AP119" s="381">
        <f>SUM(Tabla16[AÑO 2 2])</f>
        <v>0</v>
      </c>
      <c r="AQ119" s="381">
        <f>SUM(Tabla16[AÑO 3 2])</f>
        <v>0</v>
      </c>
      <c r="AR119" s="381">
        <f>SUM(Tabla16[AÑO 4 2])</f>
        <v>0</v>
      </c>
      <c r="AS119" s="381">
        <f>SUM(Tabla16[AÑO 5 2])</f>
        <v>0</v>
      </c>
      <c r="BI119" s="381">
        <f>SUM(Tabla16[AÑO 1 3])</f>
        <v>0</v>
      </c>
      <c r="BJ119" s="381">
        <f>SUM(Tabla16[AÑO 2 3])</f>
        <v>0</v>
      </c>
      <c r="BK119" s="381">
        <f>SUM(Tabla16[AÑO 3 3])</f>
        <v>0</v>
      </c>
      <c r="BL119" s="381">
        <f>SUM(Tabla16[AÑO 4 3])</f>
        <v>0</v>
      </c>
      <c r="BM119" s="381">
        <f>SUM(Tabla16[AÑO 5 3])</f>
        <v>0</v>
      </c>
      <c r="CC119" s="381">
        <f>SUM(Tabla16[AÑO 1 4])</f>
        <v>0</v>
      </c>
      <c r="CD119" s="381">
        <f>SUM(Tabla16[AÑO 2 4])</f>
        <v>0</v>
      </c>
      <c r="CE119" s="381">
        <f>SUM(Tabla16[AÑO 3 4])</f>
        <v>0</v>
      </c>
      <c r="CF119" s="381">
        <f>SUM(Tabla16[[AÑO 4 4 ]])</f>
        <v>0</v>
      </c>
      <c r="CG119" s="381">
        <f>SUM(Tabla16[AÑO 5 4])</f>
        <v>0</v>
      </c>
      <c r="CW119" s="381">
        <f>SUM(Tabla16[AÑO 1 5])</f>
        <v>0</v>
      </c>
      <c r="CX119" s="381">
        <f>SUM(Tabla16[AÑO 2 5])</f>
        <v>0</v>
      </c>
      <c r="CY119" s="381">
        <f>SUM(Tabla16[AÑO 3 5])</f>
        <v>0</v>
      </c>
      <c r="CZ119" s="381">
        <f>SUM(Tabla16[AÑO 4 5])</f>
        <v>0</v>
      </c>
      <c r="DA119" s="381">
        <f>SUM(Tabla16[AÑO 5 5])</f>
        <v>0</v>
      </c>
      <c r="DQ119" s="381">
        <f>SUM(Tabla16[AÑO 1 6])</f>
        <v>0</v>
      </c>
      <c r="DR119" s="381">
        <f>SUM(Tabla16[AÑO 2 6])</f>
        <v>0</v>
      </c>
      <c r="DS119" s="381">
        <f>SUM(Tabla16[AÑO 3 6])</f>
        <v>0</v>
      </c>
      <c r="DT119" s="381">
        <f>SUM(Tabla16[AÑO 4 6])</f>
        <v>0</v>
      </c>
      <c r="DU119" s="381">
        <f>SUM(Tabla16[AÑO 5 6])</f>
        <v>0</v>
      </c>
      <c r="EK119" s="381">
        <f>SUM(Tabla16[AÑO 1 7])</f>
        <v>0</v>
      </c>
      <c r="EL119" s="381">
        <f>SUM(Tabla16[AÑO 2 7])</f>
        <v>0</v>
      </c>
      <c r="EM119" s="381">
        <f>SUM(Tabla16[AÑO 3 7])</f>
        <v>0</v>
      </c>
      <c r="EN119" s="381">
        <f>SUM(Tabla16[AÑO 4 7])</f>
        <v>0</v>
      </c>
      <c r="EO119" s="381">
        <f>SUM(Tabla16[AÑO 5 7])</f>
        <v>0</v>
      </c>
      <c r="FE119" s="381">
        <f>SUM(Tabla16[AÑO 1 8])</f>
        <v>0</v>
      </c>
      <c r="FF119" s="381">
        <f>SUM(Tabla16[AÑO 2 8])</f>
        <v>0</v>
      </c>
      <c r="FG119" s="381">
        <f>SUM(Tabla16[AÑO 3 8])</f>
        <v>0</v>
      </c>
      <c r="FH119" s="381">
        <f>SUM(Tabla16[AÑO 4 8])</f>
        <v>0</v>
      </c>
      <c r="FI119" s="381">
        <f>SUM(Tabla16[AÑO 5 8])</f>
        <v>0</v>
      </c>
      <c r="FY119" s="381">
        <f>SUM(Tabla16[AÑO 1 9])</f>
        <v>0</v>
      </c>
      <c r="FZ119" s="381">
        <f>SUM(Tabla16[AÑO 2 9])</f>
        <v>0</v>
      </c>
      <c r="GA119" s="381">
        <f>SUM(Tabla16[AÑO 3 9])</f>
        <v>0</v>
      </c>
      <c r="GB119" s="381">
        <f>SUM(Tabla16[AÑO 4 9])</f>
        <v>0</v>
      </c>
      <c r="GC119" s="381">
        <f>SUM(Tabla16[AÑO 5 9])</f>
        <v>0</v>
      </c>
      <c r="GS119" s="381">
        <f>SUM(Tabla16[AÑO 1 10])</f>
        <v>0</v>
      </c>
      <c r="GT119" s="381">
        <f>SUM(Tabla16[AÑO 2 10])</f>
        <v>0</v>
      </c>
      <c r="GU119" s="381">
        <f>SUM(Tabla16[AÑO 3 10])</f>
        <v>0</v>
      </c>
      <c r="GV119" s="381">
        <f>SUM(Tabla16[AÑO 4 10])</f>
        <v>0</v>
      </c>
      <c r="GW119" s="381">
        <f>SUM(Tabla16[AÑO 5 10])</f>
        <v>0</v>
      </c>
    </row>
    <row r="120" spans="2:205" s="7" customFormat="1" ht="15.75" x14ac:dyDescent="0.25">
      <c r="C120" s="380"/>
      <c r="D120" s="380"/>
      <c r="U120" s="381"/>
      <c r="V120" s="381"/>
      <c r="W120" s="381"/>
      <c r="X120" s="381"/>
      <c r="Y120" s="381"/>
      <c r="AO120" s="381"/>
      <c r="AP120" s="381"/>
      <c r="AQ120" s="381"/>
      <c r="AR120" s="381"/>
      <c r="AS120" s="381"/>
      <c r="BI120" s="381"/>
      <c r="BJ120" s="381"/>
      <c r="BK120" s="381"/>
      <c r="BL120" s="381"/>
      <c r="BM120" s="381"/>
      <c r="CC120" s="381"/>
      <c r="CD120" s="381"/>
      <c r="CE120" s="381"/>
      <c r="CF120" s="381"/>
      <c r="CG120" s="381"/>
      <c r="CW120" s="381"/>
      <c r="CX120" s="381"/>
      <c r="CY120" s="381"/>
      <c r="CZ120" s="381"/>
      <c r="DA120" s="381"/>
      <c r="DQ120" s="381"/>
      <c r="DR120" s="381"/>
      <c r="DS120" s="381"/>
      <c r="DT120" s="381"/>
      <c r="DU120" s="381"/>
      <c r="EK120" s="381"/>
      <c r="EL120" s="381"/>
      <c r="EM120" s="381"/>
      <c r="EN120" s="381"/>
      <c r="EO120" s="381"/>
      <c r="FE120" s="381"/>
      <c r="FF120" s="381"/>
      <c r="FG120" s="381"/>
      <c r="FH120" s="381"/>
      <c r="FI120" s="381"/>
      <c r="FY120" s="381"/>
      <c r="FZ120" s="381"/>
      <c r="GA120" s="381"/>
      <c r="GB120" s="381"/>
      <c r="GC120" s="381"/>
      <c r="GS120" s="381"/>
      <c r="GT120" s="381"/>
      <c r="GU120" s="381"/>
      <c r="GV120" s="381"/>
      <c r="GW120" s="381"/>
    </row>
    <row r="121" spans="2:205" x14ac:dyDescent="0.25">
      <c r="C121" s="331"/>
      <c r="D121" s="331"/>
    </row>
    <row r="122" spans="2:205" x14ac:dyDescent="0.25">
      <c r="C122" s="331"/>
      <c r="D122" s="331"/>
    </row>
    <row r="123" spans="2:205" x14ac:dyDescent="0.25">
      <c r="C123" s="331"/>
      <c r="D123" s="331"/>
    </row>
    <row r="124" spans="2:205" x14ac:dyDescent="0.25">
      <c r="C124" s="331"/>
      <c r="D124" s="331"/>
    </row>
    <row r="125" spans="2:205" x14ac:dyDescent="0.25">
      <c r="C125" s="331"/>
      <c r="D125" s="331"/>
    </row>
    <row r="126" spans="2:205" x14ac:dyDescent="0.25">
      <c r="C126" s="331"/>
      <c r="D126" s="331"/>
    </row>
    <row r="127" spans="2:205" ht="15.75" x14ac:dyDescent="0.25">
      <c r="B127" s="69" t="s">
        <v>651</v>
      </c>
      <c r="C127" s="368" t="s">
        <v>440</v>
      </c>
      <c r="D127" s="331"/>
    </row>
    <row r="128" spans="2:205" ht="15.75" x14ac:dyDescent="0.25">
      <c r="B128" s="334"/>
      <c r="C128" s="365"/>
      <c r="D128" s="331"/>
    </row>
    <row r="129" spans="2:15" ht="15.75" x14ac:dyDescent="0.25">
      <c r="B129" s="337"/>
      <c r="C129" s="366"/>
      <c r="D129" s="331"/>
    </row>
    <row r="130" spans="2:15" ht="15.75" x14ac:dyDescent="0.25">
      <c r="B130" s="337"/>
      <c r="C130" s="366"/>
      <c r="D130" s="331"/>
    </row>
    <row r="131" spans="2:15" ht="15.75" x14ac:dyDescent="0.25">
      <c r="B131" s="337"/>
      <c r="C131" s="366"/>
      <c r="D131" s="331"/>
    </row>
    <row r="132" spans="2:15" ht="15.75" x14ac:dyDescent="0.25">
      <c r="B132" s="337"/>
      <c r="C132" s="366"/>
      <c r="D132" s="331"/>
    </row>
    <row r="133" spans="2:15" ht="15.75" x14ac:dyDescent="0.25">
      <c r="B133" s="337"/>
      <c r="C133" s="366"/>
      <c r="D133" s="331"/>
    </row>
    <row r="134" spans="2:15" ht="15.75" x14ac:dyDescent="0.25">
      <c r="B134" s="337"/>
      <c r="C134" s="366"/>
      <c r="D134" s="331"/>
    </row>
    <row r="135" spans="2:15" ht="15.75" x14ac:dyDescent="0.25">
      <c r="B135" s="337"/>
      <c r="C135" s="366"/>
      <c r="D135" s="331"/>
    </row>
    <row r="136" spans="2:15" ht="15.75" x14ac:dyDescent="0.25">
      <c r="B136" s="337"/>
      <c r="C136" s="366"/>
      <c r="D136" s="331"/>
    </row>
    <row r="137" spans="2:15" ht="15.75" x14ac:dyDescent="0.25">
      <c r="B137" s="340"/>
      <c r="C137" s="367"/>
      <c r="D137" s="331"/>
    </row>
    <row r="138" spans="2:15" x14ac:dyDescent="0.25">
      <c r="C138" s="331"/>
      <c r="D138" s="331"/>
    </row>
    <row r="139" spans="2:15" x14ac:dyDescent="0.25">
      <c r="C139" s="331"/>
      <c r="D139" s="331"/>
    </row>
    <row r="140" spans="2:15" x14ac:dyDescent="0.25">
      <c r="C140" s="331"/>
      <c r="D140" s="331"/>
    </row>
    <row r="141" spans="2:15" x14ac:dyDescent="0.25">
      <c r="C141" s="331"/>
      <c r="D141" s="331"/>
    </row>
    <row r="142" spans="2:15" x14ac:dyDescent="0.25">
      <c r="C142" s="331"/>
      <c r="D142" s="331"/>
    </row>
    <row r="143" spans="2:15" ht="15.75" x14ac:dyDescent="0.25">
      <c r="C143" s="331"/>
      <c r="D143" s="331"/>
      <c r="F143" s="608" t="s">
        <v>650</v>
      </c>
      <c r="G143" s="608"/>
      <c r="H143" s="608"/>
      <c r="I143" s="608"/>
      <c r="J143" s="608"/>
      <c r="K143" s="608"/>
      <c r="L143" s="608"/>
      <c r="M143" s="608"/>
      <c r="N143" s="608"/>
      <c r="O143" s="608"/>
    </row>
    <row r="144" spans="2:15" ht="15.75" x14ac:dyDescent="0.25">
      <c r="C144" s="368" t="s">
        <v>437</v>
      </c>
      <c r="D144" s="368" t="s">
        <v>438</v>
      </c>
      <c r="E144" s="52"/>
      <c r="F144" s="375" cm="1">
        <f t="array" ref="F144:O144">TRANSPOSE(Tabla13[COSTO INDIRECTO])</f>
        <v>0</v>
      </c>
      <c r="G144" s="375">
        <v>0</v>
      </c>
      <c r="H144" s="375">
        <v>0</v>
      </c>
      <c r="I144" s="375">
        <v>0</v>
      </c>
      <c r="J144" s="375">
        <v>0</v>
      </c>
      <c r="K144" s="375">
        <v>0</v>
      </c>
      <c r="L144" s="375">
        <v>0</v>
      </c>
      <c r="M144" s="375">
        <v>0</v>
      </c>
      <c r="N144" s="375">
        <v>0</v>
      </c>
      <c r="O144" s="375">
        <v>0</v>
      </c>
    </row>
    <row r="145" spans="3:15" ht="15.75" x14ac:dyDescent="0.25">
      <c r="C145" s="436">
        <v>0</v>
      </c>
      <c r="D145" s="369" t="str">
        <f>VLOOKUP(Tabla14[[#This Row],[CÓDIGO DEL PRODUCTO Y/O SERVICIO ]],Tabla3[],2,0)</f>
        <v xml:space="preserve">Seleccionar producto o servicio </v>
      </c>
      <c r="E145" s="104"/>
      <c r="F145" s="71"/>
      <c r="G145" s="71"/>
      <c r="H145" s="71"/>
      <c r="I145" s="71"/>
      <c r="J145" s="71"/>
      <c r="K145" s="71"/>
      <c r="L145" s="71"/>
      <c r="M145" s="71"/>
      <c r="N145" s="71"/>
      <c r="O145" s="71"/>
    </row>
    <row r="146" spans="3:15" ht="15.75" x14ac:dyDescent="0.25">
      <c r="C146" s="362"/>
      <c r="D146" s="369" t="str">
        <f>VLOOKUP(Tabla14[[#This Row],[CÓDIGO DEL PRODUCTO Y/O SERVICIO ]],Tabla3[],2,0)</f>
        <v xml:space="preserve">Seleccionar producto o servicio </v>
      </c>
      <c r="E146" s="104"/>
      <c r="F146" s="71"/>
      <c r="G146" s="71"/>
      <c r="H146" s="71"/>
      <c r="I146" s="71"/>
      <c r="J146" s="71"/>
      <c r="K146" s="71"/>
      <c r="L146" s="71"/>
      <c r="M146" s="71"/>
      <c r="N146" s="71"/>
      <c r="O146" s="71"/>
    </row>
    <row r="147" spans="3:15" x14ac:dyDescent="0.25">
      <c r="C147" s="331"/>
      <c r="D147" s="331"/>
    </row>
    <row r="148" spans="3:15" x14ac:dyDescent="0.25">
      <c r="C148" s="331"/>
      <c r="D148" s="331"/>
    </row>
    <row r="149" spans="3:15" x14ac:dyDescent="0.25">
      <c r="C149" s="331"/>
      <c r="D149" s="331"/>
    </row>
    <row r="150" spans="3:15" x14ac:dyDescent="0.25">
      <c r="C150" s="331"/>
      <c r="D150" s="331"/>
    </row>
    <row r="151" spans="3:15" x14ac:dyDescent="0.25">
      <c r="C151" s="331"/>
      <c r="D151" s="331"/>
    </row>
    <row r="152" spans="3:15" x14ac:dyDescent="0.25">
      <c r="C152" s="331"/>
      <c r="D152" s="331"/>
    </row>
    <row r="153" spans="3:15" x14ac:dyDescent="0.25">
      <c r="C153" s="331"/>
      <c r="D153" s="331"/>
    </row>
    <row r="154" spans="3:15" x14ac:dyDescent="0.25">
      <c r="C154" s="331"/>
      <c r="D154" s="331"/>
    </row>
    <row r="155" spans="3:15" x14ac:dyDescent="0.25">
      <c r="C155" s="331"/>
      <c r="D155" s="331"/>
    </row>
    <row r="156" spans="3:15" x14ac:dyDescent="0.25">
      <c r="C156" s="331"/>
      <c r="D156" s="331"/>
    </row>
    <row r="157" spans="3:15" x14ac:dyDescent="0.25">
      <c r="C157" s="331"/>
      <c r="D157" s="331"/>
    </row>
    <row r="158" spans="3:15" x14ac:dyDescent="0.25">
      <c r="C158" s="331"/>
      <c r="D158" s="331"/>
    </row>
    <row r="159" spans="3:15" x14ac:dyDescent="0.25">
      <c r="C159" s="331"/>
      <c r="D159" s="331"/>
    </row>
    <row r="160" spans="3:15" ht="15.75" thickBot="1" x14ac:dyDescent="0.3">
      <c r="C160" s="331"/>
      <c r="D160" s="331"/>
    </row>
    <row r="161" spans="3:210" ht="16.5" thickBot="1" x14ac:dyDescent="0.3">
      <c r="C161" s="331"/>
      <c r="D161" s="331"/>
      <c r="F161" s="557">
        <f>B128</f>
        <v>0</v>
      </c>
      <c r="G161" s="558"/>
      <c r="H161" s="558"/>
      <c r="I161" s="558"/>
      <c r="J161" s="558"/>
      <c r="K161" s="558"/>
      <c r="L161" s="558"/>
      <c r="M161" s="558"/>
      <c r="N161" s="558"/>
      <c r="O161" s="558"/>
      <c r="P161" s="558"/>
      <c r="Q161" s="558"/>
      <c r="R161" s="558"/>
      <c r="S161" s="558"/>
      <c r="T161" s="558"/>
      <c r="U161" s="558"/>
      <c r="V161" s="558"/>
      <c r="W161" s="558"/>
      <c r="X161" s="558"/>
      <c r="Y161" s="559"/>
      <c r="Z161" s="553">
        <f>B129</f>
        <v>0</v>
      </c>
      <c r="AA161" s="554"/>
      <c r="AB161" s="554"/>
      <c r="AC161" s="554"/>
      <c r="AD161" s="554"/>
      <c r="AE161" s="554"/>
      <c r="AF161" s="554"/>
      <c r="AG161" s="554"/>
      <c r="AH161" s="554"/>
      <c r="AI161" s="554"/>
      <c r="AJ161" s="554"/>
      <c r="AK161" s="554"/>
      <c r="AL161" s="554"/>
      <c r="AM161" s="554"/>
      <c r="AN161" s="554"/>
      <c r="AO161" s="554"/>
      <c r="AP161" s="554"/>
      <c r="AQ161" s="554"/>
      <c r="AR161" s="554"/>
      <c r="AS161" s="565"/>
      <c r="AT161" s="624">
        <f>B130</f>
        <v>0</v>
      </c>
      <c r="AU161" s="625"/>
      <c r="AV161" s="625"/>
      <c r="AW161" s="625"/>
      <c r="AX161" s="625"/>
      <c r="AY161" s="625"/>
      <c r="AZ161" s="625"/>
      <c r="BA161" s="625"/>
      <c r="BB161" s="625"/>
      <c r="BC161" s="625"/>
      <c r="BD161" s="625"/>
      <c r="BE161" s="625"/>
      <c r="BF161" s="625"/>
      <c r="BG161" s="625"/>
      <c r="BH161" s="625"/>
      <c r="BI161" s="625"/>
      <c r="BJ161" s="625"/>
      <c r="BK161" s="625"/>
      <c r="BL161" s="625"/>
      <c r="BM161" s="626"/>
      <c r="BN161" s="553">
        <f>B131</f>
        <v>0</v>
      </c>
      <c r="BO161" s="554"/>
      <c r="BP161" s="554"/>
      <c r="BQ161" s="554"/>
      <c r="BR161" s="554"/>
      <c r="BS161" s="554"/>
      <c r="BT161" s="554"/>
      <c r="BU161" s="554"/>
      <c r="BV161" s="554"/>
      <c r="BW161" s="554"/>
      <c r="BX161" s="554"/>
      <c r="BY161" s="554"/>
      <c r="BZ161" s="554"/>
      <c r="CA161" s="554"/>
      <c r="CB161" s="554"/>
      <c r="CC161" s="554"/>
      <c r="CD161" s="554"/>
      <c r="CE161" s="554"/>
      <c r="CF161" s="554"/>
      <c r="CG161" s="565"/>
      <c r="CH161" s="557">
        <f>B132</f>
        <v>0</v>
      </c>
      <c r="CI161" s="558"/>
      <c r="CJ161" s="558"/>
      <c r="CK161" s="558"/>
      <c r="CL161" s="558"/>
      <c r="CM161" s="558"/>
      <c r="CN161" s="558"/>
      <c r="CO161" s="558"/>
      <c r="CP161" s="558"/>
      <c r="CQ161" s="558"/>
      <c r="CR161" s="558"/>
      <c r="CS161" s="558"/>
      <c r="CT161" s="558"/>
      <c r="CU161" s="558"/>
      <c r="CV161" s="558"/>
      <c r="CW161" s="558"/>
      <c r="CX161" s="558"/>
      <c r="CY161" s="558"/>
      <c r="CZ161" s="558"/>
      <c r="DA161" s="559"/>
      <c r="DB161" s="553">
        <f>B133</f>
        <v>0</v>
      </c>
      <c r="DC161" s="554"/>
      <c r="DD161" s="554"/>
      <c r="DE161" s="554"/>
      <c r="DF161" s="554"/>
      <c r="DG161" s="554"/>
      <c r="DH161" s="554"/>
      <c r="DI161" s="554"/>
      <c r="DJ161" s="554"/>
      <c r="DK161" s="554"/>
      <c r="DL161" s="554"/>
      <c r="DM161" s="554"/>
      <c r="DN161" s="554"/>
      <c r="DO161" s="554"/>
      <c r="DP161" s="554"/>
      <c r="DQ161" s="554"/>
      <c r="DR161" s="554"/>
      <c r="DS161" s="554"/>
      <c r="DT161" s="554"/>
      <c r="DU161" s="565"/>
      <c r="DV161" s="557">
        <f>B134</f>
        <v>0</v>
      </c>
      <c r="DW161" s="558"/>
      <c r="DX161" s="558"/>
      <c r="DY161" s="558"/>
      <c r="DZ161" s="558"/>
      <c r="EA161" s="558"/>
      <c r="EB161" s="558"/>
      <c r="EC161" s="558"/>
      <c r="ED161" s="558"/>
      <c r="EE161" s="558"/>
      <c r="EF161" s="558"/>
      <c r="EG161" s="558"/>
      <c r="EH161" s="558"/>
      <c r="EI161" s="558"/>
      <c r="EJ161" s="558"/>
      <c r="EK161" s="558"/>
      <c r="EL161" s="558"/>
      <c r="EM161" s="558"/>
      <c r="EN161" s="558"/>
      <c r="EO161" s="559"/>
      <c r="EP161" s="553">
        <f>B135</f>
        <v>0</v>
      </c>
      <c r="EQ161" s="554"/>
      <c r="ER161" s="554"/>
      <c r="ES161" s="554"/>
      <c r="ET161" s="554"/>
      <c r="EU161" s="554"/>
      <c r="EV161" s="554"/>
      <c r="EW161" s="554"/>
      <c r="EX161" s="554"/>
      <c r="EY161" s="554"/>
      <c r="EZ161" s="554"/>
      <c r="FA161" s="554"/>
      <c r="FB161" s="554"/>
      <c r="FC161" s="554"/>
      <c r="FD161" s="554"/>
      <c r="FE161" s="554"/>
      <c r="FF161" s="554"/>
      <c r="FG161" s="554"/>
      <c r="FH161" s="554"/>
      <c r="FI161" s="565"/>
      <c r="FJ161" s="557">
        <f>B136</f>
        <v>0</v>
      </c>
      <c r="FK161" s="558"/>
      <c r="FL161" s="558"/>
      <c r="FM161" s="558"/>
      <c r="FN161" s="558"/>
      <c r="FO161" s="558"/>
      <c r="FP161" s="558"/>
      <c r="FQ161" s="558"/>
      <c r="FR161" s="558"/>
      <c r="FS161" s="558"/>
      <c r="FT161" s="558"/>
      <c r="FU161" s="558"/>
      <c r="FV161" s="558"/>
      <c r="FW161" s="558"/>
      <c r="FX161" s="558"/>
      <c r="FY161" s="558"/>
      <c r="FZ161" s="558"/>
      <c r="GA161" s="558"/>
      <c r="GB161" s="558"/>
      <c r="GC161" s="559"/>
      <c r="GD161" s="553">
        <f>B137</f>
        <v>0</v>
      </c>
      <c r="GE161" s="554"/>
      <c r="GF161" s="554"/>
      <c r="GG161" s="554"/>
      <c r="GH161" s="554"/>
      <c r="GI161" s="554"/>
      <c r="GJ161" s="554"/>
      <c r="GK161" s="554"/>
      <c r="GL161" s="554"/>
      <c r="GM161" s="554"/>
      <c r="GN161" s="554"/>
      <c r="GO161" s="554"/>
      <c r="GP161" s="554"/>
      <c r="GQ161" s="554"/>
      <c r="GR161" s="554"/>
      <c r="GS161" s="554"/>
      <c r="GT161" s="554"/>
      <c r="GU161" s="554"/>
      <c r="GV161" s="554"/>
      <c r="GW161" s="554"/>
      <c r="GX161" s="549" t="s">
        <v>872</v>
      </c>
      <c r="GY161" s="549"/>
      <c r="GZ161" s="549"/>
      <c r="HA161" s="549"/>
      <c r="HB161" s="549"/>
    </row>
    <row r="162" spans="3:210" ht="15.75" x14ac:dyDescent="0.25">
      <c r="F162" s="376"/>
      <c r="G162" s="370"/>
      <c r="H162" s="370"/>
      <c r="I162" s="370"/>
      <c r="J162" s="370"/>
      <c r="K162" s="370"/>
      <c r="L162" s="370"/>
      <c r="M162" s="370"/>
      <c r="N162" s="370"/>
      <c r="O162" s="370"/>
      <c r="P162" s="566" t="s">
        <v>443</v>
      </c>
      <c r="Q162" s="566"/>
      <c r="R162" s="566"/>
      <c r="S162" s="566"/>
      <c r="T162" s="566"/>
      <c r="U162" s="566" t="s">
        <v>444</v>
      </c>
      <c r="V162" s="566"/>
      <c r="W162" s="566"/>
      <c r="X162" s="566"/>
      <c r="Y162" s="566"/>
      <c r="Z162" s="371"/>
      <c r="AA162" s="371"/>
      <c r="AB162" s="371"/>
      <c r="AC162" s="371"/>
      <c r="AD162" s="371"/>
      <c r="AE162" s="371"/>
      <c r="AF162" s="371"/>
      <c r="AG162" s="371"/>
      <c r="AH162" s="371"/>
      <c r="AI162" s="371"/>
      <c r="AJ162" s="551" t="s">
        <v>443</v>
      </c>
      <c r="AK162" s="551"/>
      <c r="AL162" s="551"/>
      <c r="AM162" s="551"/>
      <c r="AN162" s="551"/>
      <c r="AO162" s="551" t="s">
        <v>444</v>
      </c>
      <c r="AP162" s="551"/>
      <c r="AQ162" s="551"/>
      <c r="AR162" s="551"/>
      <c r="AS162" s="551"/>
      <c r="AT162" s="377"/>
      <c r="AU162" s="377"/>
      <c r="AV162" s="377"/>
      <c r="AW162" s="377"/>
      <c r="AX162" s="377"/>
      <c r="AY162" s="377"/>
      <c r="AZ162" s="377"/>
      <c r="BA162" s="377"/>
      <c r="BB162" s="377"/>
      <c r="BC162" s="377"/>
      <c r="BD162" s="623" t="s">
        <v>443</v>
      </c>
      <c r="BE162" s="623"/>
      <c r="BF162" s="623"/>
      <c r="BG162" s="623"/>
      <c r="BH162" s="623"/>
      <c r="BI162" s="623" t="s">
        <v>444</v>
      </c>
      <c r="BJ162" s="623"/>
      <c r="BK162" s="623"/>
      <c r="BL162" s="623"/>
      <c r="BM162" s="623"/>
      <c r="BN162" s="371"/>
      <c r="BO162" s="371"/>
      <c r="BP162" s="371"/>
      <c r="BQ162" s="371"/>
      <c r="BR162" s="371"/>
      <c r="BS162" s="371"/>
      <c r="BT162" s="371"/>
      <c r="BU162" s="371"/>
      <c r="BV162" s="371"/>
      <c r="BW162" s="371"/>
      <c r="BX162" s="551" t="s">
        <v>443</v>
      </c>
      <c r="BY162" s="551"/>
      <c r="BZ162" s="551"/>
      <c r="CA162" s="551"/>
      <c r="CB162" s="551"/>
      <c r="CC162" s="551" t="s">
        <v>444</v>
      </c>
      <c r="CD162" s="551"/>
      <c r="CE162" s="551"/>
      <c r="CF162" s="551"/>
      <c r="CG162" s="551"/>
      <c r="CH162" s="370"/>
      <c r="CI162" s="370"/>
      <c r="CJ162" s="370"/>
      <c r="CK162" s="370"/>
      <c r="CL162" s="370"/>
      <c r="CM162" s="370"/>
      <c r="CN162" s="370"/>
      <c r="CO162" s="370"/>
      <c r="CP162" s="370"/>
      <c r="CQ162" s="370"/>
      <c r="CR162" s="566" t="s">
        <v>443</v>
      </c>
      <c r="CS162" s="566"/>
      <c r="CT162" s="566"/>
      <c r="CU162" s="566"/>
      <c r="CV162" s="566"/>
      <c r="CW162" s="566" t="s">
        <v>444</v>
      </c>
      <c r="CX162" s="566"/>
      <c r="CY162" s="566"/>
      <c r="CZ162" s="566"/>
      <c r="DA162" s="566"/>
      <c r="DB162" s="371"/>
      <c r="DC162" s="371"/>
      <c r="DD162" s="371"/>
      <c r="DE162" s="371"/>
      <c r="DF162" s="371"/>
      <c r="DG162" s="371"/>
      <c r="DH162" s="371"/>
      <c r="DI162" s="371"/>
      <c r="DJ162" s="371"/>
      <c r="DK162" s="371"/>
      <c r="DL162" s="551" t="s">
        <v>443</v>
      </c>
      <c r="DM162" s="551"/>
      <c r="DN162" s="551"/>
      <c r="DO162" s="551"/>
      <c r="DP162" s="551"/>
      <c r="DQ162" s="551" t="s">
        <v>444</v>
      </c>
      <c r="DR162" s="551"/>
      <c r="DS162" s="551"/>
      <c r="DT162" s="551"/>
      <c r="DU162" s="551"/>
      <c r="DV162" s="370"/>
      <c r="DW162" s="370"/>
      <c r="DX162" s="370"/>
      <c r="DY162" s="370"/>
      <c r="DZ162" s="370"/>
      <c r="EA162" s="370"/>
      <c r="EB162" s="370"/>
      <c r="EC162" s="370"/>
      <c r="ED162" s="370"/>
      <c r="EE162" s="370"/>
      <c r="EF162" s="566" t="s">
        <v>443</v>
      </c>
      <c r="EG162" s="566"/>
      <c r="EH162" s="566"/>
      <c r="EI162" s="566"/>
      <c r="EJ162" s="566"/>
      <c r="EK162" s="566" t="s">
        <v>444</v>
      </c>
      <c r="EL162" s="566"/>
      <c r="EM162" s="566"/>
      <c r="EN162" s="566"/>
      <c r="EO162" s="566"/>
      <c r="EP162" s="371"/>
      <c r="EQ162" s="371"/>
      <c r="ER162" s="371"/>
      <c r="ES162" s="371"/>
      <c r="ET162" s="371"/>
      <c r="EU162" s="371"/>
      <c r="EV162" s="371"/>
      <c r="EW162" s="371"/>
      <c r="EX162" s="371"/>
      <c r="EY162" s="371"/>
      <c r="EZ162" s="551" t="s">
        <v>443</v>
      </c>
      <c r="FA162" s="551"/>
      <c r="FB162" s="551"/>
      <c r="FC162" s="551"/>
      <c r="FD162" s="551"/>
      <c r="FE162" s="551" t="s">
        <v>444</v>
      </c>
      <c r="FF162" s="551"/>
      <c r="FG162" s="551"/>
      <c r="FH162" s="551"/>
      <c r="FI162" s="551"/>
      <c r="FJ162" s="370"/>
      <c r="FK162" s="370"/>
      <c r="FL162" s="370"/>
      <c r="FM162" s="370"/>
      <c r="FN162" s="370"/>
      <c r="FO162" s="370"/>
      <c r="FP162" s="370"/>
      <c r="FQ162" s="370"/>
      <c r="FR162" s="370"/>
      <c r="FS162" s="370"/>
      <c r="FT162" s="566" t="s">
        <v>443</v>
      </c>
      <c r="FU162" s="566"/>
      <c r="FV162" s="566"/>
      <c r="FW162" s="566"/>
      <c r="FX162" s="566"/>
      <c r="FY162" s="566" t="s">
        <v>444</v>
      </c>
      <c r="FZ162" s="566"/>
      <c r="GA162" s="566"/>
      <c r="GB162" s="566"/>
      <c r="GC162" s="566"/>
      <c r="GD162" s="371"/>
      <c r="GE162" s="371"/>
      <c r="GF162" s="371"/>
      <c r="GG162" s="371"/>
      <c r="GH162" s="371"/>
      <c r="GI162" s="371"/>
      <c r="GJ162" s="371"/>
      <c r="GK162" s="371"/>
      <c r="GL162" s="371"/>
      <c r="GM162" s="371"/>
      <c r="GN162" s="551" t="s">
        <v>560</v>
      </c>
      <c r="GO162" s="551"/>
      <c r="GP162" s="551"/>
      <c r="GQ162" s="551"/>
      <c r="GR162" s="551"/>
      <c r="GS162" s="551" t="s">
        <v>444</v>
      </c>
      <c r="GT162" s="551"/>
      <c r="GU162" s="551"/>
      <c r="GV162" s="551"/>
      <c r="GW162" s="552"/>
      <c r="GX162" s="549"/>
      <c r="GY162" s="549"/>
      <c r="GZ162" s="549"/>
      <c r="HA162" s="549"/>
      <c r="HB162" s="549"/>
    </row>
    <row r="163" spans="3:210" ht="45" customHeight="1" x14ac:dyDescent="0.25">
      <c r="C163" s="368" t="s">
        <v>437</v>
      </c>
      <c r="D163" s="368" t="s">
        <v>438</v>
      </c>
      <c r="E163" s="361" t="s">
        <v>442</v>
      </c>
      <c r="F163" s="372" t="s">
        <v>765</v>
      </c>
      <c r="G163" s="372" t="s">
        <v>653</v>
      </c>
      <c r="H163" s="372" t="s">
        <v>766</v>
      </c>
      <c r="I163" s="372" t="s">
        <v>767</v>
      </c>
      <c r="J163" s="372" t="s">
        <v>768</v>
      </c>
      <c r="K163" s="372" t="s">
        <v>769</v>
      </c>
      <c r="L163" s="372" t="s">
        <v>658</v>
      </c>
      <c r="M163" s="372" t="s">
        <v>770</v>
      </c>
      <c r="N163" s="372" t="s">
        <v>771</v>
      </c>
      <c r="O163" s="372" t="s">
        <v>772</v>
      </c>
      <c r="P163" s="372" t="s">
        <v>449</v>
      </c>
      <c r="Q163" s="372" t="s">
        <v>773</v>
      </c>
      <c r="R163" s="372" t="s">
        <v>774</v>
      </c>
      <c r="S163" s="372" t="s">
        <v>775</v>
      </c>
      <c r="T163" s="372" t="s">
        <v>776</v>
      </c>
      <c r="U163" s="372" t="s">
        <v>666</v>
      </c>
      <c r="V163" s="372" t="s">
        <v>777</v>
      </c>
      <c r="W163" s="372" t="s">
        <v>778</v>
      </c>
      <c r="X163" s="372" t="s">
        <v>779</v>
      </c>
      <c r="Y163" s="372" t="s">
        <v>780</v>
      </c>
      <c r="Z163" s="373" t="s">
        <v>457</v>
      </c>
      <c r="AA163" s="373" t="s">
        <v>781</v>
      </c>
      <c r="AB163" s="373" t="s">
        <v>782</v>
      </c>
      <c r="AC163" s="373" t="s">
        <v>783</v>
      </c>
      <c r="AD163" s="373" t="s">
        <v>784</v>
      </c>
      <c r="AE163" s="373" t="s">
        <v>785</v>
      </c>
      <c r="AF163" s="373" t="s">
        <v>677</v>
      </c>
      <c r="AG163" s="373" t="s">
        <v>678</v>
      </c>
      <c r="AH163" s="373" t="s">
        <v>679</v>
      </c>
      <c r="AI163" s="373" t="s">
        <v>786</v>
      </c>
      <c r="AJ163" s="373" t="s">
        <v>448</v>
      </c>
      <c r="AK163" s="373" t="s">
        <v>681</v>
      </c>
      <c r="AL163" s="373" t="s">
        <v>787</v>
      </c>
      <c r="AM163" s="373" t="s">
        <v>788</v>
      </c>
      <c r="AN163" s="373" t="s">
        <v>789</v>
      </c>
      <c r="AO163" s="373" t="s">
        <v>462</v>
      </c>
      <c r="AP163" s="373" t="s">
        <v>790</v>
      </c>
      <c r="AQ163" s="373" t="s">
        <v>791</v>
      </c>
      <c r="AR163" s="373" t="s">
        <v>792</v>
      </c>
      <c r="AS163" s="373" t="s">
        <v>793</v>
      </c>
      <c r="AT163" s="372" t="s">
        <v>466</v>
      </c>
      <c r="AU163" s="372" t="s">
        <v>467</v>
      </c>
      <c r="AV163" s="372" t="s">
        <v>468</v>
      </c>
      <c r="AW163" s="372" t="s">
        <v>689</v>
      </c>
      <c r="AX163" s="372" t="s">
        <v>690</v>
      </c>
      <c r="AY163" s="372" t="s">
        <v>470</v>
      </c>
      <c r="AZ163" s="372" t="s">
        <v>471</v>
      </c>
      <c r="BA163" s="372" t="s">
        <v>472</v>
      </c>
      <c r="BB163" s="372" t="s">
        <v>473</v>
      </c>
      <c r="BC163" s="372" t="s">
        <v>794</v>
      </c>
      <c r="BD163" s="372" t="s">
        <v>455</v>
      </c>
      <c r="BE163" s="372" t="s">
        <v>795</v>
      </c>
      <c r="BF163" s="372" t="s">
        <v>796</v>
      </c>
      <c r="BG163" s="372" t="s">
        <v>797</v>
      </c>
      <c r="BH163" s="372" t="s">
        <v>798</v>
      </c>
      <c r="BI163" s="372" t="s">
        <v>474</v>
      </c>
      <c r="BJ163" s="372" t="s">
        <v>475</v>
      </c>
      <c r="BK163" s="372" t="s">
        <v>799</v>
      </c>
      <c r="BL163" s="372" t="s">
        <v>800</v>
      </c>
      <c r="BM163" s="372" t="s">
        <v>801</v>
      </c>
      <c r="BN163" s="373" t="s">
        <v>802</v>
      </c>
      <c r="BO163" s="373" t="s">
        <v>702</v>
      </c>
      <c r="BP163" s="373" t="s">
        <v>478</v>
      </c>
      <c r="BQ163" s="373" t="s">
        <v>803</v>
      </c>
      <c r="BR163" s="373" t="s">
        <v>480</v>
      </c>
      <c r="BS163" s="373" t="s">
        <v>804</v>
      </c>
      <c r="BT163" s="373" t="s">
        <v>805</v>
      </c>
      <c r="BU163" s="373" t="s">
        <v>806</v>
      </c>
      <c r="BV163" s="373" t="s">
        <v>807</v>
      </c>
      <c r="BW163" s="373" t="s">
        <v>484</v>
      </c>
      <c r="BX163" s="373" t="s">
        <v>722</v>
      </c>
      <c r="BY163" s="373" t="s">
        <v>808</v>
      </c>
      <c r="BZ163" s="373" t="s">
        <v>809</v>
      </c>
      <c r="CA163" s="373" t="s">
        <v>810</v>
      </c>
      <c r="CB163" s="373" t="s">
        <v>811</v>
      </c>
      <c r="CC163" s="373" t="s">
        <v>812</v>
      </c>
      <c r="CD163" s="373" t="s">
        <v>813</v>
      </c>
      <c r="CE163" s="373" t="s">
        <v>814</v>
      </c>
      <c r="CF163" s="373" t="s">
        <v>708</v>
      </c>
      <c r="CG163" s="373" t="s">
        <v>815</v>
      </c>
      <c r="CH163" s="372" t="s">
        <v>709</v>
      </c>
      <c r="CI163" s="372" t="s">
        <v>492</v>
      </c>
      <c r="CJ163" s="372" t="s">
        <v>816</v>
      </c>
      <c r="CK163" s="372" t="s">
        <v>494</v>
      </c>
      <c r="CL163" s="372" t="s">
        <v>817</v>
      </c>
      <c r="CM163" s="372" t="s">
        <v>818</v>
      </c>
      <c r="CN163" s="372" t="s">
        <v>819</v>
      </c>
      <c r="CO163" s="372" t="s">
        <v>820</v>
      </c>
      <c r="CP163" s="372" t="s">
        <v>497</v>
      </c>
      <c r="CQ163" s="372" t="s">
        <v>821</v>
      </c>
      <c r="CR163" s="372" t="s">
        <v>491</v>
      </c>
      <c r="CS163" s="372" t="s">
        <v>500</v>
      </c>
      <c r="CT163" s="372" t="s">
        <v>501</v>
      </c>
      <c r="CU163" s="372" t="s">
        <v>502</v>
      </c>
      <c r="CV163" s="372" t="s">
        <v>822</v>
      </c>
      <c r="CW163" s="372" t="s">
        <v>503</v>
      </c>
      <c r="CX163" s="372" t="s">
        <v>499</v>
      </c>
      <c r="CY163" s="372" t="s">
        <v>823</v>
      </c>
      <c r="CZ163" s="372" t="s">
        <v>504</v>
      </c>
      <c r="DA163" s="372" t="s">
        <v>505</v>
      </c>
      <c r="DB163" s="373" t="s">
        <v>507</v>
      </c>
      <c r="DC163" s="373" t="s">
        <v>824</v>
      </c>
      <c r="DD163" s="373" t="s">
        <v>509</v>
      </c>
      <c r="DE163" s="373" t="s">
        <v>725</v>
      </c>
      <c r="DF163" s="373" t="s">
        <v>726</v>
      </c>
      <c r="DG163" s="373" t="s">
        <v>825</v>
      </c>
      <c r="DH163" s="373" t="s">
        <v>511</v>
      </c>
      <c r="DI163" s="373" t="s">
        <v>512</v>
      </c>
      <c r="DJ163" s="373" t="s">
        <v>513</v>
      </c>
      <c r="DK163" s="373" t="s">
        <v>826</v>
      </c>
      <c r="DL163" s="373" t="s">
        <v>506</v>
      </c>
      <c r="DM163" s="373" t="s">
        <v>515</v>
      </c>
      <c r="DN163" s="373" t="s">
        <v>516</v>
      </c>
      <c r="DO163" s="373" t="s">
        <v>827</v>
      </c>
      <c r="DP163" s="373" t="s">
        <v>517</v>
      </c>
      <c r="DQ163" s="373" t="s">
        <v>828</v>
      </c>
      <c r="DR163" s="373" t="s">
        <v>519</v>
      </c>
      <c r="DS163" s="373" t="s">
        <v>829</v>
      </c>
      <c r="DT163" s="373" t="s">
        <v>521</v>
      </c>
      <c r="DU163" s="373" t="s">
        <v>522</v>
      </c>
      <c r="DV163" s="372" t="s">
        <v>524</v>
      </c>
      <c r="DW163" s="372" t="s">
        <v>525</v>
      </c>
      <c r="DX163" s="372" t="s">
        <v>526</v>
      </c>
      <c r="DY163" s="372" t="s">
        <v>527</v>
      </c>
      <c r="DZ163" s="372" t="s">
        <v>830</v>
      </c>
      <c r="EA163" s="372" t="s">
        <v>831</v>
      </c>
      <c r="EB163" s="372" t="s">
        <v>529</v>
      </c>
      <c r="EC163" s="372" t="s">
        <v>530</v>
      </c>
      <c r="ED163" s="372" t="s">
        <v>531</v>
      </c>
      <c r="EE163" s="372" t="s">
        <v>532</v>
      </c>
      <c r="EF163" s="372" t="s">
        <v>523</v>
      </c>
      <c r="EG163" s="372" t="s">
        <v>533</v>
      </c>
      <c r="EH163" s="372" t="s">
        <v>832</v>
      </c>
      <c r="EI163" s="372" t="s">
        <v>833</v>
      </c>
      <c r="EJ163" s="372" t="s">
        <v>536</v>
      </c>
      <c r="EK163" s="372" t="s">
        <v>834</v>
      </c>
      <c r="EL163" s="372" t="s">
        <v>538</v>
      </c>
      <c r="EM163" s="372" t="s">
        <v>539</v>
      </c>
      <c r="EN163" s="372" t="s">
        <v>734</v>
      </c>
      <c r="EO163" s="372" t="s">
        <v>540</v>
      </c>
      <c r="EP163" s="373" t="s">
        <v>542</v>
      </c>
      <c r="EQ163" s="373" t="s">
        <v>835</v>
      </c>
      <c r="ER163" s="373" t="s">
        <v>836</v>
      </c>
      <c r="ES163" s="373" t="s">
        <v>545</v>
      </c>
      <c r="ET163" s="373" t="s">
        <v>837</v>
      </c>
      <c r="EU163" s="373" t="s">
        <v>547</v>
      </c>
      <c r="EV163" s="373" t="s">
        <v>548</v>
      </c>
      <c r="EW163" s="373" t="s">
        <v>549</v>
      </c>
      <c r="EX163" s="373" t="s">
        <v>838</v>
      </c>
      <c r="EY163" s="373" t="s">
        <v>737</v>
      </c>
      <c r="EZ163" s="373" t="s">
        <v>541</v>
      </c>
      <c r="FA163" s="373" t="s">
        <v>551</v>
      </c>
      <c r="FB163" s="373" t="s">
        <v>552</v>
      </c>
      <c r="FC163" s="373" t="s">
        <v>553</v>
      </c>
      <c r="FD163" s="373" t="s">
        <v>738</v>
      </c>
      <c r="FE163" s="373" t="s">
        <v>554</v>
      </c>
      <c r="FF163" s="373" t="s">
        <v>555</v>
      </c>
      <c r="FG163" s="373" t="s">
        <v>556</v>
      </c>
      <c r="FH163" s="373" t="s">
        <v>557</v>
      </c>
      <c r="FI163" s="373" t="s">
        <v>839</v>
      </c>
      <c r="FJ163" s="372" t="s">
        <v>561</v>
      </c>
      <c r="FK163" s="372" t="s">
        <v>562</v>
      </c>
      <c r="FL163" s="372" t="s">
        <v>840</v>
      </c>
      <c r="FM163" s="372" t="s">
        <v>841</v>
      </c>
      <c r="FN163" s="372" t="s">
        <v>842</v>
      </c>
      <c r="FO163" s="372" t="s">
        <v>843</v>
      </c>
      <c r="FP163" s="372" t="s">
        <v>566</v>
      </c>
      <c r="FQ163" s="372" t="s">
        <v>743</v>
      </c>
      <c r="FR163" s="372" t="s">
        <v>567</v>
      </c>
      <c r="FS163" s="372" t="s">
        <v>844</v>
      </c>
      <c r="FT163" s="372" t="s">
        <v>559</v>
      </c>
      <c r="FU163" s="372" t="s">
        <v>845</v>
      </c>
      <c r="FV163" s="372" t="s">
        <v>846</v>
      </c>
      <c r="FW163" s="372" t="s">
        <v>847</v>
      </c>
      <c r="FX163" s="372" t="s">
        <v>572</v>
      </c>
      <c r="FY163" s="372" t="s">
        <v>848</v>
      </c>
      <c r="FZ163" s="372" t="s">
        <v>849</v>
      </c>
      <c r="GA163" s="372" t="s">
        <v>574</v>
      </c>
      <c r="GB163" s="372" t="s">
        <v>745</v>
      </c>
      <c r="GC163" s="372" t="s">
        <v>746</v>
      </c>
      <c r="GD163" s="373" t="s">
        <v>850</v>
      </c>
      <c r="GE163" s="373" t="s">
        <v>851</v>
      </c>
      <c r="GF163" s="373" t="s">
        <v>578</v>
      </c>
      <c r="GG163" s="373" t="s">
        <v>579</v>
      </c>
      <c r="GH163" s="373" t="s">
        <v>852</v>
      </c>
      <c r="GI163" s="373" t="s">
        <v>748</v>
      </c>
      <c r="GJ163" s="373" t="s">
        <v>853</v>
      </c>
      <c r="GK163" s="373" t="s">
        <v>582</v>
      </c>
      <c r="GL163" s="373" t="s">
        <v>854</v>
      </c>
      <c r="GM163" s="373" t="s">
        <v>855</v>
      </c>
      <c r="GN163" s="373" t="s">
        <v>575</v>
      </c>
      <c r="GO163" s="373" t="s">
        <v>856</v>
      </c>
      <c r="GP163" s="373" t="s">
        <v>857</v>
      </c>
      <c r="GQ163" s="373" t="s">
        <v>584</v>
      </c>
      <c r="GR163" s="373" t="s">
        <v>585</v>
      </c>
      <c r="GS163" s="373" t="s">
        <v>586</v>
      </c>
      <c r="GT163" s="373" t="s">
        <v>858</v>
      </c>
      <c r="GU163" s="373" t="s">
        <v>859</v>
      </c>
      <c r="GV163" s="373" t="s">
        <v>587</v>
      </c>
      <c r="GW163" s="383" t="s">
        <v>588</v>
      </c>
      <c r="GX163" s="420" t="s">
        <v>883</v>
      </c>
      <c r="GY163" s="420" t="s">
        <v>884</v>
      </c>
      <c r="GZ163" s="420" t="s">
        <v>885</v>
      </c>
      <c r="HA163" s="420" t="s">
        <v>882</v>
      </c>
      <c r="HB163" s="420" t="s">
        <v>886</v>
      </c>
    </row>
    <row r="164" spans="3:210" ht="15.75" x14ac:dyDescent="0.25">
      <c r="C164" s="67">
        <v>0</v>
      </c>
      <c r="D164" s="72" t="str">
        <f>VLOOKUP(Tabla12[[#This Row],[CÓDIGO DEL PRODUCTO Y/O SERVICIO ]],Tabla3[],2,0)</f>
        <v xml:space="preserve">Seleccionar producto o servicio </v>
      </c>
      <c r="E164" s="72"/>
      <c r="F164" s="72">
        <f>VLOOKUP(Tabla12[[#This Row],[CÓDIGO DEL PRODUCTO Y/O SERVICIO ]],Tabla3[],3)</f>
        <v>0</v>
      </c>
      <c r="G164" s="72">
        <f>Tabla12[[#This Row],[UNIDADES PRODUCIDAS AÑO 1 1 ]]*$F$145</f>
        <v>0</v>
      </c>
      <c r="H164" s="112">
        <f>VLOOKUP(Tabla12[[#This Row],[CÓDIGO DEL PRODUCTO Y/O SERVICIO ]],Tabla3[],9)</f>
        <v>0</v>
      </c>
      <c r="I164" s="72">
        <f>Tabla12[[#This Row],[CANTIDADES A UTILIZAR EN EL AÑO 1 1]]*(1+Tabla12[[#This Row],[CAMBIO PORCENTUAL EN UNIDADES VENDIDAS AÑO 2 1 ]])</f>
        <v>0</v>
      </c>
      <c r="J164" s="112">
        <f>VLOOKUP(Tabla12[[#This Row],[CÓDIGO DEL PRODUCTO Y/O SERVICIO ]],Tabla3[],13)</f>
        <v>0</v>
      </c>
      <c r="K164" s="72">
        <f>Tabla12[[#This Row],[CANTIDADES A UTILIZAR EN EL AÑO 2 1]]*(1+Tabla12[[#This Row],[CAMBIO PORCENTUAL EN UNIDADES VENDIDAS AÑO 3 1 ]])</f>
        <v>0</v>
      </c>
      <c r="L164" s="112">
        <f>VLOOKUP(Tabla12[[#This Row],[CÓDIGO DEL PRODUCTO Y/O SERVICIO ]],Tabla3[],17)</f>
        <v>0</v>
      </c>
      <c r="M164" s="72">
        <f>Tabla12[[#This Row],[CANTIDADES A UTILIZAR EN EL AÑO 3 1 ]]*(1+Tabla12[[#This Row],[CAMBIO PORCENTUAL EN UNIDADES VENDIDAS AÑO 4 1]])</f>
        <v>0</v>
      </c>
      <c r="N164" s="112">
        <f>VLOOKUP(Tabla12[[#This Row],[CÓDIGO DEL PRODUCTO Y/O SERVICIO ]],Tabla3[],21)</f>
        <v>0</v>
      </c>
      <c r="O164" s="72">
        <f>Tabla12[[#This Row],[CANTIDADES A UTILIZAR EN EL AÑO 4 1 ]]*(1+Tabla12[[#This Row],[CAMBIO PORCENTUAL EN UNIDADES VENDIDAS AÑO 5 1 ]])</f>
        <v>0</v>
      </c>
      <c r="P164" s="345">
        <f>IF(Tabla12[[#This Row],[CANTIDADES A UTILIZAR EN EL AÑO 1 1]]=0,0,Tabla12[[#This Row],[CANTIDADES A UTILIZAR EN EL AÑO 1 1]]*1/Tabla12[[#This Row],[UNIDADES PRODUCIDAS AÑO 1 1 ]])</f>
        <v>0</v>
      </c>
      <c r="Q164" s="345">
        <f>$C$128*(1+BASES!$E$10)</f>
        <v>0</v>
      </c>
      <c r="R164" s="345">
        <f>Tabla12[[#This Row],[COSTO UNITARIO AÑO 2 1 ]]*(1+BASES!$F$10)</f>
        <v>0</v>
      </c>
      <c r="S164" s="345">
        <f>Tabla12[[#This Row],[COSTO UNITARIO AÑO 3 1 ]]*(1+BASES!$G$10)</f>
        <v>0</v>
      </c>
      <c r="T164" s="345">
        <f>Tabla12[[#This Row],[COSTO UNITARIO AÑO 4 1 ]]*(1+BASES!$H$10)</f>
        <v>0</v>
      </c>
      <c r="U164" s="345">
        <f>Tabla12[[#This Row],[COSTO POR UNIDAD DE PRODUCTO (1)]]*$C$128*VLOOKUP(Tabla12[[#This Row],[CÓDIGO DEL PRODUCTO Y/O SERVICIO ]],Tabla3[],3)</f>
        <v>0</v>
      </c>
      <c r="V164" s="345">
        <f>Tabla12[[#This Row],[COSTO POR UNIDAD DE PRODUCTO (1)]]*Tabla12[[#This Row],[COSTO UNITARIO AÑO 2 1 ]]*VLOOKUP(Tabla12[[#This Row],[CÓDIGO DEL PRODUCTO Y/O SERVICIO ]],Tabla3[],6)</f>
        <v>0</v>
      </c>
      <c r="W164" s="345">
        <f>Tabla12[[#This Row],[COSTO POR UNIDAD DE PRODUCTO (1)]]*Tabla12[[#This Row],[COSTO UNITARIO AÑO 3 1 ]]*VLOOKUP(Tabla12[[#This Row],[CÓDIGO DEL PRODUCTO Y/O SERVICIO ]],Tabla3[],10)</f>
        <v>0</v>
      </c>
      <c r="X164" s="345">
        <f>Tabla12[[#This Row],[COSTO POR UNIDAD DE PRODUCTO (1)]]*Tabla12[[#This Row],[COSTO UNITARIO AÑO 4 1 ]]*VLOOKUP(Tabla12[[#This Row],[CÓDIGO DEL PRODUCTO Y/O SERVICIO ]],Tabla3[],14)</f>
        <v>0</v>
      </c>
      <c r="Y164" s="345">
        <f>Tabla12[[#This Row],[COSTO POR UNIDAD DE PRODUCTO (1)]]*Tabla12[[#This Row],[COSTO UNITARIO AÑO 5 1 ]]*VLOOKUP(Tabla12[[#This Row],[CÓDIGO DEL PRODUCTO Y/O SERVICIO ]],Tabla3[],18)</f>
        <v>0</v>
      </c>
      <c r="Z164" s="114">
        <f>VLOOKUP(Tabla12[[#This Row],[CÓDIGO DEL PRODUCTO Y/O SERVICIO ]],Tabla3[],3)</f>
        <v>0</v>
      </c>
      <c r="AA164" s="114">
        <f>Tabla12[[#This Row],[UNIDADES PRODUCIDAS AÑO 1 2]]*G145</f>
        <v>0</v>
      </c>
      <c r="AB164" s="112">
        <f>VLOOKUP(Tabla12[[#This Row],[CÓDIGO DEL PRODUCTO Y/O SERVICIO ]],Tabla3[],9)</f>
        <v>0</v>
      </c>
      <c r="AC164" s="114">
        <f>Tabla12[[#This Row],[CANTIDADES A UTILIZAR EN EL AÑO 1 2 ]]*(1+Tabla12[[#This Row],[CAMBIO PORCENTUAL EN UNIDADES VENDIDAS AÑO 2 2 ]])</f>
        <v>0</v>
      </c>
      <c r="AD164" s="112">
        <f>VLOOKUP(Tabla12[[#This Row],[CÓDIGO DEL PRODUCTO Y/O SERVICIO ]],Tabla3[],13)</f>
        <v>0</v>
      </c>
      <c r="AE164" s="114">
        <f>Tabla12[[#This Row],[CANTIDADES A UTILIZAR EN EL AÑO 2 2 ]]*(1+Tabla12[[#This Row],[CAMBIO PORCENTUAL EN UNIDADES VENDIDAS AÑO 3 2]])</f>
        <v>0</v>
      </c>
      <c r="AF164" s="112">
        <f>VLOOKUP(Tabla12[[#This Row],[CÓDIGO DEL PRODUCTO Y/O SERVICIO ]],Tabla3[],17)</f>
        <v>0</v>
      </c>
      <c r="AG164" s="114">
        <f>Tabla12[[#This Row],[CANTIDADES A UTILIZAR EN EL AÑO 3 2]]*(1+Tabla12[[#This Row],[CAMBIO PORCENTUAL EN UNIDADES VENDIDAS AÑO 4 2]])</f>
        <v>0</v>
      </c>
      <c r="AH164" s="112">
        <f>VLOOKUP(Tabla12[[#This Row],[CÓDIGO DEL PRODUCTO Y/O SERVICIO ]],Tabla3[],21)</f>
        <v>0</v>
      </c>
      <c r="AI164" s="114">
        <f>Tabla12[[#This Row],[CANTIDADES A UTILIZAR EN EL AÑO 4 2]]*(1+Tabla12[[#This Row],[CAMBIO PORCENTUAL EN UNIDADES VENDIDAS AÑO 5 2]])</f>
        <v>0</v>
      </c>
      <c r="AJ164" s="345">
        <f>IF(Tabla12[[#This Row],[CANTIDADES A UTILIZAR EN EL AÑO 1 2 ]]=0,0,Tabla12[[#This Row],[CANTIDADES A UTILIZAR EN EL AÑO 1 2 ]]*1/Tabla12[[#This Row],[UNIDADES PRODUCIDAS AÑO 1 2]])</f>
        <v>0</v>
      </c>
      <c r="AK164" s="345">
        <f>$C$129*(1+BASES!$E$10)</f>
        <v>0</v>
      </c>
      <c r="AL164" s="345">
        <f>Tabla12[[#This Row],[COSTO UNITARIO AÑO 2 2]]*(1+BASES!$F$10)</f>
        <v>0</v>
      </c>
      <c r="AM164" s="345">
        <f>Tabla12[[#This Row],[COSTO UNITARIO AÑO 3 2 ]]*(1+BASES!$G$10)</f>
        <v>0</v>
      </c>
      <c r="AN164" s="345">
        <f>Tabla12[[#This Row],[COSTO UNITARIO AÑO 4 2 ]]*(1+BASES!$H$10)</f>
        <v>0</v>
      </c>
      <c r="AO164" s="345">
        <f>Tabla12[[#This Row],[COSTO POR UNIDAD DE PRODUCTO (2)]]*$C$129*VLOOKUP(Tabla12[[#This Row],[CÓDIGO DEL PRODUCTO Y/O SERVICIO ]],Tabla3[],3)</f>
        <v>0</v>
      </c>
      <c r="AP164" s="345">
        <f>Tabla12[[#This Row],[COSTO POR UNIDAD DE PRODUCTO (2)]]*Tabla12[[#This Row],[COSTO UNITARIO AÑO 2 2]]*VLOOKUP(Tabla12[[#This Row],[CÓDIGO DEL PRODUCTO Y/O SERVICIO ]],Tabla3[],6)</f>
        <v>0</v>
      </c>
      <c r="AQ164" s="345">
        <f>Tabla12[[#This Row],[COSTO POR UNIDAD DE PRODUCTO (2)]]*Tabla12[[#This Row],[COSTO UNITARIO AÑO 3 2 ]]*VLOOKUP(Tabla12[[#This Row],[CÓDIGO DEL PRODUCTO Y/O SERVICIO ]],Tabla3[],10)</f>
        <v>0</v>
      </c>
      <c r="AR164" s="345">
        <f>Tabla12[[#This Row],[COSTO POR UNIDAD DE PRODUCTO (2)]]*Tabla12[[#This Row],[COSTO UNITARIO AÑO 4 2 ]]*VLOOKUP(Tabla12[[#This Row],[CÓDIGO DEL PRODUCTO Y/O SERVICIO ]],Tabla3[],14)</f>
        <v>0</v>
      </c>
      <c r="AS164" s="345">
        <f>Tabla12[[#This Row],[COSTO POR UNIDAD DE PRODUCTO (2)]]*Tabla12[[#This Row],[COSTO UNITARIO AÑO 5 2 ]]*VLOOKUP(Tabla12[[#This Row],[CÓDIGO DEL PRODUCTO Y/O SERVICIO ]],Tabla3[],18)</f>
        <v>0</v>
      </c>
      <c r="AT164" s="114">
        <f>VLOOKUP(Tabla12[[#This Row],[CÓDIGO DEL PRODUCTO Y/O SERVICIO ]],Tabla3[],3)</f>
        <v>0</v>
      </c>
      <c r="AU164" s="114">
        <f>Tabla12[[#This Row],[UNIDADES PRODUCIDAS AÑO 1 3]]*H145</f>
        <v>0</v>
      </c>
      <c r="AV164" s="112">
        <f>VLOOKUP(Tabla12[[#This Row],[CÓDIGO DEL PRODUCTO Y/O SERVICIO ]],Tabla3[],9)</f>
        <v>0</v>
      </c>
      <c r="AW164" s="114">
        <f>Tabla12[[#This Row],[CANTIDADES A UTILIZAR EN EL AÑO 1 3]]*(1+Tabla12[[#This Row],[CAMBIO PORCENTUAL EN UNIDADES VENDIDAS AÑO 2 3]])</f>
        <v>0</v>
      </c>
      <c r="AX164" s="112">
        <f>VLOOKUP(Tabla12[[#This Row],[CÓDIGO DEL PRODUCTO Y/O SERVICIO ]],Tabla3[],13)</f>
        <v>0</v>
      </c>
      <c r="AY164" s="114">
        <f>Tabla12[[#This Row],[CANTIDADES A UTILIZAR EN EL AÑO 2 3]]*(1+Tabla12[[#This Row],[CAMBIO PORCENTUAL EN UNIDADES VENDIDAS AÑO 3 3]])</f>
        <v>0</v>
      </c>
      <c r="AZ164" s="112">
        <f>VLOOKUP(Tabla12[[#This Row],[CÓDIGO DEL PRODUCTO Y/O SERVICIO ]],Tabla3[],17)</f>
        <v>0</v>
      </c>
      <c r="BA164" s="114">
        <f>Tabla12[[#This Row],[CANTIDADES A UTILIZAR EN EL AÑO 3 3]]*(1+Tabla12[[#This Row],[CAMBIO PORCENTUAL EN UNIDADES VENDIDAS AÑO 4 3]])</f>
        <v>0</v>
      </c>
      <c r="BB164" s="112">
        <f>VLOOKUP(Tabla12[[#This Row],[CÓDIGO DEL PRODUCTO Y/O SERVICIO ]],Tabla3[],21)</f>
        <v>0</v>
      </c>
      <c r="BC164" s="114">
        <f>Tabla12[[#This Row],[CANTIDADES A UTILIZAR EN EL AÑO 4 3]]*(1+Tabla12[[#This Row],[CAMBIO PORCENTUAL EN UNIDADES VENDIDAS AÑO 5 3]])</f>
        <v>0</v>
      </c>
      <c r="BD164" s="345">
        <f>IF(Tabla12[[#This Row],[CANTIDADES A UTILIZAR EN EL AÑO 1 3]]=0,0,Tabla12[[#This Row],[CANTIDADES A UTILIZAR EN EL AÑO 1 3]]*1/Tabla12[[#This Row],[UNIDADES PRODUCIDAS AÑO 1 3]])</f>
        <v>0</v>
      </c>
      <c r="BE164" s="345">
        <f>$C$130*(1+BASES!$E$10)</f>
        <v>0</v>
      </c>
      <c r="BF164" s="345">
        <f>Tabla12[[#This Row],[COSTO UNITARIO AÑO 2 3]]*(1+BASES!$F$10)</f>
        <v>0</v>
      </c>
      <c r="BG164" s="345">
        <f>Tabla12[[#This Row],[COSTO UNITARIO AÑO 3 3 ]]*(1+BASES!$G$10)</f>
        <v>0</v>
      </c>
      <c r="BH164" s="345">
        <f>Tabla12[[#This Row],[COSTO UNITARIO AÑO 4 3]]*(1+BASES!$H$10)</f>
        <v>0</v>
      </c>
      <c r="BI164" s="345">
        <f>Tabla12[[#This Row],[COSTO POR UNIDAD DE PRODUCTO (3)]]*$C$130*VLOOKUP(Tabla12[[#This Row],[CÓDIGO DEL PRODUCTO Y/O SERVICIO ]],Tabla3[],3)</f>
        <v>0</v>
      </c>
      <c r="BJ164" s="345">
        <f>Tabla12[[#This Row],[COSTO POR UNIDAD DE PRODUCTO (3)]]*Tabla12[[#This Row],[COSTO UNITARIO AÑO 2 3]]*VLOOKUP(Tabla12[[#This Row],[CÓDIGO DEL PRODUCTO Y/O SERVICIO ]],Tabla3[],6)</f>
        <v>0</v>
      </c>
      <c r="BK164" s="345">
        <f>Tabla12[[#This Row],[COSTO POR UNIDAD DE PRODUCTO (3)]]*Tabla12[[#This Row],[COSTO UNITARIO AÑO 3 3 ]]*VLOOKUP(Tabla12[[#This Row],[CÓDIGO DEL PRODUCTO Y/O SERVICIO ]],Tabla3[],10)</f>
        <v>0</v>
      </c>
      <c r="BL164" s="345">
        <f>Tabla12[[#This Row],[COSTO POR UNIDAD DE PRODUCTO (3)]]*Tabla12[[#This Row],[COSTO UNITARIO AÑO 4 3]]*VLOOKUP(Tabla12[[#This Row],[CÓDIGO DEL PRODUCTO Y/O SERVICIO ]],Tabla3[],14)</f>
        <v>0</v>
      </c>
      <c r="BM164" s="345">
        <f>Tabla12[[#This Row],[COSTO POR UNIDAD DE PRODUCTO (3)]]*Tabla12[[#This Row],[COSTO UNITARIO AÑO 5 3 ]]*VLOOKUP(Tabla12[[#This Row],[CÓDIGO DEL PRODUCTO Y/O SERVICIO ]],Tabla3[],18)</f>
        <v>0</v>
      </c>
      <c r="BN164" s="114">
        <f>VLOOKUP(Tabla12[[#This Row],[CÓDIGO DEL PRODUCTO Y/O SERVICIO ]],Tabla3[],3)</f>
        <v>0</v>
      </c>
      <c r="BO164" s="114">
        <f>Tabla12[[#This Row],[UNIDADES PRODUCIDAS AÑO 1 4]]*I145</f>
        <v>0</v>
      </c>
      <c r="BP164" s="112">
        <f>VLOOKUP(Tabla12[[#This Row],[CÓDIGO DEL PRODUCTO Y/O SERVICIO ]],Tabla3[],9)</f>
        <v>0</v>
      </c>
      <c r="BQ164" s="114">
        <f>Tabla12[[#This Row],[CANTIDADES A UTILIZAR EN EL AÑO 1 4]]*(1+Tabla12[[#This Row],[CAMBIO PORCENTUAL EN UNIDADES VENDIDAS AÑO 2 4]])</f>
        <v>0</v>
      </c>
      <c r="BR164" s="112">
        <f>VLOOKUP(Tabla12[[#This Row],[CÓDIGO DEL PRODUCTO Y/O SERVICIO ]],Tabla3[],13)</f>
        <v>0</v>
      </c>
      <c r="BS164" s="114">
        <f>Tabla12[[#This Row],[CANTIDADES A UTILIZAR EN EL AÑO 2 4]]*(1+Tabla12[[#This Row],[CAMBIO PORCENTUAL EN UNIDADES VENDIDAS AÑO 3 4]])</f>
        <v>0</v>
      </c>
      <c r="BT164" s="112">
        <f>VLOOKUP(Tabla12[[#This Row],[CÓDIGO DEL PRODUCTO Y/O SERVICIO ]],Tabla3[],17)</f>
        <v>0</v>
      </c>
      <c r="BU164" s="114">
        <f>Tabla12[[#This Row],[CANTIDADES A UTILIZAR EN EL AÑO 3 4 ]]*(1+Tabla12[[#This Row],[CAMBIO PORCENTUAL EN UNIDADES VENDIDAS AÑO 4 4 ]])</f>
        <v>0</v>
      </c>
      <c r="BV164" s="112">
        <f>VLOOKUP(Tabla12[[#This Row],[CÓDIGO DEL PRODUCTO Y/O SERVICIO ]],Tabla3[],21)</f>
        <v>0</v>
      </c>
      <c r="BW164" s="114">
        <f>Tabla12[[#This Row],[CANTIDADES A UTILIZAR EN EL AÑO 4 4 ]]*(1+Tabla12[[#This Row],[CAMBIO PORCENTUAL EN UNIDADES VENDIDAS AÑO 5 4 ]])</f>
        <v>0</v>
      </c>
      <c r="BX164" s="345">
        <f>IF(Tabla12[[#This Row],[CANTIDADES A UTILIZAR EN EL AÑO 1 4]]=0,0,Tabla12[[#This Row],[CANTIDADES A UTILIZAR EN EL AÑO 1 4]]*1/Tabla12[[#This Row],[UNIDADES PRODUCIDAS AÑO 1 4]])</f>
        <v>0</v>
      </c>
      <c r="BY164" s="345">
        <f>$C$131*(1+BASES!$E$10)</f>
        <v>0</v>
      </c>
      <c r="BZ164" s="345">
        <f>Tabla12[[#This Row],[COSTO UNITARIO AÑO 2 4 ]]*(1+BASES!$F$10)</f>
        <v>0</v>
      </c>
      <c r="CA164" s="345">
        <f>Tabla12[[#This Row],[COSTO UNITARIO AÑO 3 4 ]]*(1+BASES!$G$10)</f>
        <v>0</v>
      </c>
      <c r="CB164" s="345">
        <f>Tabla12[[#This Row],[COSTO UNITARIO AÑO 4 4 ]]*(1+BASES!$H$10)</f>
        <v>0</v>
      </c>
      <c r="CC164" s="345">
        <f>Tabla12[[#This Row],[COSTO POR UNIDAD DE PRODUCTO (4)]]*$C$131*VLOOKUP(Tabla12[[#This Row],[CÓDIGO DEL PRODUCTO Y/O SERVICIO ]],Tabla3[],3)</f>
        <v>0</v>
      </c>
      <c r="CD164" s="345">
        <f>Tabla12[[#This Row],[COSTO POR UNIDAD DE PRODUCTO (4)]]*Tabla12[[#This Row],[COSTO UNITARIO AÑO 2 4 ]]*VLOOKUP(Tabla12[[#This Row],[CÓDIGO DEL PRODUCTO Y/O SERVICIO ]],Tabla3[],6)</f>
        <v>0</v>
      </c>
      <c r="CE164" s="345">
        <f>Tabla12[[#This Row],[COSTO POR UNIDAD DE PRODUCTO (4)]]*Tabla12[[#This Row],[COSTO UNITARIO AÑO 3 4 ]]*VLOOKUP(Tabla12[[#This Row],[CÓDIGO DEL PRODUCTO Y/O SERVICIO ]],Tabla3[],10)</f>
        <v>0</v>
      </c>
      <c r="CF164" s="345">
        <f>Tabla12[[#This Row],[COSTO POR UNIDAD DE PRODUCTO (4)]]*Tabla12[[#This Row],[COSTO UNITARIO AÑO 4 4 ]]*VLOOKUP(Tabla12[[#This Row],[CÓDIGO DEL PRODUCTO Y/O SERVICIO ]],Tabla3[],14)</f>
        <v>0</v>
      </c>
      <c r="CG164" s="345">
        <f>Tabla12[[#This Row],[COSTO POR UNIDAD DE PRODUCTO (4)]]*Tabla12[[#This Row],[COSTO UNITARIO AÑO 5 4 ]]*VLOOKUP(Tabla12[[#This Row],[CÓDIGO DEL PRODUCTO Y/O SERVICIO ]],Tabla3[],18)</f>
        <v>0</v>
      </c>
      <c r="CH164" s="114">
        <f>VLOOKUP(Tabla12[[#This Row],[CÓDIGO DEL PRODUCTO Y/O SERVICIO ]],Tabla3[],3)</f>
        <v>0</v>
      </c>
      <c r="CI164" s="114">
        <f>Tabla12[[#This Row],[UNIDADES PRODUCIDAS AÑO 1 5]]*J145</f>
        <v>0</v>
      </c>
      <c r="CJ164" s="112">
        <f>VLOOKUP(Tabla12[[#This Row],[CÓDIGO DEL PRODUCTO Y/O SERVICIO ]],Tabla3[],9)</f>
        <v>0</v>
      </c>
      <c r="CK164" s="114">
        <f>Tabla12[[#This Row],[CANTIDADES A UTILIZAR EN EL AÑO 1 5]]*(1+Tabla12[[#This Row],[CAMBIO PORCENTUAL EN UNIDADES VENDIDAS AÑO 2 5 ]])</f>
        <v>0</v>
      </c>
      <c r="CL164" s="112">
        <f>VLOOKUP(Tabla12[[#This Row],[CÓDIGO DEL PRODUCTO Y/O SERVICIO ]],Tabla3[],13)</f>
        <v>0</v>
      </c>
      <c r="CM164" s="114">
        <f>Tabla12[[#This Row],[CANTIDADES A UTILIZAR EN EL AÑO 2 5]]*(1+Tabla12[[#This Row],[CAMBIO PORCENTUAL EN UNIDADES VENDIDAS AÑO 3 5 ]])</f>
        <v>0</v>
      </c>
      <c r="CN164" s="112">
        <f>VLOOKUP(Tabla12[[#This Row],[CÓDIGO DEL PRODUCTO Y/O SERVICIO ]],Tabla3[],17)</f>
        <v>0</v>
      </c>
      <c r="CO164" s="114">
        <f>Tabla12[[#This Row],[CANTIDADES A UTILIZAR EN EL AÑO 3 5 ]]*(1+Tabla12[[#This Row],[CAMBIO PORCENTUAL EN UNIDADES VENDIDAS AÑO 4 5 ]])</f>
        <v>0</v>
      </c>
      <c r="CP164" s="112">
        <f>VLOOKUP(Tabla12[[#This Row],[CÓDIGO DEL PRODUCTO Y/O SERVICIO ]],Tabla3[],21)</f>
        <v>0</v>
      </c>
      <c r="CQ164" s="114">
        <f>Tabla12[[#This Row],[CANTIDADES A UTILIZAR EN EL AÑO 4 5 ]]*(1+Tabla12[[#This Row],[CAMBIO PORCENTUAL EN UNIDADES VENDIDAS AÑO 5 5]])</f>
        <v>0</v>
      </c>
      <c r="CR164" s="345">
        <f>IF(Tabla12[[#This Row],[CANTIDADES A UTILIZAR EN EL AÑO 1 5]]=0,0,Tabla12[[#This Row],[CANTIDADES A UTILIZAR EN EL AÑO 1 5]]*1/Tabla12[[#This Row],[UNIDADES PRODUCIDAS AÑO 1 5]])</f>
        <v>0</v>
      </c>
      <c r="CS164" s="345">
        <f>$C$132*(1+BASES!$E$10)</f>
        <v>0</v>
      </c>
      <c r="CT164" s="345">
        <f>Tabla12[[#This Row],[COSTO UNITARIO AÑO 2 5]]*(1+BASES!$F$10)</f>
        <v>0</v>
      </c>
      <c r="CU164" s="345">
        <f>Tabla12[[#This Row],[COSTO UNITARIO AÑO 3 5]]*(1+BASES!$G$10)</f>
        <v>0</v>
      </c>
      <c r="CV164" s="345">
        <f>Tabla12[[#This Row],[COSTO UNITARIO AÑO 4 5]]*(1+BASES!$H$10)</f>
        <v>0</v>
      </c>
      <c r="CW164" s="345">
        <f>Tabla12[[#This Row],[COSTO POR UNIDAD DE PRODUCTO (5)]]*$C$132*VLOOKUP(Tabla12[[#This Row],[CÓDIGO DEL PRODUCTO Y/O SERVICIO ]],Tabla3[],3)</f>
        <v>0</v>
      </c>
      <c r="CX164" s="345">
        <f>Tabla12[[#This Row],[COSTO POR UNIDAD DE PRODUCTO (5)]]*Tabla12[[#This Row],[COSTO UNITARIO AÑO 2 5]]*VLOOKUP(Tabla12[[#This Row],[CÓDIGO DEL PRODUCTO Y/O SERVICIO ]],Tabla3[],6)</f>
        <v>0</v>
      </c>
      <c r="CY164" s="345">
        <f>Tabla12[[#This Row],[COSTO POR UNIDAD DE PRODUCTO (5)]]*Tabla12[[#This Row],[COSTO UNITARIO AÑO 3 5]]*VLOOKUP(Tabla12[[#This Row],[CÓDIGO DEL PRODUCTO Y/O SERVICIO ]],Tabla3[],10)</f>
        <v>0</v>
      </c>
      <c r="CZ164" s="345">
        <f>Tabla12[[#This Row],[COSTO POR UNIDAD DE PRODUCTO (5)]]*Tabla12[[#This Row],[COSTO UNITARIO AÑO 4 5]]*VLOOKUP(Tabla12[[#This Row],[CÓDIGO DEL PRODUCTO Y/O SERVICIO ]],Tabla3[],14)</f>
        <v>0</v>
      </c>
      <c r="DA164" s="345">
        <f>Tabla12[[#This Row],[COSTO POR UNIDAD DE PRODUCTO (5)]]*Tabla12[[#This Row],[COSTO UNITARIO AÑO 5 5 ]]*VLOOKUP(Tabla12[[#This Row],[CÓDIGO DEL PRODUCTO Y/O SERVICIO ]],Tabla3[],18)</f>
        <v>0</v>
      </c>
      <c r="DB164" s="114">
        <f>VLOOKUP(Tabla12[[#This Row],[CÓDIGO DEL PRODUCTO Y/O SERVICIO ]],Tabla3[],3)</f>
        <v>0</v>
      </c>
      <c r="DC164" s="114">
        <f>Tabla12[[#This Row],[UNIDADES PRODUCIDAS AÑO 1 6]]*K145</f>
        <v>0</v>
      </c>
      <c r="DD164" s="112">
        <f>VLOOKUP(Tabla12[[#This Row],[CÓDIGO DEL PRODUCTO Y/O SERVICIO ]],Tabla3[],9)</f>
        <v>0</v>
      </c>
      <c r="DE164" s="114">
        <f>Tabla12[[#This Row],[CANTIDADES A UTILIZAR EN EL AÑO 1 6]]*(1+Tabla12[[#This Row],[CAMBIO PORCENTUAL EN UNIDADES VENDIDAS AÑO 2 6]])</f>
        <v>0</v>
      </c>
      <c r="DF164" s="112">
        <f>VLOOKUP(Tabla12[[#This Row],[CÓDIGO DEL PRODUCTO Y/O SERVICIO ]],Tabla3[],13)</f>
        <v>0</v>
      </c>
      <c r="DG164" s="114">
        <f>Tabla12[[#This Row],[CANTIDADES A UTILIZAR EN EL AÑO 2 6]]*(1+Tabla12[[#This Row],[CAMBIO PORCENTUAL EN UNIDADES VENDIDAS AÑO 3 6]])</f>
        <v>0</v>
      </c>
      <c r="DH164" s="112">
        <f>VLOOKUP(Tabla12[[#This Row],[CÓDIGO DEL PRODUCTO Y/O SERVICIO ]],Tabla3[],17)</f>
        <v>0</v>
      </c>
      <c r="DI164" s="114">
        <f>Tabla12[[#This Row],[CANTIDADES A UTILIZAR EN EL AÑO 3 6]]*(1+Tabla12[[#This Row],[CAMBIO PORCENTUAL EN UNIDADES VENDIDAS AÑO 4 6]])</f>
        <v>0</v>
      </c>
      <c r="DJ164" s="112">
        <f>VLOOKUP(Tabla12[[#This Row],[CÓDIGO DEL PRODUCTO Y/O SERVICIO ]],Tabla3[],21)</f>
        <v>0</v>
      </c>
      <c r="DK164" s="114">
        <f>Tabla12[[#This Row],[CANTIDADES A UTILIZAR EN EL AÑO 4 6]]*(1+Tabla12[[#This Row],[CAMBIO PORCENTUAL EN UNIDADES VENDIDAS AÑO 5 6]])</f>
        <v>0</v>
      </c>
      <c r="DL164" s="345">
        <f>IF(Tabla12[[#This Row],[CANTIDADES A UTILIZAR EN EL AÑO 1 6]]=0,0,Tabla12[[#This Row],[CANTIDADES A UTILIZAR EN EL AÑO 1 6]]*1/Tabla12[[#This Row],[UNIDADES PRODUCIDAS AÑO 1 6]])</f>
        <v>0</v>
      </c>
      <c r="DM164" s="345">
        <f>$C$133*(1+BASES!$E$10)</f>
        <v>0</v>
      </c>
      <c r="DN164" s="345">
        <f>Tabla12[[#This Row],[COSTO UNITARIO AÑO 2 6]]*(1+BASES!$F$10)</f>
        <v>0</v>
      </c>
      <c r="DO164" s="345">
        <f>Tabla12[[#This Row],[COSTO UNITARIO AÑO 3 6]]*(1+BASES!$G$10)</f>
        <v>0</v>
      </c>
      <c r="DP164" s="345">
        <f>Tabla12[[#This Row],[COSTO UNITARIO AÑO 4 6]]*(1+BASES!$H$10)</f>
        <v>0</v>
      </c>
      <c r="DQ164" s="345">
        <f>Tabla12[[#This Row],[COSTO POR UNIDAD DE PRODUCTO (6)]]*$C$133*VLOOKUP(Tabla12[[#This Row],[CÓDIGO DEL PRODUCTO Y/O SERVICIO ]],Tabla3[],3)</f>
        <v>0</v>
      </c>
      <c r="DR164" s="345">
        <f>Tabla12[[#This Row],[COSTO POR UNIDAD DE PRODUCTO (6)]]*Tabla12[[#This Row],[COSTO UNITARIO AÑO 2 6]]*VLOOKUP(Tabla12[[#This Row],[CÓDIGO DEL PRODUCTO Y/O SERVICIO ]],Tabla3[],6)</f>
        <v>0</v>
      </c>
      <c r="DS164" s="345">
        <f>Tabla12[[#This Row],[COSTO POR UNIDAD DE PRODUCTO (6)]]*Tabla12[[#This Row],[COSTO UNITARIO AÑO 3 6]]*VLOOKUP(Tabla12[[#This Row],[CÓDIGO DEL PRODUCTO Y/O SERVICIO ]],Tabla3[],10)</f>
        <v>0</v>
      </c>
      <c r="DT164" s="345">
        <f>Tabla12[[#This Row],[COSTO POR UNIDAD DE PRODUCTO (6)]]*Tabla12[[#This Row],[COSTO UNITARIO AÑO 4 6]]*VLOOKUP(Tabla12[[#This Row],[CÓDIGO DEL PRODUCTO Y/O SERVICIO ]],Tabla3[],14)</f>
        <v>0</v>
      </c>
      <c r="DU164" s="345">
        <f>Tabla12[[#This Row],[COSTO POR UNIDAD DE PRODUCTO (6)]]*Tabla12[[#This Row],[COSTO UNITARIO AÑO 5 6]]*VLOOKUP(Tabla12[[#This Row],[CÓDIGO DEL PRODUCTO Y/O SERVICIO ]],Tabla3[],18)</f>
        <v>0</v>
      </c>
      <c r="DV164" s="114">
        <f>VLOOKUP(Tabla12[[#This Row],[CÓDIGO DEL PRODUCTO Y/O SERVICIO ]],Tabla3[],3)</f>
        <v>0</v>
      </c>
      <c r="DW164" s="114">
        <f>Tabla12[[#This Row],[UNIDADES PRODUCIDAS AÑO 1 7]]*L145</f>
        <v>0</v>
      </c>
      <c r="DX164" s="112">
        <f>VLOOKUP(Tabla12[[#This Row],[CÓDIGO DEL PRODUCTO Y/O SERVICIO ]],Tabla3[],9)</f>
        <v>0</v>
      </c>
      <c r="DY164" s="114">
        <f>Tabla12[[#This Row],[CANTIDADES A UTILIZAR EN EL AÑO 1 7]]*(1+Tabla12[[#This Row],[CAMBIO PORCENTUAL EN UNIDADES VENDIDAS AÑO 2 7]])</f>
        <v>0</v>
      </c>
      <c r="DZ164" s="112">
        <f>VLOOKUP(Tabla12[[#This Row],[CÓDIGO DEL PRODUCTO Y/O SERVICIO ]],Tabla3[],13)</f>
        <v>0</v>
      </c>
      <c r="EA164" s="114">
        <f>Tabla12[[#This Row],[CANTIDADES A UTILIZAR EN EL AÑO 2 7]]*(1+Tabla12[[#This Row],[CAMBIO PORCENTUAL EN UNIDADES VENDIDAS AÑO 3 7]])</f>
        <v>0</v>
      </c>
      <c r="EB164" s="112">
        <f>VLOOKUP(Tabla12[[#This Row],[CÓDIGO DEL PRODUCTO Y/O SERVICIO ]],Tabla3[],17)</f>
        <v>0</v>
      </c>
      <c r="EC164" s="114">
        <f>Tabla12[[#This Row],[CANTIDADES A UTILIZAR EN EL AÑO 3 7]]*(1+Tabla12[[#This Row],[CAMBIO PORCENTUAL EN UNIDADES VENDIDAS AÑO 4 7]])</f>
        <v>0</v>
      </c>
      <c r="ED164" s="112">
        <f>VLOOKUP(Tabla12[[#This Row],[CÓDIGO DEL PRODUCTO Y/O SERVICIO ]],Tabla3[],21)</f>
        <v>0</v>
      </c>
      <c r="EE164" s="114">
        <f>Tabla12[[#This Row],[CANTIDADES A UTILIZAR EN EL AÑO 4 7]]*(1+Tabla12[[#This Row],[CAMBIO PORCENTUAL EN UNIDADES VENDIDAS AÑO 5 7]])</f>
        <v>0</v>
      </c>
      <c r="EF164" s="345">
        <f>IF(Tabla12[[#This Row],[CANTIDADES A UTILIZAR EN EL AÑO 1 7]]=0,0,Tabla12[[#This Row],[CANTIDADES A UTILIZAR EN EL AÑO 1 7]]*1/Tabla12[[#This Row],[UNIDADES PRODUCIDAS AÑO 1 7]])</f>
        <v>0</v>
      </c>
      <c r="EG164" s="345">
        <f>$C$134*(1+BASES!$E$10)</f>
        <v>0</v>
      </c>
      <c r="EH164" s="345">
        <f>Tabla12[[#This Row],[COSTO UNITARIO AÑO 2 7]]*(1+BASES!$F$10)</f>
        <v>0</v>
      </c>
      <c r="EI164" s="345">
        <f>Tabla12[[#This Row],[COSTO UNITARIO AÑO 3 7]]*(1+BASES!$G$10)</f>
        <v>0</v>
      </c>
      <c r="EJ164" s="345">
        <f>Tabla12[[#This Row],[COSTO UNITARIO AÑO 4 7]]*(1+BASES!$H$10)</f>
        <v>0</v>
      </c>
      <c r="EK164" s="345">
        <f>Tabla12[[#This Row],[COSTO POR UNIDAD DE PRODUCTO (7)]]*$C$134*VLOOKUP(Tabla12[[#This Row],[CÓDIGO DEL PRODUCTO Y/O SERVICIO ]],Tabla3[],3)</f>
        <v>0</v>
      </c>
      <c r="EL164" s="345">
        <f>Tabla12[[#This Row],[COSTO POR UNIDAD DE PRODUCTO (7)]]*Tabla12[[#This Row],[COSTO UNITARIO AÑO 2 7]]*VLOOKUP(Tabla12[[#This Row],[CÓDIGO DEL PRODUCTO Y/O SERVICIO ]],Tabla3[],6)</f>
        <v>0</v>
      </c>
      <c r="EM164" s="345">
        <f>Tabla12[[#This Row],[COSTO POR UNIDAD DE PRODUCTO (7)]]*Tabla12[[#This Row],[COSTO UNITARIO AÑO 3 7]]*VLOOKUP(Tabla12[[#This Row],[CÓDIGO DEL PRODUCTO Y/O SERVICIO ]],Tabla3[],10)</f>
        <v>0</v>
      </c>
      <c r="EN164" s="345">
        <f>Tabla12[[#This Row],[COSTO POR UNIDAD DE PRODUCTO (7)]]*Tabla12[[#This Row],[COSTO UNITARIO AÑO 4 7]]*VLOOKUP(Tabla12[[#This Row],[CÓDIGO DEL PRODUCTO Y/O SERVICIO ]],Tabla3[],14)</f>
        <v>0</v>
      </c>
      <c r="EO164" s="345">
        <f>Tabla12[[#This Row],[COSTO POR UNIDAD DE PRODUCTO (7)]]*Tabla12[[#This Row],[COSTO UNITARIO AÑO 5 7]]*VLOOKUP(Tabla12[[#This Row],[CÓDIGO DEL PRODUCTO Y/O SERVICIO ]],Tabla3[],18)</f>
        <v>0</v>
      </c>
      <c r="EP164" s="114">
        <f>VLOOKUP(Tabla12[[#This Row],[CÓDIGO DEL PRODUCTO Y/O SERVICIO ]],Tabla3[],3)</f>
        <v>0</v>
      </c>
      <c r="EQ164" s="114">
        <f>Tabla12[[#This Row],[UNIDADES PRODUCIDAS AÑO 1 8]]*M145</f>
        <v>0</v>
      </c>
      <c r="ER164" s="112">
        <f>VLOOKUP(Tabla12[[#This Row],[CÓDIGO DEL PRODUCTO Y/O SERVICIO ]],Tabla3[],9)</f>
        <v>0</v>
      </c>
      <c r="ES164" s="114">
        <f>Tabla12[[#This Row],[CANTIDADES A UTILIZAR EN EL AÑO 1 8]]*(1+Tabla12[[#This Row],[CAMBIO PORCENTUAL EN UNIDADES VENDIDAS AÑO 2 8]])</f>
        <v>0</v>
      </c>
      <c r="ET164" s="112">
        <f>VLOOKUP(Tabla12[[#This Row],[CÓDIGO DEL PRODUCTO Y/O SERVICIO ]],Tabla3[],13)</f>
        <v>0</v>
      </c>
      <c r="EU164" s="114">
        <f>Tabla12[[#This Row],[CANTIDADES A UTILIZAR EN EL AÑO 2 8]]*(1+Tabla12[[#This Row],[CAMBIO PORCENTUAL EN UNIDADES VENDIDAS AÑO 3 8]])</f>
        <v>0</v>
      </c>
      <c r="EV164" s="112">
        <f>VLOOKUP(Tabla12[[#This Row],[CÓDIGO DEL PRODUCTO Y/O SERVICIO ]],Tabla3[],17)</f>
        <v>0</v>
      </c>
      <c r="EW164" s="114">
        <f>Tabla12[[#This Row],[CANTIDADES A UTILIZAR EN EL AÑO 3 8]]*(1+Tabla12[[#This Row],[CAMBIO PORCENTUAL EN UNIDADES VENDIDAS AÑO 4 8]])</f>
        <v>0</v>
      </c>
      <c r="EX164" s="112">
        <f>VLOOKUP(Tabla12[[#This Row],[CÓDIGO DEL PRODUCTO Y/O SERVICIO ]],Tabla3[],21)</f>
        <v>0</v>
      </c>
      <c r="EY164" s="114">
        <f>Tabla12[[#This Row],[CANTIDADES A UTILIZAR EN EL AÑO 4 8]]*(1+Tabla12[[#This Row],[CAMBIO PORCENTUAL EN UNIDADES VENDIDAS AÑO 5 8]])</f>
        <v>0</v>
      </c>
      <c r="EZ164" s="345">
        <f>IF(Tabla12[[#This Row],[CANTIDADES A UTILIZAR EN EL AÑO 1 8]]=0,0,Tabla12[[#This Row],[CANTIDADES A UTILIZAR EN EL AÑO 1 8]]*1/Tabla12[[#This Row],[UNIDADES PRODUCIDAS AÑO 1 8]])</f>
        <v>0</v>
      </c>
      <c r="FA164" s="345">
        <f>$C$135*(1+BASES!$E$10)</f>
        <v>0</v>
      </c>
      <c r="FB164" s="345">
        <f>Tabla12[[#This Row],[COSTO UNITARIO AÑO 2 8]]*(1+BASES!$F$10)</f>
        <v>0</v>
      </c>
      <c r="FC164" s="345">
        <f>Tabla12[[#This Row],[COSTO UNITARIO AÑO 3 8]]*(1+BASES!$G$10)</f>
        <v>0</v>
      </c>
      <c r="FD164" s="345">
        <f>Tabla12[[#This Row],[COSTO UNITARIO AÑO 4 8]]*(1+BASES!$H$10)</f>
        <v>0</v>
      </c>
      <c r="FE164" s="345">
        <f>Tabla12[[#This Row],[COSTO POR UNIDAD DE PRODUCTO (8)]]*$C$135*VLOOKUP(Tabla12[[#This Row],[CÓDIGO DEL PRODUCTO Y/O SERVICIO ]],Tabla3[],3)</f>
        <v>0</v>
      </c>
      <c r="FF164" s="345">
        <f>Tabla12[[#This Row],[COSTO POR UNIDAD DE PRODUCTO (8)]]*Tabla12[[#This Row],[COSTO UNITARIO AÑO 2 8]]*VLOOKUP(Tabla12[[#This Row],[CÓDIGO DEL PRODUCTO Y/O SERVICIO ]],Tabla3[],6)</f>
        <v>0</v>
      </c>
      <c r="FG164" s="345">
        <f>Tabla12[[#This Row],[COSTO POR UNIDAD DE PRODUCTO (8)]]*Tabla12[[#This Row],[COSTO UNITARIO AÑO 3 8]]*VLOOKUP(Tabla12[[#This Row],[CÓDIGO DEL PRODUCTO Y/O SERVICIO ]],Tabla3[],10)</f>
        <v>0</v>
      </c>
      <c r="FH164" s="345">
        <f>Tabla12[[#This Row],[COSTO POR UNIDAD DE PRODUCTO (8)]]*Tabla12[[#This Row],[COSTO UNITARIO AÑO 4 8]]*VLOOKUP(Tabla12[[#This Row],[CÓDIGO DEL PRODUCTO Y/O SERVICIO ]],Tabla3[],14)</f>
        <v>0</v>
      </c>
      <c r="FI164" s="345">
        <f>Tabla12[[#This Row],[COSTO POR UNIDAD DE PRODUCTO (8)]]*Tabla12[[#This Row],[COSTO UNITARIO AÑO 5 8]]*VLOOKUP(Tabla12[[#This Row],[CÓDIGO DEL PRODUCTO Y/O SERVICIO ]],Tabla3[],18)</f>
        <v>0</v>
      </c>
      <c r="FJ164" s="114">
        <f>VLOOKUP(Tabla12[[#This Row],[CÓDIGO DEL PRODUCTO Y/O SERVICIO ]],Tabla3[],3)</f>
        <v>0</v>
      </c>
      <c r="FK164" s="114">
        <f>Tabla12[[#This Row],[UNIDADES PRODUCIDAS AÑO 1 9 ]]*N145</f>
        <v>0</v>
      </c>
      <c r="FL164" s="112">
        <f>VLOOKUP(Tabla12[[#This Row],[CÓDIGO DEL PRODUCTO Y/O SERVICIO ]],Tabla3[],9)</f>
        <v>0</v>
      </c>
      <c r="FM164" s="114">
        <f>Tabla12[[#This Row],[CANTIDADES A UTILIZAR EN EL AÑO 1 9]]*(1+Tabla12[[#This Row],[CAMBIO PORCENTUAL UNIDADES VENDIDAS AÑO 2 9 ]])</f>
        <v>0</v>
      </c>
      <c r="FN164" s="112">
        <f>VLOOKUP(Tabla12[[#This Row],[CÓDIGO DEL PRODUCTO Y/O SERVICIO ]],Tabla3[],13)</f>
        <v>0</v>
      </c>
      <c r="FO164" s="114">
        <f>Tabla12[[#This Row],[CANTIDADES A UTILIZAR EN EL AÑO 2 9 ]]*(1+Tabla12[[#This Row],[CAMBIO PORCENTUAL EN UNIDADES VENDIDAS AÑO 3 9 ]])</f>
        <v>0</v>
      </c>
      <c r="FP164" s="112">
        <f>VLOOKUP(Tabla12[[#This Row],[CÓDIGO DEL PRODUCTO Y/O SERVICIO ]],Tabla3[],17)</f>
        <v>0</v>
      </c>
      <c r="FQ164" s="114">
        <f>Tabla12[[#This Row],[CANTIDADES A UTILIZAR EN EL AÑO 3 9 ]]*(1+Tabla12[[#This Row],[CAMBIO PORCENTUAL EN UNIDADES VENDIDAS AÑO 4 9 ]])</f>
        <v>0</v>
      </c>
      <c r="FR164" s="112">
        <f>VLOOKUP(Tabla12[[#This Row],[CÓDIGO DEL PRODUCTO Y/O SERVICIO ]],Tabla3[],21)</f>
        <v>0</v>
      </c>
      <c r="FS164" s="114">
        <f>Tabla12[[#This Row],[CANTIDADES A UTILIZAR EN EL AÑO 4 9]]*(1+Tabla12[[#This Row],[CAMBIO PORCENTUAL EN UNIDADES VENDIDAS AÑO 5 9]])</f>
        <v>0</v>
      </c>
      <c r="FT164" s="345">
        <f>IF(Tabla12[[#This Row],[CANTIDADES A UTILIZAR EN EL AÑO 1 9]]=0,0,Tabla12[[#This Row],[CANTIDADES A UTILIZAR EN EL AÑO 1 9]]*1/Tabla12[[#This Row],[UNIDADES PRODUCIDAS AÑO 1 9 ]])</f>
        <v>0</v>
      </c>
      <c r="FU164" s="345">
        <f>$C$136*(1+BASES!$E$10)</f>
        <v>0</v>
      </c>
      <c r="FV164" s="345">
        <f>Tabla12[[#This Row],[COSTO UNITARIO AÑO 2 9]]*(1+BASES!$F$10)</f>
        <v>0</v>
      </c>
      <c r="FW164" s="345">
        <f>Tabla12[[#This Row],[COSTO UNITARIO AÑO 3 9]]*(1+BASES!$G$10)</f>
        <v>0</v>
      </c>
      <c r="FX164" s="345">
        <f>Tabla12[[#This Row],[COSTO UNITARIO AÑO 4 9]]*(1+BASES!$H$10)</f>
        <v>0</v>
      </c>
      <c r="FY164" s="345">
        <f>Tabla12[[#This Row],[COSTO POR UNIDAD DE PRODUCTO (9)]]*$C$136*VLOOKUP(Tabla12[[#This Row],[CÓDIGO DEL PRODUCTO Y/O SERVICIO ]],Tabla3[],3)</f>
        <v>0</v>
      </c>
      <c r="FZ164" s="345">
        <f>Tabla12[[#This Row],[COSTO POR UNIDAD DE PRODUCTO (9)]]*Tabla12[[#This Row],[COSTO UNITARIO AÑO 2 9]]*VLOOKUP(Tabla12[[#This Row],[CÓDIGO DEL PRODUCTO Y/O SERVICIO ]],Tabla3[],6)</f>
        <v>0</v>
      </c>
      <c r="GA164" s="345">
        <f>Tabla12[[#This Row],[COSTO POR UNIDAD DE PRODUCTO (9)]]*Tabla12[[#This Row],[COSTO UNITARIO AÑO 3 9]]*VLOOKUP(Tabla12[[#This Row],[CÓDIGO DEL PRODUCTO Y/O SERVICIO ]],Tabla3[],10)</f>
        <v>0</v>
      </c>
      <c r="GB164" s="345">
        <f>Tabla12[[#This Row],[COSTO POR UNIDAD DE PRODUCTO (9)]]*Tabla12[[#This Row],[COSTO UNITARIO AÑO 4 9]]*VLOOKUP(Tabla12[[#This Row],[CÓDIGO DEL PRODUCTO Y/O SERVICIO ]],Tabla3[],14)</f>
        <v>0</v>
      </c>
      <c r="GC164" s="345">
        <f>Tabla12[[#This Row],[COSTO POR UNIDAD DE PRODUCTO (9)]]*Tabla12[[#This Row],[COSTO UNITARIO AÑO 5 9]]*VLOOKUP(Tabla12[[#This Row],[CÓDIGO DEL PRODUCTO Y/O SERVICIO ]],Tabla3[],18)</f>
        <v>0</v>
      </c>
      <c r="GD164" s="114">
        <f>VLOOKUP(Tabla12[[#This Row],[CÓDIGO DEL PRODUCTO Y/O SERVICIO ]],Tabla3[],3)</f>
        <v>0</v>
      </c>
      <c r="GE164" s="114">
        <f>Tabla12[[#This Row],[UNIDADES PRODUCIDAS AÑO 1 10 ]]*O145</f>
        <v>0</v>
      </c>
      <c r="GF164" s="112">
        <f>VLOOKUP(Tabla12[[#This Row],[CÓDIGO DEL PRODUCTO Y/O SERVICIO ]],Tabla3[],9)</f>
        <v>0</v>
      </c>
      <c r="GG164" s="112">
        <f>Tabla12[[#This Row],[CANTIDADES A UTILIZAR EN EL AÑO 1 10 ]]*(1+Tabla12[[#This Row],[CAMBIO PORCENTUAL EN UNIDADES VENDIDAS AÑO 2 10 ]])</f>
        <v>0</v>
      </c>
      <c r="GH164" s="112">
        <f>VLOOKUP(Tabla12[[#This Row],[CÓDIGO DEL PRODUCTO Y/O SERVICIO ]],Tabla3[],13)</f>
        <v>0</v>
      </c>
      <c r="GI164" s="114">
        <f>Tabla12[[#This Row],[CANTIDADES A UTILIZAR EN EL AÑO 2 10]]*(1+Tabla12[[#This Row],[CAMBIO PORCENTUAL EN UNIDADES VENDIDAS AÑO 3 10 ]])</f>
        <v>0</v>
      </c>
      <c r="GJ164" s="112">
        <f>VLOOKUP(Tabla12[[#This Row],[CÓDIGO DEL PRODUCTO Y/O SERVICIO ]],Tabla3[],17)</f>
        <v>0</v>
      </c>
      <c r="GK164" s="114">
        <f>Tabla12[[#This Row],[CANTIDADES A UTILIZAR EN EL AÑO 3 10]]*(1+Tabla12[[#This Row],[CAMBIO PORCENTUAL EN UNIDADES VENDIDAS AÑO 4 10 ]])</f>
        <v>0</v>
      </c>
      <c r="GL164" s="112">
        <f>VLOOKUP(Tabla12[[#This Row],[CÓDIGO DEL PRODUCTO Y/O SERVICIO ]],Tabla3[],21)</f>
        <v>0</v>
      </c>
      <c r="GM164" s="114">
        <f>Tabla12[[#This Row],[CANTIDADES A UTILIZAR EN EL AÑO 4 10 ]]*(1+Tabla12[[#This Row],[CAMBIO PORCENTUAL EN UNIDADES VENDIDAS AÑO 5 10 ]])</f>
        <v>0</v>
      </c>
      <c r="GN164" s="345">
        <f>IF(Tabla12[[#This Row],[CANTIDADES A UTILIZAR EN EL AÑO 1 10 ]]=0,0,Tabla12[[#This Row],[CANTIDADES A UTILIZAR EN EL AÑO 1 10 ]]*1/Tabla12[[#This Row],[UNIDADES PRODUCIDAS AÑO 1 10 ]])</f>
        <v>0</v>
      </c>
      <c r="GO164" s="345">
        <f>$C$137*(1+BASES!$E$10)</f>
        <v>0</v>
      </c>
      <c r="GP164" s="345">
        <f>Tabla12[[#This Row],[COSTO UNITARIO AÑO 2 10 ]]*(1+BASES!$F$10)</f>
        <v>0</v>
      </c>
      <c r="GQ164" s="345">
        <f>Tabla12[[#This Row],[COSTO UNITARIO AÑO 3 10 ]]*(1+BASES!$G$10)</f>
        <v>0</v>
      </c>
      <c r="GR164" s="345">
        <f>Tabla12[[#This Row],[COSTO UNITARIO AÑO 4 10]]*(1+BASES!$H$10)</f>
        <v>0</v>
      </c>
      <c r="GS164" s="345">
        <f>Tabla12[[#This Row],[COSTO POR UNIDAD DE PRODUCTO (10)]]*$C$137*VLOOKUP(Tabla12[[#This Row],[CÓDIGO DEL PRODUCTO Y/O SERVICIO ]],Tabla3[],3)</f>
        <v>0</v>
      </c>
      <c r="GT164" s="345">
        <f>Tabla12[[#This Row],[COSTO POR UNIDAD DE PRODUCTO (10)]]*Tabla12[[#This Row],[COSTO UNITARIO AÑO 2 10 ]]*VLOOKUP(Tabla12[[#This Row],[CÓDIGO DEL PRODUCTO Y/O SERVICIO ]],Tabla3[],6)</f>
        <v>0</v>
      </c>
      <c r="GU164" s="345">
        <f>Tabla12[[#This Row],[COSTO POR UNIDAD DE PRODUCTO (10)]]*Tabla12[[#This Row],[COSTO UNITARIO AÑO 3 10 ]]*VLOOKUP(Tabla12[[#This Row],[CÓDIGO DEL PRODUCTO Y/O SERVICIO ]],Tabla3[],10)</f>
        <v>0</v>
      </c>
      <c r="GV164" s="345">
        <f>Tabla12[[#This Row],[COSTO POR UNIDAD DE PRODUCTO (10)]]*Tabla12[[#This Row],[COSTO UNITARIO AÑO 4 10]]*VLOOKUP(Tabla12[[#This Row],[CÓDIGO DEL PRODUCTO Y/O SERVICIO ]],Tabla3[],14)</f>
        <v>0</v>
      </c>
      <c r="GW164" s="345">
        <f>Tabla12[[#This Row],[COSTO POR UNIDAD DE PRODUCTO (10)]]*Tabla12[[#This Row],[COSTO UNITARIO AÑO 5 10 ]]*VLOOKUP(Tabla12[[#This Row],[CÓDIGO DEL PRODUCTO Y/O SERVICIO ]],Tabla3[],18)</f>
        <v>0</v>
      </c>
      <c r="GX164" s="382">
        <f>Tabla12[[#This Row],[AÑO 1 10 ]]+Tabla12[[#This Row],[AÑO 1 9 ]]+Tabla12[[#This Row],[AÑO 1 8]]+Tabla12[[#This Row],[AÑO 1 7]]+Tabla12[[#This Row],[AÑO 1 6]]+Tabla12[[#This Row],[AÑO 1 5]]+Tabla12[[#This Row],[AÑO 1 4 ]]+Tabla12[[#This Row],[AÑO 1 3]]+Tabla12[[#This Row],[AÑO 1 2]]+Tabla12[[#This Row],[AÑO 1 1]]</f>
        <v>0</v>
      </c>
      <c r="GY164" s="382">
        <f>Tabla12[[#This Row],[AÑO 2 10 ]]+Tabla12[[#This Row],[AÑO 2 9 ]]+Tabla12[[#This Row],[AÑO 2 8]]+Tabla12[[#This Row],[AÑO 2 7]]+Tabla12[[#This Row],[AÑO 2 6]]+Tabla12[[#This Row],[AÑO 2 5]]+Tabla12[[#This Row],[AÑO 2 4 ]]+Tabla12[[#This Row],[AÑO 2 3]]+Tabla12[[#This Row],[AÑO 2 2 ]]+Tabla12[[#This Row],[AÑO 2 1 ]]</f>
        <v>0</v>
      </c>
      <c r="GZ164" s="382">
        <f>Tabla12[[#This Row],[AÑO 3 10 ]]+Tabla12[[#This Row],[AÑO 3 9]]+Tabla12[[#This Row],[AÑO 3 8]]+Tabla12[[#This Row],[AÑO 3 7]]+Tabla12[[#This Row],[AÑO 3 6]]+Tabla12[[#This Row],[AÑO 3 5]]+Tabla12[[#This Row],[AÑO 3 4 ]]+Tabla12[[#This Row],[AÑO 3 3 ]]+Tabla12[[#This Row],[AÑO 3 2 ]]+Tabla12[[#This Row],[AÑO 3 1 ]]</f>
        <v>0</v>
      </c>
      <c r="HA164" s="382">
        <f>Tabla12[[#This Row],[AÑO 4 10 ]]+Tabla12[[#This Row],[AÑO 4 9]]+Tabla12[[#This Row],[AÑO 4 8]]+Tabla12[[#This Row],[AÑO 4 7]]+Tabla12[[#This Row],[AÑO 4 6]]+Tabla12[[#This Row],[AÑO 4 5]]+Tabla12[[#This Row],[AÑO 4 4 ]]+Tabla12[[#This Row],[AÑO 4 3 ]]+Tabla12[[#This Row],[AÑO 4 2 ]]+Tabla12[[#This Row],[AÑO 4 1 ]]</f>
        <v>0</v>
      </c>
      <c r="HB164" s="382">
        <f>Tabla12[[#This Row],[AÑO 5 10 ]]+Tabla12[[#This Row],[AÑO 5 9]]+Tabla12[[#This Row],[AÑO 5 8]]+Tabla12[[#This Row],[AÑO 5 7]]+Tabla12[[#This Row],[AÑO 5 6]]+Tabla12[[#This Row],[AÑO 5 5]]+Tabla12[[#This Row],[AÑO 5 4 ]]+Tabla12[[#This Row],[AÑO 5 3 ]]+Tabla12[[#This Row],[AÑO 5 2 ]]+Tabla12[[#This Row],[AÑO 5 1 ]]</f>
        <v>0</v>
      </c>
    </row>
    <row r="165" spans="3:210" ht="15.75" x14ac:dyDescent="0.25">
      <c r="C165" s="62"/>
      <c r="D165" s="360" t="str">
        <f>VLOOKUP(Tabla12[[#This Row],[CÓDIGO DEL PRODUCTO Y/O SERVICIO ]],Tabla3[],2,0)</f>
        <v xml:space="preserve">Seleccionar producto o servicio </v>
      </c>
      <c r="E165" s="364"/>
      <c r="F165" s="360">
        <f>VLOOKUP(Tabla12[[#This Row],[CÓDIGO DEL PRODUCTO Y/O SERVICIO ]],Tabla3[],3)</f>
        <v>0</v>
      </c>
      <c r="G165" s="360">
        <f>Tabla12[[#This Row],[UNIDADES PRODUCIDAS AÑO 1 1 ]]*$F$145</f>
        <v>0</v>
      </c>
      <c r="H165" s="112">
        <f>VLOOKUP(Tabla12[[#This Row],[CÓDIGO DEL PRODUCTO Y/O SERVICIO ]],Tabla3[],9)</f>
        <v>0</v>
      </c>
      <c r="I165" s="360">
        <f>Tabla12[[#This Row],[CANTIDADES A UTILIZAR EN EL AÑO 1 1]]*(1+Tabla12[[#This Row],[CAMBIO PORCENTUAL EN UNIDADES VENDIDAS AÑO 2 1 ]])</f>
        <v>0</v>
      </c>
      <c r="J165" s="112">
        <f>VLOOKUP(Tabla12[[#This Row],[CÓDIGO DEL PRODUCTO Y/O SERVICIO ]],Tabla3[],13)</f>
        <v>0</v>
      </c>
      <c r="K165" s="360">
        <f>Tabla12[[#This Row],[CANTIDADES A UTILIZAR EN EL AÑO 2 1]]*(1+Tabla12[[#This Row],[CAMBIO PORCENTUAL EN UNIDADES VENDIDAS AÑO 3 1 ]])</f>
        <v>0</v>
      </c>
      <c r="L165" s="112">
        <f>VLOOKUP(Tabla12[[#This Row],[CÓDIGO DEL PRODUCTO Y/O SERVICIO ]],Tabla3[],17)</f>
        <v>0</v>
      </c>
      <c r="M165" s="360">
        <f>Tabla12[[#This Row],[CANTIDADES A UTILIZAR EN EL AÑO 3 1 ]]*(1+Tabla12[[#This Row],[CAMBIO PORCENTUAL EN UNIDADES VENDIDAS AÑO 4 1]])</f>
        <v>0</v>
      </c>
      <c r="N165" s="112">
        <f>VLOOKUP(Tabla12[[#This Row],[CÓDIGO DEL PRODUCTO Y/O SERVICIO ]],Tabla3[],21)</f>
        <v>0</v>
      </c>
      <c r="O165" s="360">
        <f>Tabla12[[#This Row],[CANTIDADES A UTILIZAR EN EL AÑO 4 1 ]]*(1+Tabla12[[#This Row],[CAMBIO PORCENTUAL EN UNIDADES VENDIDAS AÑO 5 1 ]])</f>
        <v>0</v>
      </c>
      <c r="P165" s="345">
        <f>IF(Tabla12[[#This Row],[CANTIDADES A UTILIZAR EN EL AÑO 1 1]]=0,0,Tabla12[[#This Row],[CANTIDADES A UTILIZAR EN EL AÑO 1 1]]*1/Tabla12[[#This Row],[UNIDADES PRODUCIDAS AÑO 1 1 ]])</f>
        <v>0</v>
      </c>
      <c r="Q165" s="345">
        <f>$C$128*(1+BASES!$E$10)</f>
        <v>0</v>
      </c>
      <c r="R165" s="345">
        <f>Tabla12[[#This Row],[COSTO UNITARIO AÑO 2 1 ]]*(1+BASES!$F$10)</f>
        <v>0</v>
      </c>
      <c r="S165" s="345">
        <f>Tabla12[[#This Row],[COSTO UNITARIO AÑO 3 1 ]]*(1+BASES!$G$10)</f>
        <v>0</v>
      </c>
      <c r="T165" s="345">
        <f>Tabla12[[#This Row],[COSTO UNITARIO AÑO 4 1 ]]*(1+BASES!$H$10)</f>
        <v>0</v>
      </c>
      <c r="U165" s="345">
        <f>Tabla12[[#This Row],[COSTO POR UNIDAD DE PRODUCTO (1)]]*$C$128*VLOOKUP(Tabla12[[#This Row],[CÓDIGO DEL PRODUCTO Y/O SERVICIO ]],Tabla3[],3)</f>
        <v>0</v>
      </c>
      <c r="V165" s="345">
        <f>Tabla12[[#This Row],[COSTO POR UNIDAD DE PRODUCTO (1)]]*Tabla12[[#This Row],[COSTO UNITARIO AÑO 2 1 ]]*VLOOKUP(Tabla12[[#This Row],[CÓDIGO DEL PRODUCTO Y/O SERVICIO ]],Tabla3[],6)</f>
        <v>0</v>
      </c>
      <c r="W165" s="345">
        <f>Tabla12[[#This Row],[COSTO POR UNIDAD DE PRODUCTO (1)]]*Tabla12[[#This Row],[COSTO UNITARIO AÑO 3 1 ]]*VLOOKUP(Tabla12[[#This Row],[CÓDIGO DEL PRODUCTO Y/O SERVICIO ]],Tabla3[],10)</f>
        <v>0</v>
      </c>
      <c r="X165" s="345">
        <f>Tabla12[[#This Row],[COSTO POR UNIDAD DE PRODUCTO (1)]]*Tabla12[[#This Row],[COSTO UNITARIO AÑO 4 1 ]]*VLOOKUP(Tabla12[[#This Row],[CÓDIGO DEL PRODUCTO Y/O SERVICIO ]],Tabla3[],14)</f>
        <v>0</v>
      </c>
      <c r="Y165" s="345">
        <f>Tabla12[[#This Row],[COSTO POR UNIDAD DE PRODUCTO (1)]]*Tabla12[[#This Row],[COSTO UNITARIO AÑO 5 1 ]]*VLOOKUP(Tabla12[[#This Row],[CÓDIGO DEL PRODUCTO Y/O SERVICIO ]],Tabla3[],18)</f>
        <v>0</v>
      </c>
      <c r="Z165" s="114">
        <f>VLOOKUP(Tabla12[[#This Row],[CÓDIGO DEL PRODUCTO Y/O SERVICIO ]],Tabla3[],3)</f>
        <v>0</v>
      </c>
      <c r="AA165" s="114">
        <f>Tabla12[[#This Row],[UNIDADES PRODUCIDAS AÑO 1 2]]*G146</f>
        <v>0</v>
      </c>
      <c r="AB165" s="112">
        <f>VLOOKUP(Tabla12[[#This Row],[CÓDIGO DEL PRODUCTO Y/O SERVICIO ]],Tabla3[],9)</f>
        <v>0</v>
      </c>
      <c r="AC165" s="114">
        <f>Tabla12[[#This Row],[CANTIDADES A UTILIZAR EN EL AÑO 1 2 ]]*(1+Tabla12[[#This Row],[CAMBIO PORCENTUAL EN UNIDADES VENDIDAS AÑO 2 2 ]])</f>
        <v>0</v>
      </c>
      <c r="AD165" s="112">
        <f>VLOOKUP(Tabla12[[#This Row],[CÓDIGO DEL PRODUCTO Y/O SERVICIO ]],Tabla3[],13)</f>
        <v>0</v>
      </c>
      <c r="AE165" s="114">
        <f>Tabla12[[#This Row],[CANTIDADES A UTILIZAR EN EL AÑO 2 2 ]]*(1+Tabla12[[#This Row],[CAMBIO PORCENTUAL EN UNIDADES VENDIDAS AÑO 3 2]])</f>
        <v>0</v>
      </c>
      <c r="AF165" s="112">
        <f>VLOOKUP(Tabla12[[#This Row],[CÓDIGO DEL PRODUCTO Y/O SERVICIO ]],Tabla3[],17)</f>
        <v>0</v>
      </c>
      <c r="AG165" s="114">
        <f>Tabla12[[#This Row],[CANTIDADES A UTILIZAR EN EL AÑO 3 2]]*(1+Tabla12[[#This Row],[CAMBIO PORCENTUAL EN UNIDADES VENDIDAS AÑO 4 2]])</f>
        <v>0</v>
      </c>
      <c r="AH165" s="112">
        <f>VLOOKUP(Tabla12[[#This Row],[CÓDIGO DEL PRODUCTO Y/O SERVICIO ]],Tabla3[],21)</f>
        <v>0</v>
      </c>
      <c r="AI165" s="114">
        <f>Tabla12[[#This Row],[CANTIDADES A UTILIZAR EN EL AÑO 4 2]]*(1+Tabla12[[#This Row],[CAMBIO PORCENTUAL EN UNIDADES VENDIDAS AÑO 5 2]])</f>
        <v>0</v>
      </c>
      <c r="AJ165" s="345">
        <f>IF(Tabla12[[#This Row],[CANTIDADES A UTILIZAR EN EL AÑO 1 2 ]]=0,0,Tabla12[[#This Row],[CANTIDADES A UTILIZAR EN EL AÑO 1 2 ]]*1/Tabla12[[#This Row],[UNIDADES PRODUCIDAS AÑO 1 2]])</f>
        <v>0</v>
      </c>
      <c r="AK165" s="345">
        <f>$C$129*(1+BASES!$E$10)</f>
        <v>0</v>
      </c>
      <c r="AL165" s="345">
        <f>Tabla12[[#This Row],[COSTO UNITARIO AÑO 2 2]]*(1+BASES!$F$10)</f>
        <v>0</v>
      </c>
      <c r="AM165" s="345">
        <f>Tabla12[[#This Row],[COSTO UNITARIO AÑO 3 2 ]]*(1+BASES!$G$10)</f>
        <v>0</v>
      </c>
      <c r="AN165" s="345">
        <f>Tabla12[[#This Row],[COSTO UNITARIO AÑO 4 2 ]]*(1+BASES!$H$10)</f>
        <v>0</v>
      </c>
      <c r="AO165" s="345">
        <f>Tabla12[[#This Row],[COSTO POR UNIDAD DE PRODUCTO (2)]]*$C$129*VLOOKUP(Tabla12[[#This Row],[CÓDIGO DEL PRODUCTO Y/O SERVICIO ]],Tabla3[],3)</f>
        <v>0</v>
      </c>
      <c r="AP165" s="345">
        <f>Tabla12[[#This Row],[COSTO POR UNIDAD DE PRODUCTO (2)]]*Tabla12[[#This Row],[COSTO UNITARIO AÑO 2 2]]*VLOOKUP(Tabla12[[#This Row],[CÓDIGO DEL PRODUCTO Y/O SERVICIO ]],Tabla3[],6)</f>
        <v>0</v>
      </c>
      <c r="AQ165" s="345">
        <f>Tabla12[[#This Row],[COSTO POR UNIDAD DE PRODUCTO (2)]]*Tabla12[[#This Row],[COSTO UNITARIO AÑO 3 2 ]]*VLOOKUP(Tabla12[[#This Row],[CÓDIGO DEL PRODUCTO Y/O SERVICIO ]],Tabla3[],10)</f>
        <v>0</v>
      </c>
      <c r="AR165" s="345">
        <f>Tabla12[[#This Row],[COSTO POR UNIDAD DE PRODUCTO (2)]]*Tabla12[[#This Row],[COSTO UNITARIO AÑO 4 2 ]]*VLOOKUP(Tabla12[[#This Row],[CÓDIGO DEL PRODUCTO Y/O SERVICIO ]],Tabla3[],14)</f>
        <v>0</v>
      </c>
      <c r="AS165" s="345">
        <f>Tabla12[[#This Row],[COSTO POR UNIDAD DE PRODUCTO (2)]]*Tabla12[[#This Row],[COSTO UNITARIO AÑO 5 2 ]]*VLOOKUP(Tabla12[[#This Row],[CÓDIGO DEL PRODUCTO Y/O SERVICIO ]],Tabla3[],18)</f>
        <v>0</v>
      </c>
      <c r="AT165" s="114">
        <f>VLOOKUP(Tabla12[[#This Row],[CÓDIGO DEL PRODUCTO Y/O SERVICIO ]],Tabla3[],3)</f>
        <v>0</v>
      </c>
      <c r="AU165" s="114">
        <f>Tabla12[[#This Row],[UNIDADES PRODUCIDAS AÑO 1 3]]*H146</f>
        <v>0</v>
      </c>
      <c r="AV165" s="112">
        <f>VLOOKUP(Tabla12[[#This Row],[CÓDIGO DEL PRODUCTO Y/O SERVICIO ]],Tabla3[],9)</f>
        <v>0</v>
      </c>
      <c r="AW165" s="114">
        <f>Tabla12[[#This Row],[CANTIDADES A UTILIZAR EN EL AÑO 1 3]]*(1+Tabla12[[#This Row],[CAMBIO PORCENTUAL EN UNIDADES VENDIDAS AÑO 2 3]])</f>
        <v>0</v>
      </c>
      <c r="AX165" s="112">
        <f>VLOOKUP(Tabla12[[#This Row],[CÓDIGO DEL PRODUCTO Y/O SERVICIO ]],Tabla3[],13)</f>
        <v>0</v>
      </c>
      <c r="AY165" s="114">
        <f>Tabla12[[#This Row],[CANTIDADES A UTILIZAR EN EL AÑO 2 3]]*(1+Tabla12[[#This Row],[CAMBIO PORCENTUAL EN UNIDADES VENDIDAS AÑO 3 3]])</f>
        <v>0</v>
      </c>
      <c r="AZ165" s="112">
        <f>VLOOKUP(Tabla12[[#This Row],[CÓDIGO DEL PRODUCTO Y/O SERVICIO ]],Tabla3[],17)</f>
        <v>0</v>
      </c>
      <c r="BA165" s="114">
        <f>Tabla12[[#This Row],[CANTIDADES A UTILIZAR EN EL AÑO 3 3]]*(1+Tabla12[[#This Row],[CAMBIO PORCENTUAL EN UNIDADES VENDIDAS AÑO 4 3]])</f>
        <v>0</v>
      </c>
      <c r="BB165" s="112">
        <f>VLOOKUP(Tabla12[[#This Row],[CÓDIGO DEL PRODUCTO Y/O SERVICIO ]],Tabla3[],21)</f>
        <v>0</v>
      </c>
      <c r="BC165" s="114">
        <f>Tabla12[[#This Row],[CANTIDADES A UTILIZAR EN EL AÑO 4 3]]*(1+Tabla12[[#This Row],[CAMBIO PORCENTUAL EN UNIDADES VENDIDAS AÑO 5 3]])</f>
        <v>0</v>
      </c>
      <c r="BD165" s="345">
        <f>IF(Tabla12[[#This Row],[CANTIDADES A UTILIZAR EN EL AÑO 1 3]]=0,0,Tabla12[[#This Row],[CANTIDADES A UTILIZAR EN EL AÑO 1 3]]*1/Tabla12[[#This Row],[UNIDADES PRODUCIDAS AÑO 1 3]])</f>
        <v>0</v>
      </c>
      <c r="BE165" s="345">
        <f>$C$130*(1+BASES!$E$10)</f>
        <v>0</v>
      </c>
      <c r="BF165" s="345">
        <f>Tabla12[[#This Row],[COSTO UNITARIO AÑO 2 3]]*(1+BASES!$F$10)</f>
        <v>0</v>
      </c>
      <c r="BG165" s="345">
        <f>Tabla12[[#This Row],[COSTO UNITARIO AÑO 3 3 ]]*(1+BASES!$G$10)</f>
        <v>0</v>
      </c>
      <c r="BH165" s="345">
        <f>Tabla12[[#This Row],[COSTO UNITARIO AÑO 4 3]]*(1+BASES!$H$10)</f>
        <v>0</v>
      </c>
      <c r="BI165" s="345">
        <f>Tabla12[[#This Row],[COSTO POR UNIDAD DE PRODUCTO (3)]]*$C$130*VLOOKUP(Tabla12[[#This Row],[CÓDIGO DEL PRODUCTO Y/O SERVICIO ]],Tabla3[],3)</f>
        <v>0</v>
      </c>
      <c r="BJ165" s="345">
        <f>Tabla12[[#This Row],[COSTO POR UNIDAD DE PRODUCTO (3)]]*Tabla12[[#This Row],[COSTO UNITARIO AÑO 2 3]]*VLOOKUP(Tabla12[[#This Row],[CÓDIGO DEL PRODUCTO Y/O SERVICIO ]],Tabla3[],6)</f>
        <v>0</v>
      </c>
      <c r="BK165" s="345">
        <f>Tabla12[[#This Row],[COSTO POR UNIDAD DE PRODUCTO (3)]]*Tabla12[[#This Row],[COSTO UNITARIO AÑO 3 3 ]]*VLOOKUP(Tabla12[[#This Row],[CÓDIGO DEL PRODUCTO Y/O SERVICIO ]],Tabla3[],10)</f>
        <v>0</v>
      </c>
      <c r="BL165" s="345">
        <f>Tabla12[[#This Row],[COSTO POR UNIDAD DE PRODUCTO (3)]]*Tabla12[[#This Row],[COSTO UNITARIO AÑO 4 3]]*VLOOKUP(Tabla12[[#This Row],[CÓDIGO DEL PRODUCTO Y/O SERVICIO ]],Tabla3[],14)</f>
        <v>0</v>
      </c>
      <c r="BM165" s="345">
        <f>Tabla12[[#This Row],[COSTO POR UNIDAD DE PRODUCTO (3)]]*Tabla12[[#This Row],[COSTO UNITARIO AÑO 5 3 ]]*VLOOKUP(Tabla12[[#This Row],[CÓDIGO DEL PRODUCTO Y/O SERVICIO ]],Tabla3[],18)</f>
        <v>0</v>
      </c>
      <c r="BN165" s="114">
        <f>VLOOKUP(Tabla12[[#This Row],[CÓDIGO DEL PRODUCTO Y/O SERVICIO ]],Tabla3[],3)</f>
        <v>0</v>
      </c>
      <c r="BO165" s="114">
        <f>Tabla12[[#This Row],[UNIDADES PRODUCIDAS AÑO 1 4]]*I146</f>
        <v>0</v>
      </c>
      <c r="BP165" s="112">
        <f>VLOOKUP(Tabla12[[#This Row],[CÓDIGO DEL PRODUCTO Y/O SERVICIO ]],Tabla3[],9)</f>
        <v>0</v>
      </c>
      <c r="BQ165" s="114">
        <f>Tabla12[[#This Row],[CANTIDADES A UTILIZAR EN EL AÑO 1 4]]*(1+Tabla12[[#This Row],[CAMBIO PORCENTUAL EN UNIDADES VENDIDAS AÑO 2 4]])</f>
        <v>0</v>
      </c>
      <c r="BR165" s="112">
        <f>VLOOKUP(Tabla12[[#This Row],[CÓDIGO DEL PRODUCTO Y/O SERVICIO ]],Tabla3[],13)</f>
        <v>0</v>
      </c>
      <c r="BS165" s="114">
        <f>Tabla12[[#This Row],[CANTIDADES A UTILIZAR EN EL AÑO 2 4]]*(1+Tabla12[[#This Row],[CAMBIO PORCENTUAL EN UNIDADES VENDIDAS AÑO 3 4]])</f>
        <v>0</v>
      </c>
      <c r="BT165" s="112">
        <f>VLOOKUP(Tabla12[[#This Row],[CÓDIGO DEL PRODUCTO Y/O SERVICIO ]],Tabla3[],17)</f>
        <v>0</v>
      </c>
      <c r="BU165" s="114">
        <f>Tabla12[[#This Row],[CANTIDADES A UTILIZAR EN EL AÑO 3 4 ]]*(1+Tabla12[[#This Row],[CAMBIO PORCENTUAL EN UNIDADES VENDIDAS AÑO 4 4 ]])</f>
        <v>0</v>
      </c>
      <c r="BV165" s="112">
        <f>VLOOKUP(Tabla12[[#This Row],[CÓDIGO DEL PRODUCTO Y/O SERVICIO ]],Tabla3[],21)</f>
        <v>0</v>
      </c>
      <c r="BW165" s="114">
        <f>Tabla12[[#This Row],[CANTIDADES A UTILIZAR EN EL AÑO 4 4 ]]*(1+Tabla12[[#This Row],[CAMBIO PORCENTUAL EN UNIDADES VENDIDAS AÑO 5 4 ]])</f>
        <v>0</v>
      </c>
      <c r="BX165" s="345">
        <f>IF(Tabla12[[#This Row],[CANTIDADES A UTILIZAR EN EL AÑO 1 4]]=0,0,Tabla12[[#This Row],[CANTIDADES A UTILIZAR EN EL AÑO 1 4]]*1/Tabla12[[#This Row],[UNIDADES PRODUCIDAS AÑO 1 4]])</f>
        <v>0</v>
      </c>
      <c r="BY165" s="345">
        <f>$C$131*(1+BASES!$E$10)</f>
        <v>0</v>
      </c>
      <c r="BZ165" s="345">
        <f>Tabla12[[#This Row],[COSTO UNITARIO AÑO 2 4 ]]*(1+BASES!$F$10)</f>
        <v>0</v>
      </c>
      <c r="CA165" s="345">
        <f>Tabla12[[#This Row],[COSTO UNITARIO AÑO 3 4 ]]*(1+BASES!$G$10)</f>
        <v>0</v>
      </c>
      <c r="CB165" s="345">
        <f>Tabla12[[#This Row],[COSTO UNITARIO AÑO 4 4 ]]*(1+BASES!$H$10)</f>
        <v>0</v>
      </c>
      <c r="CC165" s="345">
        <f>Tabla12[[#This Row],[COSTO POR UNIDAD DE PRODUCTO (4)]]*$C$131*VLOOKUP(Tabla12[[#This Row],[CÓDIGO DEL PRODUCTO Y/O SERVICIO ]],Tabla3[],3)</f>
        <v>0</v>
      </c>
      <c r="CD165" s="345">
        <f>Tabla12[[#This Row],[COSTO POR UNIDAD DE PRODUCTO (4)]]*Tabla12[[#This Row],[COSTO UNITARIO AÑO 2 4 ]]*VLOOKUP(Tabla12[[#This Row],[CÓDIGO DEL PRODUCTO Y/O SERVICIO ]],Tabla3[],6)</f>
        <v>0</v>
      </c>
      <c r="CE165" s="345">
        <f>Tabla12[[#This Row],[COSTO POR UNIDAD DE PRODUCTO (4)]]*Tabla12[[#This Row],[COSTO UNITARIO AÑO 3 4 ]]*VLOOKUP(Tabla12[[#This Row],[CÓDIGO DEL PRODUCTO Y/O SERVICIO ]],Tabla3[],10)</f>
        <v>0</v>
      </c>
      <c r="CF165" s="345">
        <f>Tabla12[[#This Row],[COSTO POR UNIDAD DE PRODUCTO (4)]]*Tabla12[[#This Row],[COSTO UNITARIO AÑO 4 4 ]]*VLOOKUP(Tabla12[[#This Row],[CÓDIGO DEL PRODUCTO Y/O SERVICIO ]],Tabla3[],14)</f>
        <v>0</v>
      </c>
      <c r="CG165" s="345">
        <f>Tabla12[[#This Row],[COSTO POR UNIDAD DE PRODUCTO (4)]]*Tabla12[[#This Row],[COSTO UNITARIO AÑO 5 4 ]]*VLOOKUP(Tabla12[[#This Row],[CÓDIGO DEL PRODUCTO Y/O SERVICIO ]],Tabla3[],18)</f>
        <v>0</v>
      </c>
      <c r="CH165" s="114">
        <f>VLOOKUP(Tabla12[[#This Row],[CÓDIGO DEL PRODUCTO Y/O SERVICIO ]],Tabla3[],3)</f>
        <v>0</v>
      </c>
      <c r="CI165" s="114">
        <f>Tabla12[[#This Row],[UNIDADES PRODUCIDAS AÑO 1 5]]*J146</f>
        <v>0</v>
      </c>
      <c r="CJ165" s="112">
        <f>VLOOKUP(Tabla12[[#This Row],[CÓDIGO DEL PRODUCTO Y/O SERVICIO ]],Tabla3[],9)</f>
        <v>0</v>
      </c>
      <c r="CK165" s="114">
        <f>Tabla12[[#This Row],[CANTIDADES A UTILIZAR EN EL AÑO 1 5]]*(1+Tabla12[[#This Row],[CAMBIO PORCENTUAL EN UNIDADES VENDIDAS AÑO 2 5 ]])</f>
        <v>0</v>
      </c>
      <c r="CL165" s="112">
        <f>VLOOKUP(Tabla12[[#This Row],[CÓDIGO DEL PRODUCTO Y/O SERVICIO ]],Tabla3[],13)</f>
        <v>0</v>
      </c>
      <c r="CM165" s="114">
        <f>Tabla12[[#This Row],[CANTIDADES A UTILIZAR EN EL AÑO 2 5]]*(1+Tabla12[[#This Row],[CAMBIO PORCENTUAL EN UNIDADES VENDIDAS AÑO 3 5 ]])</f>
        <v>0</v>
      </c>
      <c r="CN165" s="112">
        <f>VLOOKUP(Tabla12[[#This Row],[CÓDIGO DEL PRODUCTO Y/O SERVICIO ]],Tabla3[],17)</f>
        <v>0</v>
      </c>
      <c r="CO165" s="114">
        <f>Tabla12[[#This Row],[CANTIDADES A UTILIZAR EN EL AÑO 3 5 ]]*(1+Tabla12[[#This Row],[CAMBIO PORCENTUAL EN UNIDADES VENDIDAS AÑO 4 5 ]])</f>
        <v>0</v>
      </c>
      <c r="CP165" s="112">
        <f>VLOOKUP(Tabla12[[#This Row],[CÓDIGO DEL PRODUCTO Y/O SERVICIO ]],Tabla3[],21)</f>
        <v>0</v>
      </c>
      <c r="CQ165" s="114">
        <f>Tabla12[[#This Row],[CANTIDADES A UTILIZAR EN EL AÑO 4 5 ]]*(1+Tabla12[[#This Row],[CAMBIO PORCENTUAL EN UNIDADES VENDIDAS AÑO 5 5]])</f>
        <v>0</v>
      </c>
      <c r="CR165" s="345">
        <f>IF(Tabla12[[#This Row],[CANTIDADES A UTILIZAR EN EL AÑO 1 5]]=0,0,Tabla12[[#This Row],[CANTIDADES A UTILIZAR EN EL AÑO 1 5]]*1/Tabla12[[#This Row],[UNIDADES PRODUCIDAS AÑO 1 5]])</f>
        <v>0</v>
      </c>
      <c r="CS165" s="345">
        <f>$C$132*(1+BASES!$E$10)</f>
        <v>0</v>
      </c>
      <c r="CT165" s="345">
        <f>Tabla12[[#This Row],[COSTO UNITARIO AÑO 2 5]]*(1+BASES!$F$10)</f>
        <v>0</v>
      </c>
      <c r="CU165" s="345">
        <f>Tabla12[[#This Row],[COSTO UNITARIO AÑO 3 5]]*(1+BASES!$G$10)</f>
        <v>0</v>
      </c>
      <c r="CV165" s="345">
        <f>Tabla12[[#This Row],[COSTO UNITARIO AÑO 4 5]]*(1+BASES!$H$10)</f>
        <v>0</v>
      </c>
      <c r="CW165" s="345">
        <f>Tabla12[[#This Row],[COSTO POR UNIDAD DE PRODUCTO (5)]]*$C$132*VLOOKUP(Tabla12[[#This Row],[CÓDIGO DEL PRODUCTO Y/O SERVICIO ]],Tabla3[],3)</f>
        <v>0</v>
      </c>
      <c r="CX165" s="345">
        <f>Tabla12[[#This Row],[COSTO POR UNIDAD DE PRODUCTO (5)]]*Tabla12[[#This Row],[COSTO UNITARIO AÑO 2 5]]*VLOOKUP(Tabla12[[#This Row],[CÓDIGO DEL PRODUCTO Y/O SERVICIO ]],Tabla3[],6)</f>
        <v>0</v>
      </c>
      <c r="CY165" s="345">
        <f>Tabla12[[#This Row],[COSTO POR UNIDAD DE PRODUCTO (5)]]*Tabla12[[#This Row],[COSTO UNITARIO AÑO 3 5]]*VLOOKUP(Tabla12[[#This Row],[CÓDIGO DEL PRODUCTO Y/O SERVICIO ]],Tabla3[],10)</f>
        <v>0</v>
      </c>
      <c r="CZ165" s="345">
        <f>Tabla12[[#This Row],[COSTO POR UNIDAD DE PRODUCTO (5)]]*Tabla12[[#This Row],[COSTO UNITARIO AÑO 4 5]]*VLOOKUP(Tabla12[[#This Row],[CÓDIGO DEL PRODUCTO Y/O SERVICIO ]],Tabla3[],14)</f>
        <v>0</v>
      </c>
      <c r="DA165" s="345">
        <f>Tabla12[[#This Row],[COSTO POR UNIDAD DE PRODUCTO (5)]]*Tabla12[[#This Row],[COSTO UNITARIO AÑO 5 5 ]]*VLOOKUP(Tabla12[[#This Row],[CÓDIGO DEL PRODUCTO Y/O SERVICIO ]],Tabla3[],18)</f>
        <v>0</v>
      </c>
      <c r="DB165" s="114">
        <f>VLOOKUP(Tabla12[[#This Row],[CÓDIGO DEL PRODUCTO Y/O SERVICIO ]],Tabla3[],3)</f>
        <v>0</v>
      </c>
      <c r="DC165" s="114">
        <f>Tabla12[[#This Row],[UNIDADES PRODUCIDAS AÑO 1 6]]*K146</f>
        <v>0</v>
      </c>
      <c r="DD165" s="112">
        <f>VLOOKUP(Tabla12[[#This Row],[CÓDIGO DEL PRODUCTO Y/O SERVICIO ]],Tabla3[],9)</f>
        <v>0</v>
      </c>
      <c r="DE165" s="114">
        <f>Tabla12[[#This Row],[CANTIDADES A UTILIZAR EN EL AÑO 1 6]]*(1+Tabla12[[#This Row],[CAMBIO PORCENTUAL EN UNIDADES VENDIDAS AÑO 2 6]])</f>
        <v>0</v>
      </c>
      <c r="DF165" s="112">
        <f>VLOOKUP(Tabla12[[#This Row],[CÓDIGO DEL PRODUCTO Y/O SERVICIO ]],Tabla3[],13)</f>
        <v>0</v>
      </c>
      <c r="DG165" s="114">
        <f>Tabla12[[#This Row],[CANTIDADES A UTILIZAR EN EL AÑO 2 6]]*(1+Tabla12[[#This Row],[CAMBIO PORCENTUAL EN UNIDADES VENDIDAS AÑO 3 6]])</f>
        <v>0</v>
      </c>
      <c r="DH165" s="112">
        <f>VLOOKUP(Tabla12[[#This Row],[CÓDIGO DEL PRODUCTO Y/O SERVICIO ]],Tabla3[],17)</f>
        <v>0</v>
      </c>
      <c r="DI165" s="114">
        <f>Tabla12[[#This Row],[CANTIDADES A UTILIZAR EN EL AÑO 3 6]]*(1+Tabla12[[#This Row],[CAMBIO PORCENTUAL EN UNIDADES VENDIDAS AÑO 4 6]])</f>
        <v>0</v>
      </c>
      <c r="DJ165" s="112">
        <f>VLOOKUP(Tabla12[[#This Row],[CÓDIGO DEL PRODUCTO Y/O SERVICIO ]],Tabla3[],21)</f>
        <v>0</v>
      </c>
      <c r="DK165" s="114">
        <f>Tabla12[[#This Row],[CANTIDADES A UTILIZAR EN EL AÑO 4 6]]*(1+Tabla12[[#This Row],[CAMBIO PORCENTUAL EN UNIDADES VENDIDAS AÑO 5 6]])</f>
        <v>0</v>
      </c>
      <c r="DL165" s="345">
        <f>IF(Tabla12[[#This Row],[CANTIDADES A UTILIZAR EN EL AÑO 1 6]]=0,0,Tabla12[[#This Row],[CANTIDADES A UTILIZAR EN EL AÑO 1 6]]*1/Tabla12[[#This Row],[UNIDADES PRODUCIDAS AÑO 1 6]])</f>
        <v>0</v>
      </c>
      <c r="DM165" s="345">
        <f>$C$133*(1+BASES!$E$10)</f>
        <v>0</v>
      </c>
      <c r="DN165" s="345">
        <f>Tabla12[[#This Row],[COSTO UNITARIO AÑO 2 6]]*(1+BASES!$F$10)</f>
        <v>0</v>
      </c>
      <c r="DO165" s="345">
        <f>Tabla12[[#This Row],[COSTO UNITARIO AÑO 3 6]]*(1+BASES!$G$10)</f>
        <v>0</v>
      </c>
      <c r="DP165" s="345">
        <f>Tabla12[[#This Row],[COSTO UNITARIO AÑO 4 6]]*(1+BASES!$H$10)</f>
        <v>0</v>
      </c>
      <c r="DQ165" s="345">
        <f>Tabla12[[#This Row],[COSTO POR UNIDAD DE PRODUCTO (6)]]*$C$133*VLOOKUP(Tabla12[[#This Row],[CÓDIGO DEL PRODUCTO Y/O SERVICIO ]],Tabla3[],3)</f>
        <v>0</v>
      </c>
      <c r="DR165" s="345">
        <f>Tabla12[[#This Row],[COSTO POR UNIDAD DE PRODUCTO (6)]]*Tabla12[[#This Row],[COSTO UNITARIO AÑO 2 6]]*VLOOKUP(Tabla12[[#This Row],[CÓDIGO DEL PRODUCTO Y/O SERVICIO ]],Tabla3[],6)</f>
        <v>0</v>
      </c>
      <c r="DS165" s="345">
        <f>Tabla12[[#This Row],[COSTO POR UNIDAD DE PRODUCTO (6)]]*Tabla12[[#This Row],[COSTO UNITARIO AÑO 3 6]]*VLOOKUP(Tabla12[[#This Row],[CÓDIGO DEL PRODUCTO Y/O SERVICIO ]],Tabla3[],10)</f>
        <v>0</v>
      </c>
      <c r="DT165" s="345">
        <f>Tabla12[[#This Row],[COSTO POR UNIDAD DE PRODUCTO (6)]]*Tabla12[[#This Row],[COSTO UNITARIO AÑO 4 6]]*VLOOKUP(Tabla12[[#This Row],[CÓDIGO DEL PRODUCTO Y/O SERVICIO ]],Tabla3[],14)</f>
        <v>0</v>
      </c>
      <c r="DU165" s="345">
        <f>Tabla12[[#This Row],[COSTO POR UNIDAD DE PRODUCTO (6)]]*Tabla12[[#This Row],[COSTO UNITARIO AÑO 5 6]]*VLOOKUP(Tabla12[[#This Row],[CÓDIGO DEL PRODUCTO Y/O SERVICIO ]],Tabla3[],18)</f>
        <v>0</v>
      </c>
      <c r="DV165" s="114">
        <f>VLOOKUP(Tabla12[[#This Row],[CÓDIGO DEL PRODUCTO Y/O SERVICIO ]],Tabla3[],3)</f>
        <v>0</v>
      </c>
      <c r="DW165" s="114">
        <f>Tabla12[[#This Row],[UNIDADES PRODUCIDAS AÑO 1 7]]*L146</f>
        <v>0</v>
      </c>
      <c r="DX165" s="112">
        <f>VLOOKUP(Tabla12[[#This Row],[CÓDIGO DEL PRODUCTO Y/O SERVICIO ]],Tabla3[],9)</f>
        <v>0</v>
      </c>
      <c r="DY165" s="114">
        <f>Tabla12[[#This Row],[CANTIDADES A UTILIZAR EN EL AÑO 1 7]]*(1+Tabla12[[#This Row],[CAMBIO PORCENTUAL EN UNIDADES VENDIDAS AÑO 2 7]])</f>
        <v>0</v>
      </c>
      <c r="DZ165" s="112">
        <f>VLOOKUP(Tabla12[[#This Row],[CÓDIGO DEL PRODUCTO Y/O SERVICIO ]],Tabla3[],13)</f>
        <v>0</v>
      </c>
      <c r="EA165" s="114">
        <f>Tabla12[[#This Row],[CANTIDADES A UTILIZAR EN EL AÑO 2 7]]*(1+Tabla12[[#This Row],[CAMBIO PORCENTUAL EN UNIDADES VENDIDAS AÑO 3 7]])</f>
        <v>0</v>
      </c>
      <c r="EB165" s="112">
        <f>VLOOKUP(Tabla12[[#This Row],[CÓDIGO DEL PRODUCTO Y/O SERVICIO ]],Tabla3[],17)</f>
        <v>0</v>
      </c>
      <c r="EC165" s="114">
        <f>Tabla12[[#This Row],[CANTIDADES A UTILIZAR EN EL AÑO 3 7]]*(1+Tabla12[[#This Row],[CAMBIO PORCENTUAL EN UNIDADES VENDIDAS AÑO 4 7]])</f>
        <v>0</v>
      </c>
      <c r="ED165" s="112">
        <f>VLOOKUP(Tabla12[[#This Row],[CÓDIGO DEL PRODUCTO Y/O SERVICIO ]],Tabla3[],21)</f>
        <v>0</v>
      </c>
      <c r="EE165" s="114">
        <f>Tabla12[[#This Row],[CANTIDADES A UTILIZAR EN EL AÑO 4 7]]*(1+Tabla12[[#This Row],[CAMBIO PORCENTUAL EN UNIDADES VENDIDAS AÑO 5 7]])</f>
        <v>0</v>
      </c>
      <c r="EF165" s="345">
        <f>IF(Tabla12[[#This Row],[CANTIDADES A UTILIZAR EN EL AÑO 1 7]]=0,0,Tabla12[[#This Row],[CANTIDADES A UTILIZAR EN EL AÑO 1 7]]*1/Tabla12[[#This Row],[UNIDADES PRODUCIDAS AÑO 1 7]])</f>
        <v>0</v>
      </c>
      <c r="EG165" s="345">
        <f>$C$134*(1+BASES!$E$10)</f>
        <v>0</v>
      </c>
      <c r="EH165" s="345">
        <f>Tabla12[[#This Row],[COSTO UNITARIO AÑO 2 7]]*(1+BASES!$F$10)</f>
        <v>0</v>
      </c>
      <c r="EI165" s="345">
        <f>Tabla12[[#This Row],[COSTO UNITARIO AÑO 3 7]]*(1+BASES!$G$10)</f>
        <v>0</v>
      </c>
      <c r="EJ165" s="345">
        <f>Tabla12[[#This Row],[COSTO UNITARIO AÑO 4 7]]*(1+BASES!$H$10)</f>
        <v>0</v>
      </c>
      <c r="EK165" s="345">
        <f>Tabla12[[#This Row],[COSTO POR UNIDAD DE PRODUCTO (7)]]*$C$134*VLOOKUP(Tabla12[[#This Row],[CÓDIGO DEL PRODUCTO Y/O SERVICIO ]],Tabla3[],3)</f>
        <v>0</v>
      </c>
      <c r="EL165" s="345">
        <f>Tabla12[[#This Row],[COSTO POR UNIDAD DE PRODUCTO (7)]]*Tabla12[[#This Row],[COSTO UNITARIO AÑO 2 7]]*VLOOKUP(Tabla12[[#This Row],[CÓDIGO DEL PRODUCTO Y/O SERVICIO ]],Tabla3[],6)</f>
        <v>0</v>
      </c>
      <c r="EM165" s="345">
        <f>Tabla12[[#This Row],[COSTO POR UNIDAD DE PRODUCTO (7)]]*Tabla12[[#This Row],[COSTO UNITARIO AÑO 3 7]]*VLOOKUP(Tabla12[[#This Row],[CÓDIGO DEL PRODUCTO Y/O SERVICIO ]],Tabla3[],10)</f>
        <v>0</v>
      </c>
      <c r="EN165" s="345">
        <f>Tabla12[[#This Row],[COSTO POR UNIDAD DE PRODUCTO (7)]]*Tabla12[[#This Row],[COSTO UNITARIO AÑO 4 7]]*VLOOKUP(Tabla12[[#This Row],[CÓDIGO DEL PRODUCTO Y/O SERVICIO ]],Tabla3[],14)</f>
        <v>0</v>
      </c>
      <c r="EO165" s="345">
        <f>Tabla12[[#This Row],[COSTO POR UNIDAD DE PRODUCTO (7)]]*Tabla12[[#This Row],[COSTO UNITARIO AÑO 5 7]]*VLOOKUP(Tabla12[[#This Row],[CÓDIGO DEL PRODUCTO Y/O SERVICIO ]],Tabla3[],18)</f>
        <v>0</v>
      </c>
      <c r="EP165" s="114">
        <f>VLOOKUP(Tabla12[[#This Row],[CÓDIGO DEL PRODUCTO Y/O SERVICIO ]],Tabla3[],3)</f>
        <v>0</v>
      </c>
      <c r="EQ165" s="114">
        <f>Tabla12[[#This Row],[UNIDADES PRODUCIDAS AÑO 1 8]]*M146</f>
        <v>0</v>
      </c>
      <c r="ER165" s="112">
        <f>VLOOKUP(Tabla12[[#This Row],[CÓDIGO DEL PRODUCTO Y/O SERVICIO ]],Tabla3[],9)</f>
        <v>0</v>
      </c>
      <c r="ES165" s="114">
        <f>Tabla12[[#This Row],[CANTIDADES A UTILIZAR EN EL AÑO 1 8]]*(1+Tabla12[[#This Row],[CAMBIO PORCENTUAL EN UNIDADES VENDIDAS AÑO 2 8]])</f>
        <v>0</v>
      </c>
      <c r="ET165" s="112">
        <f>VLOOKUP(Tabla12[[#This Row],[CÓDIGO DEL PRODUCTO Y/O SERVICIO ]],Tabla3[],13)</f>
        <v>0</v>
      </c>
      <c r="EU165" s="114">
        <f>Tabla12[[#This Row],[CANTIDADES A UTILIZAR EN EL AÑO 2 8]]*(1+Tabla12[[#This Row],[CAMBIO PORCENTUAL EN UNIDADES VENDIDAS AÑO 3 8]])</f>
        <v>0</v>
      </c>
      <c r="EV165" s="112">
        <f>VLOOKUP(Tabla12[[#This Row],[CÓDIGO DEL PRODUCTO Y/O SERVICIO ]],Tabla3[],17)</f>
        <v>0</v>
      </c>
      <c r="EW165" s="114">
        <f>Tabla12[[#This Row],[CANTIDADES A UTILIZAR EN EL AÑO 3 8]]*(1+Tabla12[[#This Row],[CAMBIO PORCENTUAL EN UNIDADES VENDIDAS AÑO 4 8]])</f>
        <v>0</v>
      </c>
      <c r="EX165" s="112">
        <f>VLOOKUP(Tabla12[[#This Row],[CÓDIGO DEL PRODUCTO Y/O SERVICIO ]],Tabla3[],21)</f>
        <v>0</v>
      </c>
      <c r="EY165" s="114">
        <f>Tabla12[[#This Row],[CANTIDADES A UTILIZAR EN EL AÑO 4 8]]*(1+Tabla12[[#This Row],[CAMBIO PORCENTUAL EN UNIDADES VENDIDAS AÑO 5 8]])</f>
        <v>0</v>
      </c>
      <c r="EZ165" s="345">
        <f>IF(Tabla12[[#This Row],[CANTIDADES A UTILIZAR EN EL AÑO 1 8]]=0,0,Tabla12[[#This Row],[CANTIDADES A UTILIZAR EN EL AÑO 1 8]]*1/Tabla12[[#This Row],[UNIDADES PRODUCIDAS AÑO 1 8]])</f>
        <v>0</v>
      </c>
      <c r="FA165" s="345">
        <f>$C$135*(1+BASES!$E$10)</f>
        <v>0</v>
      </c>
      <c r="FB165" s="345">
        <f>Tabla12[[#This Row],[COSTO UNITARIO AÑO 2 8]]*(1+BASES!$F$10)</f>
        <v>0</v>
      </c>
      <c r="FC165" s="345">
        <f>Tabla12[[#This Row],[COSTO UNITARIO AÑO 3 8]]*(1+BASES!$G$10)</f>
        <v>0</v>
      </c>
      <c r="FD165" s="345">
        <f>Tabla12[[#This Row],[COSTO UNITARIO AÑO 4 8]]*(1+BASES!$H$10)</f>
        <v>0</v>
      </c>
      <c r="FE165" s="345">
        <f>Tabla12[[#This Row],[COSTO POR UNIDAD DE PRODUCTO (8)]]*$C$135*VLOOKUP(Tabla12[[#This Row],[CÓDIGO DEL PRODUCTO Y/O SERVICIO ]],Tabla3[],3)</f>
        <v>0</v>
      </c>
      <c r="FF165" s="345">
        <f>Tabla12[[#This Row],[COSTO POR UNIDAD DE PRODUCTO (8)]]*Tabla12[[#This Row],[COSTO UNITARIO AÑO 2 8]]*VLOOKUP(Tabla12[[#This Row],[CÓDIGO DEL PRODUCTO Y/O SERVICIO ]],Tabla3[],6)</f>
        <v>0</v>
      </c>
      <c r="FG165" s="345">
        <f>Tabla12[[#This Row],[COSTO POR UNIDAD DE PRODUCTO (8)]]*Tabla12[[#This Row],[COSTO UNITARIO AÑO 3 8]]*VLOOKUP(Tabla12[[#This Row],[CÓDIGO DEL PRODUCTO Y/O SERVICIO ]],Tabla3[],10)</f>
        <v>0</v>
      </c>
      <c r="FH165" s="345">
        <f>Tabla12[[#This Row],[COSTO POR UNIDAD DE PRODUCTO (8)]]*Tabla12[[#This Row],[COSTO UNITARIO AÑO 4 8]]*VLOOKUP(Tabla12[[#This Row],[CÓDIGO DEL PRODUCTO Y/O SERVICIO ]],Tabla3[],14)</f>
        <v>0</v>
      </c>
      <c r="FI165" s="345">
        <f>Tabla12[[#This Row],[COSTO POR UNIDAD DE PRODUCTO (8)]]*Tabla12[[#This Row],[COSTO UNITARIO AÑO 5 8]]*VLOOKUP(Tabla12[[#This Row],[CÓDIGO DEL PRODUCTO Y/O SERVICIO ]],Tabla3[],18)</f>
        <v>0</v>
      </c>
      <c r="FJ165" s="114">
        <f>VLOOKUP(Tabla12[[#This Row],[CÓDIGO DEL PRODUCTO Y/O SERVICIO ]],Tabla3[],3)</f>
        <v>0</v>
      </c>
      <c r="FK165" s="114">
        <f>Tabla12[[#This Row],[UNIDADES PRODUCIDAS AÑO 1 9 ]]*N146</f>
        <v>0</v>
      </c>
      <c r="FL165" s="112">
        <f>VLOOKUP(Tabla12[[#This Row],[CÓDIGO DEL PRODUCTO Y/O SERVICIO ]],Tabla3[],9)</f>
        <v>0</v>
      </c>
      <c r="FM165" s="114">
        <f>Tabla12[[#This Row],[CANTIDADES A UTILIZAR EN EL AÑO 1 9]]*(1+Tabla12[[#This Row],[CAMBIO PORCENTUAL UNIDADES VENDIDAS AÑO 2 9 ]])</f>
        <v>0</v>
      </c>
      <c r="FN165" s="112">
        <f>VLOOKUP(Tabla12[[#This Row],[CÓDIGO DEL PRODUCTO Y/O SERVICIO ]],Tabla3[],13)</f>
        <v>0</v>
      </c>
      <c r="FO165" s="114">
        <f>Tabla12[[#This Row],[CANTIDADES A UTILIZAR EN EL AÑO 2 9 ]]*(1+Tabla12[[#This Row],[CAMBIO PORCENTUAL EN UNIDADES VENDIDAS AÑO 3 9 ]])</f>
        <v>0</v>
      </c>
      <c r="FP165" s="112">
        <f>VLOOKUP(Tabla12[[#This Row],[CÓDIGO DEL PRODUCTO Y/O SERVICIO ]],Tabla3[],17)</f>
        <v>0</v>
      </c>
      <c r="FQ165" s="114">
        <f>Tabla12[[#This Row],[CANTIDADES A UTILIZAR EN EL AÑO 3 9 ]]*(1+Tabla12[[#This Row],[CAMBIO PORCENTUAL EN UNIDADES VENDIDAS AÑO 4 9 ]])</f>
        <v>0</v>
      </c>
      <c r="FR165" s="112">
        <f>VLOOKUP(Tabla12[[#This Row],[CÓDIGO DEL PRODUCTO Y/O SERVICIO ]],Tabla3[],21)</f>
        <v>0</v>
      </c>
      <c r="FS165" s="114">
        <f>Tabla12[[#This Row],[CANTIDADES A UTILIZAR EN EL AÑO 4 9]]*(1+Tabla12[[#This Row],[CAMBIO PORCENTUAL EN UNIDADES VENDIDAS AÑO 5 9]])</f>
        <v>0</v>
      </c>
      <c r="FT165" s="345">
        <f>IF(Tabla12[[#This Row],[CANTIDADES A UTILIZAR EN EL AÑO 1 9]]=0,0,Tabla12[[#This Row],[CANTIDADES A UTILIZAR EN EL AÑO 1 9]]*1/Tabla12[[#This Row],[UNIDADES PRODUCIDAS AÑO 1 9 ]])</f>
        <v>0</v>
      </c>
      <c r="FU165" s="345">
        <f>$C$136*(1+BASES!$E$10)</f>
        <v>0</v>
      </c>
      <c r="FV165" s="345">
        <f>Tabla12[[#This Row],[COSTO UNITARIO AÑO 2 9]]*(1+BASES!$F$10)</f>
        <v>0</v>
      </c>
      <c r="FW165" s="345">
        <f>Tabla12[[#This Row],[COSTO UNITARIO AÑO 3 9]]*(1+BASES!$G$10)</f>
        <v>0</v>
      </c>
      <c r="FX165" s="345">
        <f>Tabla12[[#This Row],[COSTO UNITARIO AÑO 4 9]]*(1+BASES!$H$10)</f>
        <v>0</v>
      </c>
      <c r="FY165" s="345">
        <f>Tabla12[[#This Row],[COSTO POR UNIDAD DE PRODUCTO (9)]]*$C$136*VLOOKUP(Tabla12[[#This Row],[CÓDIGO DEL PRODUCTO Y/O SERVICIO ]],Tabla3[],3)</f>
        <v>0</v>
      </c>
      <c r="FZ165" s="345">
        <f>Tabla12[[#This Row],[COSTO POR UNIDAD DE PRODUCTO (9)]]*Tabla12[[#This Row],[COSTO UNITARIO AÑO 2 9]]*VLOOKUP(Tabla12[[#This Row],[CÓDIGO DEL PRODUCTO Y/O SERVICIO ]],Tabla3[],6)</f>
        <v>0</v>
      </c>
      <c r="GA165" s="345">
        <f>Tabla12[[#This Row],[COSTO POR UNIDAD DE PRODUCTO (9)]]*Tabla12[[#This Row],[COSTO UNITARIO AÑO 3 9]]*VLOOKUP(Tabla12[[#This Row],[CÓDIGO DEL PRODUCTO Y/O SERVICIO ]],Tabla3[],10)</f>
        <v>0</v>
      </c>
      <c r="GB165" s="345">
        <f>Tabla12[[#This Row],[COSTO POR UNIDAD DE PRODUCTO (9)]]*Tabla12[[#This Row],[COSTO UNITARIO AÑO 4 9]]*VLOOKUP(Tabla12[[#This Row],[CÓDIGO DEL PRODUCTO Y/O SERVICIO ]],Tabla3[],14)</f>
        <v>0</v>
      </c>
      <c r="GC165" s="345">
        <f>Tabla12[[#This Row],[COSTO POR UNIDAD DE PRODUCTO (9)]]*Tabla12[[#This Row],[COSTO UNITARIO AÑO 5 9]]*VLOOKUP(Tabla12[[#This Row],[CÓDIGO DEL PRODUCTO Y/O SERVICIO ]],Tabla3[],18)</f>
        <v>0</v>
      </c>
      <c r="GD165" s="114">
        <f>VLOOKUP(Tabla12[[#This Row],[CÓDIGO DEL PRODUCTO Y/O SERVICIO ]],Tabla3[],3)</f>
        <v>0</v>
      </c>
      <c r="GE165" s="114">
        <f>Tabla12[[#This Row],[UNIDADES PRODUCIDAS AÑO 1 10 ]]*O146</f>
        <v>0</v>
      </c>
      <c r="GF165" s="112">
        <f>VLOOKUP(Tabla12[[#This Row],[CÓDIGO DEL PRODUCTO Y/O SERVICIO ]],Tabla3[],9)</f>
        <v>0</v>
      </c>
      <c r="GG165" s="112">
        <f>Tabla12[[#This Row],[CANTIDADES A UTILIZAR EN EL AÑO 1 10 ]]*(1+Tabla12[[#This Row],[CAMBIO PORCENTUAL EN UNIDADES VENDIDAS AÑO 2 10 ]])</f>
        <v>0</v>
      </c>
      <c r="GH165" s="112">
        <f>VLOOKUP(Tabla12[[#This Row],[CÓDIGO DEL PRODUCTO Y/O SERVICIO ]],Tabla3[],13)</f>
        <v>0</v>
      </c>
      <c r="GI165" s="114">
        <f>Tabla12[[#This Row],[CANTIDADES A UTILIZAR EN EL AÑO 2 10]]*(1+Tabla12[[#This Row],[CAMBIO PORCENTUAL EN UNIDADES VENDIDAS AÑO 3 10 ]])</f>
        <v>0</v>
      </c>
      <c r="GJ165" s="112">
        <f>VLOOKUP(Tabla12[[#This Row],[CÓDIGO DEL PRODUCTO Y/O SERVICIO ]],Tabla3[],17)</f>
        <v>0</v>
      </c>
      <c r="GK165" s="114">
        <f>Tabla12[[#This Row],[CANTIDADES A UTILIZAR EN EL AÑO 3 10]]*(1+Tabla12[[#This Row],[CAMBIO PORCENTUAL EN UNIDADES VENDIDAS AÑO 4 10 ]])</f>
        <v>0</v>
      </c>
      <c r="GL165" s="112">
        <f>VLOOKUP(Tabla12[[#This Row],[CÓDIGO DEL PRODUCTO Y/O SERVICIO ]],Tabla3[],21)</f>
        <v>0</v>
      </c>
      <c r="GM165" s="114">
        <f>Tabla12[[#This Row],[CANTIDADES A UTILIZAR EN EL AÑO 4 10 ]]*(1+Tabla12[[#This Row],[CAMBIO PORCENTUAL EN UNIDADES VENDIDAS AÑO 5 10 ]])</f>
        <v>0</v>
      </c>
      <c r="GN165" s="345">
        <f>IF(Tabla12[[#This Row],[CANTIDADES A UTILIZAR EN EL AÑO 1 10 ]]=0,0,Tabla12[[#This Row],[CANTIDADES A UTILIZAR EN EL AÑO 1 10 ]]*1/Tabla12[[#This Row],[UNIDADES PRODUCIDAS AÑO 1 10 ]])</f>
        <v>0</v>
      </c>
      <c r="GO165" s="345">
        <f>$C$137*(1+BASES!$E$10)</f>
        <v>0</v>
      </c>
      <c r="GP165" s="345">
        <f>Tabla12[[#This Row],[COSTO UNITARIO AÑO 2 10 ]]*(1+BASES!$F$10)</f>
        <v>0</v>
      </c>
      <c r="GQ165" s="345">
        <f>Tabla12[[#This Row],[COSTO UNITARIO AÑO 3 10 ]]*(1+BASES!$G$10)</f>
        <v>0</v>
      </c>
      <c r="GR165" s="345">
        <f>Tabla12[[#This Row],[COSTO UNITARIO AÑO 4 10]]*(1+BASES!$H$10)</f>
        <v>0</v>
      </c>
      <c r="GS165" s="345">
        <f>Tabla12[[#This Row],[COSTO POR UNIDAD DE PRODUCTO (10)]]*$C$137*VLOOKUP(Tabla12[[#This Row],[CÓDIGO DEL PRODUCTO Y/O SERVICIO ]],Tabla3[],3)</f>
        <v>0</v>
      </c>
      <c r="GT165" s="345">
        <f>Tabla12[[#This Row],[COSTO POR UNIDAD DE PRODUCTO (10)]]*Tabla12[[#This Row],[COSTO UNITARIO AÑO 2 10 ]]*VLOOKUP(Tabla12[[#This Row],[CÓDIGO DEL PRODUCTO Y/O SERVICIO ]],Tabla3[],6)</f>
        <v>0</v>
      </c>
      <c r="GU165" s="345">
        <f>Tabla12[[#This Row],[COSTO POR UNIDAD DE PRODUCTO (10)]]*Tabla12[[#This Row],[COSTO UNITARIO AÑO 3 10 ]]*VLOOKUP(Tabla12[[#This Row],[CÓDIGO DEL PRODUCTO Y/O SERVICIO ]],Tabla3[],10)</f>
        <v>0</v>
      </c>
      <c r="GV165" s="345">
        <f>Tabla12[[#This Row],[COSTO POR UNIDAD DE PRODUCTO (10)]]*Tabla12[[#This Row],[COSTO UNITARIO AÑO 4 10]]*VLOOKUP(Tabla12[[#This Row],[CÓDIGO DEL PRODUCTO Y/O SERVICIO ]],Tabla3[],14)</f>
        <v>0</v>
      </c>
      <c r="GW165" s="345">
        <f>Tabla12[[#This Row],[COSTO POR UNIDAD DE PRODUCTO (10)]]*Tabla12[[#This Row],[COSTO UNITARIO AÑO 5 10 ]]*VLOOKUP(Tabla12[[#This Row],[CÓDIGO DEL PRODUCTO Y/O SERVICIO ]],Tabla3[],18)</f>
        <v>0</v>
      </c>
      <c r="GX165" s="382">
        <f>Tabla12[[#This Row],[AÑO 1 10 ]]+Tabla12[[#This Row],[AÑO 1 9 ]]+Tabla12[[#This Row],[AÑO 1 8]]+Tabla12[[#This Row],[AÑO 1 7]]+Tabla12[[#This Row],[AÑO 1 6]]+Tabla12[[#This Row],[AÑO 1 5]]+Tabla12[[#This Row],[AÑO 1 4 ]]+Tabla12[[#This Row],[AÑO 1 3]]+Tabla12[[#This Row],[AÑO 1 2]]+Tabla12[[#This Row],[AÑO 1 1]]</f>
        <v>0</v>
      </c>
      <c r="GY165" s="382">
        <f>Tabla12[[#This Row],[AÑO 2 10 ]]+Tabla12[[#This Row],[AÑO 2 9 ]]+Tabla12[[#This Row],[AÑO 2 8]]+Tabla12[[#This Row],[AÑO 2 7]]+Tabla12[[#This Row],[AÑO 2 6]]+Tabla12[[#This Row],[AÑO 2 5]]+Tabla12[[#This Row],[AÑO 2 4 ]]+Tabla12[[#This Row],[AÑO 2 3]]+Tabla12[[#This Row],[AÑO 2 2 ]]+Tabla12[[#This Row],[AÑO 2 1 ]]</f>
        <v>0</v>
      </c>
      <c r="GZ165" s="382">
        <f>Tabla12[[#This Row],[AÑO 3 10 ]]+Tabla12[[#This Row],[AÑO 3 9]]+Tabla12[[#This Row],[AÑO 3 8]]+Tabla12[[#This Row],[AÑO 3 7]]+Tabla12[[#This Row],[AÑO 3 6]]+Tabla12[[#This Row],[AÑO 3 5]]+Tabla12[[#This Row],[AÑO 3 4 ]]+Tabla12[[#This Row],[AÑO 3 3 ]]+Tabla12[[#This Row],[AÑO 3 2 ]]+Tabla12[[#This Row],[AÑO 3 1 ]]</f>
        <v>0</v>
      </c>
      <c r="HA165" s="382">
        <f>Tabla12[[#This Row],[AÑO 4 10 ]]+Tabla12[[#This Row],[AÑO 4 9]]+Tabla12[[#This Row],[AÑO 4 8]]+Tabla12[[#This Row],[AÑO 4 7]]+Tabla12[[#This Row],[AÑO 4 6]]+Tabla12[[#This Row],[AÑO 4 5]]+Tabla12[[#This Row],[AÑO 4 4 ]]+Tabla12[[#This Row],[AÑO 4 3 ]]+Tabla12[[#This Row],[AÑO 4 2 ]]+Tabla12[[#This Row],[AÑO 4 1 ]]</f>
        <v>0</v>
      </c>
      <c r="HB165" s="382">
        <f>Tabla12[[#This Row],[AÑO 5 10 ]]+Tabla12[[#This Row],[AÑO 5 9]]+Tabla12[[#This Row],[AÑO 5 8]]+Tabla12[[#This Row],[AÑO 5 7]]+Tabla12[[#This Row],[AÑO 5 6]]+Tabla12[[#This Row],[AÑO 5 5]]+Tabla12[[#This Row],[AÑO 5 4 ]]+Tabla12[[#This Row],[AÑO 5 3 ]]+Tabla12[[#This Row],[AÑO 5 2 ]]+Tabla12[[#This Row],[AÑO 5 1 ]]</f>
        <v>0</v>
      </c>
    </row>
    <row r="175" spans="3:210" s="7" customFormat="1" ht="15.75" hidden="1" x14ac:dyDescent="0.25">
      <c r="U175" s="381">
        <f>SUM(Tabla12[AÑO 1 1])</f>
        <v>0</v>
      </c>
      <c r="V175" s="381">
        <f>SUM(Tabla12[[AÑO 2 1 ]])</f>
        <v>0</v>
      </c>
      <c r="W175" s="381">
        <f>SUM(Tabla12[[AÑO 3 1 ]])</f>
        <v>0</v>
      </c>
      <c r="X175" s="381">
        <f>SUM(Tabla12[[AÑO 4 1 ]])</f>
        <v>0</v>
      </c>
      <c r="Y175" s="381">
        <f>SUM(Tabla12[[AÑO 5 1 ]])</f>
        <v>0</v>
      </c>
      <c r="AO175" s="381">
        <f>SUM(Tabla12[AÑO 1 2])</f>
        <v>0</v>
      </c>
      <c r="AP175" s="381">
        <f>SUM(Tabla12[[AÑO 2 2 ]])</f>
        <v>0</v>
      </c>
      <c r="AQ175" s="381">
        <f>SUM(Tabla12[[AÑO 3 2 ]])</f>
        <v>0</v>
      </c>
      <c r="AR175" s="381">
        <f>SUM(Tabla12[[AÑO 4 2 ]])</f>
        <v>0</v>
      </c>
      <c r="AS175" s="381">
        <f>SUM(Tabla12[[AÑO 5 2 ]])</f>
        <v>0</v>
      </c>
      <c r="BI175" s="381">
        <f>SUM(Tabla12[AÑO 1 3])</f>
        <v>0</v>
      </c>
      <c r="BJ175" s="381">
        <f>SUM(Tabla12[AÑO 2 3])</f>
        <v>0</v>
      </c>
      <c r="BK175" s="381">
        <f>SUM(Tabla12[[AÑO 3 3 ]])</f>
        <v>0</v>
      </c>
      <c r="BL175" s="381">
        <f>SUM(Tabla12[[AÑO 4 3 ]])</f>
        <v>0</v>
      </c>
      <c r="BM175" s="381">
        <f>SUM(Tabla12[[AÑO 5 3 ]])</f>
        <v>0</v>
      </c>
      <c r="CC175" s="381">
        <f>SUM(Tabla12[[AÑO 1 4 ]])</f>
        <v>0</v>
      </c>
      <c r="CD175" s="381">
        <f>SUM(Tabla12[[AÑO 2 4 ]])</f>
        <v>0</v>
      </c>
      <c r="CE175" s="381">
        <f>SUM(Tabla12[[AÑO 3 4 ]])</f>
        <v>0</v>
      </c>
      <c r="CF175" s="381">
        <f>SUM(Tabla12[[AÑO 4 4 ]])</f>
        <v>0</v>
      </c>
      <c r="CG175" s="381">
        <f>SUM(Tabla12[[AÑO 5 4 ]])</f>
        <v>0</v>
      </c>
      <c r="CW175" s="381">
        <f>SUM(Tabla12[AÑO 1 5])</f>
        <v>0</v>
      </c>
      <c r="CX175" s="381">
        <f>SUM(Tabla12[AÑO 2 5])</f>
        <v>0</v>
      </c>
      <c r="CY175" s="381">
        <f>SUM(Tabla12[AÑO 3 5])</f>
        <v>0</v>
      </c>
      <c r="CZ175" s="381">
        <f>SUM(Tabla12[AÑO 4 5])</f>
        <v>0</v>
      </c>
      <c r="DA175" s="381">
        <f>SUM(Tabla12[AÑO 5 5])</f>
        <v>0</v>
      </c>
      <c r="DQ175" s="381">
        <f>SUM(Tabla12[AÑO 1 6])</f>
        <v>0</v>
      </c>
      <c r="DR175" s="381">
        <f>SUM(Tabla12[AÑO 2 6])</f>
        <v>0</v>
      </c>
      <c r="DS175" s="381">
        <f>SUM(Tabla12[AÑO 3 6])</f>
        <v>0</v>
      </c>
      <c r="DT175" s="381">
        <f>SUM(Tabla12[AÑO 4 6])</f>
        <v>0</v>
      </c>
      <c r="DU175" s="381">
        <f>SUM(Tabla12[AÑO 5 6])</f>
        <v>0</v>
      </c>
      <c r="EK175" s="381">
        <f>SUM(Tabla12[AÑO 1 7])</f>
        <v>0</v>
      </c>
      <c r="EL175" s="381">
        <f>SUM(Tabla12[AÑO 2 7])</f>
        <v>0</v>
      </c>
      <c r="EM175" s="381">
        <f>SUM(Tabla12[AÑO 3 7])</f>
        <v>0</v>
      </c>
      <c r="EN175" s="381">
        <f>SUM(Tabla12[AÑO 4 7])</f>
        <v>0</v>
      </c>
      <c r="EO175" s="381">
        <f>SUM(Tabla12[AÑO 5 7])</f>
        <v>0</v>
      </c>
      <c r="FE175" s="381">
        <f>SUM(Tabla12[AÑO 1 8])</f>
        <v>0</v>
      </c>
      <c r="FF175" s="381">
        <f>SUM(Tabla12[AÑO 2 8])</f>
        <v>0</v>
      </c>
      <c r="FG175" s="381">
        <f>SUM(Tabla12[AÑO 3 8])</f>
        <v>0</v>
      </c>
      <c r="FH175" s="381">
        <f>SUM(Tabla12[AÑO 4 8])</f>
        <v>0</v>
      </c>
      <c r="FI175" s="381">
        <f>SUM(Tabla12[AÑO 5 8])</f>
        <v>0</v>
      </c>
      <c r="FY175" s="381">
        <f>SUM(Tabla12[[AÑO 1 9 ]])</f>
        <v>0</v>
      </c>
      <c r="FZ175" s="381">
        <f>SUM(Tabla12[[AÑO 2 9 ]])</f>
        <v>0</v>
      </c>
      <c r="GA175" s="381">
        <f>SUM(Tabla12[AÑO 3 9])</f>
        <v>0</v>
      </c>
      <c r="GB175" s="381">
        <f>SUM(Tabla12[AÑO 4 9])</f>
        <v>0</v>
      </c>
      <c r="GC175" s="381">
        <f>SUM(Tabla12[AÑO 5 9])</f>
        <v>0</v>
      </c>
      <c r="GS175" s="381">
        <f>SUM(Tabla12[[AÑO 1 10 ]])</f>
        <v>0</v>
      </c>
      <c r="GT175" s="381">
        <f>SUM(Tabla12[[AÑO 2 10 ]])</f>
        <v>0</v>
      </c>
      <c r="GU175" s="381">
        <f>SUM(Tabla12[[AÑO 3 10 ]])</f>
        <v>0</v>
      </c>
      <c r="GV175" s="381">
        <f>SUM(Tabla12[[AÑO 4 10 ]])</f>
        <v>0</v>
      </c>
      <c r="GW175" s="381">
        <f>SUM(Tabla12[[AÑO 5 10 ]])</f>
        <v>0</v>
      </c>
    </row>
    <row r="178" spans="3:25" ht="15.75" x14ac:dyDescent="0.25">
      <c r="C178" s="104"/>
      <c r="D178" s="378" t="s">
        <v>860</v>
      </c>
      <c r="E178" s="378"/>
      <c r="F178" s="378" t="s">
        <v>861</v>
      </c>
      <c r="G178" s="378" t="s">
        <v>445</v>
      </c>
      <c r="H178" s="378" t="s">
        <v>446</v>
      </c>
      <c r="I178" s="378" t="s">
        <v>447</v>
      </c>
    </row>
    <row r="179" spans="3:25" ht="15.75" x14ac:dyDescent="0.25">
      <c r="C179" s="92" t="s">
        <v>45</v>
      </c>
      <c r="D179" s="384">
        <f>U67+AO67+BI67+CC67+CW67+DQ67+EK67+FE67+FY67+GS67+HM67+IG67+JA67+JU67+KO67+LI67+MC67+MW67+NQ67+OK67</f>
        <v>0</v>
      </c>
      <c r="E179" s="384">
        <f>V67+AP67+BJ67+CD67+CX67+DR67+EL67+FF67+FZ67+GT67+HN67+IH67+JB67+JV67+KP67+LJ67+MD67+MX67+NR67+OL67</f>
        <v>0</v>
      </c>
      <c r="F179" s="384">
        <f>V67+AP67+BJ67+CD67+CX67+DR67+EL67+FF67+FZ67+GT67+HN67+IH67+JB67+JV67+KP67+LJ67+MD67+MX67+NR67+OL67</f>
        <v>0</v>
      </c>
      <c r="G179" s="384">
        <f>W67+AQ67+BK67+CE67+CY67+DS67+EM67+FG67+GA67+GU67+HO67+II67+JC67+JW67+KQ67+LK67+ME67+MY67+NS67+OM67</f>
        <v>0</v>
      </c>
      <c r="H179" s="384">
        <f>X67+AR67+BL67+CF67+CZ67+DT67+EN67+FH67+GB67+GV67+HP67+IJ67+JD67+JX67+KR67+LL67+MF67+MZ67+NT67+ON67</f>
        <v>0</v>
      </c>
      <c r="I179" s="384">
        <f>Y67+AS67+BM67+CG67+DA67+DU67+EO67+FI67+GC67+GW67+HQ67+IK67+JE67+JY67+KS67+LM67+MG67+NA67+NU67+OO67</f>
        <v>0</v>
      </c>
    </row>
    <row r="180" spans="3:25" ht="15.75" x14ac:dyDescent="0.25">
      <c r="C180" s="92" t="s">
        <v>46</v>
      </c>
      <c r="D180" s="384">
        <f>U119+AO119+BI119+CC119+CW119+DQ119+EK119+FE119+FY119+GS119</f>
        <v>0</v>
      </c>
      <c r="E180" s="384">
        <f>V119+AP119+BJ119+CD119+CX119+DR119+EL119+FF119+FZ119+GT119</f>
        <v>0</v>
      </c>
      <c r="F180" s="384">
        <f>V119+AP119+BJ119+CD119+CX119+DR119+EL119+FF119+FZ119+GT119</f>
        <v>0</v>
      </c>
      <c r="G180" s="384">
        <f>W119+AQ119+BK119+CE119+CY119+DS119+EM119+FG119+GA119+GU119</f>
        <v>0</v>
      </c>
      <c r="H180" s="384">
        <f>X119+AR119+BL119+CF119+CZ119+DT119+EN119+FH119+GB119+GV119</f>
        <v>0</v>
      </c>
      <c r="I180" s="384">
        <f>Y119+AS119+BM119+CG119+DA119+DU119+EO119+FI119+GC119+GW119</f>
        <v>0</v>
      </c>
    </row>
    <row r="181" spans="3:25" ht="16.5" thickBot="1" x14ac:dyDescent="0.3">
      <c r="C181" s="385" t="s">
        <v>862</v>
      </c>
      <c r="D181" s="386">
        <f>U175+AO175+BI175+CC175+CW175+DQ175+EK175+FE175+FY175+GS175</f>
        <v>0</v>
      </c>
      <c r="E181" s="386">
        <f t="shared" ref="E181" si="0">V175+AP175+BJ175+CD175+CX175+DR175+EL175+FF175+FZ175+GT175</f>
        <v>0</v>
      </c>
      <c r="F181" s="386">
        <f>V175+AP175+BJ175+CD175+CX175+DR175+EL175+FF175+FZ175+GT175</f>
        <v>0</v>
      </c>
      <c r="G181" s="386">
        <f>W175+AQ175+BK175+CE175+CY175+DS175+EM175+FG175+GA175+GU175</f>
        <v>0</v>
      </c>
      <c r="H181" s="386">
        <f>X175+AR175+BL175+CF175+CZ175+DT175+EN175+FH175+GB175+GV175</f>
        <v>0</v>
      </c>
      <c r="I181" s="386">
        <f>Y175+AS175+BM175+CG175+DA175+DU175+EO175+FI175+GC175+GW175</f>
        <v>0</v>
      </c>
    </row>
    <row r="182" spans="3:25" ht="16.5" thickBot="1" x14ac:dyDescent="0.3">
      <c r="C182" s="387" t="s">
        <v>47</v>
      </c>
      <c r="D182" s="388">
        <f>SUM(D179:D181)</f>
        <v>0</v>
      </c>
      <c r="E182" s="388">
        <f t="shared" ref="E182:I182" si="1">SUM(E179:E181)</f>
        <v>0</v>
      </c>
      <c r="F182" s="388">
        <f t="shared" si="1"/>
        <v>0</v>
      </c>
      <c r="G182" s="388">
        <f t="shared" si="1"/>
        <v>0</v>
      </c>
      <c r="H182" s="388">
        <f>SUM(H179:H181)</f>
        <v>0</v>
      </c>
      <c r="I182" s="388">
        <f t="shared" si="1"/>
        <v>0</v>
      </c>
    </row>
    <row r="189" spans="3:25" ht="15.75" x14ac:dyDescent="0.25">
      <c r="C189" s="635" t="s">
        <v>53</v>
      </c>
      <c r="D189" s="635"/>
      <c r="E189" s="635"/>
      <c r="F189" s="635"/>
      <c r="G189" s="635"/>
      <c r="H189" s="635"/>
      <c r="I189" s="635"/>
      <c r="J189" s="635"/>
      <c r="K189" s="635"/>
      <c r="L189" s="635"/>
      <c r="M189" s="635"/>
      <c r="N189" s="635"/>
      <c r="O189" s="635"/>
      <c r="P189" s="635"/>
      <c r="Q189" s="635"/>
      <c r="R189" s="635"/>
      <c r="S189" s="635"/>
      <c r="T189" s="635"/>
      <c r="U189" s="550" t="s">
        <v>54</v>
      </c>
      <c r="V189" s="550"/>
      <c r="W189" s="550"/>
      <c r="X189" s="550"/>
      <c r="Y189" s="550"/>
    </row>
    <row r="190" spans="3:25" ht="15.75" x14ac:dyDescent="0.25">
      <c r="C190" s="389"/>
      <c r="D190" s="389"/>
      <c r="E190" s="390"/>
      <c r="F190" s="631" t="s">
        <v>43</v>
      </c>
      <c r="G190" s="631"/>
      <c r="H190" s="631"/>
      <c r="I190" s="631"/>
      <c r="J190" s="631"/>
      <c r="K190" s="632" t="s">
        <v>44</v>
      </c>
      <c r="L190" s="632"/>
      <c r="M190" s="632"/>
      <c r="N190" s="632"/>
      <c r="O190" s="632"/>
      <c r="P190" s="633" t="s">
        <v>102</v>
      </c>
      <c r="Q190" s="633"/>
      <c r="R190" s="633"/>
      <c r="S190" s="633"/>
      <c r="T190" s="634"/>
      <c r="U190" s="550"/>
      <c r="V190" s="550"/>
      <c r="W190" s="550"/>
      <c r="X190" s="550"/>
      <c r="Y190" s="550"/>
    </row>
    <row r="191" spans="3:25" ht="15.75" x14ac:dyDescent="0.25">
      <c r="C191" s="368" t="s">
        <v>437</v>
      </c>
      <c r="D191" s="368" t="s">
        <v>438</v>
      </c>
      <c r="E191" s="368" t="s">
        <v>442</v>
      </c>
      <c r="F191" s="391" t="s">
        <v>860</v>
      </c>
      <c r="G191" s="391" t="s">
        <v>861</v>
      </c>
      <c r="H191" s="391" t="s">
        <v>445</v>
      </c>
      <c r="I191" s="391" t="s">
        <v>51</v>
      </c>
      <c r="J191" s="391" t="s">
        <v>447</v>
      </c>
      <c r="K191" s="391" t="s">
        <v>863</v>
      </c>
      <c r="L191" s="391" t="s">
        <v>864</v>
      </c>
      <c r="M191" s="391" t="s">
        <v>865</v>
      </c>
      <c r="N191" s="391" t="s">
        <v>866</v>
      </c>
      <c r="O191" s="391" t="s">
        <v>867</v>
      </c>
      <c r="P191" s="391" t="s">
        <v>868</v>
      </c>
      <c r="Q191" s="391" t="s">
        <v>869</v>
      </c>
      <c r="R191" s="391" t="s">
        <v>870</v>
      </c>
      <c r="S191" s="391" t="s">
        <v>871</v>
      </c>
      <c r="T191" s="391" t="s">
        <v>887</v>
      </c>
      <c r="U191" s="391" t="s">
        <v>888</v>
      </c>
      <c r="V191" s="391" t="s">
        <v>889</v>
      </c>
      <c r="W191" s="391" t="s">
        <v>890</v>
      </c>
      <c r="X191" s="391" t="s">
        <v>891</v>
      </c>
      <c r="Y191" s="391" t="s">
        <v>892</v>
      </c>
    </row>
    <row r="192" spans="3:25" ht="15.75" x14ac:dyDescent="0.25">
      <c r="C192" s="437">
        <v>0</v>
      </c>
      <c r="D192" s="374" t="str">
        <f>VLOOKUP(Tabla15[[#This Row],[CÓDIGO DEL PRODUCTO Y/O SERVICIO ]],Tabla3[],2,0)</f>
        <v xml:space="preserve">Seleccionar producto o servicio </v>
      </c>
      <c r="E192" s="374"/>
      <c r="F192" s="392">
        <f>IF(F55=0,0,OP55/F55)</f>
        <v>0</v>
      </c>
      <c r="G192" s="392">
        <f>IF(PRODUCTO_O_SERVICIO!G20=0,0,COSTOS_DE_PRODUCCION!OQ55/PRODUCTO_O_SERVICIO!G20)</f>
        <v>0</v>
      </c>
      <c r="H192" s="392">
        <f>IF(PRODUCTO_O_SERVICIO!K20=0,0,COSTOS_DE_PRODUCCION!OR55/PRODUCTO_O_SERVICIO!K20)</f>
        <v>0</v>
      </c>
      <c r="I192" s="392">
        <f>IF(PRODUCTO_O_SERVICIO!O20=0,0,COSTOS_DE_PRODUCCION!OS55/PRODUCTO_O_SERVICIO!O20)</f>
        <v>0</v>
      </c>
      <c r="J192" s="392">
        <f>IF(PRODUCTO_O_SERVICIO!S20=0,0,COSTOS_DE_PRODUCCION!OT55/PRODUCTO_O_SERVICIO!S20)</f>
        <v>0</v>
      </c>
      <c r="K192" s="392">
        <f>IF(PRODUCTO_O_SERVICIO!D20=0,0,COSTOS_DE_PRODUCCION!GX107/PRODUCTO_O_SERVICIO!D20)</f>
        <v>0</v>
      </c>
      <c r="L192" s="392">
        <f>IF(PRODUCTO_O_SERVICIO!G20=0,0,COSTOS_DE_PRODUCCION!GY107/PRODUCTO_O_SERVICIO!G20)</f>
        <v>0</v>
      </c>
      <c r="M192" s="392">
        <f>IF(PRODUCTO_O_SERVICIO!K20=0,0,COSTOS_DE_PRODUCCION!GZ107/PRODUCTO_O_SERVICIO!K20)</f>
        <v>0</v>
      </c>
      <c r="N192" s="392">
        <f>IF(PRODUCTO_O_SERVICIO!O20=0,0,COSTOS_DE_PRODUCCION!HA107/PRODUCTO_O_SERVICIO!O20)</f>
        <v>0</v>
      </c>
      <c r="O192" s="392">
        <f>IF(PRODUCTO_O_SERVICIO!S20=0,0,COSTOS_DE_PRODUCCION!HB107/PRODUCTO_O_SERVICIO!S20)</f>
        <v>0</v>
      </c>
      <c r="P192" s="392">
        <f>IF(PRODUCTO_O_SERVICIO!D20=0,0,COSTOS_DE_PRODUCCION!GX164/PRODUCTO_O_SERVICIO!D20)</f>
        <v>0</v>
      </c>
      <c r="Q192" s="392">
        <f>IF(PRODUCTO_O_SERVICIO!G20=0,0,COSTOS_DE_PRODUCCION!GY164/PRODUCTO_O_SERVICIO!G20)</f>
        <v>0</v>
      </c>
      <c r="R192" s="392">
        <f>IF(PRODUCTO_O_SERVICIO!K20=0,0,COSTOS_DE_PRODUCCION!GZ164/PRODUCTO_O_SERVICIO!K20)</f>
        <v>0</v>
      </c>
      <c r="S192" s="392">
        <f>IF(PRODUCTO_O_SERVICIO!O20=0,0,COSTOS_DE_PRODUCCION!HA164/PRODUCTO_O_SERVICIO!O20)</f>
        <v>0</v>
      </c>
      <c r="T192" s="392">
        <f>IF(PRODUCTO_O_SERVICIO!S20=0,0,COSTOS_DE_PRODUCCION!HB164/PRODUCTO_O_SERVICIO!S20)</f>
        <v>0</v>
      </c>
      <c r="U192" s="392">
        <f>Tabla15[[#This Row],[AÑO 1 ]]+Tabla15[[#This Row],[AÑO 1 2]]+Tabla15[[#This Row],[AÑO 1 3]]</f>
        <v>0</v>
      </c>
      <c r="V192" s="392">
        <f>Tabla15[[#This Row],[AÑO 2 ]]+Tabla15[[#This Row],[AÑO 2 2]]+Tabla15[[#This Row],[AÑO 2 3]]</f>
        <v>0</v>
      </c>
      <c r="W192" s="392">
        <f>Tabla15[[#This Row],[AÑO 3 ]]+Tabla15[[#This Row],[AÑO 3 2]]+Tabla15[[#This Row],[AÑO 3 3]]</f>
        <v>0</v>
      </c>
      <c r="X192" s="392">
        <f>Tabla15[[#This Row],[AÑO 4]]+Tabla15[[#This Row],[AÑO 4 2]]+Tabla15[[#This Row],[AÑO 4 3 ]]</f>
        <v>0</v>
      </c>
      <c r="Y192" s="392">
        <f>Tabla15[[#This Row],[AÑO 5 ]]+Tabla15[[#This Row],[AÑO 5 2]]+Tabla15[[#This Row],[AÑO 5 3]]</f>
        <v>0</v>
      </c>
    </row>
    <row r="193" spans="3:25" ht="15.75" x14ac:dyDescent="0.25">
      <c r="C193" s="363"/>
      <c r="D193" s="452" t="str">
        <f>VLOOKUP(Tabla15[[#This Row],[CÓDIGO DEL PRODUCTO Y/O SERVICIO ]],Tabla3[],2,0)</f>
        <v xml:space="preserve">Seleccionar producto o servicio </v>
      </c>
      <c r="E193" s="374"/>
      <c r="F193" s="392">
        <f>IF(F56=0,0,OP56/F56)</f>
        <v>0</v>
      </c>
      <c r="G193" s="392">
        <f>IF(PRODUCTO_O_SERVICIO!G21=0,0,COSTOS_DE_PRODUCCION!OQ56/PRODUCTO_O_SERVICIO!G21)</f>
        <v>0</v>
      </c>
      <c r="H193" s="392">
        <f>IF(PRODUCTO_O_SERVICIO!K21=0,0,COSTOS_DE_PRODUCCION!OR56/PRODUCTO_O_SERVICIO!K21)</f>
        <v>0</v>
      </c>
      <c r="I193" s="392">
        <f>IF(PRODUCTO_O_SERVICIO!O21=0,0,COSTOS_DE_PRODUCCION!OS56/PRODUCTO_O_SERVICIO!O21)</f>
        <v>0</v>
      </c>
      <c r="J193" s="392">
        <f>IF(PRODUCTO_O_SERVICIO!S21=0,0,COSTOS_DE_PRODUCCION!OT56/PRODUCTO_O_SERVICIO!S21)</f>
        <v>0</v>
      </c>
      <c r="K193" s="392">
        <f>IF(PRODUCTO_O_SERVICIO!D21=0,0,COSTOS_DE_PRODUCCION!GX108/PRODUCTO_O_SERVICIO!D21)</f>
        <v>0</v>
      </c>
      <c r="L193" s="392">
        <f>IF(PRODUCTO_O_SERVICIO!G21=0,0,COSTOS_DE_PRODUCCION!GY108/PRODUCTO_O_SERVICIO!G21)</f>
        <v>0</v>
      </c>
      <c r="M193" s="392">
        <f>IF(PRODUCTO_O_SERVICIO!K21=0,0,COSTOS_DE_PRODUCCION!GZ108/PRODUCTO_O_SERVICIO!K21)</f>
        <v>0</v>
      </c>
      <c r="N193" s="392">
        <f>IF(PRODUCTO_O_SERVICIO!O21=0,0,COSTOS_DE_PRODUCCION!HA108/PRODUCTO_O_SERVICIO!O21)</f>
        <v>0</v>
      </c>
      <c r="O193" s="392">
        <f>IF(PRODUCTO_O_SERVICIO!S21=0,0,COSTOS_DE_PRODUCCION!HB108/PRODUCTO_O_SERVICIO!S21)</f>
        <v>0</v>
      </c>
      <c r="P193" s="392">
        <f>IF(PRODUCTO_O_SERVICIO!D21=0,0,COSTOS_DE_PRODUCCION!GX165/PRODUCTO_O_SERVICIO!D21)</f>
        <v>0</v>
      </c>
      <c r="Q193" s="392">
        <f>IF(PRODUCTO_O_SERVICIO!G21=0,0,COSTOS_DE_PRODUCCION!GY165/PRODUCTO_O_SERVICIO!G21)</f>
        <v>0</v>
      </c>
      <c r="R193" s="392">
        <f>IF(PRODUCTO_O_SERVICIO!K21=0,0,COSTOS_DE_PRODUCCION!GZ165/PRODUCTO_O_SERVICIO!K21)</f>
        <v>0</v>
      </c>
      <c r="S193" s="392">
        <f>IF(PRODUCTO_O_SERVICIO!O21=0,0,COSTOS_DE_PRODUCCION!HA165/PRODUCTO_O_SERVICIO!O21)</f>
        <v>0</v>
      </c>
      <c r="T193" s="392">
        <f>IF(PRODUCTO_O_SERVICIO!S21=0,0,COSTOS_DE_PRODUCCION!HB165/PRODUCTO_O_SERVICIO!S21)</f>
        <v>0</v>
      </c>
      <c r="U193" s="392">
        <f>Tabla15[[#This Row],[AÑO 1 ]]+Tabla15[[#This Row],[AÑO 1 2]]+Tabla15[[#This Row],[AÑO 1 3]]</f>
        <v>0</v>
      </c>
      <c r="V193" s="392">
        <f>Tabla15[[#This Row],[AÑO 2 ]]+Tabla15[[#This Row],[AÑO 2 2]]+Tabla15[[#This Row],[AÑO 2 3]]</f>
        <v>0</v>
      </c>
      <c r="W193" s="392">
        <f>Tabla15[[#This Row],[AÑO 3 ]]+Tabla15[[#This Row],[AÑO 3 2]]+Tabla15[[#This Row],[AÑO 3 3]]</f>
        <v>0</v>
      </c>
      <c r="X193" s="392">
        <f>Tabla15[[#This Row],[AÑO 4]]+Tabla15[[#This Row],[AÑO 4 2]]+Tabla15[[#This Row],[AÑO 4 3 ]]</f>
        <v>0</v>
      </c>
      <c r="Y193" s="392">
        <f>Tabla15[[#This Row],[AÑO 5 ]]+Tabla15[[#This Row],[AÑO 5 2]]+Tabla15[[#This Row],[AÑO 5 3]]</f>
        <v>0</v>
      </c>
    </row>
  </sheetData>
  <sheetProtection sheet="1" objects="1" scenarios="1"/>
  <protectedRanges>
    <protectedRange algorithmName="SHA-512" hashValue="PI1FzmXxdjjbHe5ES7fZfhUBXFhVbo1bnvXE/2xlVmPC4IwsJyGU/90VUCFxrzbzt+Y/Gh4Eo/9shgSNWz2Dkg==" saltValue="8n1+OIXmuy91Y+3uFbTkOA==" spinCount="100000" sqref="C55:C56" name="Código"/>
  </protectedRanges>
  <mergeCells count="140">
    <mergeCell ref="F190:J190"/>
    <mergeCell ref="K190:O190"/>
    <mergeCell ref="P190:T190"/>
    <mergeCell ref="C189:T189"/>
    <mergeCell ref="U162:Y162"/>
    <mergeCell ref="P162:T162"/>
    <mergeCell ref="F161:Y161"/>
    <mergeCell ref="AO162:AS162"/>
    <mergeCell ref="AJ162:AN162"/>
    <mergeCell ref="Z161:AS161"/>
    <mergeCell ref="BI162:BM162"/>
    <mergeCell ref="BD162:BH162"/>
    <mergeCell ref="AT161:BM161"/>
    <mergeCell ref="JA53:JE53"/>
    <mergeCell ref="IL52:JE52"/>
    <mergeCell ref="FT53:FX53"/>
    <mergeCell ref="FY53:GC53"/>
    <mergeCell ref="FJ52:GC52"/>
    <mergeCell ref="IG53:IK53"/>
    <mergeCell ref="IB53:IF53"/>
    <mergeCell ref="HR52:IK52"/>
    <mergeCell ref="GN53:GR53"/>
    <mergeCell ref="GS53:GW53"/>
    <mergeCell ref="GD52:GW52"/>
    <mergeCell ref="HH53:HL53"/>
    <mergeCell ref="HM53:HQ53"/>
    <mergeCell ref="GX52:HQ52"/>
    <mergeCell ref="EK53:EO53"/>
    <mergeCell ref="DV52:EO52"/>
    <mergeCell ref="EZ53:FD53"/>
    <mergeCell ref="FE53:FI53"/>
    <mergeCell ref="EP52:FI52"/>
    <mergeCell ref="FE105:FI105"/>
    <mergeCell ref="FE162:FI162"/>
    <mergeCell ref="EF53:EJ53"/>
    <mergeCell ref="DQ53:DU53"/>
    <mergeCell ref="DB52:DU52"/>
    <mergeCell ref="F143:O143"/>
    <mergeCell ref="IV53:IZ53"/>
    <mergeCell ref="BX105:CB105"/>
    <mergeCell ref="CC105:CG105"/>
    <mergeCell ref="BN104:CG104"/>
    <mergeCell ref="AT105:BC105"/>
    <mergeCell ref="CW105:DA105"/>
    <mergeCell ref="CH105:CQ105"/>
    <mergeCell ref="CH104:DA104"/>
    <mergeCell ref="CR105:CV105"/>
    <mergeCell ref="BD105:BH105"/>
    <mergeCell ref="BI105:BM105"/>
    <mergeCell ref="AT104:BM104"/>
    <mergeCell ref="BN105:BW105"/>
    <mergeCell ref="P105:T105"/>
    <mergeCell ref="U105:Y105"/>
    <mergeCell ref="F104:Y104"/>
    <mergeCell ref="AJ105:AN105"/>
    <mergeCell ref="AO105:AS105"/>
    <mergeCell ref="Z104:AS104"/>
    <mergeCell ref="F88:O88"/>
    <mergeCell ref="B6:G6"/>
    <mergeCell ref="CR53:CV53"/>
    <mergeCell ref="CW53:DA53"/>
    <mergeCell ref="CH52:DA52"/>
    <mergeCell ref="DL53:DP53"/>
    <mergeCell ref="F38:Y38"/>
    <mergeCell ref="U53:Y53"/>
    <mergeCell ref="AO53:AS53"/>
    <mergeCell ref="Z52:AS52"/>
    <mergeCell ref="AJ53:AN53"/>
    <mergeCell ref="P53:T53"/>
    <mergeCell ref="F52:Y52"/>
    <mergeCell ref="BD53:BH53"/>
    <mergeCell ref="BI53:BM53"/>
    <mergeCell ref="AT52:BM52"/>
    <mergeCell ref="BX53:CB53"/>
    <mergeCell ref="CC53:CG53"/>
    <mergeCell ref="BN52:CG52"/>
    <mergeCell ref="OK53:OO53"/>
    <mergeCell ref="OF53:OJ53"/>
    <mergeCell ref="NV52:OO52"/>
    <mergeCell ref="MW53:NA53"/>
    <mergeCell ref="MR53:MV53"/>
    <mergeCell ref="MH52:NA52"/>
    <mergeCell ref="NQ53:NU53"/>
    <mergeCell ref="NL53:NP53"/>
    <mergeCell ref="NB52:NU52"/>
    <mergeCell ref="LD53:LH53"/>
    <mergeCell ref="LI53:LM53"/>
    <mergeCell ref="KT52:LM52"/>
    <mergeCell ref="MC53:MG53"/>
    <mergeCell ref="LX53:MB53"/>
    <mergeCell ref="LN52:MG52"/>
    <mergeCell ref="JP53:JT53"/>
    <mergeCell ref="JU53:JY53"/>
    <mergeCell ref="JF52:JY52"/>
    <mergeCell ref="KJ53:KN53"/>
    <mergeCell ref="KO53:KS53"/>
    <mergeCell ref="JZ52:KS52"/>
    <mergeCell ref="FY162:GC162"/>
    <mergeCell ref="FT162:FX162"/>
    <mergeCell ref="EZ105:FD105"/>
    <mergeCell ref="EP105:EY105"/>
    <mergeCell ref="EP104:FI104"/>
    <mergeCell ref="DQ105:DU105"/>
    <mergeCell ref="DB104:DU104"/>
    <mergeCell ref="DL105:DP105"/>
    <mergeCell ref="FJ105:FS105"/>
    <mergeCell ref="FT105:FX105"/>
    <mergeCell ref="EK105:EO105"/>
    <mergeCell ref="EK162:EO162"/>
    <mergeCell ref="EF162:EJ162"/>
    <mergeCell ref="DV161:EO161"/>
    <mergeCell ref="DB105:DK105"/>
    <mergeCell ref="FJ161:GC161"/>
    <mergeCell ref="DV105:EF105"/>
    <mergeCell ref="EG105:EJ105"/>
    <mergeCell ref="DV104:EO104"/>
    <mergeCell ref="OP52:OT53"/>
    <mergeCell ref="GX104:HB105"/>
    <mergeCell ref="GX161:HB162"/>
    <mergeCell ref="U189:Y190"/>
    <mergeCell ref="GS162:GW162"/>
    <mergeCell ref="GN162:GR162"/>
    <mergeCell ref="GD161:GW161"/>
    <mergeCell ref="FY105:GC105"/>
    <mergeCell ref="FJ104:GC104"/>
    <mergeCell ref="GS105:GW105"/>
    <mergeCell ref="GD105:GM105"/>
    <mergeCell ref="GD104:GW104"/>
    <mergeCell ref="GN105:GR105"/>
    <mergeCell ref="CC162:CG162"/>
    <mergeCell ref="BX162:CB162"/>
    <mergeCell ref="BN161:CG161"/>
    <mergeCell ref="CR162:CV162"/>
    <mergeCell ref="CW162:DA162"/>
    <mergeCell ref="CH161:DA161"/>
    <mergeCell ref="DQ162:DU162"/>
    <mergeCell ref="DL162:DP162"/>
    <mergeCell ref="DB161:DU161"/>
    <mergeCell ref="EZ162:FD162"/>
    <mergeCell ref="EP161:FI161"/>
  </mergeCells>
  <phoneticPr fontId="17"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nsertar_fila_5">
                <anchor moveWithCells="1" sizeWithCells="1">
                  <from>
                    <xdr:col>1</xdr:col>
                    <xdr:colOff>495300</xdr:colOff>
                    <xdr:row>37</xdr:row>
                    <xdr:rowOff>180975</xdr:rowOff>
                  </from>
                  <to>
                    <xdr:col>1</xdr:col>
                    <xdr:colOff>2066925</xdr:colOff>
                    <xdr:row>39</xdr:row>
                    <xdr:rowOff>190500</xdr:rowOff>
                  </to>
                </anchor>
              </controlPr>
            </control>
          </mc:Choice>
        </mc:AlternateContent>
        <mc:AlternateContent xmlns:mc="http://schemas.openxmlformats.org/markup-compatibility/2006">
          <mc:Choice Requires="x14">
            <control shapeId="86018" r:id="rId5" name="Button 2">
              <controlPr defaultSize="0" print="0" autoFill="0" autoPict="0" macro="[0]!insertar_fila_6">
                <anchor moveWithCells="1" sizeWithCells="1">
                  <from>
                    <xdr:col>1</xdr:col>
                    <xdr:colOff>533400</xdr:colOff>
                    <xdr:row>53</xdr:row>
                    <xdr:rowOff>85725</xdr:rowOff>
                  </from>
                  <to>
                    <xdr:col>1</xdr:col>
                    <xdr:colOff>2095500</xdr:colOff>
                    <xdr:row>53</xdr:row>
                    <xdr:rowOff>466725</xdr:rowOff>
                  </to>
                </anchor>
              </controlPr>
            </control>
          </mc:Choice>
        </mc:AlternateContent>
        <mc:AlternateContent xmlns:mc="http://schemas.openxmlformats.org/markup-compatibility/2006">
          <mc:Choice Requires="x14">
            <control shapeId="86020" r:id="rId6" name="Button 4">
              <controlPr defaultSize="0" print="0" autoFill="0" autoPict="0" macro="[0]!insertar_fila_7">
                <anchor moveWithCells="1" sizeWithCells="1">
                  <from>
                    <xdr:col>1</xdr:col>
                    <xdr:colOff>514350</xdr:colOff>
                    <xdr:row>88</xdr:row>
                    <xdr:rowOff>0</xdr:rowOff>
                  </from>
                  <to>
                    <xdr:col>1</xdr:col>
                    <xdr:colOff>2095500</xdr:colOff>
                    <xdr:row>89</xdr:row>
                    <xdr:rowOff>161925</xdr:rowOff>
                  </to>
                </anchor>
              </controlPr>
            </control>
          </mc:Choice>
        </mc:AlternateContent>
        <mc:AlternateContent xmlns:mc="http://schemas.openxmlformats.org/markup-compatibility/2006">
          <mc:Choice Requires="x14">
            <control shapeId="86021" r:id="rId7" name="Button 5">
              <controlPr defaultSize="0" print="0" autoFill="0" autoPict="0" macro="[0]!insertar_fila_8">
                <anchor moveWithCells="1" sizeWithCells="1">
                  <from>
                    <xdr:col>1</xdr:col>
                    <xdr:colOff>409575</xdr:colOff>
                    <xdr:row>105</xdr:row>
                    <xdr:rowOff>28575</xdr:rowOff>
                  </from>
                  <to>
                    <xdr:col>1</xdr:col>
                    <xdr:colOff>2085975</xdr:colOff>
                    <xdr:row>105</xdr:row>
                    <xdr:rowOff>514350</xdr:rowOff>
                  </to>
                </anchor>
              </controlPr>
            </control>
          </mc:Choice>
        </mc:AlternateContent>
        <mc:AlternateContent xmlns:mc="http://schemas.openxmlformats.org/markup-compatibility/2006">
          <mc:Choice Requires="x14">
            <control shapeId="86022" r:id="rId8" name="Button 6">
              <controlPr defaultSize="0" print="0" autoFill="0" autoPict="0" macro="[0]!insertar_fila_9">
                <anchor moveWithCells="1" sizeWithCells="1">
                  <from>
                    <xdr:col>1</xdr:col>
                    <xdr:colOff>542925</xdr:colOff>
                    <xdr:row>142</xdr:row>
                    <xdr:rowOff>171450</xdr:rowOff>
                  </from>
                  <to>
                    <xdr:col>1</xdr:col>
                    <xdr:colOff>2114550</xdr:colOff>
                    <xdr:row>144</xdr:row>
                    <xdr:rowOff>152400</xdr:rowOff>
                  </to>
                </anchor>
              </controlPr>
            </control>
          </mc:Choice>
        </mc:AlternateContent>
        <mc:AlternateContent xmlns:mc="http://schemas.openxmlformats.org/markup-compatibility/2006">
          <mc:Choice Requires="x14">
            <control shapeId="86023" r:id="rId9" name="Button 7">
              <controlPr defaultSize="0" print="0" autoFill="0" autoPict="0" macro="[0]!insertar_fila_10">
                <anchor moveWithCells="1" sizeWithCells="1">
                  <from>
                    <xdr:col>1</xdr:col>
                    <xdr:colOff>457200</xdr:colOff>
                    <xdr:row>162</xdr:row>
                    <xdr:rowOff>66675</xdr:rowOff>
                  </from>
                  <to>
                    <xdr:col>1</xdr:col>
                    <xdr:colOff>1981200</xdr:colOff>
                    <xdr:row>162</xdr:row>
                    <xdr:rowOff>514350</xdr:rowOff>
                  </to>
                </anchor>
              </controlPr>
            </control>
          </mc:Choice>
        </mc:AlternateContent>
        <mc:AlternateContent xmlns:mc="http://schemas.openxmlformats.org/markup-compatibility/2006">
          <mc:Choice Requires="x14">
            <control shapeId="86024" r:id="rId10" name="Button 8">
              <controlPr defaultSize="0" print="0" autoFill="0" autoPict="0" macro="[0]!insertar_fila_11">
                <anchor moveWithCells="1" sizeWithCells="1">
                  <from>
                    <xdr:col>1</xdr:col>
                    <xdr:colOff>590550</xdr:colOff>
                    <xdr:row>189</xdr:row>
                    <xdr:rowOff>114300</xdr:rowOff>
                  </from>
                  <to>
                    <xdr:col>1</xdr:col>
                    <xdr:colOff>2000250</xdr:colOff>
                    <xdr:row>191</xdr:row>
                    <xdr:rowOff>142875</xdr:rowOff>
                  </to>
                </anchor>
              </controlPr>
            </control>
          </mc:Choice>
        </mc:AlternateContent>
        <mc:AlternateContent xmlns:mc="http://schemas.openxmlformats.org/markup-compatibility/2006">
          <mc:Choice Requires="x14">
            <control shapeId="86025" r:id="rId11" name="Button 9">
              <controlPr defaultSize="0" print="0" autoFill="0" autoPict="0" macro="[0]!Portada">
                <anchor moveWithCells="1" sizeWithCells="1">
                  <from>
                    <xdr:col>7</xdr:col>
                    <xdr:colOff>485775</xdr:colOff>
                    <xdr:row>3</xdr:row>
                    <xdr:rowOff>19050</xdr:rowOff>
                  </from>
                  <to>
                    <xdr:col>7</xdr:col>
                    <xdr:colOff>1866900</xdr:colOff>
                    <xdr:row>5</xdr:row>
                    <xdr:rowOff>123825</xdr:rowOff>
                  </to>
                </anchor>
              </controlPr>
            </control>
          </mc:Choice>
        </mc:AlternateContent>
      </controls>
    </mc:Choice>
  </mc:AlternateContent>
  <tableParts count="10">
    <tablePart r:id="rId12"/>
    <tablePart r:id="rId13"/>
    <tablePart r:id="rId14"/>
    <tablePart r:id="rId15"/>
    <tablePart r:id="rId16"/>
    <tablePart r:id="rId17"/>
    <tablePart r:id="rId18"/>
    <tablePart r:id="rId19"/>
    <tablePart r:id="rId20"/>
    <tablePart r:id="rId2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AE554-108F-49B3-A437-C539305E0C2D}">
  <sheetPr codeName="Hoja16"/>
  <dimension ref="A5:X417"/>
  <sheetViews>
    <sheetView showGridLines="0" zoomScaleNormal="100" workbookViewId="0">
      <selection activeCell="B4" sqref="B4"/>
    </sheetView>
  </sheetViews>
  <sheetFormatPr baseColWidth="10" defaultRowHeight="15" x14ac:dyDescent="0.25"/>
  <cols>
    <col min="1" max="3" width="11.42578125" style="2"/>
    <col min="4" max="4" width="15.42578125" style="2" bestFit="1" customWidth="1"/>
    <col min="5" max="5" width="54.28515625" style="2" bestFit="1" customWidth="1"/>
    <col min="6" max="6" width="36.28515625" style="2" bestFit="1" customWidth="1"/>
    <col min="7" max="7" width="43.85546875" style="2" bestFit="1" customWidth="1"/>
    <col min="8" max="8" width="42.5703125" style="2" bestFit="1" customWidth="1"/>
    <col min="9" max="9" width="34.28515625" style="2" bestFit="1" customWidth="1"/>
    <col min="10" max="10" width="41.85546875" style="2" bestFit="1" customWidth="1"/>
    <col min="11" max="11" width="42.5703125" style="2" bestFit="1" customWidth="1"/>
    <col min="12" max="12" width="34.28515625" style="2" bestFit="1" customWidth="1"/>
    <col min="13" max="13" width="41.85546875" style="2" bestFit="1" customWidth="1"/>
    <col min="14" max="14" width="42.5703125" style="2" bestFit="1" customWidth="1"/>
    <col min="15" max="15" width="34.28515625" style="2" bestFit="1" customWidth="1"/>
    <col min="16" max="16" width="41.85546875" style="2" bestFit="1" customWidth="1"/>
    <col min="17" max="17" width="44.140625" style="2" bestFit="1" customWidth="1"/>
    <col min="18" max="18" width="35.85546875" style="2" bestFit="1" customWidth="1"/>
    <col min="19" max="19" width="41.85546875" style="2" bestFit="1" customWidth="1"/>
    <col min="20" max="20" width="42.5703125" style="2" bestFit="1" customWidth="1"/>
    <col min="21" max="21" width="17.7109375" style="2" customWidth="1"/>
    <col min="22" max="22" width="16.7109375" style="2" customWidth="1"/>
    <col min="23" max="23" width="20.28515625" style="2" customWidth="1"/>
    <col min="24" max="24" width="9.5703125" style="2" bestFit="1" customWidth="1"/>
    <col min="25" max="16384" width="11.42578125" style="2"/>
  </cols>
  <sheetData>
    <row r="5" spans="4:15" ht="15.75" thickBot="1" x14ac:dyDescent="0.3"/>
    <row r="6" spans="4:15" ht="16.5" thickBot="1" x14ac:dyDescent="0.3">
      <c r="D6" s="637" t="s">
        <v>55</v>
      </c>
      <c r="E6" s="638"/>
      <c r="F6" s="638"/>
      <c r="G6" s="638"/>
      <c r="H6" s="638"/>
      <c r="I6" s="638"/>
      <c r="J6" s="638"/>
      <c r="K6" s="638"/>
      <c r="L6" s="638"/>
      <c r="M6" s="638"/>
      <c r="N6" s="638"/>
      <c r="O6" s="639"/>
    </row>
    <row r="7" spans="4:15" ht="16.5" thickBot="1" x14ac:dyDescent="0.3">
      <c r="D7" s="63"/>
      <c r="E7" s="77" t="s">
        <v>353</v>
      </c>
      <c r="F7" s="642">
        <f>BASES!D7</f>
        <v>2021</v>
      </c>
      <c r="G7" s="643"/>
      <c r="H7" s="642">
        <f>BASES!E7</f>
        <v>2022</v>
      </c>
      <c r="I7" s="643"/>
      <c r="J7" s="642">
        <f>BASES!F7</f>
        <v>2023</v>
      </c>
      <c r="K7" s="643"/>
      <c r="L7" s="642">
        <f>BASES!G7</f>
        <v>2024</v>
      </c>
      <c r="M7" s="643"/>
      <c r="N7" s="642">
        <f>BASES!H7</f>
        <v>2025</v>
      </c>
      <c r="O7" s="643"/>
    </row>
    <row r="8" spans="4:15" ht="15.75" x14ac:dyDescent="0.25">
      <c r="D8" s="69" t="s">
        <v>355</v>
      </c>
      <c r="E8" s="69" t="s">
        <v>358</v>
      </c>
      <c r="F8" s="69" t="s">
        <v>1189</v>
      </c>
      <c r="G8" s="69" t="s">
        <v>359</v>
      </c>
      <c r="H8" s="69" t="s">
        <v>1190</v>
      </c>
      <c r="I8" s="69" t="s">
        <v>360</v>
      </c>
      <c r="J8" s="69" t="s">
        <v>1191</v>
      </c>
      <c r="K8" s="69" t="s">
        <v>361</v>
      </c>
      <c r="L8" s="69" t="s">
        <v>1192</v>
      </c>
      <c r="M8" s="69" t="s">
        <v>362</v>
      </c>
      <c r="N8" s="69" t="s">
        <v>1193</v>
      </c>
      <c r="O8" s="69" t="s">
        <v>363</v>
      </c>
    </row>
    <row r="9" spans="4:15" ht="15.75" x14ac:dyDescent="0.25">
      <c r="D9" s="67">
        <v>0</v>
      </c>
      <c r="E9" s="72" t="str">
        <f>VLOOKUP(Tabla2[[#This Row],[CÓDIGO ]],Tabla3[],2,FALSE)</f>
        <v xml:space="preserve">Seleccionar producto o servicio </v>
      </c>
      <c r="F9" s="73">
        <f>VLOOKUP(Tabla2[[#This Row],[CÓDIGO ]],Tabla3[],4,FALSE)</f>
        <v>0</v>
      </c>
      <c r="G9" s="73">
        <f>Tabla2[[#This Row],[Precio de venta año 1 ]]*VLOOKUP(Tabla2[[#This Row],[CÓDIGO ]],Tabla3[],3,FALSE)</f>
        <v>0</v>
      </c>
      <c r="H9" s="73">
        <f>VLOOKUP(Tabla2[[#This Row],[CÓDIGO ]],Tabla3[],7,FALSE)</f>
        <v>0</v>
      </c>
      <c r="I9" s="73">
        <f>Tabla2[[#This Row],[Precio de venta año 2 ]]*VLOOKUP(Tabla2[[#This Row],[CÓDIGO ]],Tabla3[],6,FALSE)</f>
        <v>0</v>
      </c>
      <c r="J9" s="73">
        <f>VLOOKUP(Tabla2[[#This Row],[CÓDIGO ]],Tabla3[],11,FALSE)</f>
        <v>0</v>
      </c>
      <c r="K9" s="73">
        <f>Tabla2[[#This Row],[Precio de venta año 3 ]]*VLOOKUP(Tabla2[[#This Row],[CÓDIGO ]],Tabla3[],10,FALSE)</f>
        <v>0</v>
      </c>
      <c r="L9" s="73">
        <f>VLOOKUP(Tabla2[[#This Row],[CÓDIGO ]],Tabla3[],15,FALSE)</f>
        <v>0</v>
      </c>
      <c r="M9" s="73">
        <f>Tabla2[[#This Row],[Precio de venta año 4 ]]*VLOOKUP(Tabla2[[#This Row],[CÓDIGO ]],Tabla3[],14,FALSE)</f>
        <v>0</v>
      </c>
      <c r="N9" s="73">
        <f>VLOOKUP(Tabla2[[#This Row],[CÓDIGO ]],Tabla3[],19,FALSE)</f>
        <v>0</v>
      </c>
      <c r="O9" s="73">
        <f>Tabla2[[#This Row],[Precio de venta año 5]]*VLOOKUP(Tabla2[[#This Row],[CÓDIGO ]],Tabla3[],18,FALSE)</f>
        <v>0</v>
      </c>
    </row>
    <row r="10" spans="4:15" ht="15.75" x14ac:dyDescent="0.25">
      <c r="D10" s="62"/>
      <c r="E10" s="72" t="str">
        <f>VLOOKUP(Tabla2[[#This Row],[CÓDIGO ]],Tabla3[],2,FALSE)</f>
        <v xml:space="preserve">Seleccionar producto o servicio </v>
      </c>
      <c r="F10" s="73">
        <f>VLOOKUP(Tabla2[[#This Row],[CÓDIGO ]],Tabla3[],4,FALSE)</f>
        <v>0</v>
      </c>
      <c r="G10" s="73">
        <f>Tabla2[[#This Row],[Precio de venta año 1 ]]*VLOOKUP(Tabla2[[#This Row],[CÓDIGO ]],Tabla3[],3,FALSE)</f>
        <v>0</v>
      </c>
      <c r="H10" s="73">
        <f>VLOOKUP(Tabla2[[#This Row],[CÓDIGO ]],Tabla3[],7,FALSE)</f>
        <v>0</v>
      </c>
      <c r="I10" s="73">
        <f>Tabla2[[#This Row],[Precio de venta año 2 ]]*VLOOKUP(Tabla2[[#This Row],[CÓDIGO ]],Tabla3[],6,FALSE)</f>
        <v>0</v>
      </c>
      <c r="J10" s="73">
        <f>VLOOKUP(Tabla2[[#This Row],[CÓDIGO ]],Tabla3[],11,FALSE)</f>
        <v>0</v>
      </c>
      <c r="K10" s="73">
        <f>Tabla2[[#This Row],[Precio de venta año 3 ]]*VLOOKUP(Tabla2[[#This Row],[CÓDIGO ]],Tabla3[],10,FALSE)</f>
        <v>0</v>
      </c>
      <c r="L10" s="73">
        <f>VLOOKUP(Tabla2[[#This Row],[CÓDIGO ]],Tabla3[],15,FALSE)</f>
        <v>0</v>
      </c>
      <c r="M10" s="73">
        <f>Tabla2[[#This Row],[Precio de venta año 4 ]]*VLOOKUP(Tabla2[[#This Row],[CÓDIGO ]],Tabla3[],14,FALSE)</f>
        <v>0</v>
      </c>
      <c r="N10" s="73">
        <f>VLOOKUP(Tabla2[[#This Row],[CÓDIGO ]],Tabla3[],19,FALSE)</f>
        <v>0</v>
      </c>
      <c r="O10" s="73">
        <f>Tabla2[[#This Row],[Precio de venta año 5]]*VLOOKUP(Tabla2[[#This Row],[CÓDIGO ]],Tabla3[],18,FALSE)</f>
        <v>0</v>
      </c>
    </row>
    <row r="11" spans="4:15" customFormat="1" ht="15.75" thickBot="1" x14ac:dyDescent="0.3"/>
    <row r="12" spans="4:15" ht="16.5" thickBot="1" x14ac:dyDescent="0.3">
      <c r="D12" s="539" t="s">
        <v>348</v>
      </c>
      <c r="E12" s="540"/>
      <c r="F12" s="644"/>
      <c r="G12" s="73">
        <f>SUM(Tabla2[Ingresos totales año 1])</f>
        <v>0</v>
      </c>
      <c r="H12" s="130"/>
      <c r="I12" s="73">
        <f>SUM(Tabla2[[Ingresos totales año 2 ]])</f>
        <v>0</v>
      </c>
      <c r="J12" s="130"/>
      <c r="K12" s="73">
        <f>SUM(Tabla2[[Ingresos totales año 3 ]])</f>
        <v>0</v>
      </c>
      <c r="L12" s="130"/>
      <c r="M12" s="73">
        <f>SUM(Tabla2[Ingresos totales año 4])</f>
        <v>0</v>
      </c>
      <c r="N12" s="130"/>
      <c r="O12" s="73">
        <f>SUM(Tabla2[Ingresos totales año 5])</f>
        <v>0</v>
      </c>
    </row>
    <row r="13" spans="4:15" ht="16.5" thickBot="1" x14ac:dyDescent="0.3">
      <c r="D13" s="539" t="s">
        <v>356</v>
      </c>
      <c r="E13" s="540"/>
      <c r="F13" s="644"/>
      <c r="G13" s="73">
        <f>COSTOS_DE_PRODUCCION!D182</f>
        <v>0</v>
      </c>
      <c r="H13" s="130"/>
      <c r="I13" s="73">
        <f>COSTOS_DE_PRODUCCION!F182</f>
        <v>0</v>
      </c>
      <c r="J13" s="130"/>
      <c r="K13" s="73">
        <f>COSTOS_DE_PRODUCCION!G182</f>
        <v>0</v>
      </c>
      <c r="L13" s="130"/>
      <c r="M13" s="73">
        <f>COSTOS_DE_PRODUCCION!H182</f>
        <v>0</v>
      </c>
      <c r="N13" s="130"/>
      <c r="O13" s="73">
        <f>COSTOS_DE_PRODUCCION!I182</f>
        <v>0</v>
      </c>
    </row>
    <row r="14" spans="4:15" ht="16.5" thickBot="1" x14ac:dyDescent="0.3">
      <c r="D14" s="539" t="s">
        <v>357</v>
      </c>
      <c r="E14" s="540"/>
      <c r="F14" s="644"/>
      <c r="G14" s="75">
        <f>G12-G13</f>
        <v>0</v>
      </c>
      <c r="H14" s="131"/>
      <c r="I14" s="75">
        <f>I12-I13</f>
        <v>0</v>
      </c>
      <c r="J14" s="131"/>
      <c r="K14" s="75">
        <f>K12-K13</f>
        <v>0</v>
      </c>
      <c r="L14" s="131"/>
      <c r="M14" s="75">
        <f>M12-M13</f>
        <v>0</v>
      </c>
      <c r="N14" s="131"/>
      <c r="O14" s="75">
        <f>O12-O13</f>
        <v>0</v>
      </c>
    </row>
    <row r="15" spans="4:15" x14ac:dyDescent="0.25">
      <c r="N15" s="74"/>
    </row>
    <row r="16" spans="4:15" x14ac:dyDescent="0.25">
      <c r="N16" s="74"/>
    </row>
    <row r="17" spans="4:20" x14ac:dyDescent="0.25">
      <c r="N17" s="74"/>
    </row>
    <row r="18" spans="4:20" x14ac:dyDescent="0.25">
      <c r="N18" s="74"/>
    </row>
    <row r="19" spans="4:20" ht="15.75" thickBot="1" x14ac:dyDescent="0.3"/>
    <row r="20" spans="4:20" ht="16.5" thickBot="1" x14ac:dyDescent="0.3">
      <c r="D20" s="645" t="s">
        <v>57</v>
      </c>
      <c r="E20" s="646"/>
      <c r="F20" s="646"/>
      <c r="G20" s="646"/>
      <c r="H20" s="646"/>
      <c r="I20" s="646"/>
      <c r="J20" s="646"/>
      <c r="K20" s="646"/>
      <c r="L20" s="646"/>
      <c r="M20" s="646"/>
      <c r="N20" s="646"/>
      <c r="O20" s="646"/>
      <c r="P20" s="646"/>
      <c r="Q20" s="646"/>
      <c r="R20" s="646"/>
      <c r="S20" s="646"/>
      <c r="T20" s="647"/>
    </row>
    <row r="21" spans="4:20" ht="16.5" thickBot="1" x14ac:dyDescent="0.3">
      <c r="E21" s="76" t="s">
        <v>353</v>
      </c>
      <c r="F21" s="658">
        <f>BASES!D7</f>
        <v>2021</v>
      </c>
      <c r="G21" s="659"/>
      <c r="H21" s="659"/>
      <c r="I21" s="658">
        <f>BASES!E7</f>
        <v>2022</v>
      </c>
      <c r="J21" s="659"/>
      <c r="K21" s="659"/>
      <c r="L21" s="658">
        <f>BASES!F7</f>
        <v>2023</v>
      </c>
      <c r="M21" s="659"/>
      <c r="N21" s="659"/>
      <c r="O21" s="658">
        <f>BASES!G7</f>
        <v>2024</v>
      </c>
      <c r="P21" s="659"/>
      <c r="Q21" s="659"/>
      <c r="R21" s="658">
        <f>BASES!H7</f>
        <v>2025</v>
      </c>
      <c r="S21" s="659"/>
      <c r="T21" s="659"/>
    </row>
    <row r="22" spans="4:20" ht="15.75" x14ac:dyDescent="0.25">
      <c r="D22" s="52" t="s">
        <v>355</v>
      </c>
      <c r="E22" s="52" t="s">
        <v>358</v>
      </c>
      <c r="F22" s="52" t="s">
        <v>364</v>
      </c>
      <c r="G22" s="393" t="s">
        <v>365</v>
      </c>
      <c r="H22" s="52" t="s">
        <v>366</v>
      </c>
      <c r="I22" s="52" t="s">
        <v>367</v>
      </c>
      <c r="J22" s="393" t="s">
        <v>368</v>
      </c>
      <c r="K22" s="52" t="s">
        <v>369</v>
      </c>
      <c r="L22" s="52" t="s">
        <v>370</v>
      </c>
      <c r="M22" s="393" t="s">
        <v>371</v>
      </c>
      <c r="N22" s="52" t="s">
        <v>372</v>
      </c>
      <c r="O22" s="52" t="s">
        <v>373</v>
      </c>
      <c r="P22" s="393" t="s">
        <v>374</v>
      </c>
      <c r="Q22" s="52" t="s">
        <v>375</v>
      </c>
      <c r="R22" s="52" t="s">
        <v>376</v>
      </c>
      <c r="S22" s="393" t="s">
        <v>377</v>
      </c>
      <c r="T22" s="52" t="s">
        <v>378</v>
      </c>
    </row>
    <row r="23" spans="4:20" ht="15.75" x14ac:dyDescent="0.25">
      <c r="D23" s="67">
        <v>0</v>
      </c>
      <c r="E23" s="72" t="str">
        <f>VLOOKUP(Tabla5[[#This Row],[CÓDIGO ]],Tabla3[],2,0)</f>
        <v xml:space="preserve">Seleccionar producto o servicio </v>
      </c>
      <c r="F23" s="73">
        <f>VLOOKUP(Tabla5[[#This Row],[CÓDIGO ]],Tabla3[],4,0)</f>
        <v>0</v>
      </c>
      <c r="G23" s="73">
        <f>VLOOKUP(Tabla5[[#This Row],[CÓDIGO ]],Tabla15[],18)</f>
        <v>0</v>
      </c>
      <c r="H23" s="73">
        <f>Tabla5[[#This Row],[Precio de venta unitario año 1]]-Tabla5[[#This Row],[(-) Costo de producción unitario año 1]]</f>
        <v>0</v>
      </c>
      <c r="I23" s="73">
        <f>VLOOKUP(Tabla5[[#This Row],[CÓDIGO ]],Tabla3[],7,0)</f>
        <v>0</v>
      </c>
      <c r="J23" s="73">
        <f>VLOOKUP(Tabla5[[#This Row],[CÓDIGO ]],Tabla15[],19)</f>
        <v>0</v>
      </c>
      <c r="K23" s="73">
        <f>Tabla5[[#This Row],[Precio de venta unitario año 2]]-Tabla5[[#This Row],[(-) Costo de producción unitario año 2]]</f>
        <v>0</v>
      </c>
      <c r="L23" s="73">
        <f>VLOOKUP(Tabla5[[#This Row],[CÓDIGO ]],Tabla3[],11,0)</f>
        <v>0</v>
      </c>
      <c r="M23" s="73">
        <f>VLOOKUP(Tabla5[[#This Row],[CÓDIGO ]],Tabla15[],20)</f>
        <v>0</v>
      </c>
      <c r="N23" s="73">
        <f>Tabla5[[#This Row],[Precio de venta unitario año 3]]-Tabla5[[#This Row],[(-) Costo de producción unitario año 3]]</f>
        <v>0</v>
      </c>
      <c r="O23" s="73">
        <f>VLOOKUP(Tabla5[[#This Row],[CÓDIGO ]],Tabla3[],15,0)</f>
        <v>0</v>
      </c>
      <c r="P23" s="73">
        <f>VLOOKUP(Tabla5[[#This Row],[CÓDIGO ]],Tabla15[],21)</f>
        <v>0</v>
      </c>
      <c r="Q23" s="73">
        <f>Tabla5[[#This Row],[Precio de venta unitario año 4]]-Tabla5[[#This Row],[(-) Costo de producción unitario año 4]]</f>
        <v>0</v>
      </c>
      <c r="R23" s="73">
        <f>VLOOKUP(Tabla5[[#This Row],[CÓDIGO ]],Tabla3[],19,0)</f>
        <v>0</v>
      </c>
      <c r="S23" s="73">
        <f>VLOOKUP(Tabla5[[#This Row],[CÓDIGO ]],Tabla15[],22)</f>
        <v>0</v>
      </c>
      <c r="T23" s="73">
        <f>Tabla5[[#This Row],[Precio de venta unitario año 5]]-Tabla5[[#This Row],[(-) Costo de producción unitario año 5]]</f>
        <v>0</v>
      </c>
    </row>
    <row r="24" spans="4:20" ht="15.75" x14ac:dyDescent="0.25">
      <c r="D24" s="62"/>
      <c r="E24" s="72" t="str">
        <f>VLOOKUP(Tabla5[[#This Row],[CÓDIGO ]],Tabla3[],2,0)</f>
        <v xml:space="preserve">Seleccionar producto o servicio </v>
      </c>
      <c r="F24" s="73">
        <f>VLOOKUP(Tabla5[[#This Row],[CÓDIGO ]],Tabla3[],4,0)</f>
        <v>0</v>
      </c>
      <c r="G24" s="73">
        <f>VLOOKUP(Tabla5[[#This Row],[CÓDIGO ]],Tabla15[],18)</f>
        <v>0</v>
      </c>
      <c r="H24" s="73">
        <f>Tabla5[[#This Row],[Precio de venta unitario año 1]]-Tabla5[[#This Row],[(-) Costo de producción unitario año 1]]</f>
        <v>0</v>
      </c>
      <c r="I24" s="73">
        <f>VLOOKUP(Tabla5[[#This Row],[CÓDIGO ]],Tabla3[],7,0)</f>
        <v>0</v>
      </c>
      <c r="J24" s="73">
        <f>VLOOKUP(Tabla5[[#This Row],[CÓDIGO ]],Tabla15[],19)</f>
        <v>0</v>
      </c>
      <c r="K24" s="73">
        <f>Tabla5[[#This Row],[Precio de venta unitario año 2]]-Tabla5[[#This Row],[(-) Costo de producción unitario año 2]]</f>
        <v>0</v>
      </c>
      <c r="L24" s="73">
        <f>VLOOKUP(Tabla5[[#This Row],[CÓDIGO ]],Tabla3[],11,0)</f>
        <v>0</v>
      </c>
      <c r="M24" s="73">
        <f>VLOOKUP(Tabla5[[#This Row],[CÓDIGO ]],Tabla15[],20)</f>
        <v>0</v>
      </c>
      <c r="N24" s="73">
        <f>Tabla5[[#This Row],[Precio de venta unitario año 3]]-Tabla5[[#This Row],[(-) Costo de producción unitario año 3]]</f>
        <v>0</v>
      </c>
      <c r="O24" s="73">
        <f>VLOOKUP(Tabla5[[#This Row],[CÓDIGO ]],Tabla3[],15,0)</f>
        <v>0</v>
      </c>
      <c r="P24" s="73">
        <f>VLOOKUP(Tabla5[[#This Row],[CÓDIGO ]],Tabla15[],21)</f>
        <v>0</v>
      </c>
      <c r="Q24" s="73">
        <f>Tabla5[[#This Row],[Precio de venta unitario año 4]]-Tabla5[[#This Row],[(-) Costo de producción unitario año 4]]</f>
        <v>0</v>
      </c>
      <c r="R24" s="73">
        <f>VLOOKUP(Tabla5[[#This Row],[CÓDIGO ]],Tabla3[],19,0)</f>
        <v>0</v>
      </c>
      <c r="S24" s="73">
        <f>VLOOKUP(Tabla5[[#This Row],[CÓDIGO ]],Tabla15[],22)</f>
        <v>0</v>
      </c>
      <c r="T24" s="73">
        <f>Tabla5[[#This Row],[Precio de venta unitario año 5]]-Tabla5[[#This Row],[(-) Costo de producción unitario año 5]]</f>
        <v>0</v>
      </c>
    </row>
    <row r="29" spans="4:20" ht="15.75" thickBot="1" x14ac:dyDescent="0.3"/>
    <row r="30" spans="4:20" ht="15" customHeight="1" x14ac:dyDescent="0.25">
      <c r="D30" s="648" t="s">
        <v>61</v>
      </c>
      <c r="E30" s="649"/>
      <c r="F30" s="649"/>
      <c r="G30" s="650"/>
      <c r="I30" s="657" t="s">
        <v>322</v>
      </c>
      <c r="J30" s="657"/>
      <c r="K30" s="657"/>
    </row>
    <row r="31" spans="4:20" x14ac:dyDescent="0.25">
      <c r="D31" s="651"/>
      <c r="E31" s="652"/>
      <c r="F31" s="652"/>
      <c r="G31" s="653"/>
      <c r="I31" s="657"/>
      <c r="J31" s="657"/>
      <c r="K31" s="657"/>
    </row>
    <row r="32" spans="4:20" x14ac:dyDescent="0.25">
      <c r="D32" s="651"/>
      <c r="E32" s="652"/>
      <c r="F32" s="652"/>
      <c r="G32" s="653"/>
      <c r="I32" s="657"/>
      <c r="J32" s="657"/>
      <c r="K32" s="657"/>
    </row>
    <row r="33" spans="4:24" ht="15.75" customHeight="1" thickBot="1" x14ac:dyDescent="0.3">
      <c r="D33" s="654"/>
      <c r="E33" s="655"/>
      <c r="F33" s="655"/>
      <c r="G33" s="656"/>
      <c r="I33" s="657"/>
      <c r="J33" s="657"/>
      <c r="K33" s="657"/>
    </row>
    <row r="35" spans="4:24" ht="15.75" x14ac:dyDescent="0.25">
      <c r="E35" s="128" t="s">
        <v>392</v>
      </c>
      <c r="F35" s="128" t="s">
        <v>59</v>
      </c>
      <c r="G35" s="89">
        <f>BASES!D7</f>
        <v>2021</v>
      </c>
      <c r="H35" s="89">
        <f>BASES!E7</f>
        <v>2022</v>
      </c>
      <c r="I35" s="89">
        <f>BASES!F7</f>
        <v>2023</v>
      </c>
      <c r="J35" s="89">
        <f>BASES!G7</f>
        <v>2024</v>
      </c>
      <c r="K35" s="89">
        <f>BASES!H7</f>
        <v>2025</v>
      </c>
    </row>
    <row r="36" spans="4:24" ht="15.75" x14ac:dyDescent="0.25">
      <c r="E36" s="129" t="s">
        <v>157</v>
      </c>
      <c r="F36" s="6"/>
      <c r="G36" s="6"/>
      <c r="H36" s="6"/>
      <c r="I36" s="6"/>
      <c r="J36" s="6"/>
      <c r="K36" s="6"/>
    </row>
    <row r="38" spans="4:24" ht="15.75" x14ac:dyDescent="0.25">
      <c r="E38" s="662" t="s">
        <v>61</v>
      </c>
      <c r="F38" s="663"/>
      <c r="G38" s="663"/>
      <c r="H38" s="663"/>
      <c r="I38" s="663"/>
      <c r="J38" s="663"/>
      <c r="K38" s="663"/>
      <c r="L38" s="663"/>
      <c r="M38" s="663"/>
      <c r="N38" s="663"/>
      <c r="O38" s="663"/>
      <c r="P38" s="663"/>
      <c r="Q38" s="663"/>
      <c r="R38" s="663"/>
      <c r="S38" s="663"/>
      <c r="T38" s="663"/>
      <c r="U38" s="663"/>
      <c r="V38" s="663"/>
      <c r="W38" s="664"/>
    </row>
    <row r="39" spans="4:24" ht="15.75" x14ac:dyDescent="0.25">
      <c r="E39" s="129" t="s">
        <v>379</v>
      </c>
      <c r="F39" s="669" t="s">
        <v>381</v>
      </c>
      <c r="G39" s="670"/>
      <c r="H39" s="670"/>
      <c r="I39" s="661">
        <f>BASES!D7</f>
        <v>2021</v>
      </c>
      <c r="J39" s="661"/>
      <c r="K39" s="661"/>
      <c r="L39" s="661">
        <f>BASES!E7</f>
        <v>2022</v>
      </c>
      <c r="M39" s="661"/>
      <c r="N39" s="661"/>
      <c r="O39" s="661">
        <f>BASES!F7</f>
        <v>2023</v>
      </c>
      <c r="P39" s="661"/>
      <c r="Q39" s="661"/>
      <c r="R39" s="661">
        <f>BASES!G7</f>
        <v>2024</v>
      </c>
      <c r="S39" s="661"/>
      <c r="T39" s="661"/>
      <c r="U39" s="661">
        <f>BASES!H7</f>
        <v>2025</v>
      </c>
      <c r="V39" s="661"/>
      <c r="W39" s="661"/>
    </row>
    <row r="40" spans="4:24" ht="15.75" x14ac:dyDescent="0.25">
      <c r="E40" s="91" t="s">
        <v>380</v>
      </c>
      <c r="F40" s="129" t="s">
        <v>382</v>
      </c>
      <c r="G40" s="129" t="s">
        <v>383</v>
      </c>
      <c r="H40" s="129" t="s">
        <v>384</v>
      </c>
      <c r="I40" s="129" t="s">
        <v>382</v>
      </c>
      <c r="J40" s="129" t="s">
        <v>383</v>
      </c>
      <c r="K40" s="129" t="s">
        <v>384</v>
      </c>
      <c r="L40" s="129" t="s">
        <v>382</v>
      </c>
      <c r="M40" s="129" t="s">
        <v>383</v>
      </c>
      <c r="N40" s="129" t="s">
        <v>384</v>
      </c>
      <c r="O40" s="129" t="s">
        <v>382</v>
      </c>
      <c r="P40" s="129" t="s">
        <v>383</v>
      </c>
      <c r="Q40" s="129" t="s">
        <v>384</v>
      </c>
      <c r="R40" s="129" t="s">
        <v>382</v>
      </c>
      <c r="S40" s="129" t="s">
        <v>383</v>
      </c>
      <c r="T40" s="129" t="s">
        <v>384</v>
      </c>
      <c r="U40" s="129" t="s">
        <v>382</v>
      </c>
      <c r="V40" s="129" t="s">
        <v>383</v>
      </c>
      <c r="W40" s="129" t="s">
        <v>384</v>
      </c>
      <c r="X40" s="92" t="s">
        <v>387</v>
      </c>
    </row>
    <row r="41" spans="4:24" ht="15.75" x14ac:dyDescent="0.25">
      <c r="E41" s="71"/>
      <c r="F41" s="78"/>
      <c r="G41" s="79"/>
      <c r="H41" s="94">
        <f t="shared" ref="H41:H47" si="0">F41*G41</f>
        <v>0</v>
      </c>
      <c r="I41" s="78"/>
      <c r="J41" s="79"/>
      <c r="K41" s="96">
        <f t="shared" ref="K41:K47" si="1">I41*J41</f>
        <v>0</v>
      </c>
      <c r="L41" s="78"/>
      <c r="M41" s="79"/>
      <c r="N41" s="94">
        <f t="shared" ref="N41:N47" si="2">L41*M41</f>
        <v>0</v>
      </c>
      <c r="O41" s="80"/>
      <c r="P41" s="81"/>
      <c r="Q41" s="94">
        <f t="shared" ref="Q41:Q47" si="3">O41*P41</f>
        <v>0</v>
      </c>
      <c r="R41" s="78"/>
      <c r="S41" s="79"/>
      <c r="T41" s="94">
        <f t="shared" ref="T41:T47" si="4">R41*S41</f>
        <v>0</v>
      </c>
      <c r="U41" s="78"/>
      <c r="V41" s="79"/>
      <c r="W41" s="94">
        <f t="shared" ref="W41:W47" si="5">U41*V41</f>
        <v>0</v>
      </c>
      <c r="X41" s="92">
        <f>BASES!G28</f>
        <v>20</v>
      </c>
    </row>
    <row r="42" spans="4:24" ht="15.75" x14ac:dyDescent="0.25">
      <c r="E42" s="71"/>
      <c r="F42" s="78"/>
      <c r="G42" s="79"/>
      <c r="H42" s="94">
        <f t="shared" si="0"/>
        <v>0</v>
      </c>
      <c r="I42" s="78"/>
      <c r="J42" s="79"/>
      <c r="K42" s="96">
        <f t="shared" si="1"/>
        <v>0</v>
      </c>
      <c r="L42" s="78"/>
      <c r="M42" s="79"/>
      <c r="N42" s="94">
        <f t="shared" si="2"/>
        <v>0</v>
      </c>
      <c r="O42" s="80"/>
      <c r="P42" s="81"/>
      <c r="Q42" s="94">
        <f t="shared" si="3"/>
        <v>0</v>
      </c>
      <c r="R42" s="78"/>
      <c r="S42" s="79"/>
      <c r="T42" s="94">
        <f t="shared" si="4"/>
        <v>0</v>
      </c>
      <c r="U42" s="78"/>
      <c r="V42" s="79"/>
      <c r="W42" s="94">
        <f t="shared" si="5"/>
        <v>0</v>
      </c>
      <c r="X42" s="92">
        <f t="shared" ref="X42:X47" si="6">X41</f>
        <v>20</v>
      </c>
    </row>
    <row r="43" spans="4:24" ht="15.75" x14ac:dyDescent="0.25">
      <c r="E43" s="71"/>
      <c r="F43" s="78"/>
      <c r="G43" s="79"/>
      <c r="H43" s="94">
        <f t="shared" si="0"/>
        <v>0</v>
      </c>
      <c r="I43" s="78"/>
      <c r="J43" s="79"/>
      <c r="K43" s="96">
        <f t="shared" si="1"/>
        <v>0</v>
      </c>
      <c r="L43" s="78"/>
      <c r="M43" s="79"/>
      <c r="N43" s="94">
        <f t="shared" si="2"/>
        <v>0</v>
      </c>
      <c r="O43" s="80"/>
      <c r="P43" s="81"/>
      <c r="Q43" s="94">
        <f t="shared" si="3"/>
        <v>0</v>
      </c>
      <c r="R43" s="78"/>
      <c r="S43" s="79"/>
      <c r="T43" s="94">
        <f t="shared" si="4"/>
        <v>0</v>
      </c>
      <c r="U43" s="78"/>
      <c r="V43" s="79"/>
      <c r="W43" s="94">
        <f t="shared" si="5"/>
        <v>0</v>
      </c>
      <c r="X43" s="92">
        <f t="shared" si="6"/>
        <v>20</v>
      </c>
    </row>
    <row r="44" spans="4:24" ht="15.75" x14ac:dyDescent="0.25">
      <c r="E44" s="71"/>
      <c r="F44" s="78"/>
      <c r="G44" s="79"/>
      <c r="H44" s="94">
        <f t="shared" si="0"/>
        <v>0</v>
      </c>
      <c r="I44" s="78"/>
      <c r="J44" s="79"/>
      <c r="K44" s="96">
        <f t="shared" si="1"/>
        <v>0</v>
      </c>
      <c r="L44" s="78"/>
      <c r="M44" s="79"/>
      <c r="N44" s="94">
        <f t="shared" si="2"/>
        <v>0</v>
      </c>
      <c r="O44" s="80"/>
      <c r="P44" s="81"/>
      <c r="Q44" s="94">
        <f t="shared" si="3"/>
        <v>0</v>
      </c>
      <c r="R44" s="78"/>
      <c r="S44" s="79"/>
      <c r="T44" s="94">
        <f t="shared" si="4"/>
        <v>0</v>
      </c>
      <c r="U44" s="78"/>
      <c r="V44" s="79"/>
      <c r="W44" s="94">
        <f t="shared" si="5"/>
        <v>0</v>
      </c>
      <c r="X44" s="92">
        <f t="shared" si="6"/>
        <v>20</v>
      </c>
    </row>
    <row r="45" spans="4:24" ht="15.75" x14ac:dyDescent="0.25">
      <c r="E45" s="71"/>
      <c r="F45" s="78"/>
      <c r="G45" s="79"/>
      <c r="H45" s="94">
        <f t="shared" si="0"/>
        <v>0</v>
      </c>
      <c r="I45" s="78"/>
      <c r="J45" s="79"/>
      <c r="K45" s="96">
        <f t="shared" si="1"/>
        <v>0</v>
      </c>
      <c r="L45" s="78"/>
      <c r="M45" s="79"/>
      <c r="N45" s="94">
        <f t="shared" si="2"/>
        <v>0</v>
      </c>
      <c r="O45" s="80"/>
      <c r="P45" s="81"/>
      <c r="Q45" s="94">
        <f t="shared" si="3"/>
        <v>0</v>
      </c>
      <c r="R45" s="78"/>
      <c r="S45" s="79"/>
      <c r="T45" s="94">
        <f t="shared" si="4"/>
        <v>0</v>
      </c>
      <c r="U45" s="78"/>
      <c r="V45" s="79"/>
      <c r="W45" s="94">
        <f t="shared" si="5"/>
        <v>0</v>
      </c>
      <c r="X45" s="92">
        <f t="shared" si="6"/>
        <v>20</v>
      </c>
    </row>
    <row r="46" spans="4:24" ht="15.75" x14ac:dyDescent="0.25">
      <c r="E46" s="71"/>
      <c r="F46" s="78"/>
      <c r="G46" s="79"/>
      <c r="H46" s="94">
        <f t="shared" si="0"/>
        <v>0</v>
      </c>
      <c r="I46" s="78"/>
      <c r="J46" s="79"/>
      <c r="K46" s="96">
        <f t="shared" si="1"/>
        <v>0</v>
      </c>
      <c r="L46" s="78"/>
      <c r="M46" s="79"/>
      <c r="N46" s="94">
        <f t="shared" si="2"/>
        <v>0</v>
      </c>
      <c r="O46" s="80"/>
      <c r="P46" s="81"/>
      <c r="Q46" s="94">
        <f t="shared" si="3"/>
        <v>0</v>
      </c>
      <c r="R46" s="78"/>
      <c r="S46" s="79"/>
      <c r="T46" s="94">
        <f t="shared" si="4"/>
        <v>0</v>
      </c>
      <c r="U46" s="78"/>
      <c r="V46" s="79"/>
      <c r="W46" s="94">
        <f t="shared" si="5"/>
        <v>0</v>
      </c>
      <c r="X46" s="92">
        <f t="shared" si="6"/>
        <v>20</v>
      </c>
    </row>
    <row r="47" spans="4:24" ht="15.75" x14ac:dyDescent="0.25">
      <c r="E47" s="82"/>
      <c r="F47" s="83"/>
      <c r="G47" s="84"/>
      <c r="H47" s="94">
        <f t="shared" si="0"/>
        <v>0</v>
      </c>
      <c r="I47" s="78"/>
      <c r="J47" s="79"/>
      <c r="K47" s="96">
        <f t="shared" si="1"/>
        <v>0</v>
      </c>
      <c r="L47" s="78"/>
      <c r="M47" s="79"/>
      <c r="N47" s="94">
        <f t="shared" si="2"/>
        <v>0</v>
      </c>
      <c r="O47" s="80"/>
      <c r="P47" s="81"/>
      <c r="Q47" s="94">
        <f t="shared" si="3"/>
        <v>0</v>
      </c>
      <c r="R47" s="78"/>
      <c r="S47" s="79"/>
      <c r="T47" s="94">
        <f t="shared" si="4"/>
        <v>0</v>
      </c>
      <c r="U47" s="78"/>
      <c r="V47" s="79"/>
      <c r="W47" s="94">
        <f t="shared" si="5"/>
        <v>0</v>
      </c>
      <c r="X47" s="92">
        <f t="shared" si="6"/>
        <v>20</v>
      </c>
    </row>
    <row r="48" spans="4:24" ht="15.75" x14ac:dyDescent="0.25">
      <c r="E48" s="92" t="s">
        <v>385</v>
      </c>
      <c r="F48" s="93"/>
      <c r="G48" s="94"/>
      <c r="H48" s="95">
        <f>SUM(H41:H47)</f>
        <v>0</v>
      </c>
      <c r="I48" s="93"/>
      <c r="J48" s="94"/>
      <c r="K48" s="95">
        <f>SUM(K41:K47)</f>
        <v>0</v>
      </c>
      <c r="L48" s="93"/>
      <c r="M48" s="94"/>
      <c r="N48" s="95">
        <f>SUM(N41:N47)</f>
        <v>0</v>
      </c>
      <c r="O48" s="93"/>
      <c r="P48" s="94"/>
      <c r="Q48" s="95">
        <f>SUM(Q41:Q47)</f>
        <v>0</v>
      </c>
      <c r="R48" s="93"/>
      <c r="S48" s="94"/>
      <c r="T48" s="95">
        <f>SUM(T41:T47)</f>
        <v>0</v>
      </c>
      <c r="U48" s="93"/>
      <c r="V48" s="94"/>
      <c r="W48" s="95">
        <f>SUM(W41:W47)</f>
        <v>0</v>
      </c>
      <c r="X48" s="92"/>
    </row>
    <row r="49" spans="1:24" s="88" customFormat="1" ht="15.75" x14ac:dyDescent="0.25">
      <c r="A49" s="2"/>
      <c r="B49" s="2"/>
      <c r="C49" s="2"/>
      <c r="D49" s="2"/>
      <c r="E49" s="85"/>
      <c r="F49" s="86"/>
      <c r="G49" s="87"/>
      <c r="H49" s="87"/>
      <c r="I49" s="86"/>
      <c r="J49" s="87"/>
      <c r="K49" s="87"/>
      <c r="L49" s="86"/>
      <c r="M49" s="87"/>
      <c r="N49" s="87"/>
      <c r="O49" s="86"/>
      <c r="P49" s="87"/>
      <c r="Q49" s="87"/>
      <c r="R49" s="86"/>
      <c r="S49" s="87"/>
      <c r="T49" s="87"/>
      <c r="U49" s="86"/>
      <c r="V49" s="87"/>
      <c r="W49" s="87"/>
    </row>
    <row r="50" spans="1:24" ht="15.75" x14ac:dyDescent="0.25">
      <c r="E50" s="97" t="s">
        <v>386</v>
      </c>
      <c r="F50" s="129" t="s">
        <v>382</v>
      </c>
      <c r="G50" s="129" t="s">
        <v>383</v>
      </c>
      <c r="H50" s="129" t="s">
        <v>384</v>
      </c>
      <c r="I50" s="129" t="s">
        <v>382</v>
      </c>
      <c r="J50" s="129" t="s">
        <v>383</v>
      </c>
      <c r="K50" s="129" t="s">
        <v>384</v>
      </c>
      <c r="L50" s="129" t="s">
        <v>382</v>
      </c>
      <c r="M50" s="129" t="s">
        <v>383</v>
      </c>
      <c r="N50" s="129" t="s">
        <v>384</v>
      </c>
      <c r="O50" s="129" t="s">
        <v>382</v>
      </c>
      <c r="P50" s="129" t="s">
        <v>383</v>
      </c>
      <c r="Q50" s="129" t="s">
        <v>384</v>
      </c>
      <c r="R50" s="129" t="s">
        <v>382</v>
      </c>
      <c r="S50" s="129" t="s">
        <v>383</v>
      </c>
      <c r="T50" s="129" t="s">
        <v>384</v>
      </c>
      <c r="U50" s="129" t="s">
        <v>382</v>
      </c>
      <c r="V50" s="129" t="s">
        <v>383</v>
      </c>
      <c r="W50" s="129" t="s">
        <v>384</v>
      </c>
      <c r="X50" s="90" t="s">
        <v>387</v>
      </c>
    </row>
    <row r="51" spans="1:24" ht="15.75" x14ac:dyDescent="0.25">
      <c r="D51"/>
      <c r="E51" s="71"/>
      <c r="F51" s="78"/>
      <c r="G51" s="79"/>
      <c r="H51" s="94">
        <f t="shared" ref="H51:H90" si="7">F51*G51</f>
        <v>0</v>
      </c>
      <c r="I51" s="78"/>
      <c r="J51" s="79"/>
      <c r="K51" s="94">
        <f t="shared" ref="K51:K90" si="8">I51*J51</f>
        <v>0</v>
      </c>
      <c r="L51" s="78"/>
      <c r="M51" s="79"/>
      <c r="N51" s="94">
        <f t="shared" ref="N51:N90" si="9">L51*M51</f>
        <v>0</v>
      </c>
      <c r="O51" s="78"/>
      <c r="P51" s="79"/>
      <c r="Q51" s="94">
        <f t="shared" ref="Q51:Q90" si="10">O51*P51</f>
        <v>0</v>
      </c>
      <c r="R51" s="78"/>
      <c r="S51" s="79"/>
      <c r="T51" s="94">
        <f t="shared" ref="T51:T90" si="11">R51*S51</f>
        <v>0</v>
      </c>
      <c r="U51" s="78"/>
      <c r="V51" s="79"/>
      <c r="W51" s="94">
        <f t="shared" ref="W51:W90" si="12">U51*V51</f>
        <v>0</v>
      </c>
      <c r="X51" s="92">
        <f>BASES!G29</f>
        <v>10</v>
      </c>
    </row>
    <row r="52" spans="1:24" ht="15.75" x14ac:dyDescent="0.25">
      <c r="D52"/>
      <c r="E52" s="71"/>
      <c r="F52" s="78"/>
      <c r="G52" s="79"/>
      <c r="H52" s="94">
        <f t="shared" si="7"/>
        <v>0</v>
      </c>
      <c r="I52" s="78"/>
      <c r="J52" s="79"/>
      <c r="K52" s="94">
        <f t="shared" si="8"/>
        <v>0</v>
      </c>
      <c r="L52" s="78"/>
      <c r="M52" s="79"/>
      <c r="N52" s="94">
        <f t="shared" si="9"/>
        <v>0</v>
      </c>
      <c r="O52" s="78"/>
      <c r="P52" s="79"/>
      <c r="Q52" s="94">
        <f t="shared" si="10"/>
        <v>0</v>
      </c>
      <c r="R52" s="78"/>
      <c r="S52" s="79"/>
      <c r="T52" s="94">
        <f t="shared" si="11"/>
        <v>0</v>
      </c>
      <c r="U52" s="78"/>
      <c r="V52" s="79"/>
      <c r="W52" s="94">
        <f t="shared" si="12"/>
        <v>0</v>
      </c>
      <c r="X52" s="92">
        <f t="shared" ref="X52:X90" si="13">X51</f>
        <v>10</v>
      </c>
    </row>
    <row r="53" spans="1:24" ht="15.75" x14ac:dyDescent="0.25">
      <c r="D53"/>
      <c r="E53" s="71"/>
      <c r="F53" s="78"/>
      <c r="G53" s="79"/>
      <c r="H53" s="94">
        <f t="shared" si="7"/>
        <v>0</v>
      </c>
      <c r="I53" s="78"/>
      <c r="J53" s="79"/>
      <c r="K53" s="94">
        <f t="shared" si="8"/>
        <v>0</v>
      </c>
      <c r="L53" s="78"/>
      <c r="M53" s="79"/>
      <c r="N53" s="94">
        <f t="shared" si="9"/>
        <v>0</v>
      </c>
      <c r="O53" s="78"/>
      <c r="P53" s="79"/>
      <c r="Q53" s="94">
        <f t="shared" si="10"/>
        <v>0</v>
      </c>
      <c r="R53" s="78"/>
      <c r="S53" s="79"/>
      <c r="T53" s="94">
        <f t="shared" si="11"/>
        <v>0</v>
      </c>
      <c r="U53" s="78"/>
      <c r="V53" s="79"/>
      <c r="W53" s="94">
        <f t="shared" si="12"/>
        <v>0</v>
      </c>
      <c r="X53" s="92">
        <f t="shared" si="13"/>
        <v>10</v>
      </c>
    </row>
    <row r="54" spans="1:24" ht="15.75" x14ac:dyDescent="0.25">
      <c r="D54"/>
      <c r="E54" s="71"/>
      <c r="F54" s="78"/>
      <c r="G54" s="79"/>
      <c r="H54" s="94">
        <f t="shared" si="7"/>
        <v>0</v>
      </c>
      <c r="I54" s="78"/>
      <c r="J54" s="79"/>
      <c r="K54" s="94">
        <f t="shared" si="8"/>
        <v>0</v>
      </c>
      <c r="L54" s="78"/>
      <c r="M54" s="79"/>
      <c r="N54" s="94">
        <f t="shared" si="9"/>
        <v>0</v>
      </c>
      <c r="O54" s="78"/>
      <c r="P54" s="79"/>
      <c r="Q54" s="94">
        <f t="shared" si="10"/>
        <v>0</v>
      </c>
      <c r="R54" s="78"/>
      <c r="S54" s="79"/>
      <c r="T54" s="94">
        <f t="shared" si="11"/>
        <v>0</v>
      </c>
      <c r="U54" s="78"/>
      <c r="V54" s="79"/>
      <c r="W54" s="94">
        <f t="shared" si="12"/>
        <v>0</v>
      </c>
      <c r="X54" s="92">
        <f t="shared" si="13"/>
        <v>10</v>
      </c>
    </row>
    <row r="55" spans="1:24" ht="15.75" x14ac:dyDescent="0.25">
      <c r="D55"/>
      <c r="E55" s="71"/>
      <c r="F55" s="78"/>
      <c r="G55" s="79"/>
      <c r="H55" s="94">
        <f t="shared" si="7"/>
        <v>0</v>
      </c>
      <c r="I55" s="78"/>
      <c r="J55" s="79"/>
      <c r="K55" s="94">
        <f t="shared" si="8"/>
        <v>0</v>
      </c>
      <c r="L55" s="78"/>
      <c r="M55" s="79"/>
      <c r="N55" s="94">
        <f t="shared" si="9"/>
        <v>0</v>
      </c>
      <c r="O55" s="78"/>
      <c r="P55" s="79"/>
      <c r="Q55" s="94">
        <f t="shared" si="10"/>
        <v>0</v>
      </c>
      <c r="R55" s="78"/>
      <c r="S55" s="79"/>
      <c r="T55" s="94">
        <f t="shared" si="11"/>
        <v>0</v>
      </c>
      <c r="U55" s="78"/>
      <c r="V55" s="79"/>
      <c r="W55" s="94">
        <f t="shared" si="12"/>
        <v>0</v>
      </c>
      <c r="X55" s="92">
        <f t="shared" si="13"/>
        <v>10</v>
      </c>
    </row>
    <row r="56" spans="1:24" ht="15.75" x14ac:dyDescent="0.25">
      <c r="D56"/>
      <c r="E56" s="71"/>
      <c r="F56" s="78"/>
      <c r="G56" s="79"/>
      <c r="H56" s="94">
        <f t="shared" si="7"/>
        <v>0</v>
      </c>
      <c r="I56" s="78"/>
      <c r="J56" s="79"/>
      <c r="K56" s="94">
        <f t="shared" si="8"/>
        <v>0</v>
      </c>
      <c r="L56" s="78"/>
      <c r="M56" s="79"/>
      <c r="N56" s="94">
        <f t="shared" si="9"/>
        <v>0</v>
      </c>
      <c r="O56" s="78"/>
      <c r="P56" s="79"/>
      <c r="Q56" s="94">
        <f t="shared" si="10"/>
        <v>0</v>
      </c>
      <c r="R56" s="78"/>
      <c r="S56" s="79"/>
      <c r="T56" s="94">
        <f t="shared" si="11"/>
        <v>0</v>
      </c>
      <c r="U56" s="78"/>
      <c r="V56" s="79"/>
      <c r="W56" s="94">
        <f t="shared" si="12"/>
        <v>0</v>
      </c>
      <c r="X56" s="92">
        <f t="shared" si="13"/>
        <v>10</v>
      </c>
    </row>
    <row r="57" spans="1:24" ht="15.75" x14ac:dyDescent="0.25">
      <c r="D57"/>
      <c r="E57" s="71"/>
      <c r="F57" s="78"/>
      <c r="G57" s="79"/>
      <c r="H57" s="94">
        <f t="shared" si="7"/>
        <v>0</v>
      </c>
      <c r="I57" s="78"/>
      <c r="J57" s="79"/>
      <c r="K57" s="94">
        <f t="shared" si="8"/>
        <v>0</v>
      </c>
      <c r="L57" s="78"/>
      <c r="M57" s="79"/>
      <c r="N57" s="94">
        <f t="shared" si="9"/>
        <v>0</v>
      </c>
      <c r="O57" s="78"/>
      <c r="P57" s="79"/>
      <c r="Q57" s="94">
        <f t="shared" si="10"/>
        <v>0</v>
      </c>
      <c r="R57" s="78"/>
      <c r="S57" s="79"/>
      <c r="T57" s="94">
        <f t="shared" si="11"/>
        <v>0</v>
      </c>
      <c r="U57" s="78"/>
      <c r="V57" s="79"/>
      <c r="W57" s="94">
        <f t="shared" si="12"/>
        <v>0</v>
      </c>
      <c r="X57" s="92">
        <f t="shared" si="13"/>
        <v>10</v>
      </c>
    </row>
    <row r="58" spans="1:24" ht="15.75" x14ac:dyDescent="0.25">
      <c r="D58"/>
      <c r="E58" s="71"/>
      <c r="F58" s="78"/>
      <c r="G58" s="79"/>
      <c r="H58" s="94">
        <f t="shared" si="7"/>
        <v>0</v>
      </c>
      <c r="I58" s="78"/>
      <c r="J58" s="79"/>
      <c r="K58" s="94">
        <f t="shared" si="8"/>
        <v>0</v>
      </c>
      <c r="L58" s="78"/>
      <c r="M58" s="79"/>
      <c r="N58" s="94">
        <f t="shared" si="9"/>
        <v>0</v>
      </c>
      <c r="O58" s="78"/>
      <c r="P58" s="79"/>
      <c r="Q58" s="94">
        <f t="shared" si="10"/>
        <v>0</v>
      </c>
      <c r="R58" s="78"/>
      <c r="S58" s="79"/>
      <c r="T58" s="94">
        <f t="shared" si="11"/>
        <v>0</v>
      </c>
      <c r="U58" s="78"/>
      <c r="V58" s="79"/>
      <c r="W58" s="94">
        <f t="shared" si="12"/>
        <v>0</v>
      </c>
      <c r="X58" s="92">
        <f t="shared" si="13"/>
        <v>10</v>
      </c>
    </row>
    <row r="59" spans="1:24" ht="15.75" x14ac:dyDescent="0.25">
      <c r="D59"/>
      <c r="E59" s="71"/>
      <c r="F59" s="78"/>
      <c r="G59" s="79"/>
      <c r="H59" s="94">
        <f t="shared" si="7"/>
        <v>0</v>
      </c>
      <c r="I59" s="78"/>
      <c r="J59" s="79"/>
      <c r="K59" s="94">
        <f t="shared" si="8"/>
        <v>0</v>
      </c>
      <c r="L59" s="78"/>
      <c r="M59" s="79"/>
      <c r="N59" s="94">
        <f t="shared" si="9"/>
        <v>0</v>
      </c>
      <c r="O59" s="78"/>
      <c r="P59" s="79"/>
      <c r="Q59" s="94">
        <f t="shared" si="10"/>
        <v>0</v>
      </c>
      <c r="R59" s="78"/>
      <c r="S59" s="79"/>
      <c r="T59" s="94">
        <f t="shared" si="11"/>
        <v>0</v>
      </c>
      <c r="U59" s="78"/>
      <c r="V59" s="79"/>
      <c r="W59" s="94">
        <f t="shared" si="12"/>
        <v>0</v>
      </c>
      <c r="X59" s="92">
        <f t="shared" si="13"/>
        <v>10</v>
      </c>
    </row>
    <row r="60" spans="1:24" ht="15.75" x14ac:dyDescent="0.25">
      <c r="D60"/>
      <c r="E60" s="71"/>
      <c r="F60" s="78"/>
      <c r="G60" s="79"/>
      <c r="H60" s="94">
        <f t="shared" si="7"/>
        <v>0</v>
      </c>
      <c r="I60" s="78"/>
      <c r="J60" s="79"/>
      <c r="K60" s="94">
        <f t="shared" si="8"/>
        <v>0</v>
      </c>
      <c r="L60" s="78"/>
      <c r="M60" s="79"/>
      <c r="N60" s="94">
        <f t="shared" si="9"/>
        <v>0</v>
      </c>
      <c r="O60" s="78"/>
      <c r="P60" s="79"/>
      <c r="Q60" s="94">
        <f t="shared" si="10"/>
        <v>0</v>
      </c>
      <c r="R60" s="78"/>
      <c r="S60" s="79"/>
      <c r="T60" s="94">
        <f t="shared" si="11"/>
        <v>0</v>
      </c>
      <c r="U60" s="78"/>
      <c r="V60" s="79"/>
      <c r="W60" s="94">
        <f t="shared" si="12"/>
        <v>0</v>
      </c>
      <c r="X60" s="92">
        <f t="shared" si="13"/>
        <v>10</v>
      </c>
    </row>
    <row r="61" spans="1:24" ht="15.75" x14ac:dyDescent="0.25">
      <c r="D61"/>
      <c r="E61" s="71"/>
      <c r="F61" s="78"/>
      <c r="G61" s="79"/>
      <c r="H61" s="94">
        <f t="shared" si="7"/>
        <v>0</v>
      </c>
      <c r="I61" s="78"/>
      <c r="J61" s="79"/>
      <c r="K61" s="94">
        <f t="shared" si="8"/>
        <v>0</v>
      </c>
      <c r="L61" s="78"/>
      <c r="M61" s="79"/>
      <c r="N61" s="94">
        <f t="shared" si="9"/>
        <v>0</v>
      </c>
      <c r="O61" s="78"/>
      <c r="P61" s="79"/>
      <c r="Q61" s="94">
        <f t="shared" si="10"/>
        <v>0</v>
      </c>
      <c r="R61" s="78"/>
      <c r="S61" s="79"/>
      <c r="T61" s="94">
        <f t="shared" si="11"/>
        <v>0</v>
      </c>
      <c r="U61" s="78"/>
      <c r="V61" s="79"/>
      <c r="W61" s="94">
        <f t="shared" si="12"/>
        <v>0</v>
      </c>
      <c r="X61" s="92">
        <f t="shared" si="13"/>
        <v>10</v>
      </c>
    </row>
    <row r="62" spans="1:24" ht="15.75" x14ac:dyDescent="0.25">
      <c r="D62"/>
      <c r="E62" s="71"/>
      <c r="F62" s="78"/>
      <c r="G62" s="79"/>
      <c r="H62" s="94">
        <f t="shared" si="7"/>
        <v>0</v>
      </c>
      <c r="I62" s="78"/>
      <c r="J62" s="79"/>
      <c r="K62" s="94">
        <f t="shared" si="8"/>
        <v>0</v>
      </c>
      <c r="L62" s="78"/>
      <c r="M62" s="79"/>
      <c r="N62" s="94">
        <f t="shared" si="9"/>
        <v>0</v>
      </c>
      <c r="O62" s="78"/>
      <c r="P62" s="79"/>
      <c r="Q62" s="94">
        <f t="shared" si="10"/>
        <v>0</v>
      </c>
      <c r="R62" s="78"/>
      <c r="S62" s="79"/>
      <c r="T62" s="94">
        <f t="shared" si="11"/>
        <v>0</v>
      </c>
      <c r="U62" s="78"/>
      <c r="V62" s="79"/>
      <c r="W62" s="94">
        <f t="shared" si="12"/>
        <v>0</v>
      </c>
      <c r="X62" s="92">
        <f t="shared" si="13"/>
        <v>10</v>
      </c>
    </row>
    <row r="63" spans="1:24" ht="15.75" x14ac:dyDescent="0.25">
      <c r="D63"/>
      <c r="E63" s="71"/>
      <c r="F63" s="78"/>
      <c r="G63" s="79"/>
      <c r="H63" s="94">
        <f t="shared" si="7"/>
        <v>0</v>
      </c>
      <c r="I63" s="78"/>
      <c r="J63" s="79"/>
      <c r="K63" s="94">
        <f t="shared" si="8"/>
        <v>0</v>
      </c>
      <c r="L63" s="78"/>
      <c r="M63" s="79"/>
      <c r="N63" s="94">
        <f t="shared" si="9"/>
        <v>0</v>
      </c>
      <c r="O63" s="78"/>
      <c r="P63" s="79"/>
      <c r="Q63" s="94">
        <f t="shared" si="10"/>
        <v>0</v>
      </c>
      <c r="R63" s="78"/>
      <c r="S63" s="79"/>
      <c r="T63" s="94">
        <f t="shared" si="11"/>
        <v>0</v>
      </c>
      <c r="U63" s="78"/>
      <c r="V63" s="79"/>
      <c r="W63" s="94">
        <f t="shared" si="12"/>
        <v>0</v>
      </c>
      <c r="X63" s="92">
        <f t="shared" si="13"/>
        <v>10</v>
      </c>
    </row>
    <row r="64" spans="1:24" ht="15.75" x14ac:dyDescent="0.25">
      <c r="D64"/>
      <c r="E64" s="71"/>
      <c r="F64" s="78"/>
      <c r="G64" s="79"/>
      <c r="H64" s="94">
        <f t="shared" si="7"/>
        <v>0</v>
      </c>
      <c r="I64" s="78"/>
      <c r="J64" s="79"/>
      <c r="K64" s="94">
        <f t="shared" si="8"/>
        <v>0</v>
      </c>
      <c r="L64" s="78"/>
      <c r="M64" s="79"/>
      <c r="N64" s="94">
        <f t="shared" si="9"/>
        <v>0</v>
      </c>
      <c r="O64" s="78"/>
      <c r="P64" s="79"/>
      <c r="Q64" s="94">
        <f t="shared" si="10"/>
        <v>0</v>
      </c>
      <c r="R64" s="78"/>
      <c r="S64" s="79"/>
      <c r="T64" s="94">
        <f t="shared" si="11"/>
        <v>0</v>
      </c>
      <c r="U64" s="78"/>
      <c r="V64" s="79"/>
      <c r="W64" s="94">
        <f t="shared" si="12"/>
        <v>0</v>
      </c>
      <c r="X64" s="92">
        <f t="shared" si="13"/>
        <v>10</v>
      </c>
    </row>
    <row r="65" spans="4:24" ht="15.75" x14ac:dyDescent="0.25">
      <c r="D65"/>
      <c r="E65" s="71"/>
      <c r="F65" s="78"/>
      <c r="G65" s="79"/>
      <c r="H65" s="94">
        <f t="shared" si="7"/>
        <v>0</v>
      </c>
      <c r="I65" s="78"/>
      <c r="J65" s="79"/>
      <c r="K65" s="94">
        <f t="shared" si="8"/>
        <v>0</v>
      </c>
      <c r="L65" s="78"/>
      <c r="M65" s="79"/>
      <c r="N65" s="94">
        <f t="shared" si="9"/>
        <v>0</v>
      </c>
      <c r="O65" s="78"/>
      <c r="P65" s="79"/>
      <c r="Q65" s="94">
        <f t="shared" si="10"/>
        <v>0</v>
      </c>
      <c r="R65" s="78"/>
      <c r="S65" s="79"/>
      <c r="T65" s="94">
        <f t="shared" si="11"/>
        <v>0</v>
      </c>
      <c r="U65" s="78"/>
      <c r="V65" s="79"/>
      <c r="W65" s="94">
        <f t="shared" si="12"/>
        <v>0</v>
      </c>
      <c r="X65" s="92">
        <f t="shared" si="13"/>
        <v>10</v>
      </c>
    </row>
    <row r="66" spans="4:24" ht="15.75" x14ac:dyDescent="0.25">
      <c r="D66"/>
      <c r="E66" s="71"/>
      <c r="F66" s="78"/>
      <c r="G66" s="79"/>
      <c r="H66" s="94">
        <f t="shared" si="7"/>
        <v>0</v>
      </c>
      <c r="I66" s="78"/>
      <c r="J66" s="79"/>
      <c r="K66" s="94">
        <f t="shared" si="8"/>
        <v>0</v>
      </c>
      <c r="L66" s="78"/>
      <c r="M66" s="79"/>
      <c r="N66" s="94">
        <f t="shared" si="9"/>
        <v>0</v>
      </c>
      <c r="O66" s="78"/>
      <c r="P66" s="79"/>
      <c r="Q66" s="94">
        <f t="shared" si="10"/>
        <v>0</v>
      </c>
      <c r="R66" s="78"/>
      <c r="S66" s="79"/>
      <c r="T66" s="94">
        <f t="shared" si="11"/>
        <v>0</v>
      </c>
      <c r="U66" s="78"/>
      <c r="V66" s="79"/>
      <c r="W66" s="94">
        <f t="shared" si="12"/>
        <v>0</v>
      </c>
      <c r="X66" s="92">
        <f t="shared" si="13"/>
        <v>10</v>
      </c>
    </row>
    <row r="67" spans="4:24" ht="15.75" x14ac:dyDescent="0.25">
      <c r="D67"/>
      <c r="E67" s="71"/>
      <c r="F67" s="78"/>
      <c r="G67" s="79"/>
      <c r="H67" s="94">
        <f t="shared" si="7"/>
        <v>0</v>
      </c>
      <c r="I67" s="78"/>
      <c r="J67" s="79"/>
      <c r="K67" s="94">
        <f t="shared" si="8"/>
        <v>0</v>
      </c>
      <c r="L67" s="78"/>
      <c r="M67" s="79"/>
      <c r="N67" s="94">
        <f t="shared" si="9"/>
        <v>0</v>
      </c>
      <c r="O67" s="78"/>
      <c r="P67" s="79"/>
      <c r="Q67" s="94">
        <f t="shared" si="10"/>
        <v>0</v>
      </c>
      <c r="R67" s="78"/>
      <c r="S67" s="79"/>
      <c r="T67" s="94">
        <f t="shared" si="11"/>
        <v>0</v>
      </c>
      <c r="U67" s="78"/>
      <c r="V67" s="79"/>
      <c r="W67" s="94">
        <f t="shared" si="12"/>
        <v>0</v>
      </c>
      <c r="X67" s="92">
        <f t="shared" si="13"/>
        <v>10</v>
      </c>
    </row>
    <row r="68" spans="4:24" ht="15.75" x14ac:dyDescent="0.25">
      <c r="D68"/>
      <c r="E68" s="71"/>
      <c r="F68" s="78"/>
      <c r="G68" s="79"/>
      <c r="H68" s="94">
        <f t="shared" si="7"/>
        <v>0</v>
      </c>
      <c r="I68" s="78"/>
      <c r="J68" s="79"/>
      <c r="K68" s="94">
        <f t="shared" si="8"/>
        <v>0</v>
      </c>
      <c r="L68" s="78"/>
      <c r="M68" s="79"/>
      <c r="N68" s="94">
        <f t="shared" si="9"/>
        <v>0</v>
      </c>
      <c r="O68" s="78"/>
      <c r="P68" s="79"/>
      <c r="Q68" s="94">
        <f t="shared" si="10"/>
        <v>0</v>
      </c>
      <c r="R68" s="78"/>
      <c r="S68" s="79"/>
      <c r="T68" s="94">
        <f t="shared" si="11"/>
        <v>0</v>
      </c>
      <c r="U68" s="78"/>
      <c r="V68" s="79"/>
      <c r="W68" s="94">
        <f t="shared" si="12"/>
        <v>0</v>
      </c>
      <c r="X68" s="92">
        <f t="shared" si="13"/>
        <v>10</v>
      </c>
    </row>
    <row r="69" spans="4:24" ht="15.75" x14ac:dyDescent="0.25">
      <c r="D69"/>
      <c r="E69" s="71"/>
      <c r="F69" s="78"/>
      <c r="G69" s="79"/>
      <c r="H69" s="94">
        <f t="shared" si="7"/>
        <v>0</v>
      </c>
      <c r="I69" s="78"/>
      <c r="J69" s="79"/>
      <c r="K69" s="94">
        <f t="shared" si="8"/>
        <v>0</v>
      </c>
      <c r="L69" s="78"/>
      <c r="M69" s="79"/>
      <c r="N69" s="94">
        <f t="shared" si="9"/>
        <v>0</v>
      </c>
      <c r="O69" s="78"/>
      <c r="P69" s="79"/>
      <c r="Q69" s="94">
        <f t="shared" si="10"/>
        <v>0</v>
      </c>
      <c r="R69" s="78"/>
      <c r="S69" s="79"/>
      <c r="T69" s="94">
        <f t="shared" si="11"/>
        <v>0</v>
      </c>
      <c r="U69" s="78"/>
      <c r="V69" s="79"/>
      <c r="W69" s="94">
        <f t="shared" si="12"/>
        <v>0</v>
      </c>
      <c r="X69" s="92">
        <f t="shared" si="13"/>
        <v>10</v>
      </c>
    </row>
    <row r="70" spans="4:24" ht="15.75" x14ac:dyDescent="0.25">
      <c r="D70"/>
      <c r="E70" s="71"/>
      <c r="F70" s="78"/>
      <c r="G70" s="79"/>
      <c r="H70" s="94">
        <f t="shared" si="7"/>
        <v>0</v>
      </c>
      <c r="I70" s="78"/>
      <c r="J70" s="79"/>
      <c r="K70" s="94">
        <f t="shared" si="8"/>
        <v>0</v>
      </c>
      <c r="L70" s="78"/>
      <c r="M70" s="79"/>
      <c r="N70" s="94">
        <f t="shared" si="9"/>
        <v>0</v>
      </c>
      <c r="O70" s="78"/>
      <c r="P70" s="79"/>
      <c r="Q70" s="94">
        <f t="shared" si="10"/>
        <v>0</v>
      </c>
      <c r="R70" s="78"/>
      <c r="S70" s="79"/>
      <c r="T70" s="94">
        <f t="shared" si="11"/>
        <v>0</v>
      </c>
      <c r="U70" s="78"/>
      <c r="V70" s="79"/>
      <c r="W70" s="94">
        <f t="shared" si="12"/>
        <v>0</v>
      </c>
      <c r="X70" s="92">
        <f t="shared" si="13"/>
        <v>10</v>
      </c>
    </row>
    <row r="71" spans="4:24" ht="15.75" x14ac:dyDescent="0.25">
      <c r="D71"/>
      <c r="E71" s="71"/>
      <c r="F71" s="78"/>
      <c r="G71" s="79"/>
      <c r="H71" s="94">
        <f t="shared" si="7"/>
        <v>0</v>
      </c>
      <c r="I71" s="78"/>
      <c r="J71" s="79"/>
      <c r="K71" s="94">
        <f t="shared" si="8"/>
        <v>0</v>
      </c>
      <c r="L71" s="78"/>
      <c r="M71" s="79"/>
      <c r="N71" s="94">
        <f t="shared" si="9"/>
        <v>0</v>
      </c>
      <c r="O71" s="78"/>
      <c r="P71" s="79"/>
      <c r="Q71" s="94">
        <f t="shared" si="10"/>
        <v>0</v>
      </c>
      <c r="R71" s="78"/>
      <c r="S71" s="79"/>
      <c r="T71" s="94">
        <f t="shared" si="11"/>
        <v>0</v>
      </c>
      <c r="U71" s="78"/>
      <c r="V71" s="79"/>
      <c r="W71" s="94">
        <f t="shared" si="12"/>
        <v>0</v>
      </c>
      <c r="X71" s="92">
        <f t="shared" si="13"/>
        <v>10</v>
      </c>
    </row>
    <row r="72" spans="4:24" ht="15.75" x14ac:dyDescent="0.25">
      <c r="D72"/>
      <c r="E72" s="71"/>
      <c r="F72" s="78"/>
      <c r="G72" s="79"/>
      <c r="H72" s="94">
        <f t="shared" si="7"/>
        <v>0</v>
      </c>
      <c r="I72" s="78"/>
      <c r="J72" s="79"/>
      <c r="K72" s="94">
        <f t="shared" si="8"/>
        <v>0</v>
      </c>
      <c r="L72" s="78"/>
      <c r="M72" s="79"/>
      <c r="N72" s="94">
        <f t="shared" si="9"/>
        <v>0</v>
      </c>
      <c r="O72" s="78"/>
      <c r="P72" s="79"/>
      <c r="Q72" s="94">
        <f t="shared" si="10"/>
        <v>0</v>
      </c>
      <c r="R72" s="78"/>
      <c r="S72" s="79"/>
      <c r="T72" s="94">
        <f t="shared" si="11"/>
        <v>0</v>
      </c>
      <c r="U72" s="78"/>
      <c r="V72" s="79"/>
      <c r="W72" s="94">
        <f t="shared" si="12"/>
        <v>0</v>
      </c>
      <c r="X72" s="92">
        <f t="shared" si="13"/>
        <v>10</v>
      </c>
    </row>
    <row r="73" spans="4:24" ht="15.75" x14ac:dyDescent="0.25">
      <c r="D73"/>
      <c r="E73" s="71"/>
      <c r="F73" s="78"/>
      <c r="G73" s="79"/>
      <c r="H73" s="94">
        <f t="shared" si="7"/>
        <v>0</v>
      </c>
      <c r="I73" s="78"/>
      <c r="J73" s="79"/>
      <c r="K73" s="94">
        <f t="shared" si="8"/>
        <v>0</v>
      </c>
      <c r="L73" s="78"/>
      <c r="M73" s="79"/>
      <c r="N73" s="94">
        <f t="shared" si="9"/>
        <v>0</v>
      </c>
      <c r="O73" s="78"/>
      <c r="P73" s="79"/>
      <c r="Q73" s="94">
        <f t="shared" si="10"/>
        <v>0</v>
      </c>
      <c r="R73" s="78"/>
      <c r="S73" s="79"/>
      <c r="T73" s="94">
        <f t="shared" si="11"/>
        <v>0</v>
      </c>
      <c r="U73" s="78"/>
      <c r="V73" s="79"/>
      <c r="W73" s="94">
        <f t="shared" si="12"/>
        <v>0</v>
      </c>
      <c r="X73" s="92">
        <f t="shared" si="13"/>
        <v>10</v>
      </c>
    </row>
    <row r="74" spans="4:24" ht="15.75" x14ac:dyDescent="0.25">
      <c r="D74"/>
      <c r="E74" s="71"/>
      <c r="F74" s="78"/>
      <c r="G74" s="79"/>
      <c r="H74" s="94">
        <f t="shared" si="7"/>
        <v>0</v>
      </c>
      <c r="I74" s="78"/>
      <c r="J74" s="79"/>
      <c r="K74" s="94">
        <f t="shared" si="8"/>
        <v>0</v>
      </c>
      <c r="L74" s="78"/>
      <c r="M74" s="79"/>
      <c r="N74" s="94">
        <f t="shared" si="9"/>
        <v>0</v>
      </c>
      <c r="O74" s="78"/>
      <c r="P74" s="79"/>
      <c r="Q74" s="94">
        <f t="shared" si="10"/>
        <v>0</v>
      </c>
      <c r="R74" s="78"/>
      <c r="S74" s="79"/>
      <c r="T74" s="94">
        <f t="shared" si="11"/>
        <v>0</v>
      </c>
      <c r="U74" s="78"/>
      <c r="V74" s="79"/>
      <c r="W74" s="94">
        <f t="shared" si="12"/>
        <v>0</v>
      </c>
      <c r="X74" s="92">
        <f t="shared" si="13"/>
        <v>10</v>
      </c>
    </row>
    <row r="75" spans="4:24" ht="15.75" x14ac:dyDescent="0.25">
      <c r="D75"/>
      <c r="E75" s="71"/>
      <c r="F75" s="78"/>
      <c r="G75" s="79"/>
      <c r="H75" s="94">
        <f t="shared" si="7"/>
        <v>0</v>
      </c>
      <c r="I75" s="78"/>
      <c r="J75" s="79"/>
      <c r="K75" s="94">
        <f t="shared" si="8"/>
        <v>0</v>
      </c>
      <c r="L75" s="78"/>
      <c r="M75" s="79"/>
      <c r="N75" s="94">
        <f t="shared" si="9"/>
        <v>0</v>
      </c>
      <c r="O75" s="78"/>
      <c r="P75" s="79"/>
      <c r="Q75" s="94">
        <f t="shared" si="10"/>
        <v>0</v>
      </c>
      <c r="R75" s="78"/>
      <c r="S75" s="79"/>
      <c r="T75" s="94">
        <f t="shared" si="11"/>
        <v>0</v>
      </c>
      <c r="U75" s="78"/>
      <c r="V75" s="79"/>
      <c r="W75" s="94">
        <f t="shared" si="12"/>
        <v>0</v>
      </c>
      <c r="X75" s="92">
        <f t="shared" si="13"/>
        <v>10</v>
      </c>
    </row>
    <row r="76" spans="4:24" ht="15.75" x14ac:dyDescent="0.25">
      <c r="D76"/>
      <c r="E76" s="71"/>
      <c r="F76" s="78"/>
      <c r="G76" s="79"/>
      <c r="H76" s="94">
        <f t="shared" si="7"/>
        <v>0</v>
      </c>
      <c r="I76" s="78"/>
      <c r="J76" s="79"/>
      <c r="K76" s="94">
        <f t="shared" si="8"/>
        <v>0</v>
      </c>
      <c r="L76" s="78"/>
      <c r="M76" s="79"/>
      <c r="N76" s="94">
        <f t="shared" si="9"/>
        <v>0</v>
      </c>
      <c r="O76" s="78"/>
      <c r="P76" s="79"/>
      <c r="Q76" s="94">
        <f t="shared" si="10"/>
        <v>0</v>
      </c>
      <c r="R76" s="78"/>
      <c r="S76" s="79"/>
      <c r="T76" s="94">
        <f t="shared" si="11"/>
        <v>0</v>
      </c>
      <c r="U76" s="78"/>
      <c r="V76" s="79"/>
      <c r="W76" s="94">
        <f t="shared" si="12"/>
        <v>0</v>
      </c>
      <c r="X76" s="92">
        <f t="shared" si="13"/>
        <v>10</v>
      </c>
    </row>
    <row r="77" spans="4:24" ht="15.75" x14ac:dyDescent="0.25">
      <c r="D77"/>
      <c r="E77" s="71"/>
      <c r="F77" s="78"/>
      <c r="G77" s="79"/>
      <c r="H77" s="94">
        <f t="shared" si="7"/>
        <v>0</v>
      </c>
      <c r="I77" s="78"/>
      <c r="J77" s="79"/>
      <c r="K77" s="94">
        <f t="shared" si="8"/>
        <v>0</v>
      </c>
      <c r="L77" s="78"/>
      <c r="M77" s="79"/>
      <c r="N77" s="94">
        <f t="shared" si="9"/>
        <v>0</v>
      </c>
      <c r="O77" s="78"/>
      <c r="P77" s="79"/>
      <c r="Q77" s="94">
        <f t="shared" si="10"/>
        <v>0</v>
      </c>
      <c r="R77" s="78"/>
      <c r="S77" s="79"/>
      <c r="T77" s="94">
        <f t="shared" si="11"/>
        <v>0</v>
      </c>
      <c r="U77" s="78"/>
      <c r="V77" s="79"/>
      <c r="W77" s="94">
        <f t="shared" si="12"/>
        <v>0</v>
      </c>
      <c r="X77" s="92">
        <f t="shared" si="13"/>
        <v>10</v>
      </c>
    </row>
    <row r="78" spans="4:24" ht="15.75" x14ac:dyDescent="0.25">
      <c r="D78"/>
      <c r="E78" s="71"/>
      <c r="F78" s="78"/>
      <c r="G78" s="79"/>
      <c r="H78" s="94">
        <f t="shared" si="7"/>
        <v>0</v>
      </c>
      <c r="I78" s="78"/>
      <c r="J78" s="79"/>
      <c r="K78" s="94">
        <f t="shared" si="8"/>
        <v>0</v>
      </c>
      <c r="L78" s="78"/>
      <c r="M78" s="79"/>
      <c r="N78" s="94">
        <f t="shared" si="9"/>
        <v>0</v>
      </c>
      <c r="O78" s="78"/>
      <c r="P78" s="79"/>
      <c r="Q78" s="94">
        <f t="shared" si="10"/>
        <v>0</v>
      </c>
      <c r="R78" s="78"/>
      <c r="S78" s="79"/>
      <c r="T78" s="94">
        <f t="shared" si="11"/>
        <v>0</v>
      </c>
      <c r="U78" s="78"/>
      <c r="V78" s="79"/>
      <c r="W78" s="94">
        <f t="shared" si="12"/>
        <v>0</v>
      </c>
      <c r="X78" s="92">
        <f t="shared" si="13"/>
        <v>10</v>
      </c>
    </row>
    <row r="79" spans="4:24" ht="15.75" x14ac:dyDescent="0.25">
      <c r="D79"/>
      <c r="E79" s="71"/>
      <c r="F79" s="78"/>
      <c r="G79" s="79"/>
      <c r="H79" s="94">
        <f t="shared" si="7"/>
        <v>0</v>
      </c>
      <c r="I79" s="78"/>
      <c r="J79" s="79"/>
      <c r="K79" s="94">
        <f t="shared" si="8"/>
        <v>0</v>
      </c>
      <c r="L79" s="78"/>
      <c r="M79" s="79"/>
      <c r="N79" s="94">
        <f t="shared" si="9"/>
        <v>0</v>
      </c>
      <c r="O79" s="78"/>
      <c r="P79" s="79"/>
      <c r="Q79" s="94">
        <f t="shared" si="10"/>
        <v>0</v>
      </c>
      <c r="R79" s="78"/>
      <c r="S79" s="79"/>
      <c r="T79" s="94">
        <f t="shared" si="11"/>
        <v>0</v>
      </c>
      <c r="U79" s="78"/>
      <c r="V79" s="79"/>
      <c r="W79" s="94">
        <f t="shared" si="12"/>
        <v>0</v>
      </c>
      <c r="X79" s="92">
        <f t="shared" si="13"/>
        <v>10</v>
      </c>
    </row>
    <row r="80" spans="4:24" ht="15.75" x14ac:dyDescent="0.25">
      <c r="D80"/>
      <c r="E80" s="71"/>
      <c r="F80" s="78"/>
      <c r="G80" s="79"/>
      <c r="H80" s="94">
        <f t="shared" si="7"/>
        <v>0</v>
      </c>
      <c r="I80" s="78"/>
      <c r="J80" s="79"/>
      <c r="K80" s="94">
        <f t="shared" si="8"/>
        <v>0</v>
      </c>
      <c r="L80" s="78"/>
      <c r="M80" s="79"/>
      <c r="N80" s="94">
        <f t="shared" si="9"/>
        <v>0</v>
      </c>
      <c r="O80" s="78"/>
      <c r="P80" s="79"/>
      <c r="Q80" s="94">
        <f t="shared" si="10"/>
        <v>0</v>
      </c>
      <c r="R80" s="78"/>
      <c r="S80" s="79"/>
      <c r="T80" s="94">
        <f t="shared" si="11"/>
        <v>0</v>
      </c>
      <c r="U80" s="78"/>
      <c r="V80" s="79"/>
      <c r="W80" s="94">
        <f t="shared" si="12"/>
        <v>0</v>
      </c>
      <c r="X80" s="92">
        <f t="shared" si="13"/>
        <v>10</v>
      </c>
    </row>
    <row r="81" spans="4:24" ht="15.75" x14ac:dyDescent="0.25">
      <c r="D81"/>
      <c r="E81" s="71"/>
      <c r="F81" s="78"/>
      <c r="G81" s="79"/>
      <c r="H81" s="94">
        <f t="shared" si="7"/>
        <v>0</v>
      </c>
      <c r="I81" s="78"/>
      <c r="J81" s="79"/>
      <c r="K81" s="94">
        <f t="shared" si="8"/>
        <v>0</v>
      </c>
      <c r="L81" s="78"/>
      <c r="M81" s="79"/>
      <c r="N81" s="94">
        <f t="shared" si="9"/>
        <v>0</v>
      </c>
      <c r="O81" s="78"/>
      <c r="P81" s="79"/>
      <c r="Q81" s="94">
        <f t="shared" si="10"/>
        <v>0</v>
      </c>
      <c r="R81" s="78"/>
      <c r="S81" s="79"/>
      <c r="T81" s="94">
        <f t="shared" si="11"/>
        <v>0</v>
      </c>
      <c r="U81" s="78"/>
      <c r="V81" s="79"/>
      <c r="W81" s="94">
        <f t="shared" si="12"/>
        <v>0</v>
      </c>
      <c r="X81" s="92">
        <f t="shared" si="13"/>
        <v>10</v>
      </c>
    </row>
    <row r="82" spans="4:24" ht="15.75" x14ac:dyDescent="0.25">
      <c r="D82"/>
      <c r="E82" s="71"/>
      <c r="F82" s="78"/>
      <c r="G82" s="79"/>
      <c r="H82" s="94">
        <f t="shared" si="7"/>
        <v>0</v>
      </c>
      <c r="I82" s="78"/>
      <c r="J82" s="79"/>
      <c r="K82" s="94">
        <f t="shared" si="8"/>
        <v>0</v>
      </c>
      <c r="L82" s="78"/>
      <c r="M82" s="79"/>
      <c r="N82" s="94">
        <f t="shared" si="9"/>
        <v>0</v>
      </c>
      <c r="O82" s="78"/>
      <c r="P82" s="79"/>
      <c r="Q82" s="94">
        <f t="shared" si="10"/>
        <v>0</v>
      </c>
      <c r="R82" s="78"/>
      <c r="S82" s="79"/>
      <c r="T82" s="94">
        <f t="shared" si="11"/>
        <v>0</v>
      </c>
      <c r="U82" s="78"/>
      <c r="V82" s="79"/>
      <c r="W82" s="94">
        <f t="shared" si="12"/>
        <v>0</v>
      </c>
      <c r="X82" s="92">
        <f t="shared" si="13"/>
        <v>10</v>
      </c>
    </row>
    <row r="83" spans="4:24" ht="15.75" x14ac:dyDescent="0.25">
      <c r="D83"/>
      <c r="E83" s="71"/>
      <c r="F83" s="78"/>
      <c r="G83" s="79"/>
      <c r="H83" s="94">
        <f t="shared" si="7"/>
        <v>0</v>
      </c>
      <c r="I83" s="78"/>
      <c r="J83" s="79"/>
      <c r="K83" s="94">
        <f t="shared" si="8"/>
        <v>0</v>
      </c>
      <c r="L83" s="78"/>
      <c r="M83" s="79"/>
      <c r="N83" s="94">
        <f t="shared" si="9"/>
        <v>0</v>
      </c>
      <c r="O83" s="78"/>
      <c r="P83" s="79"/>
      <c r="Q83" s="94">
        <f t="shared" si="10"/>
        <v>0</v>
      </c>
      <c r="R83" s="78"/>
      <c r="S83" s="79"/>
      <c r="T83" s="94">
        <f t="shared" si="11"/>
        <v>0</v>
      </c>
      <c r="U83" s="78"/>
      <c r="V83" s="79"/>
      <c r="W83" s="94">
        <f t="shared" si="12"/>
        <v>0</v>
      </c>
      <c r="X83" s="92">
        <f t="shared" si="13"/>
        <v>10</v>
      </c>
    </row>
    <row r="84" spans="4:24" ht="15.75" x14ac:dyDescent="0.25">
      <c r="D84"/>
      <c r="E84" s="71"/>
      <c r="F84" s="78"/>
      <c r="G84" s="79"/>
      <c r="H84" s="94">
        <f t="shared" si="7"/>
        <v>0</v>
      </c>
      <c r="I84" s="78"/>
      <c r="J84" s="79"/>
      <c r="K84" s="94">
        <f t="shared" si="8"/>
        <v>0</v>
      </c>
      <c r="L84" s="78"/>
      <c r="M84" s="79"/>
      <c r="N84" s="94">
        <f t="shared" si="9"/>
        <v>0</v>
      </c>
      <c r="O84" s="78"/>
      <c r="P84" s="79"/>
      <c r="Q84" s="94">
        <f t="shared" si="10"/>
        <v>0</v>
      </c>
      <c r="R84" s="78"/>
      <c r="S84" s="79"/>
      <c r="T84" s="94">
        <f t="shared" si="11"/>
        <v>0</v>
      </c>
      <c r="U84" s="78"/>
      <c r="V84" s="79"/>
      <c r="W84" s="94">
        <f t="shared" si="12"/>
        <v>0</v>
      </c>
      <c r="X84" s="92">
        <f t="shared" si="13"/>
        <v>10</v>
      </c>
    </row>
    <row r="85" spans="4:24" ht="15.75" x14ac:dyDescent="0.25">
      <c r="D85"/>
      <c r="E85" s="71"/>
      <c r="F85" s="78"/>
      <c r="G85" s="79"/>
      <c r="H85" s="94">
        <f t="shared" si="7"/>
        <v>0</v>
      </c>
      <c r="I85" s="78"/>
      <c r="J85" s="79"/>
      <c r="K85" s="94">
        <f t="shared" si="8"/>
        <v>0</v>
      </c>
      <c r="L85" s="78"/>
      <c r="M85" s="79"/>
      <c r="N85" s="94">
        <f t="shared" si="9"/>
        <v>0</v>
      </c>
      <c r="O85" s="78"/>
      <c r="P85" s="79"/>
      <c r="Q85" s="94">
        <f t="shared" si="10"/>
        <v>0</v>
      </c>
      <c r="R85" s="78"/>
      <c r="S85" s="79"/>
      <c r="T85" s="94">
        <f t="shared" si="11"/>
        <v>0</v>
      </c>
      <c r="U85" s="78"/>
      <c r="V85" s="79"/>
      <c r="W85" s="94">
        <f t="shared" si="12"/>
        <v>0</v>
      </c>
      <c r="X85" s="92">
        <f t="shared" si="13"/>
        <v>10</v>
      </c>
    </row>
    <row r="86" spans="4:24" ht="15.75" x14ac:dyDescent="0.25">
      <c r="D86"/>
      <c r="E86" s="71"/>
      <c r="F86" s="78"/>
      <c r="G86" s="79"/>
      <c r="H86" s="94">
        <f t="shared" si="7"/>
        <v>0</v>
      </c>
      <c r="I86" s="78"/>
      <c r="J86" s="79"/>
      <c r="K86" s="94">
        <f t="shared" si="8"/>
        <v>0</v>
      </c>
      <c r="L86" s="78"/>
      <c r="M86" s="79"/>
      <c r="N86" s="94">
        <f t="shared" si="9"/>
        <v>0</v>
      </c>
      <c r="O86" s="78"/>
      <c r="P86" s="79"/>
      <c r="Q86" s="94">
        <f t="shared" si="10"/>
        <v>0</v>
      </c>
      <c r="R86" s="78"/>
      <c r="S86" s="79"/>
      <c r="T86" s="94">
        <f t="shared" si="11"/>
        <v>0</v>
      </c>
      <c r="U86" s="78"/>
      <c r="V86" s="79"/>
      <c r="W86" s="94">
        <f t="shared" si="12"/>
        <v>0</v>
      </c>
      <c r="X86" s="92">
        <f t="shared" si="13"/>
        <v>10</v>
      </c>
    </row>
    <row r="87" spans="4:24" ht="15.75" x14ac:dyDescent="0.25">
      <c r="D87"/>
      <c r="E87" s="71"/>
      <c r="F87" s="78"/>
      <c r="G87" s="79"/>
      <c r="H87" s="94">
        <f t="shared" si="7"/>
        <v>0</v>
      </c>
      <c r="I87" s="78"/>
      <c r="J87" s="79"/>
      <c r="K87" s="94">
        <f t="shared" si="8"/>
        <v>0</v>
      </c>
      <c r="L87" s="78"/>
      <c r="M87" s="79"/>
      <c r="N87" s="94">
        <f t="shared" si="9"/>
        <v>0</v>
      </c>
      <c r="O87" s="78"/>
      <c r="P87" s="79"/>
      <c r="Q87" s="94">
        <f t="shared" si="10"/>
        <v>0</v>
      </c>
      <c r="R87" s="78"/>
      <c r="S87" s="79"/>
      <c r="T87" s="94">
        <f t="shared" si="11"/>
        <v>0</v>
      </c>
      <c r="U87" s="78"/>
      <c r="V87" s="79"/>
      <c r="W87" s="94">
        <f t="shared" si="12"/>
        <v>0</v>
      </c>
      <c r="X87" s="92">
        <f t="shared" si="13"/>
        <v>10</v>
      </c>
    </row>
    <row r="88" spans="4:24" ht="15.75" x14ac:dyDescent="0.25">
      <c r="D88"/>
      <c r="E88" s="71"/>
      <c r="F88" s="78"/>
      <c r="G88" s="79"/>
      <c r="H88" s="94">
        <f t="shared" si="7"/>
        <v>0</v>
      </c>
      <c r="I88" s="78"/>
      <c r="J88" s="79"/>
      <c r="K88" s="94">
        <f t="shared" si="8"/>
        <v>0</v>
      </c>
      <c r="L88" s="78"/>
      <c r="M88" s="79"/>
      <c r="N88" s="94">
        <f t="shared" si="9"/>
        <v>0</v>
      </c>
      <c r="O88" s="78"/>
      <c r="P88" s="79"/>
      <c r="Q88" s="94">
        <f t="shared" si="10"/>
        <v>0</v>
      </c>
      <c r="R88" s="78"/>
      <c r="S88" s="79"/>
      <c r="T88" s="94">
        <f t="shared" si="11"/>
        <v>0</v>
      </c>
      <c r="U88" s="78"/>
      <c r="V88" s="79"/>
      <c r="W88" s="94">
        <f t="shared" si="12"/>
        <v>0</v>
      </c>
      <c r="X88" s="92">
        <f t="shared" si="13"/>
        <v>10</v>
      </c>
    </row>
    <row r="89" spans="4:24" ht="15.75" x14ac:dyDescent="0.25">
      <c r="D89"/>
      <c r="E89" s="71"/>
      <c r="F89" s="78"/>
      <c r="G89" s="79"/>
      <c r="H89" s="94">
        <f t="shared" si="7"/>
        <v>0</v>
      </c>
      <c r="I89" s="78"/>
      <c r="J89" s="79"/>
      <c r="K89" s="94">
        <f t="shared" si="8"/>
        <v>0</v>
      </c>
      <c r="L89" s="78"/>
      <c r="M89" s="79"/>
      <c r="N89" s="94">
        <f t="shared" si="9"/>
        <v>0</v>
      </c>
      <c r="O89" s="78"/>
      <c r="P89" s="79"/>
      <c r="Q89" s="94">
        <f t="shared" si="10"/>
        <v>0</v>
      </c>
      <c r="R89" s="78"/>
      <c r="S89" s="79"/>
      <c r="T89" s="94">
        <f t="shared" si="11"/>
        <v>0</v>
      </c>
      <c r="U89" s="78"/>
      <c r="V89" s="79"/>
      <c r="W89" s="94">
        <f t="shared" si="12"/>
        <v>0</v>
      </c>
      <c r="X89" s="92">
        <f t="shared" si="13"/>
        <v>10</v>
      </c>
    </row>
    <row r="90" spans="4:24" ht="15.75" x14ac:dyDescent="0.25">
      <c r="D90"/>
      <c r="E90" s="71"/>
      <c r="F90" s="78"/>
      <c r="G90" s="79"/>
      <c r="H90" s="94">
        <f t="shared" si="7"/>
        <v>0</v>
      </c>
      <c r="I90" s="78"/>
      <c r="J90" s="79"/>
      <c r="K90" s="94">
        <f t="shared" si="8"/>
        <v>0</v>
      </c>
      <c r="L90" s="78"/>
      <c r="M90" s="79"/>
      <c r="N90" s="94">
        <f t="shared" si="9"/>
        <v>0</v>
      </c>
      <c r="O90" s="78"/>
      <c r="P90" s="79"/>
      <c r="Q90" s="94">
        <f t="shared" si="10"/>
        <v>0</v>
      </c>
      <c r="R90" s="78"/>
      <c r="S90" s="79"/>
      <c r="T90" s="94">
        <f t="shared" si="11"/>
        <v>0</v>
      </c>
      <c r="U90" s="78"/>
      <c r="V90" s="79"/>
      <c r="W90" s="94">
        <f t="shared" si="12"/>
        <v>0</v>
      </c>
      <c r="X90" s="92">
        <f t="shared" si="13"/>
        <v>10</v>
      </c>
    </row>
    <row r="91" spans="4:24" ht="15.75" x14ac:dyDescent="0.25">
      <c r="E91" s="92" t="s">
        <v>63</v>
      </c>
      <c r="F91" s="93"/>
      <c r="G91" s="94"/>
      <c r="H91" s="95">
        <f>SUM(H51:H90)</f>
        <v>0</v>
      </c>
      <c r="I91" s="93"/>
      <c r="J91" s="94"/>
      <c r="K91" s="95">
        <f>SUM(K51:K90)</f>
        <v>0</v>
      </c>
      <c r="L91" s="93"/>
      <c r="M91" s="94"/>
      <c r="N91" s="95">
        <f>SUM(N51:N90)</f>
        <v>0</v>
      </c>
      <c r="O91" s="93"/>
      <c r="P91" s="94"/>
      <c r="Q91" s="95">
        <f>SUM(Q51:Q90)</f>
        <v>0</v>
      </c>
      <c r="R91" s="93"/>
      <c r="S91" s="94"/>
      <c r="T91" s="95">
        <f>SUM(T51:T90)</f>
        <v>0</v>
      </c>
      <c r="U91" s="93"/>
      <c r="V91" s="94"/>
      <c r="W91" s="95">
        <f>SUM(W51:W90)</f>
        <v>0</v>
      </c>
      <c r="X91" s="92"/>
    </row>
    <row r="93" spans="4:24" ht="15.75" x14ac:dyDescent="0.25">
      <c r="E93" s="97" t="s">
        <v>294</v>
      </c>
      <c r="F93" s="129" t="s">
        <v>382</v>
      </c>
      <c r="G93" s="129" t="s">
        <v>383</v>
      </c>
      <c r="H93" s="129" t="s">
        <v>384</v>
      </c>
      <c r="I93" s="129" t="s">
        <v>382</v>
      </c>
      <c r="J93" s="129" t="s">
        <v>383</v>
      </c>
      <c r="K93" s="129" t="s">
        <v>384</v>
      </c>
      <c r="L93" s="129" t="s">
        <v>382</v>
      </c>
      <c r="M93" s="129" t="s">
        <v>383</v>
      </c>
      <c r="N93" s="129" t="s">
        <v>384</v>
      </c>
      <c r="O93" s="129" t="s">
        <v>382</v>
      </c>
      <c r="P93" s="129" t="s">
        <v>383</v>
      </c>
      <c r="Q93" s="129" t="s">
        <v>384</v>
      </c>
      <c r="R93" s="129" t="s">
        <v>382</v>
      </c>
      <c r="S93" s="129" t="s">
        <v>383</v>
      </c>
      <c r="T93" s="129" t="s">
        <v>384</v>
      </c>
      <c r="U93" s="129" t="s">
        <v>382</v>
      </c>
      <c r="V93" s="129" t="s">
        <v>383</v>
      </c>
      <c r="W93" s="98" t="s">
        <v>384</v>
      </c>
      <c r="X93" s="90" t="s">
        <v>387</v>
      </c>
    </row>
    <row r="94" spans="4:24" ht="15.75" x14ac:dyDescent="0.25">
      <c r="E94" s="71"/>
      <c r="F94" s="78"/>
      <c r="G94" s="79"/>
      <c r="H94" s="94">
        <f t="shared" ref="H94:H125" si="14">F94*G94</f>
        <v>0</v>
      </c>
      <c r="I94" s="78"/>
      <c r="J94" s="79"/>
      <c r="K94" s="94">
        <f t="shared" ref="K94:K125" si="15">I94*J94</f>
        <v>0</v>
      </c>
      <c r="L94" s="78"/>
      <c r="M94" s="79"/>
      <c r="N94" s="94">
        <f t="shared" ref="N94:N125" si="16">L94*M94</f>
        <v>0</v>
      </c>
      <c r="O94" s="78"/>
      <c r="P94" s="79"/>
      <c r="Q94" s="94">
        <f t="shared" ref="Q94:Q125" si="17">O94*P94</f>
        <v>0</v>
      </c>
      <c r="R94" s="78"/>
      <c r="S94" s="79"/>
      <c r="T94" s="94">
        <f t="shared" ref="T94:T125" si="18">R94*S94</f>
        <v>0</v>
      </c>
      <c r="U94" s="78"/>
      <c r="V94" s="79"/>
      <c r="W94" s="94">
        <f t="shared" ref="W94:W125" si="19">U94*V94</f>
        <v>0</v>
      </c>
      <c r="X94" s="92">
        <f>BASES!G30</f>
        <v>5</v>
      </c>
    </row>
    <row r="95" spans="4:24" ht="15.75" x14ac:dyDescent="0.25">
      <c r="E95" s="71"/>
      <c r="F95" s="78"/>
      <c r="G95" s="79"/>
      <c r="H95" s="94">
        <f t="shared" si="14"/>
        <v>0</v>
      </c>
      <c r="I95" s="78"/>
      <c r="J95" s="79"/>
      <c r="K95" s="94">
        <f t="shared" si="15"/>
        <v>0</v>
      </c>
      <c r="L95" s="78"/>
      <c r="M95" s="79"/>
      <c r="N95" s="94">
        <f t="shared" si="16"/>
        <v>0</v>
      </c>
      <c r="O95" s="78"/>
      <c r="P95" s="79"/>
      <c r="Q95" s="94">
        <f t="shared" si="17"/>
        <v>0</v>
      </c>
      <c r="R95" s="78"/>
      <c r="S95" s="79"/>
      <c r="T95" s="94">
        <f t="shared" si="18"/>
        <v>0</v>
      </c>
      <c r="U95" s="78"/>
      <c r="V95" s="79"/>
      <c r="W95" s="94">
        <f t="shared" si="19"/>
        <v>0</v>
      </c>
      <c r="X95" s="92">
        <f t="shared" ref="X95:X126" si="20">X94</f>
        <v>5</v>
      </c>
    </row>
    <row r="96" spans="4:24" ht="15.75" x14ac:dyDescent="0.25">
      <c r="E96" s="71"/>
      <c r="F96" s="78"/>
      <c r="G96" s="79"/>
      <c r="H96" s="94">
        <f t="shared" si="14"/>
        <v>0</v>
      </c>
      <c r="I96" s="78"/>
      <c r="J96" s="79"/>
      <c r="K96" s="94">
        <f t="shared" si="15"/>
        <v>0</v>
      </c>
      <c r="L96" s="78"/>
      <c r="M96" s="79"/>
      <c r="N96" s="94">
        <f t="shared" si="16"/>
        <v>0</v>
      </c>
      <c r="O96" s="78"/>
      <c r="P96" s="79"/>
      <c r="Q96" s="94">
        <f t="shared" si="17"/>
        <v>0</v>
      </c>
      <c r="R96" s="78"/>
      <c r="S96" s="79"/>
      <c r="T96" s="94">
        <f t="shared" si="18"/>
        <v>0</v>
      </c>
      <c r="U96" s="78"/>
      <c r="V96" s="79"/>
      <c r="W96" s="94">
        <f t="shared" si="19"/>
        <v>0</v>
      </c>
      <c r="X96" s="92">
        <f t="shared" si="20"/>
        <v>5</v>
      </c>
    </row>
    <row r="97" spans="5:24" ht="15.75" x14ac:dyDescent="0.25">
      <c r="E97" s="71"/>
      <c r="F97" s="78"/>
      <c r="G97" s="79"/>
      <c r="H97" s="94">
        <f t="shared" si="14"/>
        <v>0</v>
      </c>
      <c r="I97" s="78"/>
      <c r="J97" s="79"/>
      <c r="K97" s="94">
        <f t="shared" si="15"/>
        <v>0</v>
      </c>
      <c r="L97" s="78"/>
      <c r="M97" s="79"/>
      <c r="N97" s="94">
        <f t="shared" si="16"/>
        <v>0</v>
      </c>
      <c r="O97" s="78"/>
      <c r="P97" s="79"/>
      <c r="Q97" s="94">
        <f t="shared" si="17"/>
        <v>0</v>
      </c>
      <c r="R97" s="78"/>
      <c r="S97" s="79"/>
      <c r="T97" s="94">
        <f t="shared" si="18"/>
        <v>0</v>
      </c>
      <c r="U97" s="78"/>
      <c r="V97" s="79"/>
      <c r="W97" s="94">
        <f t="shared" si="19"/>
        <v>0</v>
      </c>
      <c r="X97" s="92">
        <f t="shared" si="20"/>
        <v>5</v>
      </c>
    </row>
    <row r="98" spans="5:24" ht="15.75" x14ac:dyDescent="0.25">
      <c r="E98" s="71"/>
      <c r="F98" s="78"/>
      <c r="G98" s="79"/>
      <c r="H98" s="94">
        <f t="shared" si="14"/>
        <v>0</v>
      </c>
      <c r="I98" s="78"/>
      <c r="J98" s="79"/>
      <c r="K98" s="94">
        <f t="shared" si="15"/>
        <v>0</v>
      </c>
      <c r="L98" s="78"/>
      <c r="M98" s="79"/>
      <c r="N98" s="94">
        <f t="shared" si="16"/>
        <v>0</v>
      </c>
      <c r="O98" s="78"/>
      <c r="P98" s="79"/>
      <c r="Q98" s="94">
        <f t="shared" si="17"/>
        <v>0</v>
      </c>
      <c r="R98" s="78"/>
      <c r="S98" s="79"/>
      <c r="T98" s="94">
        <f t="shared" si="18"/>
        <v>0</v>
      </c>
      <c r="U98" s="78"/>
      <c r="V98" s="79"/>
      <c r="W98" s="94">
        <f t="shared" si="19"/>
        <v>0</v>
      </c>
      <c r="X98" s="92">
        <f t="shared" si="20"/>
        <v>5</v>
      </c>
    </row>
    <row r="99" spans="5:24" ht="15.75" x14ac:dyDescent="0.25">
      <c r="E99" s="71"/>
      <c r="F99" s="78"/>
      <c r="G99" s="79"/>
      <c r="H99" s="94">
        <f t="shared" si="14"/>
        <v>0</v>
      </c>
      <c r="I99" s="78"/>
      <c r="J99" s="79"/>
      <c r="K99" s="94">
        <f t="shared" si="15"/>
        <v>0</v>
      </c>
      <c r="L99" s="78"/>
      <c r="M99" s="79"/>
      <c r="N99" s="94">
        <f t="shared" si="16"/>
        <v>0</v>
      </c>
      <c r="O99" s="78"/>
      <c r="P99" s="79"/>
      <c r="Q99" s="94">
        <f t="shared" si="17"/>
        <v>0</v>
      </c>
      <c r="R99" s="78"/>
      <c r="S99" s="79"/>
      <c r="T99" s="94">
        <f t="shared" si="18"/>
        <v>0</v>
      </c>
      <c r="U99" s="78"/>
      <c r="V99" s="79"/>
      <c r="W99" s="94">
        <f t="shared" si="19"/>
        <v>0</v>
      </c>
      <c r="X99" s="92">
        <f t="shared" si="20"/>
        <v>5</v>
      </c>
    </row>
    <row r="100" spans="5:24" ht="15.75" x14ac:dyDescent="0.25">
      <c r="E100" s="71"/>
      <c r="F100" s="78"/>
      <c r="G100" s="79"/>
      <c r="H100" s="94">
        <f t="shared" si="14"/>
        <v>0</v>
      </c>
      <c r="I100" s="78"/>
      <c r="J100" s="79"/>
      <c r="K100" s="94">
        <f t="shared" si="15"/>
        <v>0</v>
      </c>
      <c r="L100" s="78"/>
      <c r="M100" s="79"/>
      <c r="N100" s="94">
        <f t="shared" si="16"/>
        <v>0</v>
      </c>
      <c r="O100" s="78"/>
      <c r="P100" s="79"/>
      <c r="Q100" s="94">
        <f t="shared" si="17"/>
        <v>0</v>
      </c>
      <c r="R100" s="78"/>
      <c r="S100" s="79"/>
      <c r="T100" s="94">
        <f t="shared" si="18"/>
        <v>0</v>
      </c>
      <c r="U100" s="78"/>
      <c r="V100" s="79"/>
      <c r="W100" s="94">
        <f t="shared" si="19"/>
        <v>0</v>
      </c>
      <c r="X100" s="92">
        <f t="shared" si="20"/>
        <v>5</v>
      </c>
    </row>
    <row r="101" spans="5:24" ht="15.75" x14ac:dyDescent="0.25">
      <c r="E101" s="71"/>
      <c r="F101" s="78"/>
      <c r="G101" s="79"/>
      <c r="H101" s="94">
        <f t="shared" si="14"/>
        <v>0</v>
      </c>
      <c r="I101" s="78"/>
      <c r="J101" s="79"/>
      <c r="K101" s="94">
        <f t="shared" si="15"/>
        <v>0</v>
      </c>
      <c r="L101" s="78"/>
      <c r="M101" s="79"/>
      <c r="N101" s="94">
        <f t="shared" si="16"/>
        <v>0</v>
      </c>
      <c r="O101" s="78"/>
      <c r="P101" s="79"/>
      <c r="Q101" s="94">
        <f t="shared" si="17"/>
        <v>0</v>
      </c>
      <c r="R101" s="78"/>
      <c r="S101" s="79"/>
      <c r="T101" s="94">
        <f t="shared" si="18"/>
        <v>0</v>
      </c>
      <c r="U101" s="78"/>
      <c r="V101" s="79"/>
      <c r="W101" s="94">
        <f t="shared" si="19"/>
        <v>0</v>
      </c>
      <c r="X101" s="92">
        <f t="shared" si="20"/>
        <v>5</v>
      </c>
    </row>
    <row r="102" spans="5:24" ht="15.75" x14ac:dyDescent="0.25">
      <c r="E102" s="71"/>
      <c r="F102" s="78"/>
      <c r="G102" s="79"/>
      <c r="H102" s="94">
        <f t="shared" si="14"/>
        <v>0</v>
      </c>
      <c r="I102" s="78"/>
      <c r="J102" s="79"/>
      <c r="K102" s="94">
        <f t="shared" si="15"/>
        <v>0</v>
      </c>
      <c r="L102" s="78"/>
      <c r="M102" s="79"/>
      <c r="N102" s="94">
        <f t="shared" si="16"/>
        <v>0</v>
      </c>
      <c r="O102" s="78"/>
      <c r="P102" s="79"/>
      <c r="Q102" s="94">
        <f t="shared" si="17"/>
        <v>0</v>
      </c>
      <c r="R102" s="78"/>
      <c r="S102" s="79"/>
      <c r="T102" s="94">
        <f t="shared" si="18"/>
        <v>0</v>
      </c>
      <c r="U102" s="78"/>
      <c r="V102" s="79"/>
      <c r="W102" s="94">
        <f t="shared" si="19"/>
        <v>0</v>
      </c>
      <c r="X102" s="92">
        <f t="shared" si="20"/>
        <v>5</v>
      </c>
    </row>
    <row r="103" spans="5:24" ht="15.75" x14ac:dyDescent="0.25">
      <c r="E103" s="71"/>
      <c r="F103" s="78"/>
      <c r="G103" s="79"/>
      <c r="H103" s="94">
        <f t="shared" si="14"/>
        <v>0</v>
      </c>
      <c r="I103" s="78"/>
      <c r="J103" s="79"/>
      <c r="K103" s="94">
        <f t="shared" si="15"/>
        <v>0</v>
      </c>
      <c r="L103" s="78"/>
      <c r="M103" s="79"/>
      <c r="N103" s="94">
        <f t="shared" si="16"/>
        <v>0</v>
      </c>
      <c r="O103" s="78"/>
      <c r="P103" s="79"/>
      <c r="Q103" s="94">
        <f t="shared" si="17"/>
        <v>0</v>
      </c>
      <c r="R103" s="78"/>
      <c r="S103" s="79"/>
      <c r="T103" s="94">
        <f t="shared" si="18"/>
        <v>0</v>
      </c>
      <c r="U103" s="78"/>
      <c r="V103" s="79"/>
      <c r="W103" s="94">
        <f t="shared" si="19"/>
        <v>0</v>
      </c>
      <c r="X103" s="92">
        <f t="shared" si="20"/>
        <v>5</v>
      </c>
    </row>
    <row r="104" spans="5:24" ht="15.75" x14ac:dyDescent="0.25">
      <c r="E104" s="71"/>
      <c r="F104" s="78"/>
      <c r="G104" s="79"/>
      <c r="H104" s="94">
        <f t="shared" si="14"/>
        <v>0</v>
      </c>
      <c r="I104" s="78"/>
      <c r="J104" s="79"/>
      <c r="K104" s="94">
        <f t="shared" si="15"/>
        <v>0</v>
      </c>
      <c r="L104" s="78"/>
      <c r="M104" s="79"/>
      <c r="N104" s="94">
        <f t="shared" si="16"/>
        <v>0</v>
      </c>
      <c r="O104" s="78"/>
      <c r="P104" s="79"/>
      <c r="Q104" s="94">
        <f t="shared" si="17"/>
        <v>0</v>
      </c>
      <c r="R104" s="78"/>
      <c r="S104" s="79"/>
      <c r="T104" s="94">
        <f t="shared" si="18"/>
        <v>0</v>
      </c>
      <c r="U104" s="78"/>
      <c r="V104" s="79"/>
      <c r="W104" s="94">
        <f t="shared" si="19"/>
        <v>0</v>
      </c>
      <c r="X104" s="92">
        <f t="shared" si="20"/>
        <v>5</v>
      </c>
    </row>
    <row r="105" spans="5:24" ht="15.75" x14ac:dyDescent="0.25">
      <c r="E105" s="71"/>
      <c r="F105" s="78"/>
      <c r="G105" s="79"/>
      <c r="H105" s="94">
        <f t="shared" si="14"/>
        <v>0</v>
      </c>
      <c r="I105" s="78"/>
      <c r="J105" s="79"/>
      <c r="K105" s="94">
        <f t="shared" si="15"/>
        <v>0</v>
      </c>
      <c r="L105" s="78"/>
      <c r="M105" s="79"/>
      <c r="N105" s="94">
        <f t="shared" si="16"/>
        <v>0</v>
      </c>
      <c r="O105" s="78"/>
      <c r="P105" s="79"/>
      <c r="Q105" s="94">
        <f t="shared" si="17"/>
        <v>0</v>
      </c>
      <c r="R105" s="78"/>
      <c r="S105" s="79"/>
      <c r="T105" s="94">
        <f t="shared" si="18"/>
        <v>0</v>
      </c>
      <c r="U105" s="78"/>
      <c r="V105" s="79"/>
      <c r="W105" s="94">
        <f t="shared" si="19"/>
        <v>0</v>
      </c>
      <c r="X105" s="92">
        <f t="shared" si="20"/>
        <v>5</v>
      </c>
    </row>
    <row r="106" spans="5:24" ht="15.75" x14ac:dyDescent="0.25">
      <c r="E106" s="71"/>
      <c r="F106" s="78"/>
      <c r="G106" s="79"/>
      <c r="H106" s="94">
        <f t="shared" si="14"/>
        <v>0</v>
      </c>
      <c r="I106" s="78"/>
      <c r="J106" s="79"/>
      <c r="K106" s="94">
        <f t="shared" si="15"/>
        <v>0</v>
      </c>
      <c r="L106" s="78"/>
      <c r="M106" s="79"/>
      <c r="N106" s="94">
        <f t="shared" si="16"/>
        <v>0</v>
      </c>
      <c r="O106" s="78"/>
      <c r="P106" s="79"/>
      <c r="Q106" s="94">
        <f t="shared" si="17"/>
        <v>0</v>
      </c>
      <c r="R106" s="78"/>
      <c r="S106" s="79"/>
      <c r="T106" s="94">
        <f t="shared" si="18"/>
        <v>0</v>
      </c>
      <c r="U106" s="78"/>
      <c r="V106" s="79"/>
      <c r="W106" s="94">
        <f t="shared" si="19"/>
        <v>0</v>
      </c>
      <c r="X106" s="92">
        <f t="shared" si="20"/>
        <v>5</v>
      </c>
    </row>
    <row r="107" spans="5:24" ht="15.75" x14ac:dyDescent="0.25">
      <c r="E107" s="71"/>
      <c r="F107" s="78"/>
      <c r="G107" s="79"/>
      <c r="H107" s="94">
        <f t="shared" si="14"/>
        <v>0</v>
      </c>
      <c r="I107" s="78"/>
      <c r="J107" s="79"/>
      <c r="K107" s="94">
        <f t="shared" si="15"/>
        <v>0</v>
      </c>
      <c r="L107" s="78"/>
      <c r="M107" s="79"/>
      <c r="N107" s="94">
        <f t="shared" si="16"/>
        <v>0</v>
      </c>
      <c r="O107" s="78"/>
      <c r="P107" s="79"/>
      <c r="Q107" s="94">
        <f t="shared" si="17"/>
        <v>0</v>
      </c>
      <c r="R107" s="78"/>
      <c r="S107" s="79"/>
      <c r="T107" s="94">
        <f t="shared" si="18"/>
        <v>0</v>
      </c>
      <c r="U107" s="78"/>
      <c r="V107" s="79"/>
      <c r="W107" s="94">
        <f t="shared" si="19"/>
        <v>0</v>
      </c>
      <c r="X107" s="92">
        <f t="shared" si="20"/>
        <v>5</v>
      </c>
    </row>
    <row r="108" spans="5:24" ht="15.75" x14ac:dyDescent="0.25">
      <c r="E108" s="71"/>
      <c r="F108" s="78"/>
      <c r="G108" s="79"/>
      <c r="H108" s="94">
        <f t="shared" si="14"/>
        <v>0</v>
      </c>
      <c r="I108" s="78"/>
      <c r="J108" s="79"/>
      <c r="K108" s="94">
        <f t="shared" si="15"/>
        <v>0</v>
      </c>
      <c r="L108" s="78"/>
      <c r="M108" s="79"/>
      <c r="N108" s="94">
        <f t="shared" si="16"/>
        <v>0</v>
      </c>
      <c r="O108" s="78"/>
      <c r="P108" s="79"/>
      <c r="Q108" s="94">
        <f t="shared" si="17"/>
        <v>0</v>
      </c>
      <c r="R108" s="78"/>
      <c r="S108" s="79"/>
      <c r="T108" s="94">
        <f t="shared" si="18"/>
        <v>0</v>
      </c>
      <c r="U108" s="78"/>
      <c r="V108" s="79"/>
      <c r="W108" s="94">
        <f t="shared" si="19"/>
        <v>0</v>
      </c>
      <c r="X108" s="92">
        <f t="shared" si="20"/>
        <v>5</v>
      </c>
    </row>
    <row r="109" spans="5:24" ht="15.75" x14ac:dyDescent="0.25">
      <c r="E109" s="71"/>
      <c r="F109" s="78"/>
      <c r="G109" s="79"/>
      <c r="H109" s="94">
        <f t="shared" si="14"/>
        <v>0</v>
      </c>
      <c r="I109" s="78"/>
      <c r="J109" s="79"/>
      <c r="K109" s="94">
        <f t="shared" si="15"/>
        <v>0</v>
      </c>
      <c r="L109" s="78"/>
      <c r="M109" s="79"/>
      <c r="N109" s="94">
        <f t="shared" si="16"/>
        <v>0</v>
      </c>
      <c r="O109" s="78"/>
      <c r="P109" s="79"/>
      <c r="Q109" s="94">
        <f t="shared" si="17"/>
        <v>0</v>
      </c>
      <c r="R109" s="78"/>
      <c r="S109" s="79"/>
      <c r="T109" s="94">
        <f t="shared" si="18"/>
        <v>0</v>
      </c>
      <c r="U109" s="78"/>
      <c r="V109" s="79"/>
      <c r="W109" s="94">
        <f t="shared" si="19"/>
        <v>0</v>
      </c>
      <c r="X109" s="92">
        <f t="shared" si="20"/>
        <v>5</v>
      </c>
    </row>
    <row r="110" spans="5:24" ht="15.75" x14ac:dyDescent="0.25">
      <c r="E110" s="71"/>
      <c r="F110" s="78"/>
      <c r="G110" s="79"/>
      <c r="H110" s="94">
        <f t="shared" si="14"/>
        <v>0</v>
      </c>
      <c r="I110" s="78"/>
      <c r="J110" s="79"/>
      <c r="K110" s="94">
        <f t="shared" si="15"/>
        <v>0</v>
      </c>
      <c r="L110" s="78"/>
      <c r="M110" s="79"/>
      <c r="N110" s="94">
        <f t="shared" si="16"/>
        <v>0</v>
      </c>
      <c r="O110" s="78"/>
      <c r="P110" s="79"/>
      <c r="Q110" s="94">
        <f t="shared" si="17"/>
        <v>0</v>
      </c>
      <c r="R110" s="78"/>
      <c r="S110" s="79"/>
      <c r="T110" s="94">
        <f t="shared" si="18"/>
        <v>0</v>
      </c>
      <c r="U110" s="78"/>
      <c r="V110" s="79"/>
      <c r="W110" s="94">
        <f t="shared" si="19"/>
        <v>0</v>
      </c>
      <c r="X110" s="92">
        <f t="shared" si="20"/>
        <v>5</v>
      </c>
    </row>
    <row r="111" spans="5:24" ht="15.75" x14ac:dyDescent="0.25">
      <c r="E111" s="71"/>
      <c r="F111" s="78"/>
      <c r="G111" s="79"/>
      <c r="H111" s="94">
        <f t="shared" si="14"/>
        <v>0</v>
      </c>
      <c r="I111" s="78"/>
      <c r="J111" s="79"/>
      <c r="K111" s="94">
        <f t="shared" si="15"/>
        <v>0</v>
      </c>
      <c r="L111" s="78"/>
      <c r="M111" s="79"/>
      <c r="N111" s="94">
        <f t="shared" si="16"/>
        <v>0</v>
      </c>
      <c r="O111" s="78"/>
      <c r="P111" s="79"/>
      <c r="Q111" s="94">
        <f t="shared" si="17"/>
        <v>0</v>
      </c>
      <c r="R111" s="78"/>
      <c r="S111" s="79"/>
      <c r="T111" s="94">
        <f t="shared" si="18"/>
        <v>0</v>
      </c>
      <c r="U111" s="78"/>
      <c r="V111" s="79"/>
      <c r="W111" s="94">
        <f t="shared" si="19"/>
        <v>0</v>
      </c>
      <c r="X111" s="92">
        <f t="shared" si="20"/>
        <v>5</v>
      </c>
    </row>
    <row r="112" spans="5:24" ht="15.75" x14ac:dyDescent="0.25">
      <c r="E112" s="71"/>
      <c r="F112" s="78"/>
      <c r="G112" s="79"/>
      <c r="H112" s="94">
        <f t="shared" si="14"/>
        <v>0</v>
      </c>
      <c r="I112" s="78"/>
      <c r="J112" s="79"/>
      <c r="K112" s="94">
        <f t="shared" si="15"/>
        <v>0</v>
      </c>
      <c r="L112" s="78"/>
      <c r="M112" s="79"/>
      <c r="N112" s="94">
        <f t="shared" si="16"/>
        <v>0</v>
      </c>
      <c r="O112" s="78"/>
      <c r="P112" s="79"/>
      <c r="Q112" s="94">
        <f t="shared" si="17"/>
        <v>0</v>
      </c>
      <c r="R112" s="78"/>
      <c r="S112" s="79"/>
      <c r="T112" s="94">
        <f t="shared" si="18"/>
        <v>0</v>
      </c>
      <c r="U112" s="78"/>
      <c r="V112" s="79"/>
      <c r="W112" s="94">
        <f t="shared" si="19"/>
        <v>0</v>
      </c>
      <c r="X112" s="92">
        <f t="shared" si="20"/>
        <v>5</v>
      </c>
    </row>
    <row r="113" spans="5:24" ht="15.75" x14ac:dyDescent="0.25">
      <c r="E113" s="71"/>
      <c r="F113" s="78"/>
      <c r="G113" s="79"/>
      <c r="H113" s="94">
        <f t="shared" si="14"/>
        <v>0</v>
      </c>
      <c r="I113" s="78"/>
      <c r="J113" s="79"/>
      <c r="K113" s="94">
        <f t="shared" si="15"/>
        <v>0</v>
      </c>
      <c r="L113" s="78"/>
      <c r="M113" s="79"/>
      <c r="N113" s="94">
        <f t="shared" si="16"/>
        <v>0</v>
      </c>
      <c r="O113" s="78"/>
      <c r="P113" s="79"/>
      <c r="Q113" s="94">
        <f t="shared" si="17"/>
        <v>0</v>
      </c>
      <c r="R113" s="78"/>
      <c r="S113" s="79"/>
      <c r="T113" s="94">
        <f t="shared" si="18"/>
        <v>0</v>
      </c>
      <c r="U113" s="78"/>
      <c r="V113" s="79"/>
      <c r="W113" s="94">
        <f t="shared" si="19"/>
        <v>0</v>
      </c>
      <c r="X113" s="92">
        <f t="shared" si="20"/>
        <v>5</v>
      </c>
    </row>
    <row r="114" spans="5:24" ht="15.75" x14ac:dyDescent="0.25">
      <c r="E114" s="71"/>
      <c r="F114" s="78"/>
      <c r="G114" s="79"/>
      <c r="H114" s="94">
        <f t="shared" si="14"/>
        <v>0</v>
      </c>
      <c r="I114" s="78"/>
      <c r="J114" s="79"/>
      <c r="K114" s="94">
        <f t="shared" si="15"/>
        <v>0</v>
      </c>
      <c r="L114" s="78"/>
      <c r="M114" s="79"/>
      <c r="N114" s="94">
        <f t="shared" si="16"/>
        <v>0</v>
      </c>
      <c r="O114" s="78"/>
      <c r="P114" s="79"/>
      <c r="Q114" s="94">
        <f t="shared" si="17"/>
        <v>0</v>
      </c>
      <c r="R114" s="78"/>
      <c r="S114" s="79"/>
      <c r="T114" s="94">
        <f t="shared" si="18"/>
        <v>0</v>
      </c>
      <c r="U114" s="78"/>
      <c r="V114" s="79"/>
      <c r="W114" s="94">
        <f t="shared" si="19"/>
        <v>0</v>
      </c>
      <c r="X114" s="92">
        <f t="shared" si="20"/>
        <v>5</v>
      </c>
    </row>
    <row r="115" spans="5:24" ht="15.75" x14ac:dyDescent="0.25">
      <c r="E115" s="71"/>
      <c r="F115" s="78"/>
      <c r="G115" s="79"/>
      <c r="H115" s="94">
        <f t="shared" si="14"/>
        <v>0</v>
      </c>
      <c r="I115" s="78"/>
      <c r="J115" s="79"/>
      <c r="K115" s="94">
        <f t="shared" si="15"/>
        <v>0</v>
      </c>
      <c r="L115" s="78"/>
      <c r="M115" s="79"/>
      <c r="N115" s="94">
        <f t="shared" si="16"/>
        <v>0</v>
      </c>
      <c r="O115" s="78"/>
      <c r="P115" s="79"/>
      <c r="Q115" s="94">
        <f t="shared" si="17"/>
        <v>0</v>
      </c>
      <c r="R115" s="78"/>
      <c r="S115" s="79"/>
      <c r="T115" s="94">
        <f t="shared" si="18"/>
        <v>0</v>
      </c>
      <c r="U115" s="78"/>
      <c r="V115" s="79"/>
      <c r="W115" s="94">
        <f t="shared" si="19"/>
        <v>0</v>
      </c>
      <c r="X115" s="92">
        <f t="shared" si="20"/>
        <v>5</v>
      </c>
    </row>
    <row r="116" spans="5:24" ht="15.75" x14ac:dyDescent="0.25">
      <c r="E116" s="71"/>
      <c r="F116" s="78"/>
      <c r="G116" s="79"/>
      <c r="H116" s="94">
        <f t="shared" si="14"/>
        <v>0</v>
      </c>
      <c r="I116" s="78"/>
      <c r="J116" s="79"/>
      <c r="K116" s="94">
        <f t="shared" si="15"/>
        <v>0</v>
      </c>
      <c r="L116" s="78"/>
      <c r="M116" s="79"/>
      <c r="N116" s="94">
        <f t="shared" si="16"/>
        <v>0</v>
      </c>
      <c r="O116" s="78"/>
      <c r="P116" s="79"/>
      <c r="Q116" s="94">
        <f t="shared" si="17"/>
        <v>0</v>
      </c>
      <c r="R116" s="78"/>
      <c r="S116" s="79"/>
      <c r="T116" s="94">
        <f t="shared" si="18"/>
        <v>0</v>
      </c>
      <c r="U116" s="78"/>
      <c r="V116" s="79"/>
      <c r="W116" s="94">
        <f t="shared" si="19"/>
        <v>0</v>
      </c>
      <c r="X116" s="92">
        <f t="shared" si="20"/>
        <v>5</v>
      </c>
    </row>
    <row r="117" spans="5:24" ht="15.75" x14ac:dyDescent="0.25">
      <c r="E117" s="71"/>
      <c r="F117" s="78"/>
      <c r="G117" s="79"/>
      <c r="H117" s="94">
        <f t="shared" si="14"/>
        <v>0</v>
      </c>
      <c r="I117" s="78"/>
      <c r="J117" s="79"/>
      <c r="K117" s="94">
        <f t="shared" si="15"/>
        <v>0</v>
      </c>
      <c r="L117" s="78"/>
      <c r="M117" s="79"/>
      <c r="N117" s="94">
        <f t="shared" si="16"/>
        <v>0</v>
      </c>
      <c r="O117" s="78"/>
      <c r="P117" s="79"/>
      <c r="Q117" s="94">
        <f t="shared" si="17"/>
        <v>0</v>
      </c>
      <c r="R117" s="78"/>
      <c r="S117" s="79"/>
      <c r="T117" s="94">
        <f t="shared" si="18"/>
        <v>0</v>
      </c>
      <c r="U117" s="78"/>
      <c r="V117" s="79"/>
      <c r="W117" s="94">
        <f t="shared" si="19"/>
        <v>0</v>
      </c>
      <c r="X117" s="92">
        <f t="shared" si="20"/>
        <v>5</v>
      </c>
    </row>
    <row r="118" spans="5:24" ht="15.75" x14ac:dyDescent="0.25">
      <c r="E118" s="71"/>
      <c r="F118" s="78"/>
      <c r="G118" s="79"/>
      <c r="H118" s="94">
        <f t="shared" si="14"/>
        <v>0</v>
      </c>
      <c r="I118" s="78"/>
      <c r="J118" s="79"/>
      <c r="K118" s="94">
        <f t="shared" si="15"/>
        <v>0</v>
      </c>
      <c r="L118" s="78"/>
      <c r="M118" s="79"/>
      <c r="N118" s="94">
        <f t="shared" si="16"/>
        <v>0</v>
      </c>
      <c r="O118" s="78"/>
      <c r="P118" s="79"/>
      <c r="Q118" s="94">
        <f t="shared" si="17"/>
        <v>0</v>
      </c>
      <c r="R118" s="78"/>
      <c r="S118" s="79"/>
      <c r="T118" s="94">
        <f t="shared" si="18"/>
        <v>0</v>
      </c>
      <c r="U118" s="78"/>
      <c r="V118" s="79"/>
      <c r="W118" s="94">
        <f t="shared" si="19"/>
        <v>0</v>
      </c>
      <c r="X118" s="92">
        <f t="shared" si="20"/>
        <v>5</v>
      </c>
    </row>
    <row r="119" spans="5:24" ht="15.75" x14ac:dyDescent="0.25">
      <c r="E119" s="71"/>
      <c r="F119" s="78"/>
      <c r="G119" s="79"/>
      <c r="H119" s="94">
        <f t="shared" si="14"/>
        <v>0</v>
      </c>
      <c r="I119" s="78"/>
      <c r="J119" s="79"/>
      <c r="K119" s="94">
        <f t="shared" si="15"/>
        <v>0</v>
      </c>
      <c r="L119" s="78"/>
      <c r="M119" s="79"/>
      <c r="N119" s="94">
        <f t="shared" si="16"/>
        <v>0</v>
      </c>
      <c r="O119" s="78"/>
      <c r="P119" s="79"/>
      <c r="Q119" s="94">
        <f t="shared" si="17"/>
        <v>0</v>
      </c>
      <c r="R119" s="78"/>
      <c r="S119" s="79"/>
      <c r="T119" s="94">
        <f t="shared" si="18"/>
        <v>0</v>
      </c>
      <c r="U119" s="78"/>
      <c r="V119" s="79"/>
      <c r="W119" s="94">
        <f t="shared" si="19"/>
        <v>0</v>
      </c>
      <c r="X119" s="92">
        <f t="shared" si="20"/>
        <v>5</v>
      </c>
    </row>
    <row r="120" spans="5:24" ht="15.75" x14ac:dyDescent="0.25">
      <c r="E120" s="71"/>
      <c r="F120" s="78"/>
      <c r="G120" s="79"/>
      <c r="H120" s="94">
        <f t="shared" si="14"/>
        <v>0</v>
      </c>
      <c r="I120" s="78"/>
      <c r="J120" s="79"/>
      <c r="K120" s="94">
        <f t="shared" si="15"/>
        <v>0</v>
      </c>
      <c r="L120" s="78"/>
      <c r="M120" s="79"/>
      <c r="N120" s="94">
        <f t="shared" si="16"/>
        <v>0</v>
      </c>
      <c r="O120" s="78"/>
      <c r="P120" s="79"/>
      <c r="Q120" s="94">
        <f t="shared" si="17"/>
        <v>0</v>
      </c>
      <c r="R120" s="78"/>
      <c r="S120" s="79"/>
      <c r="T120" s="94">
        <f t="shared" si="18"/>
        <v>0</v>
      </c>
      <c r="U120" s="78"/>
      <c r="V120" s="79"/>
      <c r="W120" s="94">
        <f t="shared" si="19"/>
        <v>0</v>
      </c>
      <c r="X120" s="92">
        <f t="shared" si="20"/>
        <v>5</v>
      </c>
    </row>
    <row r="121" spans="5:24" ht="15.75" x14ac:dyDescent="0.25">
      <c r="E121" s="71"/>
      <c r="F121" s="78"/>
      <c r="G121" s="79"/>
      <c r="H121" s="94">
        <f t="shared" si="14"/>
        <v>0</v>
      </c>
      <c r="I121" s="78"/>
      <c r="J121" s="79"/>
      <c r="K121" s="94">
        <f t="shared" si="15"/>
        <v>0</v>
      </c>
      <c r="L121" s="78"/>
      <c r="M121" s="79"/>
      <c r="N121" s="94">
        <f t="shared" si="16"/>
        <v>0</v>
      </c>
      <c r="O121" s="78"/>
      <c r="P121" s="79"/>
      <c r="Q121" s="94">
        <f t="shared" si="17"/>
        <v>0</v>
      </c>
      <c r="R121" s="78"/>
      <c r="S121" s="79"/>
      <c r="T121" s="94">
        <f t="shared" si="18"/>
        <v>0</v>
      </c>
      <c r="U121" s="78"/>
      <c r="V121" s="79"/>
      <c r="W121" s="94">
        <f t="shared" si="19"/>
        <v>0</v>
      </c>
      <c r="X121" s="92">
        <f t="shared" si="20"/>
        <v>5</v>
      </c>
    </row>
    <row r="122" spans="5:24" ht="15.75" x14ac:dyDescent="0.25">
      <c r="E122" s="71"/>
      <c r="F122" s="78"/>
      <c r="G122" s="79"/>
      <c r="H122" s="94">
        <f t="shared" si="14"/>
        <v>0</v>
      </c>
      <c r="I122" s="78"/>
      <c r="J122" s="79"/>
      <c r="K122" s="94">
        <f t="shared" si="15"/>
        <v>0</v>
      </c>
      <c r="L122" s="78"/>
      <c r="M122" s="79"/>
      <c r="N122" s="94">
        <f t="shared" si="16"/>
        <v>0</v>
      </c>
      <c r="O122" s="78"/>
      <c r="P122" s="79"/>
      <c r="Q122" s="94">
        <f t="shared" si="17"/>
        <v>0</v>
      </c>
      <c r="R122" s="78"/>
      <c r="S122" s="79"/>
      <c r="T122" s="94">
        <f t="shared" si="18"/>
        <v>0</v>
      </c>
      <c r="U122" s="78"/>
      <c r="V122" s="79"/>
      <c r="W122" s="94">
        <f t="shared" si="19"/>
        <v>0</v>
      </c>
      <c r="X122" s="92">
        <f t="shared" si="20"/>
        <v>5</v>
      </c>
    </row>
    <row r="123" spans="5:24" ht="15.75" x14ac:dyDescent="0.25">
      <c r="E123" s="71"/>
      <c r="F123" s="78"/>
      <c r="G123" s="79"/>
      <c r="H123" s="94">
        <f t="shared" si="14"/>
        <v>0</v>
      </c>
      <c r="I123" s="78"/>
      <c r="J123" s="79"/>
      <c r="K123" s="94">
        <f t="shared" si="15"/>
        <v>0</v>
      </c>
      <c r="L123" s="78"/>
      <c r="M123" s="79"/>
      <c r="N123" s="94">
        <f t="shared" si="16"/>
        <v>0</v>
      </c>
      <c r="O123" s="78"/>
      <c r="P123" s="79"/>
      <c r="Q123" s="94">
        <f t="shared" si="17"/>
        <v>0</v>
      </c>
      <c r="R123" s="78"/>
      <c r="S123" s="79"/>
      <c r="T123" s="94">
        <f t="shared" si="18"/>
        <v>0</v>
      </c>
      <c r="U123" s="78"/>
      <c r="V123" s="79"/>
      <c r="W123" s="94">
        <f t="shared" si="19"/>
        <v>0</v>
      </c>
      <c r="X123" s="92">
        <f t="shared" si="20"/>
        <v>5</v>
      </c>
    </row>
    <row r="124" spans="5:24" ht="15.75" x14ac:dyDescent="0.25">
      <c r="E124" s="71"/>
      <c r="F124" s="78"/>
      <c r="G124" s="79"/>
      <c r="H124" s="94">
        <f t="shared" si="14"/>
        <v>0</v>
      </c>
      <c r="I124" s="78"/>
      <c r="J124" s="79"/>
      <c r="K124" s="94">
        <f t="shared" si="15"/>
        <v>0</v>
      </c>
      <c r="L124" s="78"/>
      <c r="M124" s="79"/>
      <c r="N124" s="94">
        <f t="shared" si="16"/>
        <v>0</v>
      </c>
      <c r="O124" s="78"/>
      <c r="P124" s="79"/>
      <c r="Q124" s="94">
        <f t="shared" si="17"/>
        <v>0</v>
      </c>
      <c r="R124" s="78"/>
      <c r="S124" s="79"/>
      <c r="T124" s="94">
        <f t="shared" si="18"/>
        <v>0</v>
      </c>
      <c r="U124" s="78"/>
      <c r="V124" s="79"/>
      <c r="W124" s="94">
        <f t="shared" si="19"/>
        <v>0</v>
      </c>
      <c r="X124" s="92">
        <f t="shared" si="20"/>
        <v>5</v>
      </c>
    </row>
    <row r="125" spans="5:24" ht="15.75" x14ac:dyDescent="0.25">
      <c r="E125" s="71"/>
      <c r="F125" s="78"/>
      <c r="G125" s="79"/>
      <c r="H125" s="94">
        <f t="shared" si="14"/>
        <v>0</v>
      </c>
      <c r="I125" s="78"/>
      <c r="J125" s="79"/>
      <c r="K125" s="94">
        <f t="shared" si="15"/>
        <v>0</v>
      </c>
      <c r="L125" s="78"/>
      <c r="M125" s="79"/>
      <c r="N125" s="94">
        <f t="shared" si="16"/>
        <v>0</v>
      </c>
      <c r="O125" s="78"/>
      <c r="P125" s="79"/>
      <c r="Q125" s="94">
        <f t="shared" si="17"/>
        <v>0</v>
      </c>
      <c r="R125" s="78"/>
      <c r="S125" s="79"/>
      <c r="T125" s="94">
        <f t="shared" si="18"/>
        <v>0</v>
      </c>
      <c r="U125" s="78"/>
      <c r="V125" s="79"/>
      <c r="W125" s="94">
        <f t="shared" si="19"/>
        <v>0</v>
      </c>
      <c r="X125" s="92">
        <f t="shared" si="20"/>
        <v>5</v>
      </c>
    </row>
    <row r="126" spans="5:24" ht="15.75" x14ac:dyDescent="0.25">
      <c r="E126" s="71"/>
      <c r="F126" s="78"/>
      <c r="G126" s="79"/>
      <c r="H126" s="94">
        <f t="shared" ref="H126:H143" si="21">F126*G126</f>
        <v>0</v>
      </c>
      <c r="I126" s="78"/>
      <c r="J126" s="79"/>
      <c r="K126" s="94">
        <f t="shared" ref="K126:K143" si="22">I126*J126</f>
        <v>0</v>
      </c>
      <c r="L126" s="78"/>
      <c r="M126" s="79"/>
      <c r="N126" s="94">
        <f t="shared" ref="N126:N143" si="23">L126*M126</f>
        <v>0</v>
      </c>
      <c r="O126" s="78"/>
      <c r="P126" s="79"/>
      <c r="Q126" s="94">
        <f t="shared" ref="Q126:Q143" si="24">O126*P126</f>
        <v>0</v>
      </c>
      <c r="R126" s="78"/>
      <c r="S126" s="79"/>
      <c r="T126" s="94">
        <f t="shared" ref="T126:T143" si="25">R126*S126</f>
        <v>0</v>
      </c>
      <c r="U126" s="78"/>
      <c r="V126" s="79"/>
      <c r="W126" s="94">
        <f t="shared" ref="W126:W143" si="26">U126*V126</f>
        <v>0</v>
      </c>
      <c r="X126" s="92">
        <f t="shared" si="20"/>
        <v>5</v>
      </c>
    </row>
    <row r="127" spans="5:24" ht="15.75" x14ac:dyDescent="0.25">
      <c r="E127" s="71"/>
      <c r="F127" s="78"/>
      <c r="G127" s="79"/>
      <c r="H127" s="94">
        <f t="shared" si="21"/>
        <v>0</v>
      </c>
      <c r="I127" s="78"/>
      <c r="J127" s="79"/>
      <c r="K127" s="94">
        <f t="shared" si="22"/>
        <v>0</v>
      </c>
      <c r="L127" s="78"/>
      <c r="M127" s="79"/>
      <c r="N127" s="94">
        <f t="shared" si="23"/>
        <v>0</v>
      </c>
      <c r="O127" s="78"/>
      <c r="P127" s="79"/>
      <c r="Q127" s="94">
        <f t="shared" si="24"/>
        <v>0</v>
      </c>
      <c r="R127" s="78"/>
      <c r="S127" s="79"/>
      <c r="T127" s="94">
        <f t="shared" si="25"/>
        <v>0</v>
      </c>
      <c r="U127" s="78"/>
      <c r="V127" s="79"/>
      <c r="W127" s="94">
        <f t="shared" si="26"/>
        <v>0</v>
      </c>
      <c r="X127" s="92">
        <f t="shared" ref="X127:X143" si="27">X126</f>
        <v>5</v>
      </c>
    </row>
    <row r="128" spans="5:24" ht="15.75" x14ac:dyDescent="0.25">
      <c r="E128" s="71"/>
      <c r="F128" s="78"/>
      <c r="G128" s="79"/>
      <c r="H128" s="94">
        <f t="shared" si="21"/>
        <v>0</v>
      </c>
      <c r="I128" s="78"/>
      <c r="J128" s="79"/>
      <c r="K128" s="94">
        <f t="shared" si="22"/>
        <v>0</v>
      </c>
      <c r="L128" s="78"/>
      <c r="M128" s="79"/>
      <c r="N128" s="94">
        <f t="shared" si="23"/>
        <v>0</v>
      </c>
      <c r="O128" s="78"/>
      <c r="P128" s="79"/>
      <c r="Q128" s="94">
        <f t="shared" si="24"/>
        <v>0</v>
      </c>
      <c r="R128" s="78"/>
      <c r="S128" s="79"/>
      <c r="T128" s="94">
        <f t="shared" si="25"/>
        <v>0</v>
      </c>
      <c r="U128" s="78"/>
      <c r="V128" s="79"/>
      <c r="W128" s="94">
        <f t="shared" si="26"/>
        <v>0</v>
      </c>
      <c r="X128" s="92">
        <f t="shared" si="27"/>
        <v>5</v>
      </c>
    </row>
    <row r="129" spans="5:24" ht="15.75" x14ac:dyDescent="0.25">
      <c r="E129" s="71"/>
      <c r="F129" s="78"/>
      <c r="G129" s="79"/>
      <c r="H129" s="94">
        <f t="shared" si="21"/>
        <v>0</v>
      </c>
      <c r="I129" s="78"/>
      <c r="J129" s="79"/>
      <c r="K129" s="94">
        <f t="shared" si="22"/>
        <v>0</v>
      </c>
      <c r="L129" s="78"/>
      <c r="M129" s="79"/>
      <c r="N129" s="94">
        <f t="shared" si="23"/>
        <v>0</v>
      </c>
      <c r="O129" s="78"/>
      <c r="P129" s="79"/>
      <c r="Q129" s="94">
        <f t="shared" si="24"/>
        <v>0</v>
      </c>
      <c r="R129" s="78"/>
      <c r="S129" s="79"/>
      <c r="T129" s="94">
        <f t="shared" si="25"/>
        <v>0</v>
      </c>
      <c r="U129" s="78"/>
      <c r="V129" s="79"/>
      <c r="W129" s="94">
        <f t="shared" si="26"/>
        <v>0</v>
      </c>
      <c r="X129" s="92">
        <f t="shared" si="27"/>
        <v>5</v>
      </c>
    </row>
    <row r="130" spans="5:24" ht="15.75" x14ac:dyDescent="0.25">
      <c r="E130" s="71"/>
      <c r="F130" s="78"/>
      <c r="G130" s="79"/>
      <c r="H130" s="94">
        <f t="shared" si="21"/>
        <v>0</v>
      </c>
      <c r="I130" s="78"/>
      <c r="J130" s="79"/>
      <c r="K130" s="94">
        <f t="shared" si="22"/>
        <v>0</v>
      </c>
      <c r="L130" s="78"/>
      <c r="M130" s="79"/>
      <c r="N130" s="94">
        <f t="shared" si="23"/>
        <v>0</v>
      </c>
      <c r="O130" s="78"/>
      <c r="P130" s="79"/>
      <c r="Q130" s="94">
        <f t="shared" si="24"/>
        <v>0</v>
      </c>
      <c r="R130" s="78"/>
      <c r="S130" s="79"/>
      <c r="T130" s="94">
        <f t="shared" si="25"/>
        <v>0</v>
      </c>
      <c r="U130" s="78"/>
      <c r="V130" s="79"/>
      <c r="W130" s="94">
        <f t="shared" si="26"/>
        <v>0</v>
      </c>
      <c r="X130" s="92">
        <f t="shared" si="27"/>
        <v>5</v>
      </c>
    </row>
    <row r="131" spans="5:24" ht="15.75" x14ac:dyDescent="0.25">
      <c r="E131" s="71"/>
      <c r="F131" s="78"/>
      <c r="G131" s="79"/>
      <c r="H131" s="94">
        <f t="shared" si="21"/>
        <v>0</v>
      </c>
      <c r="I131" s="78"/>
      <c r="J131" s="79"/>
      <c r="K131" s="94">
        <f t="shared" si="22"/>
        <v>0</v>
      </c>
      <c r="L131" s="78"/>
      <c r="M131" s="79"/>
      <c r="N131" s="94">
        <f t="shared" si="23"/>
        <v>0</v>
      </c>
      <c r="O131" s="78"/>
      <c r="P131" s="79"/>
      <c r="Q131" s="94">
        <f t="shared" si="24"/>
        <v>0</v>
      </c>
      <c r="R131" s="78"/>
      <c r="S131" s="79"/>
      <c r="T131" s="94">
        <f t="shared" si="25"/>
        <v>0</v>
      </c>
      <c r="U131" s="78"/>
      <c r="V131" s="79"/>
      <c r="W131" s="94">
        <f t="shared" si="26"/>
        <v>0</v>
      </c>
      <c r="X131" s="92">
        <f t="shared" si="27"/>
        <v>5</v>
      </c>
    </row>
    <row r="132" spans="5:24" ht="15.75" x14ac:dyDescent="0.25">
      <c r="E132" s="71"/>
      <c r="F132" s="78"/>
      <c r="G132" s="79"/>
      <c r="H132" s="94">
        <f t="shared" si="21"/>
        <v>0</v>
      </c>
      <c r="I132" s="78"/>
      <c r="J132" s="79"/>
      <c r="K132" s="94">
        <f t="shared" si="22"/>
        <v>0</v>
      </c>
      <c r="L132" s="78"/>
      <c r="M132" s="79"/>
      <c r="N132" s="94">
        <f t="shared" si="23"/>
        <v>0</v>
      </c>
      <c r="O132" s="78"/>
      <c r="P132" s="79"/>
      <c r="Q132" s="94">
        <f t="shared" si="24"/>
        <v>0</v>
      </c>
      <c r="R132" s="78"/>
      <c r="S132" s="79"/>
      <c r="T132" s="94">
        <f t="shared" si="25"/>
        <v>0</v>
      </c>
      <c r="U132" s="78"/>
      <c r="V132" s="79"/>
      <c r="W132" s="94">
        <f t="shared" si="26"/>
        <v>0</v>
      </c>
      <c r="X132" s="92">
        <f t="shared" si="27"/>
        <v>5</v>
      </c>
    </row>
    <row r="133" spans="5:24" ht="15.75" x14ac:dyDescent="0.25">
      <c r="E133" s="71"/>
      <c r="F133" s="78"/>
      <c r="G133" s="79"/>
      <c r="H133" s="94">
        <f t="shared" si="21"/>
        <v>0</v>
      </c>
      <c r="I133" s="78"/>
      <c r="J133" s="79"/>
      <c r="K133" s="94">
        <f t="shared" si="22"/>
        <v>0</v>
      </c>
      <c r="L133" s="78"/>
      <c r="M133" s="79"/>
      <c r="N133" s="94">
        <f t="shared" si="23"/>
        <v>0</v>
      </c>
      <c r="O133" s="78"/>
      <c r="P133" s="79"/>
      <c r="Q133" s="94">
        <f t="shared" si="24"/>
        <v>0</v>
      </c>
      <c r="R133" s="78"/>
      <c r="S133" s="79"/>
      <c r="T133" s="94">
        <f t="shared" si="25"/>
        <v>0</v>
      </c>
      <c r="U133" s="78"/>
      <c r="V133" s="79"/>
      <c r="W133" s="94">
        <f t="shared" si="26"/>
        <v>0</v>
      </c>
      <c r="X133" s="92">
        <f t="shared" si="27"/>
        <v>5</v>
      </c>
    </row>
    <row r="134" spans="5:24" ht="15.75" x14ac:dyDescent="0.25">
      <c r="E134" s="71"/>
      <c r="F134" s="78"/>
      <c r="G134" s="79"/>
      <c r="H134" s="94">
        <f t="shared" si="21"/>
        <v>0</v>
      </c>
      <c r="I134" s="78"/>
      <c r="J134" s="79"/>
      <c r="K134" s="94">
        <f t="shared" si="22"/>
        <v>0</v>
      </c>
      <c r="L134" s="78"/>
      <c r="M134" s="79"/>
      <c r="N134" s="94">
        <f t="shared" si="23"/>
        <v>0</v>
      </c>
      <c r="O134" s="78"/>
      <c r="P134" s="79"/>
      <c r="Q134" s="94">
        <f t="shared" si="24"/>
        <v>0</v>
      </c>
      <c r="R134" s="78"/>
      <c r="S134" s="79"/>
      <c r="T134" s="94">
        <f t="shared" si="25"/>
        <v>0</v>
      </c>
      <c r="U134" s="78"/>
      <c r="V134" s="79"/>
      <c r="W134" s="94">
        <f t="shared" si="26"/>
        <v>0</v>
      </c>
      <c r="X134" s="92">
        <f t="shared" si="27"/>
        <v>5</v>
      </c>
    </row>
    <row r="135" spans="5:24" ht="15.75" x14ac:dyDescent="0.25">
      <c r="E135" s="71"/>
      <c r="F135" s="78"/>
      <c r="G135" s="79"/>
      <c r="H135" s="94">
        <f t="shared" si="21"/>
        <v>0</v>
      </c>
      <c r="I135" s="78"/>
      <c r="J135" s="79"/>
      <c r="K135" s="94">
        <f t="shared" si="22"/>
        <v>0</v>
      </c>
      <c r="L135" s="78"/>
      <c r="M135" s="79"/>
      <c r="N135" s="94">
        <f t="shared" si="23"/>
        <v>0</v>
      </c>
      <c r="O135" s="78"/>
      <c r="P135" s="79"/>
      <c r="Q135" s="94">
        <f t="shared" si="24"/>
        <v>0</v>
      </c>
      <c r="R135" s="78"/>
      <c r="S135" s="79"/>
      <c r="T135" s="94">
        <f t="shared" si="25"/>
        <v>0</v>
      </c>
      <c r="U135" s="78"/>
      <c r="V135" s="79"/>
      <c r="W135" s="94">
        <f t="shared" si="26"/>
        <v>0</v>
      </c>
      <c r="X135" s="92">
        <f t="shared" si="27"/>
        <v>5</v>
      </c>
    </row>
    <row r="136" spans="5:24" ht="15.75" x14ac:dyDescent="0.25">
      <c r="E136" s="71"/>
      <c r="F136" s="78"/>
      <c r="G136" s="79"/>
      <c r="H136" s="94">
        <f t="shared" si="21"/>
        <v>0</v>
      </c>
      <c r="I136" s="78"/>
      <c r="J136" s="79"/>
      <c r="K136" s="94">
        <f t="shared" si="22"/>
        <v>0</v>
      </c>
      <c r="L136" s="78"/>
      <c r="M136" s="79"/>
      <c r="N136" s="94">
        <f t="shared" si="23"/>
        <v>0</v>
      </c>
      <c r="O136" s="78"/>
      <c r="P136" s="79"/>
      <c r="Q136" s="94">
        <f t="shared" si="24"/>
        <v>0</v>
      </c>
      <c r="R136" s="78"/>
      <c r="S136" s="79"/>
      <c r="T136" s="94">
        <f t="shared" si="25"/>
        <v>0</v>
      </c>
      <c r="U136" s="78"/>
      <c r="V136" s="79"/>
      <c r="W136" s="94">
        <f t="shared" si="26"/>
        <v>0</v>
      </c>
      <c r="X136" s="92">
        <f t="shared" si="27"/>
        <v>5</v>
      </c>
    </row>
    <row r="137" spans="5:24" ht="15.75" x14ac:dyDescent="0.25">
      <c r="E137" s="71"/>
      <c r="F137" s="78"/>
      <c r="G137" s="79"/>
      <c r="H137" s="94">
        <f t="shared" si="21"/>
        <v>0</v>
      </c>
      <c r="I137" s="78"/>
      <c r="J137" s="79"/>
      <c r="K137" s="94">
        <f t="shared" si="22"/>
        <v>0</v>
      </c>
      <c r="L137" s="78"/>
      <c r="M137" s="79"/>
      <c r="N137" s="94">
        <f t="shared" si="23"/>
        <v>0</v>
      </c>
      <c r="O137" s="78"/>
      <c r="P137" s="79"/>
      <c r="Q137" s="94">
        <f t="shared" si="24"/>
        <v>0</v>
      </c>
      <c r="R137" s="78"/>
      <c r="S137" s="79"/>
      <c r="T137" s="94">
        <f t="shared" si="25"/>
        <v>0</v>
      </c>
      <c r="U137" s="78"/>
      <c r="V137" s="79"/>
      <c r="W137" s="94">
        <f t="shared" si="26"/>
        <v>0</v>
      </c>
      <c r="X137" s="92">
        <f t="shared" si="27"/>
        <v>5</v>
      </c>
    </row>
    <row r="138" spans="5:24" ht="15.75" x14ac:dyDescent="0.25">
      <c r="E138" s="71"/>
      <c r="F138" s="78"/>
      <c r="G138" s="79"/>
      <c r="H138" s="94">
        <f t="shared" si="21"/>
        <v>0</v>
      </c>
      <c r="I138" s="78"/>
      <c r="J138" s="79"/>
      <c r="K138" s="94">
        <f t="shared" si="22"/>
        <v>0</v>
      </c>
      <c r="L138" s="78"/>
      <c r="M138" s="79"/>
      <c r="N138" s="94">
        <f t="shared" si="23"/>
        <v>0</v>
      </c>
      <c r="O138" s="78"/>
      <c r="P138" s="79"/>
      <c r="Q138" s="94">
        <f t="shared" si="24"/>
        <v>0</v>
      </c>
      <c r="R138" s="78"/>
      <c r="S138" s="79"/>
      <c r="T138" s="94">
        <f t="shared" si="25"/>
        <v>0</v>
      </c>
      <c r="U138" s="78"/>
      <c r="V138" s="79"/>
      <c r="W138" s="94">
        <f t="shared" si="26"/>
        <v>0</v>
      </c>
      <c r="X138" s="92">
        <f t="shared" si="27"/>
        <v>5</v>
      </c>
    </row>
    <row r="139" spans="5:24" ht="15.75" x14ac:dyDescent="0.25">
      <c r="E139" s="71"/>
      <c r="F139" s="78"/>
      <c r="G139" s="79"/>
      <c r="H139" s="94">
        <f t="shared" si="21"/>
        <v>0</v>
      </c>
      <c r="I139" s="78"/>
      <c r="J139" s="79"/>
      <c r="K139" s="94">
        <f t="shared" si="22"/>
        <v>0</v>
      </c>
      <c r="L139" s="78"/>
      <c r="M139" s="79"/>
      <c r="N139" s="94">
        <f t="shared" si="23"/>
        <v>0</v>
      </c>
      <c r="O139" s="78"/>
      <c r="P139" s="79"/>
      <c r="Q139" s="94">
        <f t="shared" si="24"/>
        <v>0</v>
      </c>
      <c r="R139" s="78"/>
      <c r="S139" s="79"/>
      <c r="T139" s="94">
        <f t="shared" si="25"/>
        <v>0</v>
      </c>
      <c r="U139" s="78"/>
      <c r="V139" s="79"/>
      <c r="W139" s="94">
        <f t="shared" si="26"/>
        <v>0</v>
      </c>
      <c r="X139" s="92">
        <f t="shared" si="27"/>
        <v>5</v>
      </c>
    </row>
    <row r="140" spans="5:24" ht="15.75" x14ac:dyDescent="0.25">
      <c r="E140" s="71"/>
      <c r="F140" s="78"/>
      <c r="G140" s="79"/>
      <c r="H140" s="94">
        <f t="shared" si="21"/>
        <v>0</v>
      </c>
      <c r="I140" s="78"/>
      <c r="J140" s="79"/>
      <c r="K140" s="94">
        <f t="shared" si="22"/>
        <v>0</v>
      </c>
      <c r="L140" s="78"/>
      <c r="M140" s="79"/>
      <c r="N140" s="94">
        <f t="shared" si="23"/>
        <v>0</v>
      </c>
      <c r="O140" s="78"/>
      <c r="P140" s="79"/>
      <c r="Q140" s="94">
        <f t="shared" si="24"/>
        <v>0</v>
      </c>
      <c r="R140" s="78"/>
      <c r="S140" s="79"/>
      <c r="T140" s="94">
        <f t="shared" si="25"/>
        <v>0</v>
      </c>
      <c r="U140" s="78"/>
      <c r="V140" s="79"/>
      <c r="W140" s="94">
        <f t="shared" si="26"/>
        <v>0</v>
      </c>
      <c r="X140" s="92">
        <f t="shared" si="27"/>
        <v>5</v>
      </c>
    </row>
    <row r="141" spans="5:24" ht="15.75" x14ac:dyDescent="0.25">
      <c r="E141" s="71"/>
      <c r="F141" s="78"/>
      <c r="G141" s="79"/>
      <c r="H141" s="94">
        <f t="shared" si="21"/>
        <v>0</v>
      </c>
      <c r="I141" s="78"/>
      <c r="J141" s="79"/>
      <c r="K141" s="94">
        <f t="shared" si="22"/>
        <v>0</v>
      </c>
      <c r="L141" s="78"/>
      <c r="M141" s="79"/>
      <c r="N141" s="94">
        <f t="shared" si="23"/>
        <v>0</v>
      </c>
      <c r="O141" s="78"/>
      <c r="P141" s="79"/>
      <c r="Q141" s="94">
        <f t="shared" si="24"/>
        <v>0</v>
      </c>
      <c r="R141" s="78"/>
      <c r="S141" s="79"/>
      <c r="T141" s="94">
        <f t="shared" si="25"/>
        <v>0</v>
      </c>
      <c r="U141" s="78"/>
      <c r="V141" s="79"/>
      <c r="W141" s="94">
        <f t="shared" si="26"/>
        <v>0</v>
      </c>
      <c r="X141" s="92">
        <f t="shared" si="27"/>
        <v>5</v>
      </c>
    </row>
    <row r="142" spans="5:24" ht="15.75" x14ac:dyDescent="0.25">
      <c r="E142" s="71"/>
      <c r="F142" s="78"/>
      <c r="G142" s="79"/>
      <c r="H142" s="94">
        <f t="shared" si="21"/>
        <v>0</v>
      </c>
      <c r="I142" s="78"/>
      <c r="J142" s="79"/>
      <c r="K142" s="94">
        <f t="shared" si="22"/>
        <v>0</v>
      </c>
      <c r="L142" s="78"/>
      <c r="M142" s="79"/>
      <c r="N142" s="94">
        <f t="shared" si="23"/>
        <v>0</v>
      </c>
      <c r="O142" s="78"/>
      <c r="P142" s="79"/>
      <c r="Q142" s="94">
        <f t="shared" si="24"/>
        <v>0</v>
      </c>
      <c r="R142" s="78"/>
      <c r="S142" s="79"/>
      <c r="T142" s="94">
        <f t="shared" si="25"/>
        <v>0</v>
      </c>
      <c r="U142" s="78"/>
      <c r="V142" s="79"/>
      <c r="W142" s="94">
        <f t="shared" si="26"/>
        <v>0</v>
      </c>
      <c r="X142" s="92">
        <f t="shared" si="27"/>
        <v>5</v>
      </c>
    </row>
    <row r="143" spans="5:24" ht="15.75" x14ac:dyDescent="0.25">
      <c r="E143" s="71"/>
      <c r="F143" s="78"/>
      <c r="G143" s="79"/>
      <c r="H143" s="94">
        <f t="shared" si="21"/>
        <v>0</v>
      </c>
      <c r="I143" s="78"/>
      <c r="J143" s="79"/>
      <c r="K143" s="94">
        <f t="shared" si="22"/>
        <v>0</v>
      </c>
      <c r="L143" s="78"/>
      <c r="M143" s="79"/>
      <c r="N143" s="94">
        <f t="shared" si="23"/>
        <v>0</v>
      </c>
      <c r="O143" s="78"/>
      <c r="P143" s="79"/>
      <c r="Q143" s="94">
        <f t="shared" si="24"/>
        <v>0</v>
      </c>
      <c r="R143" s="78"/>
      <c r="S143" s="79"/>
      <c r="T143" s="94">
        <f t="shared" si="25"/>
        <v>0</v>
      </c>
      <c r="U143" s="78"/>
      <c r="V143" s="79"/>
      <c r="W143" s="94">
        <f t="shared" si="26"/>
        <v>0</v>
      </c>
      <c r="X143" s="92">
        <f t="shared" si="27"/>
        <v>5</v>
      </c>
    </row>
    <row r="144" spans="5:24" ht="15.75" x14ac:dyDescent="0.25">
      <c r="E144" s="129" t="s">
        <v>388</v>
      </c>
      <c r="F144" s="99"/>
      <c r="G144" s="98"/>
      <c r="H144" s="95">
        <f>SUM(H94:H143)</f>
        <v>0</v>
      </c>
      <c r="I144" s="99"/>
      <c r="J144" s="98"/>
      <c r="K144" s="95">
        <f>SUM(K94:K143)</f>
        <v>0</v>
      </c>
      <c r="L144" s="99"/>
      <c r="M144" s="98"/>
      <c r="N144" s="95">
        <f>SUM(N94:N143)</f>
        <v>0</v>
      </c>
      <c r="O144" s="99"/>
      <c r="P144" s="98"/>
      <c r="Q144" s="95">
        <f>SUM(Q94:Q143)</f>
        <v>0</v>
      </c>
      <c r="R144" s="99"/>
      <c r="S144" s="98"/>
      <c r="T144" s="95">
        <f>SUM(T94:T143)</f>
        <v>0</v>
      </c>
      <c r="U144" s="99"/>
      <c r="V144" s="98"/>
      <c r="W144" s="95">
        <f>SUM(W94:W143)</f>
        <v>0</v>
      </c>
      <c r="X144" s="92"/>
    </row>
    <row r="146" spans="5:24" ht="15.75" x14ac:dyDescent="0.25">
      <c r="E146" s="97" t="s">
        <v>389</v>
      </c>
      <c r="F146" s="129" t="s">
        <v>382</v>
      </c>
      <c r="G146" s="129" t="s">
        <v>383</v>
      </c>
      <c r="H146" s="129" t="s">
        <v>384</v>
      </c>
      <c r="I146" s="129" t="s">
        <v>382</v>
      </c>
      <c r="J146" s="129" t="s">
        <v>383</v>
      </c>
      <c r="K146" s="129" t="s">
        <v>384</v>
      </c>
      <c r="L146" s="129" t="s">
        <v>382</v>
      </c>
      <c r="M146" s="129" t="s">
        <v>383</v>
      </c>
      <c r="N146" s="129" t="s">
        <v>384</v>
      </c>
      <c r="O146" s="129" t="s">
        <v>382</v>
      </c>
      <c r="P146" s="129" t="s">
        <v>383</v>
      </c>
      <c r="Q146" s="129" t="s">
        <v>384</v>
      </c>
      <c r="R146" s="129" t="s">
        <v>382</v>
      </c>
      <c r="S146" s="129" t="s">
        <v>383</v>
      </c>
      <c r="T146" s="129" t="s">
        <v>384</v>
      </c>
      <c r="U146" s="129" t="s">
        <v>382</v>
      </c>
      <c r="V146" s="129" t="s">
        <v>383</v>
      </c>
      <c r="W146" s="129" t="s">
        <v>384</v>
      </c>
      <c r="X146" s="90" t="s">
        <v>387</v>
      </c>
    </row>
    <row r="147" spans="5:24" ht="15.75" x14ac:dyDescent="0.25">
      <c r="E147" s="71"/>
      <c r="F147" s="78"/>
      <c r="G147" s="79"/>
      <c r="H147" s="94">
        <f t="shared" ref="H147:H153" si="28">F147*G147</f>
        <v>0</v>
      </c>
      <c r="I147" s="78"/>
      <c r="J147" s="79"/>
      <c r="K147" s="94">
        <f t="shared" ref="K147:K153" si="29">I147*J147</f>
        <v>0</v>
      </c>
      <c r="L147" s="78"/>
      <c r="M147" s="79"/>
      <c r="N147" s="94">
        <f t="shared" ref="N147:N153" si="30">L147*M147</f>
        <v>0</v>
      </c>
      <c r="O147" s="78"/>
      <c r="P147" s="79"/>
      <c r="Q147" s="94">
        <f t="shared" ref="Q147:Q153" si="31">O147*P147</f>
        <v>0</v>
      </c>
      <c r="R147" s="78"/>
      <c r="S147" s="79"/>
      <c r="T147" s="94">
        <f t="shared" ref="T147:T153" si="32">R147*S147</f>
        <v>0</v>
      </c>
      <c r="U147" s="78"/>
      <c r="V147" s="79"/>
      <c r="W147" s="94">
        <f t="shared" ref="W147:W153" si="33">U147*V147</f>
        <v>0</v>
      </c>
      <c r="X147" s="92">
        <f>BASES!G31</f>
        <v>5</v>
      </c>
    </row>
    <row r="148" spans="5:24" ht="15.75" x14ac:dyDescent="0.25">
      <c r="E148" s="71"/>
      <c r="F148" s="78"/>
      <c r="G148" s="79"/>
      <c r="H148" s="94">
        <f t="shared" si="28"/>
        <v>0</v>
      </c>
      <c r="I148" s="78"/>
      <c r="J148" s="79"/>
      <c r="K148" s="94">
        <f t="shared" si="29"/>
        <v>0</v>
      </c>
      <c r="L148" s="78"/>
      <c r="M148" s="79"/>
      <c r="N148" s="94">
        <f t="shared" si="30"/>
        <v>0</v>
      </c>
      <c r="O148" s="78"/>
      <c r="P148" s="79"/>
      <c r="Q148" s="94">
        <f t="shared" si="31"/>
        <v>0</v>
      </c>
      <c r="R148" s="78"/>
      <c r="S148" s="79"/>
      <c r="T148" s="94">
        <f t="shared" si="32"/>
        <v>0</v>
      </c>
      <c r="U148" s="78"/>
      <c r="V148" s="79"/>
      <c r="W148" s="94">
        <f t="shared" si="33"/>
        <v>0</v>
      </c>
      <c r="X148" s="92">
        <f t="shared" ref="X148:X153" si="34">X147</f>
        <v>5</v>
      </c>
    </row>
    <row r="149" spans="5:24" ht="15.75" x14ac:dyDescent="0.25">
      <c r="E149" s="71"/>
      <c r="F149" s="78"/>
      <c r="G149" s="79"/>
      <c r="H149" s="94">
        <f t="shared" si="28"/>
        <v>0</v>
      </c>
      <c r="I149" s="78"/>
      <c r="J149" s="79"/>
      <c r="K149" s="94">
        <f t="shared" si="29"/>
        <v>0</v>
      </c>
      <c r="L149" s="78"/>
      <c r="M149" s="79"/>
      <c r="N149" s="94">
        <f t="shared" si="30"/>
        <v>0</v>
      </c>
      <c r="O149" s="78"/>
      <c r="P149" s="79"/>
      <c r="Q149" s="94">
        <f t="shared" si="31"/>
        <v>0</v>
      </c>
      <c r="R149" s="78"/>
      <c r="S149" s="79"/>
      <c r="T149" s="94">
        <f t="shared" si="32"/>
        <v>0</v>
      </c>
      <c r="U149" s="78"/>
      <c r="V149" s="79"/>
      <c r="W149" s="94">
        <f t="shared" si="33"/>
        <v>0</v>
      </c>
      <c r="X149" s="92">
        <f t="shared" si="34"/>
        <v>5</v>
      </c>
    </row>
    <row r="150" spans="5:24" ht="15.75" x14ac:dyDescent="0.25">
      <c r="E150" s="71"/>
      <c r="F150" s="78"/>
      <c r="G150" s="79"/>
      <c r="H150" s="94">
        <f t="shared" si="28"/>
        <v>0</v>
      </c>
      <c r="I150" s="78"/>
      <c r="J150" s="79"/>
      <c r="K150" s="94">
        <f t="shared" si="29"/>
        <v>0</v>
      </c>
      <c r="L150" s="78"/>
      <c r="M150" s="79"/>
      <c r="N150" s="94">
        <f t="shared" si="30"/>
        <v>0</v>
      </c>
      <c r="O150" s="78"/>
      <c r="P150" s="79"/>
      <c r="Q150" s="94">
        <f t="shared" si="31"/>
        <v>0</v>
      </c>
      <c r="R150" s="78"/>
      <c r="S150" s="79"/>
      <c r="T150" s="94">
        <f t="shared" si="32"/>
        <v>0</v>
      </c>
      <c r="U150" s="78"/>
      <c r="V150" s="79"/>
      <c r="W150" s="94">
        <f t="shared" si="33"/>
        <v>0</v>
      </c>
      <c r="X150" s="92">
        <f t="shared" si="34"/>
        <v>5</v>
      </c>
    </row>
    <row r="151" spans="5:24" ht="15.75" x14ac:dyDescent="0.25">
      <c r="E151" s="71"/>
      <c r="F151" s="78"/>
      <c r="G151" s="79"/>
      <c r="H151" s="94">
        <f t="shared" si="28"/>
        <v>0</v>
      </c>
      <c r="I151" s="78"/>
      <c r="J151" s="79"/>
      <c r="K151" s="94">
        <f t="shared" si="29"/>
        <v>0</v>
      </c>
      <c r="L151" s="78"/>
      <c r="M151" s="79"/>
      <c r="N151" s="94">
        <f t="shared" si="30"/>
        <v>0</v>
      </c>
      <c r="O151" s="78"/>
      <c r="P151" s="79"/>
      <c r="Q151" s="94">
        <f t="shared" si="31"/>
        <v>0</v>
      </c>
      <c r="R151" s="78"/>
      <c r="S151" s="79"/>
      <c r="T151" s="94">
        <f t="shared" si="32"/>
        <v>0</v>
      </c>
      <c r="U151" s="78"/>
      <c r="V151" s="79"/>
      <c r="W151" s="94">
        <f t="shared" si="33"/>
        <v>0</v>
      </c>
      <c r="X151" s="92">
        <f t="shared" si="34"/>
        <v>5</v>
      </c>
    </row>
    <row r="152" spans="5:24" ht="15.75" x14ac:dyDescent="0.25">
      <c r="E152" s="71"/>
      <c r="F152" s="78"/>
      <c r="G152" s="79"/>
      <c r="H152" s="94">
        <f t="shared" si="28"/>
        <v>0</v>
      </c>
      <c r="I152" s="78"/>
      <c r="J152" s="79"/>
      <c r="K152" s="94">
        <f t="shared" si="29"/>
        <v>0</v>
      </c>
      <c r="L152" s="78"/>
      <c r="M152" s="79"/>
      <c r="N152" s="94">
        <f t="shared" si="30"/>
        <v>0</v>
      </c>
      <c r="O152" s="78"/>
      <c r="P152" s="79"/>
      <c r="Q152" s="94">
        <f t="shared" si="31"/>
        <v>0</v>
      </c>
      <c r="R152" s="78"/>
      <c r="S152" s="79"/>
      <c r="T152" s="94">
        <f t="shared" si="32"/>
        <v>0</v>
      </c>
      <c r="U152" s="78"/>
      <c r="V152" s="79"/>
      <c r="W152" s="94">
        <f t="shared" si="33"/>
        <v>0</v>
      </c>
      <c r="X152" s="92">
        <f t="shared" si="34"/>
        <v>5</v>
      </c>
    </row>
    <row r="153" spans="5:24" ht="15.75" x14ac:dyDescent="0.25">
      <c r="E153" s="71"/>
      <c r="F153" s="78"/>
      <c r="G153" s="79"/>
      <c r="H153" s="94">
        <f t="shared" si="28"/>
        <v>0</v>
      </c>
      <c r="I153" s="78"/>
      <c r="J153" s="79"/>
      <c r="K153" s="94">
        <f t="shared" si="29"/>
        <v>0</v>
      </c>
      <c r="L153" s="78"/>
      <c r="M153" s="79"/>
      <c r="N153" s="94">
        <f t="shared" si="30"/>
        <v>0</v>
      </c>
      <c r="O153" s="78"/>
      <c r="P153" s="79"/>
      <c r="Q153" s="94">
        <f t="shared" si="31"/>
        <v>0</v>
      </c>
      <c r="R153" s="78"/>
      <c r="S153" s="79"/>
      <c r="T153" s="94">
        <f t="shared" si="32"/>
        <v>0</v>
      </c>
      <c r="U153" s="78"/>
      <c r="V153" s="79"/>
      <c r="W153" s="94">
        <f t="shared" si="33"/>
        <v>0</v>
      </c>
      <c r="X153" s="92">
        <f t="shared" si="34"/>
        <v>5</v>
      </c>
    </row>
    <row r="154" spans="5:24" ht="15.75" x14ac:dyDescent="0.25">
      <c r="E154" s="129" t="s">
        <v>64</v>
      </c>
      <c r="F154" s="99"/>
      <c r="G154" s="98"/>
      <c r="H154" s="95">
        <f>SUM(H147:H153)</f>
        <v>0</v>
      </c>
      <c r="I154" s="99"/>
      <c r="J154" s="98"/>
      <c r="K154" s="95">
        <f>SUM(K147:K153)</f>
        <v>0</v>
      </c>
      <c r="L154" s="99"/>
      <c r="M154" s="98"/>
      <c r="N154" s="95">
        <f>SUM(N147:N153)</f>
        <v>0</v>
      </c>
      <c r="O154" s="99"/>
      <c r="P154" s="98"/>
      <c r="Q154" s="95">
        <f>SUM(Q147:Q153)</f>
        <v>0</v>
      </c>
      <c r="R154" s="99"/>
      <c r="S154" s="98"/>
      <c r="T154" s="95">
        <f>SUM(T147:T153)</f>
        <v>0</v>
      </c>
      <c r="U154" s="99"/>
      <c r="V154" s="98"/>
      <c r="W154" s="95">
        <f>SUM(W147:W153)</f>
        <v>0</v>
      </c>
      <c r="X154" s="92"/>
    </row>
    <row r="156" spans="5:24" ht="15.75" x14ac:dyDescent="0.25">
      <c r="E156" s="91" t="s">
        <v>33</v>
      </c>
      <c r="F156" s="129" t="s">
        <v>382</v>
      </c>
      <c r="G156" s="129" t="s">
        <v>383</v>
      </c>
      <c r="H156" s="129" t="s">
        <v>384</v>
      </c>
      <c r="I156" s="129" t="s">
        <v>382</v>
      </c>
      <c r="J156" s="129" t="s">
        <v>383</v>
      </c>
      <c r="K156" s="129" t="s">
        <v>384</v>
      </c>
      <c r="L156" s="129" t="s">
        <v>382</v>
      </c>
      <c r="M156" s="129" t="s">
        <v>383</v>
      </c>
      <c r="N156" s="129" t="s">
        <v>384</v>
      </c>
      <c r="O156" s="129" t="s">
        <v>382</v>
      </c>
      <c r="P156" s="129" t="s">
        <v>383</v>
      </c>
      <c r="Q156" s="129" t="s">
        <v>384</v>
      </c>
      <c r="R156" s="129" t="s">
        <v>382</v>
      </c>
      <c r="S156" s="129" t="s">
        <v>383</v>
      </c>
      <c r="T156" s="129" t="s">
        <v>384</v>
      </c>
      <c r="U156" s="129" t="s">
        <v>382</v>
      </c>
      <c r="V156" s="129" t="s">
        <v>383</v>
      </c>
      <c r="W156" s="129" t="s">
        <v>384</v>
      </c>
      <c r="X156" s="90" t="s">
        <v>387</v>
      </c>
    </row>
    <row r="157" spans="5:24" ht="15.75" x14ac:dyDescent="0.25">
      <c r="E157" s="71"/>
      <c r="F157" s="78"/>
      <c r="G157" s="79"/>
      <c r="H157" s="94">
        <f t="shared" ref="H157:H181" si="35">F157*G157</f>
        <v>0</v>
      </c>
      <c r="I157" s="78"/>
      <c r="J157" s="79"/>
      <c r="K157" s="94">
        <f t="shared" ref="K157:K181" si="36">I157*J157</f>
        <v>0</v>
      </c>
      <c r="L157" s="78"/>
      <c r="M157" s="79"/>
      <c r="N157" s="94">
        <f t="shared" ref="N157:N181" si="37">L157*M157</f>
        <v>0</v>
      </c>
      <c r="O157" s="78"/>
      <c r="P157" s="79"/>
      <c r="Q157" s="94">
        <f t="shared" ref="Q157:Q181" si="38">O157*P157</f>
        <v>0</v>
      </c>
      <c r="R157" s="78"/>
      <c r="S157" s="79"/>
      <c r="T157" s="94">
        <f t="shared" ref="T157:T181" si="39">R157*S157</f>
        <v>0</v>
      </c>
      <c r="U157" s="78"/>
      <c r="V157" s="79"/>
      <c r="W157" s="94">
        <f t="shared" ref="W157:W181" si="40">U157*V157</f>
        <v>0</v>
      </c>
      <c r="X157" s="92">
        <f>BASES!G32</f>
        <v>3</v>
      </c>
    </row>
    <row r="158" spans="5:24" ht="15.75" x14ac:dyDescent="0.25">
      <c r="E158" s="71"/>
      <c r="F158" s="78"/>
      <c r="G158" s="79"/>
      <c r="H158" s="94">
        <f t="shared" si="35"/>
        <v>0</v>
      </c>
      <c r="I158" s="78"/>
      <c r="J158" s="79"/>
      <c r="K158" s="94">
        <f t="shared" si="36"/>
        <v>0</v>
      </c>
      <c r="L158" s="78"/>
      <c r="M158" s="79"/>
      <c r="N158" s="94">
        <f t="shared" si="37"/>
        <v>0</v>
      </c>
      <c r="O158" s="78"/>
      <c r="P158" s="79"/>
      <c r="Q158" s="94">
        <f t="shared" si="38"/>
        <v>0</v>
      </c>
      <c r="R158" s="78"/>
      <c r="S158" s="79"/>
      <c r="T158" s="94">
        <f t="shared" si="39"/>
        <v>0</v>
      </c>
      <c r="U158" s="78"/>
      <c r="V158" s="79"/>
      <c r="W158" s="94">
        <f t="shared" si="40"/>
        <v>0</v>
      </c>
      <c r="X158" s="92">
        <f t="shared" ref="X158:X181" si="41">X157</f>
        <v>3</v>
      </c>
    </row>
    <row r="159" spans="5:24" ht="15.75" x14ac:dyDescent="0.25">
      <c r="E159" s="71"/>
      <c r="F159" s="78"/>
      <c r="G159" s="79"/>
      <c r="H159" s="94">
        <f t="shared" si="35"/>
        <v>0</v>
      </c>
      <c r="I159" s="78"/>
      <c r="J159" s="79"/>
      <c r="K159" s="94">
        <f t="shared" si="36"/>
        <v>0</v>
      </c>
      <c r="L159" s="78"/>
      <c r="M159" s="79"/>
      <c r="N159" s="94">
        <f t="shared" si="37"/>
        <v>0</v>
      </c>
      <c r="O159" s="78"/>
      <c r="P159" s="79"/>
      <c r="Q159" s="94">
        <f t="shared" si="38"/>
        <v>0</v>
      </c>
      <c r="R159" s="78"/>
      <c r="S159" s="79"/>
      <c r="T159" s="94">
        <f t="shared" si="39"/>
        <v>0</v>
      </c>
      <c r="U159" s="78"/>
      <c r="V159" s="79"/>
      <c r="W159" s="94">
        <f t="shared" si="40"/>
        <v>0</v>
      </c>
      <c r="X159" s="92">
        <f t="shared" si="41"/>
        <v>3</v>
      </c>
    </row>
    <row r="160" spans="5:24" ht="15.75" x14ac:dyDescent="0.25">
      <c r="E160" s="71"/>
      <c r="F160" s="78"/>
      <c r="G160" s="79"/>
      <c r="H160" s="94">
        <f t="shared" si="35"/>
        <v>0</v>
      </c>
      <c r="I160" s="78"/>
      <c r="J160" s="79"/>
      <c r="K160" s="94">
        <f t="shared" si="36"/>
        <v>0</v>
      </c>
      <c r="L160" s="78"/>
      <c r="M160" s="79"/>
      <c r="N160" s="94">
        <f t="shared" si="37"/>
        <v>0</v>
      </c>
      <c r="O160" s="78"/>
      <c r="P160" s="79"/>
      <c r="Q160" s="94">
        <f t="shared" si="38"/>
        <v>0</v>
      </c>
      <c r="R160" s="78"/>
      <c r="S160" s="79"/>
      <c r="T160" s="94">
        <f t="shared" si="39"/>
        <v>0</v>
      </c>
      <c r="U160" s="78"/>
      <c r="V160" s="79"/>
      <c r="W160" s="94">
        <f t="shared" si="40"/>
        <v>0</v>
      </c>
      <c r="X160" s="92">
        <f t="shared" si="41"/>
        <v>3</v>
      </c>
    </row>
    <row r="161" spans="5:24" ht="15.75" x14ac:dyDescent="0.25">
      <c r="E161" s="71"/>
      <c r="F161" s="78"/>
      <c r="G161" s="79"/>
      <c r="H161" s="94">
        <f t="shared" si="35"/>
        <v>0</v>
      </c>
      <c r="I161" s="78"/>
      <c r="J161" s="79"/>
      <c r="K161" s="94">
        <f t="shared" si="36"/>
        <v>0</v>
      </c>
      <c r="L161" s="78"/>
      <c r="M161" s="79"/>
      <c r="N161" s="94">
        <f t="shared" si="37"/>
        <v>0</v>
      </c>
      <c r="O161" s="78"/>
      <c r="P161" s="79"/>
      <c r="Q161" s="94">
        <f t="shared" si="38"/>
        <v>0</v>
      </c>
      <c r="R161" s="78"/>
      <c r="S161" s="79"/>
      <c r="T161" s="94">
        <f t="shared" si="39"/>
        <v>0</v>
      </c>
      <c r="U161" s="78"/>
      <c r="V161" s="79"/>
      <c r="W161" s="94">
        <f t="shared" si="40"/>
        <v>0</v>
      </c>
      <c r="X161" s="92">
        <f t="shared" si="41"/>
        <v>3</v>
      </c>
    </row>
    <row r="162" spans="5:24" ht="15.75" x14ac:dyDescent="0.25">
      <c r="E162" s="71"/>
      <c r="F162" s="78"/>
      <c r="G162" s="79"/>
      <c r="H162" s="94">
        <f t="shared" si="35"/>
        <v>0</v>
      </c>
      <c r="I162" s="78"/>
      <c r="J162" s="79"/>
      <c r="K162" s="94">
        <f t="shared" si="36"/>
        <v>0</v>
      </c>
      <c r="L162" s="78"/>
      <c r="M162" s="79"/>
      <c r="N162" s="94">
        <f t="shared" si="37"/>
        <v>0</v>
      </c>
      <c r="O162" s="78"/>
      <c r="P162" s="79"/>
      <c r="Q162" s="94">
        <f t="shared" si="38"/>
        <v>0</v>
      </c>
      <c r="R162" s="78"/>
      <c r="S162" s="79"/>
      <c r="T162" s="94">
        <f t="shared" si="39"/>
        <v>0</v>
      </c>
      <c r="U162" s="78"/>
      <c r="V162" s="79"/>
      <c r="W162" s="94">
        <f t="shared" si="40"/>
        <v>0</v>
      </c>
      <c r="X162" s="92">
        <f t="shared" si="41"/>
        <v>3</v>
      </c>
    </row>
    <row r="163" spans="5:24" ht="15.75" x14ac:dyDescent="0.25">
      <c r="E163" s="71"/>
      <c r="F163" s="78"/>
      <c r="G163" s="79"/>
      <c r="H163" s="94">
        <f t="shared" si="35"/>
        <v>0</v>
      </c>
      <c r="I163" s="78"/>
      <c r="J163" s="79"/>
      <c r="K163" s="94">
        <f t="shared" si="36"/>
        <v>0</v>
      </c>
      <c r="L163" s="78"/>
      <c r="M163" s="79"/>
      <c r="N163" s="94">
        <f t="shared" si="37"/>
        <v>0</v>
      </c>
      <c r="O163" s="78"/>
      <c r="P163" s="79"/>
      <c r="Q163" s="94">
        <f t="shared" si="38"/>
        <v>0</v>
      </c>
      <c r="R163" s="78"/>
      <c r="S163" s="79"/>
      <c r="T163" s="94">
        <f t="shared" si="39"/>
        <v>0</v>
      </c>
      <c r="U163" s="78"/>
      <c r="V163" s="79"/>
      <c r="W163" s="94">
        <f t="shared" si="40"/>
        <v>0</v>
      </c>
      <c r="X163" s="92">
        <f t="shared" si="41"/>
        <v>3</v>
      </c>
    </row>
    <row r="164" spans="5:24" ht="15.75" x14ac:dyDescent="0.25">
      <c r="E164" s="71"/>
      <c r="F164" s="78"/>
      <c r="G164" s="79"/>
      <c r="H164" s="94">
        <f t="shared" si="35"/>
        <v>0</v>
      </c>
      <c r="I164" s="78"/>
      <c r="J164" s="79"/>
      <c r="K164" s="94">
        <f t="shared" si="36"/>
        <v>0</v>
      </c>
      <c r="L164" s="78"/>
      <c r="M164" s="79"/>
      <c r="N164" s="94">
        <f t="shared" si="37"/>
        <v>0</v>
      </c>
      <c r="O164" s="78"/>
      <c r="P164" s="79"/>
      <c r="Q164" s="94">
        <f t="shared" si="38"/>
        <v>0</v>
      </c>
      <c r="R164" s="78"/>
      <c r="S164" s="79"/>
      <c r="T164" s="94">
        <f t="shared" si="39"/>
        <v>0</v>
      </c>
      <c r="U164" s="78"/>
      <c r="V164" s="79"/>
      <c r="W164" s="94">
        <f t="shared" si="40"/>
        <v>0</v>
      </c>
      <c r="X164" s="92">
        <f t="shared" si="41"/>
        <v>3</v>
      </c>
    </row>
    <row r="165" spans="5:24" ht="15.75" x14ac:dyDescent="0.25">
      <c r="E165" s="71"/>
      <c r="F165" s="78"/>
      <c r="G165" s="79"/>
      <c r="H165" s="94">
        <f t="shared" si="35"/>
        <v>0</v>
      </c>
      <c r="I165" s="78"/>
      <c r="J165" s="79"/>
      <c r="K165" s="94">
        <f t="shared" si="36"/>
        <v>0</v>
      </c>
      <c r="L165" s="78"/>
      <c r="M165" s="79"/>
      <c r="N165" s="94">
        <f t="shared" si="37"/>
        <v>0</v>
      </c>
      <c r="O165" s="78"/>
      <c r="P165" s="79"/>
      <c r="Q165" s="94">
        <f t="shared" si="38"/>
        <v>0</v>
      </c>
      <c r="R165" s="78"/>
      <c r="S165" s="79"/>
      <c r="T165" s="94">
        <f t="shared" si="39"/>
        <v>0</v>
      </c>
      <c r="U165" s="78"/>
      <c r="V165" s="79"/>
      <c r="W165" s="94">
        <f t="shared" si="40"/>
        <v>0</v>
      </c>
      <c r="X165" s="92">
        <f t="shared" si="41"/>
        <v>3</v>
      </c>
    </row>
    <row r="166" spans="5:24" ht="15.75" x14ac:dyDescent="0.25">
      <c r="E166" s="71"/>
      <c r="F166" s="78"/>
      <c r="G166" s="79"/>
      <c r="H166" s="94">
        <f t="shared" si="35"/>
        <v>0</v>
      </c>
      <c r="I166" s="78"/>
      <c r="J166" s="79"/>
      <c r="K166" s="94">
        <f t="shared" si="36"/>
        <v>0</v>
      </c>
      <c r="L166" s="78"/>
      <c r="M166" s="79"/>
      <c r="N166" s="94">
        <f t="shared" si="37"/>
        <v>0</v>
      </c>
      <c r="O166" s="78"/>
      <c r="P166" s="79"/>
      <c r="Q166" s="94">
        <f t="shared" si="38"/>
        <v>0</v>
      </c>
      <c r="R166" s="78"/>
      <c r="S166" s="79"/>
      <c r="T166" s="94">
        <f t="shared" si="39"/>
        <v>0</v>
      </c>
      <c r="U166" s="78"/>
      <c r="V166" s="79"/>
      <c r="W166" s="94">
        <f t="shared" si="40"/>
        <v>0</v>
      </c>
      <c r="X166" s="92">
        <f t="shared" si="41"/>
        <v>3</v>
      </c>
    </row>
    <row r="167" spans="5:24" ht="15.75" x14ac:dyDescent="0.25">
      <c r="E167" s="71"/>
      <c r="F167" s="78"/>
      <c r="G167" s="79"/>
      <c r="H167" s="94">
        <f t="shared" si="35"/>
        <v>0</v>
      </c>
      <c r="I167" s="78"/>
      <c r="J167" s="79"/>
      <c r="K167" s="94">
        <f t="shared" si="36"/>
        <v>0</v>
      </c>
      <c r="L167" s="78"/>
      <c r="M167" s="79"/>
      <c r="N167" s="94">
        <f t="shared" si="37"/>
        <v>0</v>
      </c>
      <c r="O167" s="78"/>
      <c r="P167" s="79"/>
      <c r="Q167" s="94">
        <f t="shared" si="38"/>
        <v>0</v>
      </c>
      <c r="R167" s="78"/>
      <c r="S167" s="79"/>
      <c r="T167" s="94">
        <f t="shared" si="39"/>
        <v>0</v>
      </c>
      <c r="U167" s="78"/>
      <c r="V167" s="79"/>
      <c r="W167" s="94">
        <f t="shared" si="40"/>
        <v>0</v>
      </c>
      <c r="X167" s="92">
        <f t="shared" si="41"/>
        <v>3</v>
      </c>
    </row>
    <row r="168" spans="5:24" ht="15.75" x14ac:dyDescent="0.25">
      <c r="E168" s="71"/>
      <c r="F168" s="78"/>
      <c r="G168" s="79"/>
      <c r="H168" s="94">
        <f t="shared" si="35"/>
        <v>0</v>
      </c>
      <c r="I168" s="78"/>
      <c r="J168" s="79"/>
      <c r="K168" s="94">
        <f t="shared" si="36"/>
        <v>0</v>
      </c>
      <c r="L168" s="78"/>
      <c r="M168" s="79"/>
      <c r="N168" s="94">
        <f t="shared" si="37"/>
        <v>0</v>
      </c>
      <c r="O168" s="78"/>
      <c r="P168" s="79"/>
      <c r="Q168" s="94">
        <f t="shared" si="38"/>
        <v>0</v>
      </c>
      <c r="R168" s="78"/>
      <c r="S168" s="79"/>
      <c r="T168" s="94">
        <f t="shared" si="39"/>
        <v>0</v>
      </c>
      <c r="U168" s="78"/>
      <c r="V168" s="79"/>
      <c r="W168" s="94">
        <f t="shared" si="40"/>
        <v>0</v>
      </c>
      <c r="X168" s="92">
        <f t="shared" si="41"/>
        <v>3</v>
      </c>
    </row>
    <row r="169" spans="5:24" ht="15.75" x14ac:dyDescent="0.25">
      <c r="E169" s="71"/>
      <c r="F169" s="78"/>
      <c r="G169" s="79"/>
      <c r="H169" s="94">
        <f t="shared" si="35"/>
        <v>0</v>
      </c>
      <c r="I169" s="78"/>
      <c r="J169" s="79"/>
      <c r="K169" s="94">
        <f t="shared" si="36"/>
        <v>0</v>
      </c>
      <c r="L169" s="78"/>
      <c r="M169" s="79"/>
      <c r="N169" s="94">
        <f t="shared" si="37"/>
        <v>0</v>
      </c>
      <c r="O169" s="78"/>
      <c r="P169" s="79"/>
      <c r="Q169" s="94">
        <f t="shared" si="38"/>
        <v>0</v>
      </c>
      <c r="R169" s="78"/>
      <c r="S169" s="79"/>
      <c r="T169" s="94">
        <f t="shared" si="39"/>
        <v>0</v>
      </c>
      <c r="U169" s="78"/>
      <c r="V169" s="79"/>
      <c r="W169" s="94">
        <f t="shared" si="40"/>
        <v>0</v>
      </c>
      <c r="X169" s="92">
        <f t="shared" si="41"/>
        <v>3</v>
      </c>
    </row>
    <row r="170" spans="5:24" ht="15.75" x14ac:dyDescent="0.25">
      <c r="E170" s="71"/>
      <c r="F170" s="78"/>
      <c r="G170" s="79"/>
      <c r="H170" s="94">
        <f t="shared" si="35"/>
        <v>0</v>
      </c>
      <c r="I170" s="78"/>
      <c r="J170" s="79"/>
      <c r="K170" s="94">
        <f t="shared" si="36"/>
        <v>0</v>
      </c>
      <c r="L170" s="78"/>
      <c r="M170" s="79"/>
      <c r="N170" s="94">
        <f t="shared" si="37"/>
        <v>0</v>
      </c>
      <c r="O170" s="78"/>
      <c r="P170" s="79"/>
      <c r="Q170" s="94">
        <f t="shared" si="38"/>
        <v>0</v>
      </c>
      <c r="R170" s="78"/>
      <c r="S170" s="79"/>
      <c r="T170" s="94">
        <f t="shared" si="39"/>
        <v>0</v>
      </c>
      <c r="U170" s="78"/>
      <c r="V170" s="79"/>
      <c r="W170" s="94">
        <f t="shared" si="40"/>
        <v>0</v>
      </c>
      <c r="X170" s="92">
        <f t="shared" si="41"/>
        <v>3</v>
      </c>
    </row>
    <row r="171" spans="5:24" ht="15.75" x14ac:dyDescent="0.25">
      <c r="E171" s="71"/>
      <c r="F171" s="78"/>
      <c r="G171" s="79"/>
      <c r="H171" s="94">
        <f t="shared" si="35"/>
        <v>0</v>
      </c>
      <c r="I171" s="78"/>
      <c r="J171" s="79"/>
      <c r="K171" s="94">
        <f t="shared" si="36"/>
        <v>0</v>
      </c>
      <c r="L171" s="78"/>
      <c r="M171" s="79"/>
      <c r="N171" s="94">
        <f t="shared" si="37"/>
        <v>0</v>
      </c>
      <c r="O171" s="78"/>
      <c r="P171" s="79"/>
      <c r="Q171" s="94">
        <f t="shared" si="38"/>
        <v>0</v>
      </c>
      <c r="R171" s="78"/>
      <c r="S171" s="79"/>
      <c r="T171" s="94">
        <f t="shared" si="39"/>
        <v>0</v>
      </c>
      <c r="U171" s="78"/>
      <c r="V171" s="79"/>
      <c r="W171" s="94">
        <f t="shared" si="40"/>
        <v>0</v>
      </c>
      <c r="X171" s="92">
        <f t="shared" si="41"/>
        <v>3</v>
      </c>
    </row>
    <row r="172" spans="5:24" ht="15.75" x14ac:dyDescent="0.25">
      <c r="E172" s="71"/>
      <c r="F172" s="78"/>
      <c r="G172" s="79"/>
      <c r="H172" s="94">
        <f t="shared" si="35"/>
        <v>0</v>
      </c>
      <c r="I172" s="78"/>
      <c r="J172" s="79"/>
      <c r="K172" s="94">
        <f t="shared" si="36"/>
        <v>0</v>
      </c>
      <c r="L172" s="78"/>
      <c r="M172" s="79"/>
      <c r="N172" s="94">
        <f t="shared" si="37"/>
        <v>0</v>
      </c>
      <c r="O172" s="78"/>
      <c r="P172" s="79"/>
      <c r="Q172" s="94">
        <f t="shared" si="38"/>
        <v>0</v>
      </c>
      <c r="R172" s="78"/>
      <c r="S172" s="79"/>
      <c r="T172" s="94">
        <f t="shared" si="39"/>
        <v>0</v>
      </c>
      <c r="U172" s="78"/>
      <c r="V172" s="79"/>
      <c r="W172" s="94">
        <f t="shared" si="40"/>
        <v>0</v>
      </c>
      <c r="X172" s="92">
        <f t="shared" si="41"/>
        <v>3</v>
      </c>
    </row>
    <row r="173" spans="5:24" ht="15.75" x14ac:dyDescent="0.25">
      <c r="E173" s="71"/>
      <c r="F173" s="78"/>
      <c r="G173" s="79"/>
      <c r="H173" s="94">
        <f t="shared" si="35"/>
        <v>0</v>
      </c>
      <c r="I173" s="78"/>
      <c r="J173" s="79"/>
      <c r="K173" s="94">
        <f t="shared" si="36"/>
        <v>0</v>
      </c>
      <c r="L173" s="78"/>
      <c r="M173" s="79"/>
      <c r="N173" s="94">
        <f t="shared" si="37"/>
        <v>0</v>
      </c>
      <c r="O173" s="78"/>
      <c r="P173" s="79"/>
      <c r="Q173" s="94">
        <f t="shared" si="38"/>
        <v>0</v>
      </c>
      <c r="R173" s="78"/>
      <c r="S173" s="79"/>
      <c r="T173" s="94">
        <f t="shared" si="39"/>
        <v>0</v>
      </c>
      <c r="U173" s="78"/>
      <c r="V173" s="79"/>
      <c r="W173" s="94">
        <f t="shared" si="40"/>
        <v>0</v>
      </c>
      <c r="X173" s="92">
        <f t="shared" si="41"/>
        <v>3</v>
      </c>
    </row>
    <row r="174" spans="5:24" ht="15.75" x14ac:dyDescent="0.25">
      <c r="E174" s="71"/>
      <c r="F174" s="78"/>
      <c r="G174" s="79"/>
      <c r="H174" s="94">
        <f t="shared" si="35"/>
        <v>0</v>
      </c>
      <c r="I174" s="78"/>
      <c r="J174" s="79"/>
      <c r="K174" s="94">
        <f t="shared" si="36"/>
        <v>0</v>
      </c>
      <c r="L174" s="78"/>
      <c r="M174" s="79"/>
      <c r="N174" s="94">
        <f t="shared" si="37"/>
        <v>0</v>
      </c>
      <c r="O174" s="78"/>
      <c r="P174" s="79"/>
      <c r="Q174" s="94">
        <f t="shared" si="38"/>
        <v>0</v>
      </c>
      <c r="R174" s="78"/>
      <c r="S174" s="79"/>
      <c r="T174" s="94">
        <f t="shared" si="39"/>
        <v>0</v>
      </c>
      <c r="U174" s="78"/>
      <c r="V174" s="79"/>
      <c r="W174" s="94">
        <f t="shared" si="40"/>
        <v>0</v>
      </c>
      <c r="X174" s="92">
        <f t="shared" si="41"/>
        <v>3</v>
      </c>
    </row>
    <row r="175" spans="5:24" ht="15.75" x14ac:dyDescent="0.25">
      <c r="E175" s="71"/>
      <c r="F175" s="78"/>
      <c r="G175" s="79"/>
      <c r="H175" s="94">
        <f t="shared" si="35"/>
        <v>0</v>
      </c>
      <c r="I175" s="78"/>
      <c r="J175" s="79"/>
      <c r="K175" s="94">
        <f t="shared" si="36"/>
        <v>0</v>
      </c>
      <c r="L175" s="78"/>
      <c r="M175" s="79"/>
      <c r="N175" s="94">
        <f t="shared" si="37"/>
        <v>0</v>
      </c>
      <c r="O175" s="78"/>
      <c r="P175" s="79"/>
      <c r="Q175" s="94">
        <f t="shared" si="38"/>
        <v>0</v>
      </c>
      <c r="R175" s="78"/>
      <c r="S175" s="79"/>
      <c r="T175" s="94">
        <f t="shared" si="39"/>
        <v>0</v>
      </c>
      <c r="U175" s="78"/>
      <c r="V175" s="79"/>
      <c r="W175" s="94">
        <f t="shared" si="40"/>
        <v>0</v>
      </c>
      <c r="X175" s="92">
        <f t="shared" si="41"/>
        <v>3</v>
      </c>
    </row>
    <row r="176" spans="5:24" ht="15.75" x14ac:dyDescent="0.25">
      <c r="E176" s="71"/>
      <c r="F176" s="78"/>
      <c r="G176" s="79"/>
      <c r="H176" s="94">
        <f t="shared" si="35"/>
        <v>0</v>
      </c>
      <c r="I176" s="78"/>
      <c r="J176" s="79"/>
      <c r="K176" s="94">
        <f t="shared" si="36"/>
        <v>0</v>
      </c>
      <c r="L176" s="78"/>
      <c r="M176" s="79"/>
      <c r="N176" s="94">
        <f t="shared" si="37"/>
        <v>0</v>
      </c>
      <c r="O176" s="78"/>
      <c r="P176" s="79"/>
      <c r="Q176" s="94">
        <f t="shared" si="38"/>
        <v>0</v>
      </c>
      <c r="R176" s="78"/>
      <c r="S176" s="79"/>
      <c r="T176" s="94">
        <f t="shared" si="39"/>
        <v>0</v>
      </c>
      <c r="U176" s="78"/>
      <c r="V176" s="79"/>
      <c r="W176" s="94">
        <f t="shared" si="40"/>
        <v>0</v>
      </c>
      <c r="X176" s="92">
        <f t="shared" si="41"/>
        <v>3</v>
      </c>
    </row>
    <row r="177" spans="4:24" ht="15.75" x14ac:dyDescent="0.25">
      <c r="E177" s="71"/>
      <c r="F177" s="78"/>
      <c r="G177" s="79"/>
      <c r="H177" s="94">
        <f t="shared" si="35"/>
        <v>0</v>
      </c>
      <c r="I177" s="78"/>
      <c r="J177" s="79"/>
      <c r="K177" s="94">
        <f t="shared" si="36"/>
        <v>0</v>
      </c>
      <c r="L177" s="78"/>
      <c r="M177" s="79"/>
      <c r="N177" s="94">
        <f t="shared" si="37"/>
        <v>0</v>
      </c>
      <c r="O177" s="78"/>
      <c r="P177" s="79"/>
      <c r="Q177" s="94">
        <f t="shared" si="38"/>
        <v>0</v>
      </c>
      <c r="R177" s="78"/>
      <c r="S177" s="79"/>
      <c r="T177" s="94">
        <f t="shared" si="39"/>
        <v>0</v>
      </c>
      <c r="U177" s="78"/>
      <c r="V177" s="79"/>
      <c r="W177" s="94">
        <f t="shared" si="40"/>
        <v>0</v>
      </c>
      <c r="X177" s="92">
        <f t="shared" si="41"/>
        <v>3</v>
      </c>
    </row>
    <row r="178" spans="4:24" ht="15.75" x14ac:dyDescent="0.25">
      <c r="E178" s="71"/>
      <c r="F178" s="78"/>
      <c r="G178" s="79"/>
      <c r="H178" s="94">
        <f t="shared" si="35"/>
        <v>0</v>
      </c>
      <c r="I178" s="78"/>
      <c r="J178" s="79"/>
      <c r="K178" s="94">
        <f t="shared" si="36"/>
        <v>0</v>
      </c>
      <c r="L178" s="78"/>
      <c r="M178" s="79"/>
      <c r="N178" s="94">
        <f t="shared" si="37"/>
        <v>0</v>
      </c>
      <c r="O178" s="78"/>
      <c r="P178" s="79"/>
      <c r="Q178" s="94">
        <f t="shared" si="38"/>
        <v>0</v>
      </c>
      <c r="R178" s="78"/>
      <c r="S178" s="79"/>
      <c r="T178" s="94">
        <f t="shared" si="39"/>
        <v>0</v>
      </c>
      <c r="U178" s="78"/>
      <c r="V178" s="79"/>
      <c r="W178" s="94">
        <f t="shared" si="40"/>
        <v>0</v>
      </c>
      <c r="X178" s="92">
        <f t="shared" si="41"/>
        <v>3</v>
      </c>
    </row>
    <row r="179" spans="4:24" ht="15.75" x14ac:dyDescent="0.25">
      <c r="E179" s="71"/>
      <c r="F179" s="78"/>
      <c r="G179" s="79"/>
      <c r="H179" s="94">
        <f t="shared" si="35"/>
        <v>0</v>
      </c>
      <c r="I179" s="78"/>
      <c r="J179" s="79"/>
      <c r="K179" s="94">
        <f t="shared" si="36"/>
        <v>0</v>
      </c>
      <c r="L179" s="78"/>
      <c r="M179" s="79"/>
      <c r="N179" s="94">
        <f t="shared" si="37"/>
        <v>0</v>
      </c>
      <c r="O179" s="78"/>
      <c r="P179" s="79"/>
      <c r="Q179" s="94">
        <f t="shared" si="38"/>
        <v>0</v>
      </c>
      <c r="R179" s="78"/>
      <c r="S179" s="79"/>
      <c r="T179" s="94">
        <f t="shared" si="39"/>
        <v>0</v>
      </c>
      <c r="U179" s="78"/>
      <c r="V179" s="79"/>
      <c r="W179" s="94">
        <f t="shared" si="40"/>
        <v>0</v>
      </c>
      <c r="X179" s="92">
        <f t="shared" si="41"/>
        <v>3</v>
      </c>
    </row>
    <row r="180" spans="4:24" ht="15.75" x14ac:dyDescent="0.25">
      <c r="E180" s="71"/>
      <c r="F180" s="78"/>
      <c r="G180" s="79"/>
      <c r="H180" s="94">
        <f t="shared" si="35"/>
        <v>0</v>
      </c>
      <c r="I180" s="78"/>
      <c r="J180" s="79"/>
      <c r="K180" s="94">
        <f t="shared" si="36"/>
        <v>0</v>
      </c>
      <c r="L180" s="78"/>
      <c r="M180" s="79"/>
      <c r="N180" s="94">
        <f t="shared" si="37"/>
        <v>0</v>
      </c>
      <c r="O180" s="78"/>
      <c r="P180" s="79"/>
      <c r="Q180" s="94">
        <f t="shared" si="38"/>
        <v>0</v>
      </c>
      <c r="R180" s="78"/>
      <c r="S180" s="79"/>
      <c r="T180" s="94">
        <f t="shared" si="39"/>
        <v>0</v>
      </c>
      <c r="U180" s="78"/>
      <c r="V180" s="79"/>
      <c r="W180" s="94">
        <f t="shared" si="40"/>
        <v>0</v>
      </c>
      <c r="X180" s="92">
        <f t="shared" si="41"/>
        <v>3</v>
      </c>
    </row>
    <row r="181" spans="4:24" ht="15.75" x14ac:dyDescent="0.25">
      <c r="E181" s="71"/>
      <c r="F181" s="78"/>
      <c r="G181" s="79"/>
      <c r="H181" s="94">
        <f t="shared" si="35"/>
        <v>0</v>
      </c>
      <c r="I181" s="78"/>
      <c r="J181" s="79"/>
      <c r="K181" s="94">
        <f t="shared" si="36"/>
        <v>0</v>
      </c>
      <c r="L181" s="78"/>
      <c r="M181" s="79"/>
      <c r="N181" s="94">
        <f t="shared" si="37"/>
        <v>0</v>
      </c>
      <c r="O181" s="78"/>
      <c r="P181" s="79"/>
      <c r="Q181" s="94">
        <f t="shared" si="38"/>
        <v>0</v>
      </c>
      <c r="R181" s="78"/>
      <c r="S181" s="79"/>
      <c r="T181" s="94">
        <f t="shared" si="39"/>
        <v>0</v>
      </c>
      <c r="U181" s="78"/>
      <c r="V181" s="79"/>
      <c r="W181" s="94">
        <f t="shared" si="40"/>
        <v>0</v>
      </c>
      <c r="X181" s="92">
        <f t="shared" si="41"/>
        <v>3</v>
      </c>
    </row>
    <row r="182" spans="4:24" ht="15.75" x14ac:dyDescent="0.25">
      <c r="E182" s="129" t="s">
        <v>390</v>
      </c>
      <c r="F182" s="99"/>
      <c r="G182" s="98"/>
      <c r="H182" s="95">
        <f>SUM(H157:H181)</f>
        <v>0</v>
      </c>
      <c r="I182" s="99"/>
      <c r="J182" s="98"/>
      <c r="K182" s="95">
        <f>SUM(K157:K181)</f>
        <v>0</v>
      </c>
      <c r="L182" s="99"/>
      <c r="M182" s="98"/>
      <c r="N182" s="95">
        <f>SUM(N157:N181)</f>
        <v>0</v>
      </c>
      <c r="O182" s="99"/>
      <c r="P182" s="98"/>
      <c r="Q182" s="95">
        <f>SUM(Q157:Q181)</f>
        <v>0</v>
      </c>
      <c r="R182" s="99"/>
      <c r="S182" s="98"/>
      <c r="T182" s="95">
        <f>SUM(T157:T181)</f>
        <v>0</v>
      </c>
      <c r="U182" s="99"/>
      <c r="V182" s="98"/>
      <c r="W182" s="95">
        <f>SUM(W157:W181)</f>
        <v>0</v>
      </c>
      <c r="X182" s="92"/>
    </row>
    <row r="183" spans="4:24" x14ac:dyDescent="0.25">
      <c r="U183" s="100"/>
    </row>
    <row r="184" spans="4:24" ht="15.75" x14ac:dyDescent="0.25">
      <c r="E184" s="665" t="s">
        <v>391</v>
      </c>
      <c r="F184" s="666"/>
      <c r="G184" s="667"/>
      <c r="H184" s="109">
        <f>H48+H91+H144+H154+H182</f>
        <v>0</v>
      </c>
      <c r="I184" s="109"/>
      <c r="J184" s="109"/>
      <c r="K184" s="109">
        <f>K48+K91+K144+K154+K182</f>
        <v>0</v>
      </c>
      <c r="L184" s="109"/>
      <c r="M184" s="109"/>
      <c r="N184" s="109">
        <f>N48+N91+N144+N154+N182</f>
        <v>0</v>
      </c>
      <c r="O184" s="109"/>
      <c r="P184" s="109"/>
      <c r="Q184" s="109">
        <f>Q48+Q91+Q144+Q154+Q182</f>
        <v>0</v>
      </c>
      <c r="R184" s="109"/>
      <c r="S184" s="109"/>
      <c r="T184" s="109">
        <f>T48+T91+T144+T154+T182</f>
        <v>0</v>
      </c>
      <c r="U184" s="109"/>
      <c r="V184" s="109"/>
      <c r="W184" s="109">
        <f>W48+W91+W144+W154+W182</f>
        <v>0</v>
      </c>
    </row>
    <row r="186" spans="4:24" ht="15.75" thickBot="1" x14ac:dyDescent="0.3"/>
    <row r="187" spans="4:24" ht="15" customHeight="1" x14ac:dyDescent="0.25">
      <c r="D187" s="648" t="s">
        <v>325</v>
      </c>
      <c r="E187" s="649"/>
      <c r="F187" s="649"/>
      <c r="G187" s="650"/>
    </row>
    <row r="188" spans="4:24" ht="15" customHeight="1" x14ac:dyDescent="0.25">
      <c r="D188" s="651"/>
      <c r="E188" s="652"/>
      <c r="F188" s="652"/>
      <c r="G188" s="653"/>
    </row>
    <row r="189" spans="4:24" ht="15" customHeight="1" x14ac:dyDescent="0.25">
      <c r="D189" s="651"/>
      <c r="E189" s="652"/>
      <c r="F189" s="652"/>
      <c r="G189" s="653"/>
    </row>
    <row r="190" spans="4:24" ht="15" customHeight="1" x14ac:dyDescent="0.25">
      <c r="D190" s="651"/>
      <c r="E190" s="652"/>
      <c r="F190" s="652"/>
      <c r="G190" s="653"/>
    </row>
    <row r="191" spans="4:24" ht="15" customHeight="1" thickBot="1" x14ac:dyDescent="0.3">
      <c r="D191" s="654"/>
      <c r="E191" s="655"/>
      <c r="F191" s="655"/>
      <c r="G191" s="656"/>
    </row>
    <row r="192" spans="4:24" ht="15" customHeight="1" x14ac:dyDescent="0.25">
      <c r="D192"/>
      <c r="E192"/>
      <c r="F192"/>
      <c r="G192"/>
    </row>
    <row r="194" spans="5:24" ht="15.75" x14ac:dyDescent="0.25">
      <c r="E194" s="660" t="s">
        <v>393</v>
      </c>
      <c r="F194" s="668" t="s">
        <v>59</v>
      </c>
      <c r="G194" s="668"/>
      <c r="H194" s="668"/>
      <c r="I194" s="668" t="s">
        <v>48</v>
      </c>
      <c r="J194" s="668"/>
      <c r="K194" s="668"/>
      <c r="L194" s="668" t="s">
        <v>49</v>
      </c>
      <c r="M194" s="668"/>
      <c r="N194" s="668"/>
      <c r="O194" s="668" t="s">
        <v>50</v>
      </c>
      <c r="P194" s="668"/>
      <c r="Q194" s="668"/>
      <c r="R194" s="668" t="s">
        <v>51</v>
      </c>
      <c r="S194" s="668"/>
      <c r="T194" s="668"/>
      <c r="U194" s="668" t="s">
        <v>52</v>
      </c>
      <c r="V194" s="668"/>
      <c r="W194" s="668"/>
      <c r="X194" s="102"/>
    </row>
    <row r="195" spans="5:24" ht="15.75" x14ac:dyDescent="0.25">
      <c r="E195" s="660"/>
      <c r="F195" s="101" t="s">
        <v>382</v>
      </c>
      <c r="G195" s="90" t="s">
        <v>383</v>
      </c>
      <c r="H195" s="90" t="s">
        <v>384</v>
      </c>
      <c r="I195" s="90" t="s">
        <v>382</v>
      </c>
      <c r="J195" s="90" t="s">
        <v>383</v>
      </c>
      <c r="K195" s="90" t="s">
        <v>384</v>
      </c>
      <c r="L195" s="90" t="s">
        <v>382</v>
      </c>
      <c r="M195" s="90" t="s">
        <v>383</v>
      </c>
      <c r="N195" s="90" t="s">
        <v>384</v>
      </c>
      <c r="O195" s="90" t="s">
        <v>382</v>
      </c>
      <c r="P195" s="90" t="s">
        <v>383</v>
      </c>
      <c r="Q195" s="90" t="s">
        <v>384</v>
      </c>
      <c r="R195" s="90" t="s">
        <v>382</v>
      </c>
      <c r="S195" s="90" t="s">
        <v>383</v>
      </c>
      <c r="T195" s="90" t="s">
        <v>384</v>
      </c>
      <c r="U195" s="90" t="s">
        <v>382</v>
      </c>
      <c r="V195" s="90" t="s">
        <v>383</v>
      </c>
      <c r="W195" s="90" t="s">
        <v>384</v>
      </c>
      <c r="X195" s="90" t="s">
        <v>394</v>
      </c>
    </row>
    <row r="196" spans="5:24" ht="15.75" x14ac:dyDescent="0.25">
      <c r="E196" s="91" t="s">
        <v>280</v>
      </c>
      <c r="F196" s="78"/>
      <c r="G196" s="79"/>
      <c r="H196" s="94">
        <f>F196*G196</f>
        <v>0</v>
      </c>
      <c r="I196" s="78"/>
      <c r="J196" s="79"/>
      <c r="K196" s="94">
        <f>I196*J196</f>
        <v>0</v>
      </c>
      <c r="L196" s="78"/>
      <c r="M196" s="79"/>
      <c r="N196" s="94">
        <f>L196*M196</f>
        <v>0</v>
      </c>
      <c r="O196" s="78"/>
      <c r="P196" s="79"/>
      <c r="Q196" s="94">
        <f>O196*P196</f>
        <v>0</v>
      </c>
      <c r="R196" s="78"/>
      <c r="S196" s="79"/>
      <c r="T196" s="94">
        <f>R196*S196</f>
        <v>0</v>
      </c>
      <c r="U196" s="78"/>
      <c r="V196" s="79"/>
      <c r="W196" s="94">
        <f>U196*V196</f>
        <v>0</v>
      </c>
      <c r="X196" s="92">
        <f>BASES!G33</f>
        <v>1</v>
      </c>
    </row>
    <row r="197" spans="5:24" ht="15.75" x14ac:dyDescent="0.25">
      <c r="E197" s="71"/>
      <c r="F197" s="78"/>
      <c r="G197" s="79"/>
      <c r="H197" s="94">
        <f t="shared" ref="H197:H211" si="42">F197*G197</f>
        <v>0</v>
      </c>
      <c r="I197" s="78"/>
      <c r="J197" s="79"/>
      <c r="K197" s="94">
        <f t="shared" ref="K197:K211" si="43">I197*J197</f>
        <v>0</v>
      </c>
      <c r="L197" s="78"/>
      <c r="M197" s="79"/>
      <c r="N197" s="94">
        <f t="shared" ref="N197:N211" si="44">L197*M197</f>
        <v>0</v>
      </c>
      <c r="O197" s="78"/>
      <c r="P197" s="79"/>
      <c r="Q197" s="94">
        <f t="shared" ref="Q197:Q211" si="45">O197*P197</f>
        <v>0</v>
      </c>
      <c r="R197" s="78"/>
      <c r="S197" s="79"/>
      <c r="T197" s="94">
        <f t="shared" ref="T197:T211" si="46">R197*S197</f>
        <v>0</v>
      </c>
      <c r="U197" s="78"/>
      <c r="V197" s="79"/>
      <c r="W197" s="94">
        <f t="shared" ref="W197:W211" si="47">U197*V197</f>
        <v>0</v>
      </c>
      <c r="X197" s="92">
        <f>X196</f>
        <v>1</v>
      </c>
    </row>
    <row r="198" spans="5:24" ht="15.75" x14ac:dyDescent="0.25">
      <c r="E198" s="71"/>
      <c r="F198" s="78"/>
      <c r="G198" s="79"/>
      <c r="H198" s="94">
        <f t="shared" si="42"/>
        <v>0</v>
      </c>
      <c r="I198" s="78"/>
      <c r="J198" s="79"/>
      <c r="K198" s="94">
        <f t="shared" si="43"/>
        <v>0</v>
      </c>
      <c r="L198" s="78"/>
      <c r="M198" s="79"/>
      <c r="N198" s="94">
        <f t="shared" si="44"/>
        <v>0</v>
      </c>
      <c r="O198" s="78"/>
      <c r="P198" s="79"/>
      <c r="Q198" s="94">
        <f t="shared" si="45"/>
        <v>0</v>
      </c>
      <c r="R198" s="78"/>
      <c r="S198" s="79"/>
      <c r="T198" s="94">
        <f t="shared" si="46"/>
        <v>0</v>
      </c>
      <c r="U198" s="78"/>
      <c r="V198" s="79"/>
      <c r="W198" s="94">
        <f t="shared" si="47"/>
        <v>0</v>
      </c>
      <c r="X198" s="92">
        <f t="shared" ref="X198:X211" si="48">X197</f>
        <v>1</v>
      </c>
    </row>
    <row r="199" spans="5:24" ht="15.75" x14ac:dyDescent="0.25">
      <c r="E199" s="71"/>
      <c r="F199" s="78"/>
      <c r="G199" s="79"/>
      <c r="H199" s="94">
        <f t="shared" si="42"/>
        <v>0</v>
      </c>
      <c r="I199" s="78"/>
      <c r="J199" s="79"/>
      <c r="K199" s="94">
        <f t="shared" si="43"/>
        <v>0</v>
      </c>
      <c r="L199" s="78"/>
      <c r="M199" s="79"/>
      <c r="N199" s="94">
        <f t="shared" si="44"/>
        <v>0</v>
      </c>
      <c r="O199" s="78"/>
      <c r="P199" s="79"/>
      <c r="Q199" s="94">
        <f t="shared" si="45"/>
        <v>0</v>
      </c>
      <c r="R199" s="78"/>
      <c r="S199" s="79"/>
      <c r="T199" s="94">
        <f t="shared" si="46"/>
        <v>0</v>
      </c>
      <c r="U199" s="78"/>
      <c r="V199" s="79"/>
      <c r="W199" s="94">
        <f t="shared" si="47"/>
        <v>0</v>
      </c>
      <c r="X199" s="92">
        <f t="shared" si="48"/>
        <v>1</v>
      </c>
    </row>
    <row r="200" spans="5:24" ht="15.75" x14ac:dyDescent="0.25">
      <c r="E200" s="71"/>
      <c r="F200" s="78"/>
      <c r="G200" s="79"/>
      <c r="H200" s="94">
        <f t="shared" si="42"/>
        <v>0</v>
      </c>
      <c r="I200" s="78"/>
      <c r="J200" s="79"/>
      <c r="K200" s="94">
        <f t="shared" si="43"/>
        <v>0</v>
      </c>
      <c r="L200" s="78"/>
      <c r="M200" s="79"/>
      <c r="N200" s="94">
        <f t="shared" si="44"/>
        <v>0</v>
      </c>
      <c r="O200" s="78"/>
      <c r="P200" s="79"/>
      <c r="Q200" s="94">
        <f t="shared" si="45"/>
        <v>0</v>
      </c>
      <c r="R200" s="78"/>
      <c r="S200" s="79"/>
      <c r="T200" s="94">
        <f t="shared" si="46"/>
        <v>0</v>
      </c>
      <c r="U200" s="78"/>
      <c r="V200" s="79"/>
      <c r="W200" s="94">
        <f t="shared" si="47"/>
        <v>0</v>
      </c>
      <c r="X200" s="92">
        <f t="shared" si="48"/>
        <v>1</v>
      </c>
    </row>
    <row r="201" spans="5:24" ht="15.75" x14ac:dyDescent="0.25">
      <c r="E201" s="71"/>
      <c r="F201" s="78"/>
      <c r="G201" s="79"/>
      <c r="H201" s="94">
        <f t="shared" si="42"/>
        <v>0</v>
      </c>
      <c r="I201" s="78"/>
      <c r="J201" s="79"/>
      <c r="K201" s="94">
        <f t="shared" si="43"/>
        <v>0</v>
      </c>
      <c r="L201" s="78"/>
      <c r="M201" s="79"/>
      <c r="N201" s="94">
        <f t="shared" si="44"/>
        <v>0</v>
      </c>
      <c r="O201" s="78"/>
      <c r="P201" s="79"/>
      <c r="Q201" s="94">
        <f t="shared" si="45"/>
        <v>0</v>
      </c>
      <c r="R201" s="78"/>
      <c r="S201" s="79"/>
      <c r="T201" s="94">
        <f t="shared" si="46"/>
        <v>0</v>
      </c>
      <c r="U201" s="78"/>
      <c r="V201" s="79"/>
      <c r="W201" s="94">
        <f t="shared" si="47"/>
        <v>0</v>
      </c>
      <c r="X201" s="92">
        <f t="shared" si="48"/>
        <v>1</v>
      </c>
    </row>
    <row r="202" spans="5:24" ht="15.75" x14ac:dyDescent="0.25">
      <c r="E202" s="71"/>
      <c r="F202" s="78"/>
      <c r="G202" s="79"/>
      <c r="H202" s="94">
        <f t="shared" si="42"/>
        <v>0</v>
      </c>
      <c r="I202" s="78"/>
      <c r="J202" s="79"/>
      <c r="K202" s="94">
        <f t="shared" si="43"/>
        <v>0</v>
      </c>
      <c r="L202" s="78"/>
      <c r="M202" s="79"/>
      <c r="N202" s="94">
        <f t="shared" si="44"/>
        <v>0</v>
      </c>
      <c r="O202" s="78"/>
      <c r="P202" s="79"/>
      <c r="Q202" s="94">
        <f t="shared" si="45"/>
        <v>0</v>
      </c>
      <c r="R202" s="78"/>
      <c r="S202" s="79"/>
      <c r="T202" s="94">
        <f t="shared" si="46"/>
        <v>0</v>
      </c>
      <c r="U202" s="78"/>
      <c r="V202" s="79"/>
      <c r="W202" s="94">
        <f t="shared" si="47"/>
        <v>0</v>
      </c>
      <c r="X202" s="92">
        <f t="shared" si="48"/>
        <v>1</v>
      </c>
    </row>
    <row r="203" spans="5:24" ht="15.75" x14ac:dyDescent="0.25">
      <c r="E203" s="71"/>
      <c r="F203" s="78"/>
      <c r="G203" s="79"/>
      <c r="H203" s="94">
        <f t="shared" si="42"/>
        <v>0</v>
      </c>
      <c r="I203" s="78"/>
      <c r="J203" s="79"/>
      <c r="K203" s="94">
        <f t="shared" si="43"/>
        <v>0</v>
      </c>
      <c r="L203" s="78"/>
      <c r="M203" s="79"/>
      <c r="N203" s="94">
        <f t="shared" si="44"/>
        <v>0</v>
      </c>
      <c r="O203" s="78"/>
      <c r="P203" s="79"/>
      <c r="Q203" s="94">
        <f t="shared" si="45"/>
        <v>0</v>
      </c>
      <c r="R203" s="78"/>
      <c r="S203" s="79"/>
      <c r="T203" s="94">
        <f t="shared" si="46"/>
        <v>0</v>
      </c>
      <c r="U203" s="78"/>
      <c r="V203" s="79"/>
      <c r="W203" s="94">
        <f t="shared" si="47"/>
        <v>0</v>
      </c>
      <c r="X203" s="92">
        <f t="shared" si="48"/>
        <v>1</v>
      </c>
    </row>
    <row r="204" spans="5:24" ht="15.75" x14ac:dyDescent="0.25">
      <c r="E204" s="71"/>
      <c r="F204" s="78"/>
      <c r="G204" s="79"/>
      <c r="H204" s="94">
        <f t="shared" si="42"/>
        <v>0</v>
      </c>
      <c r="I204" s="78"/>
      <c r="J204" s="79"/>
      <c r="K204" s="94">
        <f t="shared" si="43"/>
        <v>0</v>
      </c>
      <c r="L204" s="78"/>
      <c r="M204" s="79"/>
      <c r="N204" s="94">
        <f t="shared" si="44"/>
        <v>0</v>
      </c>
      <c r="O204" s="78"/>
      <c r="P204" s="79"/>
      <c r="Q204" s="94">
        <f t="shared" si="45"/>
        <v>0</v>
      </c>
      <c r="R204" s="78"/>
      <c r="S204" s="79"/>
      <c r="T204" s="94">
        <f t="shared" si="46"/>
        <v>0</v>
      </c>
      <c r="U204" s="78"/>
      <c r="V204" s="79"/>
      <c r="W204" s="94">
        <f t="shared" si="47"/>
        <v>0</v>
      </c>
      <c r="X204" s="92">
        <f t="shared" si="48"/>
        <v>1</v>
      </c>
    </row>
    <row r="205" spans="5:24" ht="15.75" x14ac:dyDescent="0.25">
      <c r="E205" s="71"/>
      <c r="F205" s="78"/>
      <c r="G205" s="79"/>
      <c r="H205" s="94">
        <f t="shared" si="42"/>
        <v>0</v>
      </c>
      <c r="I205" s="78"/>
      <c r="J205" s="79"/>
      <c r="K205" s="94">
        <f t="shared" si="43"/>
        <v>0</v>
      </c>
      <c r="L205" s="78"/>
      <c r="M205" s="79"/>
      <c r="N205" s="94">
        <f t="shared" si="44"/>
        <v>0</v>
      </c>
      <c r="O205" s="78"/>
      <c r="P205" s="79"/>
      <c r="Q205" s="94">
        <f t="shared" si="45"/>
        <v>0</v>
      </c>
      <c r="R205" s="78"/>
      <c r="S205" s="79"/>
      <c r="T205" s="94">
        <f t="shared" si="46"/>
        <v>0</v>
      </c>
      <c r="U205" s="78"/>
      <c r="V205" s="79"/>
      <c r="W205" s="94">
        <f t="shared" si="47"/>
        <v>0</v>
      </c>
      <c r="X205" s="92">
        <f t="shared" si="48"/>
        <v>1</v>
      </c>
    </row>
    <row r="206" spans="5:24" ht="15.75" x14ac:dyDescent="0.25">
      <c r="E206" s="71"/>
      <c r="F206" s="78"/>
      <c r="G206" s="79"/>
      <c r="H206" s="94">
        <f t="shared" si="42"/>
        <v>0</v>
      </c>
      <c r="I206" s="78"/>
      <c r="J206" s="79"/>
      <c r="K206" s="94">
        <f t="shared" si="43"/>
        <v>0</v>
      </c>
      <c r="L206" s="78"/>
      <c r="M206" s="79"/>
      <c r="N206" s="94">
        <f t="shared" si="44"/>
        <v>0</v>
      </c>
      <c r="O206" s="78"/>
      <c r="P206" s="79"/>
      <c r="Q206" s="94">
        <f t="shared" si="45"/>
        <v>0</v>
      </c>
      <c r="R206" s="78"/>
      <c r="S206" s="79"/>
      <c r="T206" s="94">
        <f t="shared" si="46"/>
        <v>0</v>
      </c>
      <c r="U206" s="78"/>
      <c r="V206" s="79"/>
      <c r="W206" s="94">
        <f t="shared" si="47"/>
        <v>0</v>
      </c>
      <c r="X206" s="92">
        <f t="shared" si="48"/>
        <v>1</v>
      </c>
    </row>
    <row r="207" spans="5:24" ht="15.75" x14ac:dyDescent="0.25">
      <c r="E207" s="71"/>
      <c r="F207" s="78"/>
      <c r="G207" s="79"/>
      <c r="H207" s="94">
        <f t="shared" si="42"/>
        <v>0</v>
      </c>
      <c r="I207" s="78"/>
      <c r="J207" s="79"/>
      <c r="K207" s="94">
        <f t="shared" si="43"/>
        <v>0</v>
      </c>
      <c r="L207" s="78"/>
      <c r="M207" s="79"/>
      <c r="N207" s="94">
        <f t="shared" si="44"/>
        <v>0</v>
      </c>
      <c r="O207" s="78"/>
      <c r="P207" s="79"/>
      <c r="Q207" s="94">
        <f t="shared" si="45"/>
        <v>0</v>
      </c>
      <c r="R207" s="78"/>
      <c r="S207" s="79"/>
      <c r="T207" s="94">
        <f t="shared" si="46"/>
        <v>0</v>
      </c>
      <c r="U207" s="78"/>
      <c r="V207" s="79"/>
      <c r="W207" s="94">
        <f t="shared" si="47"/>
        <v>0</v>
      </c>
      <c r="X207" s="92">
        <f t="shared" si="48"/>
        <v>1</v>
      </c>
    </row>
    <row r="208" spans="5:24" ht="15.75" x14ac:dyDescent="0.25">
      <c r="E208" s="71"/>
      <c r="F208" s="78"/>
      <c r="G208" s="79"/>
      <c r="H208" s="94">
        <f t="shared" si="42"/>
        <v>0</v>
      </c>
      <c r="I208" s="78"/>
      <c r="J208" s="79"/>
      <c r="K208" s="94">
        <f t="shared" si="43"/>
        <v>0</v>
      </c>
      <c r="L208" s="78"/>
      <c r="M208" s="79"/>
      <c r="N208" s="94">
        <f t="shared" si="44"/>
        <v>0</v>
      </c>
      <c r="O208" s="78"/>
      <c r="P208" s="79"/>
      <c r="Q208" s="94">
        <f t="shared" si="45"/>
        <v>0</v>
      </c>
      <c r="R208" s="78"/>
      <c r="S208" s="79"/>
      <c r="T208" s="94">
        <f t="shared" si="46"/>
        <v>0</v>
      </c>
      <c r="U208" s="78"/>
      <c r="V208" s="79"/>
      <c r="W208" s="94">
        <f t="shared" si="47"/>
        <v>0</v>
      </c>
      <c r="X208" s="92">
        <f t="shared" si="48"/>
        <v>1</v>
      </c>
    </row>
    <row r="209" spans="5:24" ht="15.75" x14ac:dyDescent="0.25">
      <c r="E209" s="71"/>
      <c r="F209" s="78"/>
      <c r="G209" s="79"/>
      <c r="H209" s="94">
        <f t="shared" si="42"/>
        <v>0</v>
      </c>
      <c r="I209" s="78"/>
      <c r="J209" s="79"/>
      <c r="K209" s="94">
        <f t="shared" si="43"/>
        <v>0</v>
      </c>
      <c r="L209" s="78"/>
      <c r="M209" s="79"/>
      <c r="N209" s="94">
        <f t="shared" si="44"/>
        <v>0</v>
      </c>
      <c r="O209" s="78"/>
      <c r="P209" s="79"/>
      <c r="Q209" s="94">
        <f t="shared" si="45"/>
        <v>0</v>
      </c>
      <c r="R209" s="78"/>
      <c r="S209" s="79"/>
      <c r="T209" s="94">
        <f t="shared" si="46"/>
        <v>0</v>
      </c>
      <c r="U209" s="78"/>
      <c r="V209" s="79"/>
      <c r="W209" s="94">
        <f t="shared" si="47"/>
        <v>0</v>
      </c>
      <c r="X209" s="92">
        <f t="shared" si="48"/>
        <v>1</v>
      </c>
    </row>
    <row r="210" spans="5:24" ht="15.75" x14ac:dyDescent="0.25">
      <c r="E210" s="71"/>
      <c r="F210" s="78"/>
      <c r="G210" s="79"/>
      <c r="H210" s="94">
        <f t="shared" si="42"/>
        <v>0</v>
      </c>
      <c r="I210" s="78"/>
      <c r="J210" s="79"/>
      <c r="K210" s="94">
        <f t="shared" si="43"/>
        <v>0</v>
      </c>
      <c r="L210" s="78"/>
      <c r="M210" s="79"/>
      <c r="N210" s="94">
        <f t="shared" si="44"/>
        <v>0</v>
      </c>
      <c r="O210" s="78"/>
      <c r="P210" s="79"/>
      <c r="Q210" s="94">
        <f t="shared" si="45"/>
        <v>0</v>
      </c>
      <c r="R210" s="78"/>
      <c r="S210" s="79"/>
      <c r="T210" s="94">
        <f t="shared" si="46"/>
        <v>0</v>
      </c>
      <c r="U210" s="78"/>
      <c r="V210" s="79"/>
      <c r="W210" s="94">
        <f t="shared" si="47"/>
        <v>0</v>
      </c>
      <c r="X210" s="92">
        <f t="shared" si="48"/>
        <v>1</v>
      </c>
    </row>
    <row r="211" spans="5:24" ht="15.75" x14ac:dyDescent="0.25">
      <c r="E211" s="71"/>
      <c r="F211" s="78"/>
      <c r="G211" s="79"/>
      <c r="H211" s="94">
        <f t="shared" si="42"/>
        <v>0</v>
      </c>
      <c r="I211" s="78"/>
      <c r="J211" s="79"/>
      <c r="K211" s="94">
        <f t="shared" si="43"/>
        <v>0</v>
      </c>
      <c r="L211" s="78"/>
      <c r="M211" s="79"/>
      <c r="N211" s="94">
        <f t="shared" si="44"/>
        <v>0</v>
      </c>
      <c r="O211" s="78"/>
      <c r="P211" s="79"/>
      <c r="Q211" s="94">
        <f t="shared" si="45"/>
        <v>0</v>
      </c>
      <c r="R211" s="78"/>
      <c r="S211" s="79"/>
      <c r="T211" s="94">
        <f t="shared" si="46"/>
        <v>0</v>
      </c>
      <c r="U211" s="78"/>
      <c r="V211" s="79"/>
      <c r="W211" s="94">
        <f t="shared" si="47"/>
        <v>0</v>
      </c>
      <c r="X211" s="92">
        <f t="shared" si="48"/>
        <v>1</v>
      </c>
    </row>
    <row r="212" spans="5:24" ht="15.75" x14ac:dyDescent="0.25">
      <c r="E212" s="90" t="s">
        <v>67</v>
      </c>
      <c r="F212" s="99"/>
      <c r="G212" s="98"/>
      <c r="H212" s="95">
        <f>SUM(H196:H211)</f>
        <v>0</v>
      </c>
      <c r="I212" s="99"/>
      <c r="J212" s="98"/>
      <c r="K212" s="95">
        <f>SUM(K196:K210)</f>
        <v>0</v>
      </c>
      <c r="L212" s="99"/>
      <c r="M212" s="98"/>
      <c r="N212" s="95">
        <f>SUM(N196:N211)</f>
        <v>0</v>
      </c>
      <c r="O212" s="99"/>
      <c r="P212" s="98"/>
      <c r="Q212" s="95">
        <f>SUM(Q196:Q211)</f>
        <v>0</v>
      </c>
      <c r="R212" s="99"/>
      <c r="S212" s="98"/>
      <c r="T212" s="95">
        <f>SUM(T196:T211)</f>
        <v>0</v>
      </c>
      <c r="U212" s="99"/>
      <c r="V212" s="98"/>
      <c r="W212" s="95">
        <f>SUM(W196:W211)</f>
        <v>0</v>
      </c>
      <c r="X212" s="103"/>
    </row>
    <row r="214" spans="5:24" ht="15.75" x14ac:dyDescent="0.25">
      <c r="E214" s="97" t="s">
        <v>395</v>
      </c>
      <c r="F214" s="101" t="s">
        <v>382</v>
      </c>
      <c r="G214" s="90" t="s">
        <v>383</v>
      </c>
      <c r="H214" s="90" t="s">
        <v>384</v>
      </c>
      <c r="I214" s="101" t="s">
        <v>382</v>
      </c>
      <c r="J214" s="90" t="s">
        <v>383</v>
      </c>
      <c r="K214" s="90" t="s">
        <v>384</v>
      </c>
      <c r="L214" s="101" t="s">
        <v>382</v>
      </c>
      <c r="M214" s="90" t="s">
        <v>383</v>
      </c>
      <c r="N214" s="90" t="s">
        <v>384</v>
      </c>
      <c r="O214" s="101" t="s">
        <v>382</v>
      </c>
      <c r="P214" s="90" t="s">
        <v>383</v>
      </c>
      <c r="Q214" s="90" t="s">
        <v>384</v>
      </c>
      <c r="R214" s="101" t="s">
        <v>382</v>
      </c>
      <c r="S214" s="90" t="s">
        <v>383</v>
      </c>
      <c r="T214" s="90" t="s">
        <v>384</v>
      </c>
      <c r="U214" s="101" t="s">
        <v>382</v>
      </c>
      <c r="V214" s="90" t="s">
        <v>383</v>
      </c>
      <c r="W214" s="90" t="s">
        <v>384</v>
      </c>
      <c r="X214" s="90" t="s">
        <v>387</v>
      </c>
    </row>
    <row r="215" spans="5:24" ht="15.75" x14ac:dyDescent="0.25">
      <c r="E215" s="71"/>
      <c r="F215" s="78"/>
      <c r="G215" s="79"/>
      <c r="H215" s="94">
        <f>F215*G215</f>
        <v>0</v>
      </c>
      <c r="I215" s="78"/>
      <c r="J215" s="79"/>
      <c r="K215" s="94">
        <f>I215*J215</f>
        <v>0</v>
      </c>
      <c r="L215" s="78"/>
      <c r="M215" s="79"/>
      <c r="N215" s="94">
        <f>L215*M215</f>
        <v>0</v>
      </c>
      <c r="O215" s="78"/>
      <c r="P215" s="79"/>
      <c r="Q215" s="94">
        <f>O215*P215</f>
        <v>0</v>
      </c>
      <c r="R215" s="78"/>
      <c r="S215" s="79"/>
      <c r="T215" s="94">
        <f>R215*S215</f>
        <v>0</v>
      </c>
      <c r="U215" s="78"/>
      <c r="V215" s="79"/>
      <c r="W215" s="94">
        <f>U215*V215</f>
        <v>0</v>
      </c>
      <c r="X215" s="92">
        <f>BASES!G34</f>
        <v>10</v>
      </c>
    </row>
    <row r="216" spans="5:24" ht="15.75" x14ac:dyDescent="0.25">
      <c r="E216" s="71"/>
      <c r="F216" s="78"/>
      <c r="G216" s="79"/>
      <c r="H216" s="94">
        <f t="shared" ref="H216:H230" si="49">F216*G216</f>
        <v>0</v>
      </c>
      <c r="I216" s="78"/>
      <c r="J216" s="79"/>
      <c r="K216" s="94">
        <f t="shared" ref="K216:K230" si="50">I216*J216</f>
        <v>0</v>
      </c>
      <c r="L216" s="78"/>
      <c r="M216" s="79"/>
      <c r="N216" s="94">
        <f t="shared" ref="N216:N230" si="51">L216*M216</f>
        <v>0</v>
      </c>
      <c r="O216" s="78"/>
      <c r="P216" s="79"/>
      <c r="Q216" s="94">
        <f t="shared" ref="Q216:Q230" si="52">O216*P216</f>
        <v>0</v>
      </c>
      <c r="R216" s="78"/>
      <c r="S216" s="79"/>
      <c r="T216" s="94">
        <f t="shared" ref="T216:T230" si="53">R216*S216</f>
        <v>0</v>
      </c>
      <c r="U216" s="78"/>
      <c r="V216" s="79"/>
      <c r="W216" s="94">
        <f t="shared" ref="W216:W230" si="54">U216*V216</f>
        <v>0</v>
      </c>
      <c r="X216" s="92">
        <f>X215</f>
        <v>10</v>
      </c>
    </row>
    <row r="217" spans="5:24" ht="15.75" x14ac:dyDescent="0.25">
      <c r="E217" s="71"/>
      <c r="F217" s="78"/>
      <c r="G217" s="79"/>
      <c r="H217" s="94">
        <f t="shared" si="49"/>
        <v>0</v>
      </c>
      <c r="I217" s="78"/>
      <c r="J217" s="79"/>
      <c r="K217" s="94">
        <f t="shared" si="50"/>
        <v>0</v>
      </c>
      <c r="L217" s="78"/>
      <c r="M217" s="79"/>
      <c r="N217" s="94">
        <f t="shared" si="51"/>
        <v>0</v>
      </c>
      <c r="O217" s="78"/>
      <c r="P217" s="79"/>
      <c r="Q217" s="94">
        <f t="shared" si="52"/>
        <v>0</v>
      </c>
      <c r="R217" s="78"/>
      <c r="S217" s="79"/>
      <c r="T217" s="94">
        <f t="shared" si="53"/>
        <v>0</v>
      </c>
      <c r="U217" s="78"/>
      <c r="V217" s="79"/>
      <c r="W217" s="94">
        <f t="shared" si="54"/>
        <v>0</v>
      </c>
      <c r="X217" s="92">
        <f t="shared" ref="X217:X230" si="55">X216</f>
        <v>10</v>
      </c>
    </row>
    <row r="218" spans="5:24" ht="15.75" x14ac:dyDescent="0.25">
      <c r="E218" s="71"/>
      <c r="F218" s="78"/>
      <c r="G218" s="79"/>
      <c r="H218" s="94">
        <f t="shared" si="49"/>
        <v>0</v>
      </c>
      <c r="I218" s="78"/>
      <c r="J218" s="79"/>
      <c r="K218" s="94">
        <f t="shared" si="50"/>
        <v>0</v>
      </c>
      <c r="L218" s="78"/>
      <c r="M218" s="79"/>
      <c r="N218" s="94">
        <f t="shared" si="51"/>
        <v>0</v>
      </c>
      <c r="O218" s="78"/>
      <c r="P218" s="79"/>
      <c r="Q218" s="94">
        <f t="shared" si="52"/>
        <v>0</v>
      </c>
      <c r="R218" s="78"/>
      <c r="S218" s="79"/>
      <c r="T218" s="94">
        <f t="shared" si="53"/>
        <v>0</v>
      </c>
      <c r="U218" s="78"/>
      <c r="V218" s="79"/>
      <c r="W218" s="94">
        <f t="shared" si="54"/>
        <v>0</v>
      </c>
      <c r="X218" s="92">
        <f t="shared" si="55"/>
        <v>10</v>
      </c>
    </row>
    <row r="219" spans="5:24" ht="15.75" x14ac:dyDescent="0.25">
      <c r="E219" s="71"/>
      <c r="F219" s="78"/>
      <c r="G219" s="79"/>
      <c r="H219" s="94">
        <f t="shared" si="49"/>
        <v>0</v>
      </c>
      <c r="I219" s="78"/>
      <c r="J219" s="79"/>
      <c r="K219" s="94">
        <f t="shared" si="50"/>
        <v>0</v>
      </c>
      <c r="L219" s="78"/>
      <c r="M219" s="79"/>
      <c r="N219" s="94">
        <f t="shared" si="51"/>
        <v>0</v>
      </c>
      <c r="O219" s="78"/>
      <c r="P219" s="79"/>
      <c r="Q219" s="94">
        <f t="shared" si="52"/>
        <v>0</v>
      </c>
      <c r="R219" s="78"/>
      <c r="S219" s="79"/>
      <c r="T219" s="94">
        <f t="shared" si="53"/>
        <v>0</v>
      </c>
      <c r="U219" s="78"/>
      <c r="V219" s="79"/>
      <c r="W219" s="94">
        <f t="shared" si="54"/>
        <v>0</v>
      </c>
      <c r="X219" s="92">
        <f t="shared" si="55"/>
        <v>10</v>
      </c>
    </row>
    <row r="220" spans="5:24" ht="15.75" x14ac:dyDescent="0.25">
      <c r="E220" s="71"/>
      <c r="F220" s="78"/>
      <c r="G220" s="79"/>
      <c r="H220" s="94">
        <f t="shared" si="49"/>
        <v>0</v>
      </c>
      <c r="I220" s="78"/>
      <c r="J220" s="79"/>
      <c r="K220" s="94">
        <f t="shared" si="50"/>
        <v>0</v>
      </c>
      <c r="L220" s="78"/>
      <c r="M220" s="79"/>
      <c r="N220" s="94">
        <f t="shared" si="51"/>
        <v>0</v>
      </c>
      <c r="O220" s="78"/>
      <c r="P220" s="79"/>
      <c r="Q220" s="94">
        <f t="shared" si="52"/>
        <v>0</v>
      </c>
      <c r="R220" s="78"/>
      <c r="S220" s="79"/>
      <c r="T220" s="94">
        <f t="shared" si="53"/>
        <v>0</v>
      </c>
      <c r="U220" s="78"/>
      <c r="V220" s="79"/>
      <c r="W220" s="94">
        <f t="shared" si="54"/>
        <v>0</v>
      </c>
      <c r="X220" s="92">
        <f t="shared" si="55"/>
        <v>10</v>
      </c>
    </row>
    <row r="221" spans="5:24" ht="15.75" x14ac:dyDescent="0.25">
      <c r="E221" s="71"/>
      <c r="F221" s="78"/>
      <c r="G221" s="79"/>
      <c r="H221" s="94">
        <f t="shared" si="49"/>
        <v>0</v>
      </c>
      <c r="I221" s="78"/>
      <c r="J221" s="79"/>
      <c r="K221" s="94">
        <f t="shared" si="50"/>
        <v>0</v>
      </c>
      <c r="L221" s="78"/>
      <c r="M221" s="79"/>
      <c r="N221" s="94">
        <f t="shared" si="51"/>
        <v>0</v>
      </c>
      <c r="O221" s="78"/>
      <c r="P221" s="79"/>
      <c r="Q221" s="94">
        <f t="shared" si="52"/>
        <v>0</v>
      </c>
      <c r="R221" s="78"/>
      <c r="S221" s="79"/>
      <c r="T221" s="94">
        <f t="shared" si="53"/>
        <v>0</v>
      </c>
      <c r="U221" s="78"/>
      <c r="V221" s="79"/>
      <c r="W221" s="94">
        <f t="shared" si="54"/>
        <v>0</v>
      </c>
      <c r="X221" s="92">
        <f t="shared" si="55"/>
        <v>10</v>
      </c>
    </row>
    <row r="222" spans="5:24" ht="15.75" x14ac:dyDescent="0.25">
      <c r="E222" s="71"/>
      <c r="F222" s="78"/>
      <c r="G222" s="79"/>
      <c r="H222" s="94">
        <f t="shared" si="49"/>
        <v>0</v>
      </c>
      <c r="I222" s="78"/>
      <c r="J222" s="79"/>
      <c r="K222" s="94">
        <f t="shared" si="50"/>
        <v>0</v>
      </c>
      <c r="L222" s="78"/>
      <c r="M222" s="79"/>
      <c r="N222" s="94">
        <f t="shared" si="51"/>
        <v>0</v>
      </c>
      <c r="O222" s="78"/>
      <c r="P222" s="79"/>
      <c r="Q222" s="94">
        <f t="shared" si="52"/>
        <v>0</v>
      </c>
      <c r="R222" s="78"/>
      <c r="S222" s="79"/>
      <c r="T222" s="94">
        <f t="shared" si="53"/>
        <v>0</v>
      </c>
      <c r="U222" s="78"/>
      <c r="V222" s="79"/>
      <c r="W222" s="94">
        <f t="shared" si="54"/>
        <v>0</v>
      </c>
      <c r="X222" s="92">
        <f t="shared" si="55"/>
        <v>10</v>
      </c>
    </row>
    <row r="223" spans="5:24" ht="15.75" x14ac:dyDescent="0.25">
      <c r="E223" s="71"/>
      <c r="F223" s="78"/>
      <c r="G223" s="79"/>
      <c r="H223" s="94">
        <f t="shared" si="49"/>
        <v>0</v>
      </c>
      <c r="I223" s="78"/>
      <c r="J223" s="79"/>
      <c r="K223" s="94">
        <f t="shared" si="50"/>
        <v>0</v>
      </c>
      <c r="L223" s="78"/>
      <c r="M223" s="79"/>
      <c r="N223" s="94">
        <f t="shared" si="51"/>
        <v>0</v>
      </c>
      <c r="O223" s="78"/>
      <c r="P223" s="79"/>
      <c r="Q223" s="94">
        <f t="shared" si="52"/>
        <v>0</v>
      </c>
      <c r="R223" s="78"/>
      <c r="S223" s="79"/>
      <c r="T223" s="94">
        <f t="shared" si="53"/>
        <v>0</v>
      </c>
      <c r="U223" s="78"/>
      <c r="V223" s="79"/>
      <c r="W223" s="94">
        <f t="shared" si="54"/>
        <v>0</v>
      </c>
      <c r="X223" s="92">
        <f t="shared" si="55"/>
        <v>10</v>
      </c>
    </row>
    <row r="224" spans="5:24" ht="15.75" x14ac:dyDescent="0.25">
      <c r="E224" s="71"/>
      <c r="F224" s="78"/>
      <c r="G224" s="79"/>
      <c r="H224" s="94">
        <f t="shared" si="49"/>
        <v>0</v>
      </c>
      <c r="I224" s="78"/>
      <c r="J224" s="79"/>
      <c r="K224" s="94">
        <f t="shared" si="50"/>
        <v>0</v>
      </c>
      <c r="L224" s="78"/>
      <c r="M224" s="79"/>
      <c r="N224" s="94">
        <f t="shared" si="51"/>
        <v>0</v>
      </c>
      <c r="O224" s="78"/>
      <c r="P224" s="79"/>
      <c r="Q224" s="94">
        <f t="shared" si="52"/>
        <v>0</v>
      </c>
      <c r="R224" s="78"/>
      <c r="S224" s="79"/>
      <c r="T224" s="94">
        <f t="shared" si="53"/>
        <v>0</v>
      </c>
      <c r="U224" s="78"/>
      <c r="V224" s="79"/>
      <c r="W224" s="94">
        <f t="shared" si="54"/>
        <v>0</v>
      </c>
      <c r="X224" s="92">
        <f t="shared" si="55"/>
        <v>10</v>
      </c>
    </row>
    <row r="225" spans="5:24" ht="15.75" x14ac:dyDescent="0.25">
      <c r="E225" s="71"/>
      <c r="F225" s="78"/>
      <c r="G225" s="79"/>
      <c r="H225" s="94">
        <f t="shared" si="49"/>
        <v>0</v>
      </c>
      <c r="I225" s="78"/>
      <c r="J225" s="79"/>
      <c r="K225" s="94">
        <f t="shared" si="50"/>
        <v>0</v>
      </c>
      <c r="L225" s="78"/>
      <c r="M225" s="79"/>
      <c r="N225" s="94">
        <f t="shared" si="51"/>
        <v>0</v>
      </c>
      <c r="O225" s="78"/>
      <c r="P225" s="79"/>
      <c r="Q225" s="94">
        <f t="shared" si="52"/>
        <v>0</v>
      </c>
      <c r="R225" s="78"/>
      <c r="S225" s="79"/>
      <c r="T225" s="94">
        <f t="shared" si="53"/>
        <v>0</v>
      </c>
      <c r="U225" s="78"/>
      <c r="V225" s="79"/>
      <c r="W225" s="94">
        <f t="shared" si="54"/>
        <v>0</v>
      </c>
      <c r="X225" s="92">
        <f t="shared" si="55"/>
        <v>10</v>
      </c>
    </row>
    <row r="226" spans="5:24" ht="15.75" x14ac:dyDescent="0.25">
      <c r="E226" s="71"/>
      <c r="F226" s="78"/>
      <c r="G226" s="79"/>
      <c r="H226" s="94">
        <f t="shared" si="49"/>
        <v>0</v>
      </c>
      <c r="I226" s="78"/>
      <c r="J226" s="79"/>
      <c r="K226" s="94">
        <f t="shared" si="50"/>
        <v>0</v>
      </c>
      <c r="L226" s="78"/>
      <c r="M226" s="79"/>
      <c r="N226" s="94">
        <f t="shared" si="51"/>
        <v>0</v>
      </c>
      <c r="O226" s="78"/>
      <c r="P226" s="79"/>
      <c r="Q226" s="94">
        <f t="shared" si="52"/>
        <v>0</v>
      </c>
      <c r="R226" s="78"/>
      <c r="S226" s="79"/>
      <c r="T226" s="94">
        <f t="shared" si="53"/>
        <v>0</v>
      </c>
      <c r="U226" s="78"/>
      <c r="V226" s="79"/>
      <c r="W226" s="94">
        <f t="shared" si="54"/>
        <v>0</v>
      </c>
      <c r="X226" s="92">
        <f t="shared" si="55"/>
        <v>10</v>
      </c>
    </row>
    <row r="227" spans="5:24" ht="15.75" x14ac:dyDescent="0.25">
      <c r="E227" s="71"/>
      <c r="F227" s="78"/>
      <c r="G227" s="79"/>
      <c r="H227" s="94">
        <f t="shared" si="49"/>
        <v>0</v>
      </c>
      <c r="I227" s="78"/>
      <c r="J227" s="79"/>
      <c r="K227" s="94">
        <f t="shared" si="50"/>
        <v>0</v>
      </c>
      <c r="L227" s="78"/>
      <c r="M227" s="79"/>
      <c r="N227" s="94">
        <f t="shared" si="51"/>
        <v>0</v>
      </c>
      <c r="O227" s="78"/>
      <c r="P227" s="79"/>
      <c r="Q227" s="94">
        <f t="shared" si="52"/>
        <v>0</v>
      </c>
      <c r="R227" s="78"/>
      <c r="S227" s="79"/>
      <c r="T227" s="94">
        <f t="shared" si="53"/>
        <v>0</v>
      </c>
      <c r="U227" s="78"/>
      <c r="V227" s="79"/>
      <c r="W227" s="94">
        <f t="shared" si="54"/>
        <v>0</v>
      </c>
      <c r="X227" s="92">
        <f t="shared" si="55"/>
        <v>10</v>
      </c>
    </row>
    <row r="228" spans="5:24" ht="15.75" x14ac:dyDescent="0.25">
      <c r="E228" s="71"/>
      <c r="F228" s="78"/>
      <c r="G228" s="79"/>
      <c r="H228" s="94">
        <f t="shared" si="49"/>
        <v>0</v>
      </c>
      <c r="I228" s="78"/>
      <c r="J228" s="79"/>
      <c r="K228" s="94">
        <f t="shared" si="50"/>
        <v>0</v>
      </c>
      <c r="L228" s="78"/>
      <c r="M228" s="79"/>
      <c r="N228" s="94">
        <f t="shared" si="51"/>
        <v>0</v>
      </c>
      <c r="O228" s="78"/>
      <c r="P228" s="79"/>
      <c r="Q228" s="94">
        <f t="shared" si="52"/>
        <v>0</v>
      </c>
      <c r="R228" s="78"/>
      <c r="S228" s="79"/>
      <c r="T228" s="94">
        <f t="shared" si="53"/>
        <v>0</v>
      </c>
      <c r="U228" s="78"/>
      <c r="V228" s="79"/>
      <c r="W228" s="94">
        <f t="shared" si="54"/>
        <v>0</v>
      </c>
      <c r="X228" s="92">
        <f t="shared" si="55"/>
        <v>10</v>
      </c>
    </row>
    <row r="229" spans="5:24" ht="15.75" x14ac:dyDescent="0.25">
      <c r="E229" s="71"/>
      <c r="F229" s="78"/>
      <c r="G229" s="79"/>
      <c r="H229" s="94">
        <f t="shared" si="49"/>
        <v>0</v>
      </c>
      <c r="I229" s="78"/>
      <c r="J229" s="79"/>
      <c r="K229" s="94">
        <f t="shared" si="50"/>
        <v>0</v>
      </c>
      <c r="L229" s="78"/>
      <c r="M229" s="79"/>
      <c r="N229" s="94">
        <f t="shared" si="51"/>
        <v>0</v>
      </c>
      <c r="O229" s="78"/>
      <c r="P229" s="79"/>
      <c r="Q229" s="94">
        <f t="shared" si="52"/>
        <v>0</v>
      </c>
      <c r="R229" s="78"/>
      <c r="S229" s="79"/>
      <c r="T229" s="94">
        <f t="shared" si="53"/>
        <v>0</v>
      </c>
      <c r="U229" s="78"/>
      <c r="V229" s="79"/>
      <c r="W229" s="94">
        <f t="shared" si="54"/>
        <v>0</v>
      </c>
      <c r="X229" s="92">
        <f t="shared" si="55"/>
        <v>10</v>
      </c>
    </row>
    <row r="230" spans="5:24" ht="15.75" x14ac:dyDescent="0.25">
      <c r="E230" s="71"/>
      <c r="F230" s="78"/>
      <c r="G230" s="79"/>
      <c r="H230" s="94">
        <f t="shared" si="49"/>
        <v>0</v>
      </c>
      <c r="I230" s="78"/>
      <c r="J230" s="79"/>
      <c r="K230" s="94">
        <f t="shared" si="50"/>
        <v>0</v>
      </c>
      <c r="L230" s="78"/>
      <c r="M230" s="79"/>
      <c r="N230" s="94">
        <f t="shared" si="51"/>
        <v>0</v>
      </c>
      <c r="O230" s="78"/>
      <c r="P230" s="79"/>
      <c r="Q230" s="94">
        <f t="shared" si="52"/>
        <v>0</v>
      </c>
      <c r="R230" s="78"/>
      <c r="S230" s="79"/>
      <c r="T230" s="94">
        <f t="shared" si="53"/>
        <v>0</v>
      </c>
      <c r="U230" s="78"/>
      <c r="V230" s="79"/>
      <c r="W230" s="94">
        <f t="shared" si="54"/>
        <v>0</v>
      </c>
      <c r="X230" s="92">
        <f t="shared" si="55"/>
        <v>10</v>
      </c>
    </row>
    <row r="231" spans="5:24" ht="15.75" x14ac:dyDescent="0.25">
      <c r="E231" s="90" t="s">
        <v>396</v>
      </c>
      <c r="F231" s="99"/>
      <c r="G231" s="98"/>
      <c r="H231" s="95">
        <f>SUM(H215:H230)</f>
        <v>0</v>
      </c>
      <c r="I231" s="99"/>
      <c r="J231" s="98"/>
      <c r="K231" s="95">
        <f>SUM(K215:K229)</f>
        <v>0</v>
      </c>
      <c r="L231" s="99"/>
      <c r="M231" s="98"/>
      <c r="N231" s="95">
        <f>SUM(N215:N230)</f>
        <v>0</v>
      </c>
      <c r="O231" s="99"/>
      <c r="P231" s="98"/>
      <c r="Q231" s="95">
        <f>SUM(Q215:Q230)</f>
        <v>0</v>
      </c>
      <c r="R231" s="99"/>
      <c r="S231" s="98"/>
      <c r="T231" s="95">
        <f>SUM(T215:T230)</f>
        <v>0</v>
      </c>
      <c r="U231" s="99"/>
      <c r="V231" s="98"/>
      <c r="W231" s="95">
        <f>SUM(W215:W230)</f>
        <v>0</v>
      </c>
      <c r="X231" s="104"/>
    </row>
    <row r="233" spans="5:24" ht="45.75" customHeight="1" x14ac:dyDescent="0.25">
      <c r="E233" s="107" t="s">
        <v>285</v>
      </c>
      <c r="F233" s="105" t="s">
        <v>382</v>
      </c>
      <c r="G233" s="106" t="s">
        <v>383</v>
      </c>
      <c r="H233" s="106" t="s">
        <v>384</v>
      </c>
      <c r="I233" s="105" t="s">
        <v>382</v>
      </c>
      <c r="J233" s="106" t="s">
        <v>383</v>
      </c>
      <c r="K233" s="106" t="s">
        <v>384</v>
      </c>
      <c r="L233" s="105" t="s">
        <v>382</v>
      </c>
      <c r="M233" s="106" t="s">
        <v>383</v>
      </c>
      <c r="N233" s="106" t="s">
        <v>384</v>
      </c>
      <c r="O233" s="105" t="s">
        <v>382</v>
      </c>
      <c r="P233" s="106" t="s">
        <v>383</v>
      </c>
      <c r="Q233" s="106" t="s">
        <v>384</v>
      </c>
      <c r="R233" s="105" t="s">
        <v>382</v>
      </c>
      <c r="S233" s="106" t="s">
        <v>383</v>
      </c>
      <c r="T233" s="106" t="s">
        <v>384</v>
      </c>
      <c r="U233" s="105" t="s">
        <v>382</v>
      </c>
      <c r="V233" s="106" t="s">
        <v>383</v>
      </c>
      <c r="W233" s="106" t="s">
        <v>384</v>
      </c>
      <c r="X233" s="106" t="s">
        <v>387</v>
      </c>
    </row>
    <row r="234" spans="5:24" ht="15.75" x14ac:dyDescent="0.25">
      <c r="E234" s="71"/>
      <c r="F234" s="78"/>
      <c r="G234" s="79"/>
      <c r="H234" s="94">
        <f>F234*G234</f>
        <v>0</v>
      </c>
      <c r="I234" s="78"/>
      <c r="J234" s="79"/>
      <c r="K234" s="94">
        <f>I234*J234</f>
        <v>0</v>
      </c>
      <c r="L234" s="78"/>
      <c r="M234" s="79"/>
      <c r="N234" s="94">
        <f>L234*M234</f>
        <v>0</v>
      </c>
      <c r="O234" s="78"/>
      <c r="P234" s="79"/>
      <c r="Q234" s="94">
        <f>O234*P234</f>
        <v>0</v>
      </c>
      <c r="R234" s="78"/>
      <c r="S234" s="79"/>
      <c r="T234" s="94">
        <f>R234*S234</f>
        <v>0</v>
      </c>
      <c r="U234" s="78"/>
      <c r="V234" s="79"/>
      <c r="W234" s="94">
        <f>U234*V234</f>
        <v>0</v>
      </c>
      <c r="X234" s="92">
        <f>BASES!G36</f>
        <v>5</v>
      </c>
    </row>
    <row r="235" spans="5:24" ht="15.75" x14ac:dyDescent="0.25">
      <c r="E235" s="71"/>
      <c r="F235" s="78"/>
      <c r="G235" s="79"/>
      <c r="H235" s="94">
        <f t="shared" ref="H235:H240" si="56">F235*G235</f>
        <v>0</v>
      </c>
      <c r="I235" s="78"/>
      <c r="J235" s="79"/>
      <c r="K235" s="94">
        <f t="shared" ref="K235:K240" si="57">I235*J235</f>
        <v>0</v>
      </c>
      <c r="L235" s="78"/>
      <c r="M235" s="79"/>
      <c r="N235" s="94">
        <f t="shared" ref="N235:N240" si="58">L235*M235</f>
        <v>0</v>
      </c>
      <c r="O235" s="78"/>
      <c r="P235" s="79"/>
      <c r="Q235" s="94">
        <f t="shared" ref="Q235:Q240" si="59">O235*P235</f>
        <v>0</v>
      </c>
      <c r="R235" s="78"/>
      <c r="S235" s="79"/>
      <c r="T235" s="94">
        <f t="shared" ref="T235:T240" si="60">R235*S235</f>
        <v>0</v>
      </c>
      <c r="U235" s="78"/>
      <c r="V235" s="79"/>
      <c r="W235" s="94">
        <f t="shared" ref="W235:W240" si="61">U235*V235</f>
        <v>0</v>
      </c>
      <c r="X235" s="92">
        <f>X234</f>
        <v>5</v>
      </c>
    </row>
    <row r="236" spans="5:24" ht="15.75" x14ac:dyDescent="0.25">
      <c r="E236" s="71"/>
      <c r="F236" s="78"/>
      <c r="G236" s="79"/>
      <c r="H236" s="94">
        <f t="shared" si="56"/>
        <v>0</v>
      </c>
      <c r="I236" s="78"/>
      <c r="J236" s="79"/>
      <c r="K236" s="94">
        <f t="shared" si="57"/>
        <v>0</v>
      </c>
      <c r="L236" s="78"/>
      <c r="M236" s="79"/>
      <c r="N236" s="94">
        <f t="shared" si="58"/>
        <v>0</v>
      </c>
      <c r="O236" s="78"/>
      <c r="P236" s="79"/>
      <c r="Q236" s="94">
        <f t="shared" si="59"/>
        <v>0</v>
      </c>
      <c r="R236" s="78"/>
      <c r="S236" s="79"/>
      <c r="T236" s="94">
        <f t="shared" si="60"/>
        <v>0</v>
      </c>
      <c r="U236" s="78"/>
      <c r="V236" s="79"/>
      <c r="W236" s="94">
        <f t="shared" si="61"/>
        <v>0</v>
      </c>
      <c r="X236" s="92">
        <f t="shared" ref="X236:X240" si="62">X235</f>
        <v>5</v>
      </c>
    </row>
    <row r="237" spans="5:24" ht="15.75" x14ac:dyDescent="0.25">
      <c r="E237" s="71"/>
      <c r="F237" s="78"/>
      <c r="G237" s="79"/>
      <c r="H237" s="94">
        <f t="shared" si="56"/>
        <v>0</v>
      </c>
      <c r="I237" s="78"/>
      <c r="J237" s="79"/>
      <c r="K237" s="94">
        <f t="shared" si="57"/>
        <v>0</v>
      </c>
      <c r="L237" s="78"/>
      <c r="M237" s="79"/>
      <c r="N237" s="94">
        <f t="shared" si="58"/>
        <v>0</v>
      </c>
      <c r="O237" s="78"/>
      <c r="P237" s="79"/>
      <c r="Q237" s="94">
        <f t="shared" si="59"/>
        <v>0</v>
      </c>
      <c r="R237" s="78"/>
      <c r="S237" s="79"/>
      <c r="T237" s="94">
        <f t="shared" si="60"/>
        <v>0</v>
      </c>
      <c r="U237" s="78"/>
      <c r="V237" s="79"/>
      <c r="W237" s="94">
        <f t="shared" si="61"/>
        <v>0</v>
      </c>
      <c r="X237" s="92">
        <f t="shared" si="62"/>
        <v>5</v>
      </c>
    </row>
    <row r="238" spans="5:24" ht="15.75" x14ac:dyDescent="0.25">
      <c r="E238" s="71"/>
      <c r="F238" s="78"/>
      <c r="G238" s="79"/>
      <c r="H238" s="94">
        <f t="shared" si="56"/>
        <v>0</v>
      </c>
      <c r="I238" s="78"/>
      <c r="J238" s="79"/>
      <c r="K238" s="94">
        <f t="shared" si="57"/>
        <v>0</v>
      </c>
      <c r="L238" s="78"/>
      <c r="M238" s="79"/>
      <c r="N238" s="94">
        <f t="shared" si="58"/>
        <v>0</v>
      </c>
      <c r="O238" s="78"/>
      <c r="P238" s="79"/>
      <c r="Q238" s="94">
        <f t="shared" si="59"/>
        <v>0</v>
      </c>
      <c r="R238" s="78"/>
      <c r="S238" s="79"/>
      <c r="T238" s="94">
        <f t="shared" si="60"/>
        <v>0</v>
      </c>
      <c r="U238" s="78"/>
      <c r="V238" s="79"/>
      <c r="W238" s="94">
        <f t="shared" si="61"/>
        <v>0</v>
      </c>
      <c r="X238" s="92">
        <f t="shared" si="62"/>
        <v>5</v>
      </c>
    </row>
    <row r="239" spans="5:24" ht="15.75" x14ac:dyDescent="0.25">
      <c r="E239" s="71"/>
      <c r="F239" s="78"/>
      <c r="G239" s="79"/>
      <c r="H239" s="94">
        <f t="shared" si="56"/>
        <v>0</v>
      </c>
      <c r="I239" s="78"/>
      <c r="J239" s="79"/>
      <c r="K239" s="94">
        <f t="shared" si="57"/>
        <v>0</v>
      </c>
      <c r="L239" s="78"/>
      <c r="M239" s="79"/>
      <c r="N239" s="94">
        <f t="shared" si="58"/>
        <v>0</v>
      </c>
      <c r="O239" s="78"/>
      <c r="P239" s="79"/>
      <c r="Q239" s="94">
        <f t="shared" si="59"/>
        <v>0</v>
      </c>
      <c r="R239" s="78"/>
      <c r="S239" s="79"/>
      <c r="T239" s="94">
        <f t="shared" si="60"/>
        <v>0</v>
      </c>
      <c r="U239" s="78"/>
      <c r="V239" s="79"/>
      <c r="W239" s="94">
        <f t="shared" si="61"/>
        <v>0</v>
      </c>
      <c r="X239" s="92">
        <f t="shared" si="62"/>
        <v>5</v>
      </c>
    </row>
    <row r="240" spans="5:24" ht="15.75" x14ac:dyDescent="0.25">
      <c r="E240" s="71"/>
      <c r="F240" s="78"/>
      <c r="G240" s="79"/>
      <c r="H240" s="94">
        <f t="shared" si="56"/>
        <v>0</v>
      </c>
      <c r="I240" s="78"/>
      <c r="J240" s="79"/>
      <c r="K240" s="94">
        <f t="shared" si="57"/>
        <v>0</v>
      </c>
      <c r="L240" s="78"/>
      <c r="M240" s="79"/>
      <c r="N240" s="94">
        <f t="shared" si="58"/>
        <v>0</v>
      </c>
      <c r="O240" s="78"/>
      <c r="P240" s="79"/>
      <c r="Q240" s="94">
        <f t="shared" si="59"/>
        <v>0</v>
      </c>
      <c r="R240" s="78"/>
      <c r="S240" s="79"/>
      <c r="T240" s="94">
        <f t="shared" si="60"/>
        <v>0</v>
      </c>
      <c r="U240" s="78"/>
      <c r="V240" s="79"/>
      <c r="W240" s="94">
        <f t="shared" si="61"/>
        <v>0</v>
      </c>
      <c r="X240" s="92">
        <f t="shared" si="62"/>
        <v>5</v>
      </c>
    </row>
    <row r="241" spans="5:24" ht="15.75" x14ac:dyDescent="0.25">
      <c r="E241" s="90" t="s">
        <v>397</v>
      </c>
      <c r="F241" s="99"/>
      <c r="G241" s="98"/>
      <c r="H241" s="95">
        <f>SUM(H234:H240)</f>
        <v>0</v>
      </c>
      <c r="I241" s="99"/>
      <c r="J241" s="98"/>
      <c r="K241" s="95">
        <f>SUM(K234:K240)</f>
        <v>0</v>
      </c>
      <c r="L241" s="99"/>
      <c r="M241" s="98"/>
      <c r="N241" s="95">
        <f>SUM(N234:N240)</f>
        <v>0</v>
      </c>
      <c r="O241" s="99"/>
      <c r="P241" s="98"/>
      <c r="Q241" s="95">
        <f>SUM(Q234:Q240)</f>
        <v>0</v>
      </c>
      <c r="R241" s="99"/>
      <c r="S241" s="98"/>
      <c r="T241" s="95">
        <f>SUM(T234:T240)</f>
        <v>0</v>
      </c>
      <c r="U241" s="99"/>
      <c r="V241" s="98"/>
      <c r="W241" s="95">
        <f>SUM(W234:W240)</f>
        <v>0</v>
      </c>
      <c r="X241" s="108"/>
    </row>
    <row r="243" spans="5:24" ht="15.75" x14ac:dyDescent="0.25">
      <c r="E243" s="640" t="s">
        <v>68</v>
      </c>
      <c r="F243" s="640"/>
      <c r="G243" s="640"/>
      <c r="H243" s="109">
        <f>H212+H231+H241</f>
        <v>0</v>
      </c>
      <c r="I243" s="109"/>
      <c r="J243" s="109"/>
      <c r="K243" s="109">
        <f t="shared" ref="K243:W243" si="63">K212+K231+K241</f>
        <v>0</v>
      </c>
      <c r="L243" s="109"/>
      <c r="M243" s="109"/>
      <c r="N243" s="109">
        <f t="shared" si="63"/>
        <v>0</v>
      </c>
      <c r="O243" s="109"/>
      <c r="P243" s="109"/>
      <c r="Q243" s="109">
        <f t="shared" si="63"/>
        <v>0</v>
      </c>
      <c r="R243" s="109"/>
      <c r="S243" s="109"/>
      <c r="T243" s="109">
        <f t="shared" si="63"/>
        <v>0</v>
      </c>
      <c r="U243" s="109"/>
      <c r="V243" s="109"/>
      <c r="W243" s="109">
        <f t="shared" si="63"/>
        <v>0</v>
      </c>
      <c r="X243"/>
    </row>
    <row r="245" spans="5:24" ht="15.75" x14ac:dyDescent="0.25">
      <c r="E245" s="91" t="s">
        <v>35</v>
      </c>
      <c r="F245" s="105" t="s">
        <v>382</v>
      </c>
      <c r="G245" s="106" t="s">
        <v>383</v>
      </c>
      <c r="H245" s="106" t="s">
        <v>384</v>
      </c>
      <c r="I245" s="105" t="s">
        <v>382</v>
      </c>
      <c r="J245" s="106" t="s">
        <v>383</v>
      </c>
      <c r="K245" s="106" t="s">
        <v>384</v>
      </c>
      <c r="L245" s="105" t="s">
        <v>382</v>
      </c>
      <c r="M245" s="106" t="s">
        <v>383</v>
      </c>
      <c r="N245" s="106" t="s">
        <v>384</v>
      </c>
      <c r="O245" s="105" t="s">
        <v>382</v>
      </c>
      <c r="P245" s="106" t="s">
        <v>383</v>
      </c>
      <c r="Q245" s="106" t="s">
        <v>384</v>
      </c>
      <c r="R245" s="105" t="s">
        <v>382</v>
      </c>
      <c r="S245" s="106" t="s">
        <v>383</v>
      </c>
      <c r="T245" s="106" t="s">
        <v>384</v>
      </c>
      <c r="U245" s="105" t="s">
        <v>382</v>
      </c>
      <c r="V245" s="106" t="s">
        <v>383</v>
      </c>
      <c r="W245" s="106" t="s">
        <v>384</v>
      </c>
      <c r="X245" s="90" t="s">
        <v>387</v>
      </c>
    </row>
    <row r="246" spans="5:24" ht="15.75" x14ac:dyDescent="0.25">
      <c r="E246" s="91" t="s">
        <v>398</v>
      </c>
      <c r="F246" s="78"/>
      <c r="G246" s="79"/>
      <c r="H246" s="94">
        <f>F246*G246</f>
        <v>0</v>
      </c>
      <c r="I246" s="78"/>
      <c r="J246" s="79"/>
      <c r="K246" s="94">
        <f>I246*J246</f>
        <v>0</v>
      </c>
      <c r="L246" s="78"/>
      <c r="M246" s="79"/>
      <c r="N246" s="94">
        <f>L246*M246</f>
        <v>0</v>
      </c>
      <c r="O246" s="78"/>
      <c r="P246" s="79"/>
      <c r="Q246" s="94">
        <f>O246*P246</f>
        <v>0</v>
      </c>
      <c r="R246" s="78"/>
      <c r="S246" s="79"/>
      <c r="T246" s="94">
        <f>R246*S246</f>
        <v>0</v>
      </c>
      <c r="U246" s="78"/>
      <c r="V246" s="79"/>
      <c r="W246" s="94">
        <f>U246*V246</f>
        <v>0</v>
      </c>
      <c r="X246" s="92">
        <f>X240</f>
        <v>5</v>
      </c>
    </row>
    <row r="247" spans="5:24" ht="15.75" x14ac:dyDescent="0.25">
      <c r="E247" s="91" t="s">
        <v>399</v>
      </c>
      <c r="F247" s="78"/>
      <c r="G247" s="79"/>
      <c r="H247" s="94">
        <f t="shared" ref="H247:H248" si="64">F247*G247</f>
        <v>0</v>
      </c>
      <c r="I247" s="78"/>
      <c r="J247" s="79"/>
      <c r="K247" s="94">
        <f t="shared" ref="K247:K248" si="65">I247*J247</f>
        <v>0</v>
      </c>
      <c r="L247" s="78"/>
      <c r="M247" s="79"/>
      <c r="N247" s="94">
        <f t="shared" ref="N247:N248" si="66">L247*M247</f>
        <v>0</v>
      </c>
      <c r="O247" s="78"/>
      <c r="P247" s="79"/>
      <c r="Q247" s="94">
        <f t="shared" ref="Q247:Q248" si="67">O247*P247</f>
        <v>0</v>
      </c>
      <c r="R247" s="78"/>
      <c r="S247" s="79"/>
      <c r="T247" s="94">
        <f t="shared" ref="T247:T248" si="68">R247*S247</f>
        <v>0</v>
      </c>
      <c r="U247" s="78"/>
      <c r="V247" s="79"/>
      <c r="W247" s="94">
        <f t="shared" ref="W247:W248" si="69">U247*V247</f>
        <v>0</v>
      </c>
      <c r="X247" s="92">
        <f>X246</f>
        <v>5</v>
      </c>
    </row>
    <row r="248" spans="5:24" ht="15.75" x14ac:dyDescent="0.25">
      <c r="E248" s="91" t="s">
        <v>400</v>
      </c>
      <c r="F248" s="78"/>
      <c r="G248" s="79"/>
      <c r="H248" s="94">
        <f t="shared" si="64"/>
        <v>0</v>
      </c>
      <c r="I248" s="78"/>
      <c r="J248" s="79"/>
      <c r="K248" s="94">
        <f t="shared" si="65"/>
        <v>0</v>
      </c>
      <c r="L248" s="78"/>
      <c r="M248" s="79"/>
      <c r="N248" s="94">
        <f t="shared" si="66"/>
        <v>0</v>
      </c>
      <c r="O248" s="78"/>
      <c r="P248" s="79"/>
      <c r="Q248" s="94">
        <f t="shared" si="67"/>
        <v>0</v>
      </c>
      <c r="R248" s="78"/>
      <c r="S248" s="79"/>
      <c r="T248" s="94">
        <f t="shared" si="68"/>
        <v>0</v>
      </c>
      <c r="U248" s="78"/>
      <c r="V248" s="79"/>
      <c r="W248" s="94">
        <f t="shared" si="69"/>
        <v>0</v>
      </c>
      <c r="X248" s="92">
        <f>X247</f>
        <v>5</v>
      </c>
    </row>
    <row r="249" spans="5:24" ht="15.75" x14ac:dyDescent="0.25">
      <c r="E249" s="90" t="s">
        <v>286</v>
      </c>
      <c r="F249" s="99"/>
      <c r="G249" s="98"/>
      <c r="H249" s="95">
        <f>SUM(H246:H248)</f>
        <v>0</v>
      </c>
      <c r="I249" s="99"/>
      <c r="J249" s="98"/>
      <c r="K249" s="95">
        <f>SUM(K246:K248)</f>
        <v>0</v>
      </c>
      <c r="L249" s="99"/>
      <c r="M249" s="98"/>
      <c r="N249" s="95">
        <f>SUM(N246:N248)</f>
        <v>0</v>
      </c>
      <c r="O249" s="99"/>
      <c r="P249" s="98"/>
      <c r="Q249" s="95">
        <f>SUM(Q246:Q248)</f>
        <v>0</v>
      </c>
      <c r="R249" s="99"/>
      <c r="S249" s="98"/>
      <c r="T249" s="95">
        <f>SUM(T246:T248)</f>
        <v>0</v>
      </c>
      <c r="U249" s="99"/>
      <c r="V249" s="98"/>
      <c r="W249" s="95">
        <f>SUM(W246:W248)</f>
        <v>0</v>
      </c>
      <c r="X249" s="108"/>
    </row>
    <row r="251" spans="5:24" ht="15.75" x14ac:dyDescent="0.25">
      <c r="E251" s="640" t="s">
        <v>401</v>
      </c>
      <c r="F251" s="640"/>
      <c r="G251" s="640"/>
      <c r="H251" s="109">
        <f>H249</f>
        <v>0</v>
      </c>
      <c r="I251" s="109"/>
      <c r="J251" s="109"/>
      <c r="K251" s="109">
        <f t="shared" ref="K251:W251" si="70">K249</f>
        <v>0</v>
      </c>
      <c r="L251" s="109"/>
      <c r="M251" s="109"/>
      <c r="N251" s="109">
        <f t="shared" si="70"/>
        <v>0</v>
      </c>
      <c r="O251" s="109"/>
      <c r="P251" s="109"/>
      <c r="Q251" s="109">
        <f t="shared" si="70"/>
        <v>0</v>
      </c>
      <c r="R251" s="109"/>
      <c r="S251" s="109"/>
      <c r="T251" s="109">
        <f t="shared" si="70"/>
        <v>0</v>
      </c>
      <c r="U251" s="109"/>
      <c r="V251" s="109"/>
      <c r="W251" s="109">
        <f t="shared" si="70"/>
        <v>0</v>
      </c>
    </row>
    <row r="253" spans="5:24" ht="15.75" x14ac:dyDescent="0.25">
      <c r="E253" s="641" t="s">
        <v>287</v>
      </c>
      <c r="F253" s="641"/>
      <c r="G253" s="641"/>
      <c r="H253" s="111">
        <f>F36+H184+H243+H251</f>
        <v>0</v>
      </c>
      <c r="I253" s="110"/>
      <c r="J253" s="110"/>
      <c r="K253" s="111">
        <f>H36+K184+K243+K251</f>
        <v>0</v>
      </c>
      <c r="L253" s="110"/>
      <c r="M253" s="110"/>
      <c r="N253" s="111">
        <f>H36+N184+N243+N251</f>
        <v>0</v>
      </c>
      <c r="O253" s="110"/>
      <c r="P253" s="110"/>
      <c r="Q253" s="111">
        <f>I36+Q184+Q243+Q251</f>
        <v>0</v>
      </c>
      <c r="R253" s="110"/>
      <c r="S253" s="110"/>
      <c r="T253" s="111">
        <f>J36+T184+T243+T251</f>
        <v>0</v>
      </c>
      <c r="U253" s="110"/>
      <c r="V253" s="110"/>
      <c r="W253" s="111">
        <f>K36+W184+W243+W251</f>
        <v>0</v>
      </c>
    </row>
    <row r="256" spans="5:24" hidden="1" x14ac:dyDescent="0.25">
      <c r="E256" s="636" t="s">
        <v>290</v>
      </c>
      <c r="F256" s="636"/>
      <c r="G256" s="636"/>
      <c r="H256" s="636"/>
      <c r="I256" s="636"/>
      <c r="J256" s="636"/>
      <c r="K256" s="636"/>
      <c r="L256" s="636"/>
      <c r="M256" s="636"/>
    </row>
    <row r="257" spans="5:13" hidden="1" x14ac:dyDescent="0.25">
      <c r="E257" s="117" t="s">
        <v>420</v>
      </c>
      <c r="F257" s="117" t="s">
        <v>421</v>
      </c>
      <c r="G257" s="117" t="s">
        <v>62</v>
      </c>
      <c r="H257" s="118">
        <f>BASES!D7</f>
        <v>2021</v>
      </c>
      <c r="I257" s="118">
        <f>BASES!E7</f>
        <v>2022</v>
      </c>
      <c r="J257" s="118">
        <f>BASES!F7</f>
        <v>2023</v>
      </c>
      <c r="K257" s="118">
        <f>BASES!G7</f>
        <v>2024</v>
      </c>
      <c r="L257" s="118">
        <f>BASES!H7</f>
        <v>2025</v>
      </c>
      <c r="M257" s="117" t="s">
        <v>422</v>
      </c>
    </row>
    <row r="258" spans="5:13" hidden="1" x14ac:dyDescent="0.25">
      <c r="E258" s="119" t="s">
        <v>291</v>
      </c>
      <c r="F258" s="120">
        <f>H48</f>
        <v>0</v>
      </c>
      <c r="G258" s="117">
        <f>X41</f>
        <v>20</v>
      </c>
      <c r="H258" s="117">
        <f>ROUND(($F$258/$G$258),0)</f>
        <v>0</v>
      </c>
      <c r="I258" s="117">
        <f t="shared" ref="I258:L258" si="71">ROUND(($F$258/$G$258),0)</f>
        <v>0</v>
      </c>
      <c r="J258" s="117">
        <f t="shared" si="71"/>
        <v>0</v>
      </c>
      <c r="K258" s="117">
        <f t="shared" si="71"/>
        <v>0</v>
      </c>
      <c r="L258" s="117">
        <f t="shared" si="71"/>
        <v>0</v>
      </c>
      <c r="M258" s="120">
        <f>F258-(H258+I258+J258+K258+L258)</f>
        <v>0</v>
      </c>
    </row>
    <row r="259" spans="5:13" hidden="1" x14ac:dyDescent="0.25">
      <c r="E259" s="119" t="s">
        <v>292</v>
      </c>
      <c r="F259" s="117"/>
      <c r="G259" s="117"/>
      <c r="H259" s="117">
        <f>H258</f>
        <v>0</v>
      </c>
      <c r="I259" s="117">
        <f>I258+H259</f>
        <v>0</v>
      </c>
      <c r="J259" s="117">
        <f>J258+I259</f>
        <v>0</v>
      </c>
      <c r="K259" s="117">
        <f>K258+J259</f>
        <v>0</v>
      </c>
      <c r="L259" s="117">
        <f>L258+K259</f>
        <v>0</v>
      </c>
      <c r="M259" s="117"/>
    </row>
    <row r="260" spans="5:13" hidden="1" x14ac:dyDescent="0.25">
      <c r="E260" s="119" t="s">
        <v>293</v>
      </c>
      <c r="F260" s="120">
        <f>H91</f>
        <v>0</v>
      </c>
      <c r="G260" s="117">
        <f>X51</f>
        <v>10</v>
      </c>
      <c r="H260" s="117">
        <f>ROUND(($F$260/$G$260),0)</f>
        <v>0</v>
      </c>
      <c r="I260" s="117">
        <f t="shared" ref="I260:L260" si="72">ROUND(($F$260/$G$260),0)</f>
        <v>0</v>
      </c>
      <c r="J260" s="117">
        <f t="shared" si="72"/>
        <v>0</v>
      </c>
      <c r="K260" s="117">
        <f t="shared" si="72"/>
        <v>0</v>
      </c>
      <c r="L260" s="117">
        <f t="shared" si="72"/>
        <v>0</v>
      </c>
      <c r="M260" s="120">
        <f>F260-(H260+I260+J260+K260+L260)</f>
        <v>0</v>
      </c>
    </row>
    <row r="261" spans="5:13" hidden="1" x14ac:dyDescent="0.25">
      <c r="E261" s="119" t="s">
        <v>292</v>
      </c>
      <c r="F261" s="117"/>
      <c r="G261" s="117"/>
      <c r="H261" s="117">
        <f>H260</f>
        <v>0</v>
      </c>
      <c r="I261" s="117">
        <f>I260+H261</f>
        <v>0</v>
      </c>
      <c r="J261" s="117">
        <f>J260+I261</f>
        <v>0</v>
      </c>
      <c r="K261" s="117">
        <f>K260+J261</f>
        <v>0</v>
      </c>
      <c r="L261" s="117">
        <f>L260+K261</f>
        <v>0</v>
      </c>
      <c r="M261" s="117"/>
    </row>
    <row r="262" spans="5:13" hidden="1" x14ac:dyDescent="0.25">
      <c r="E262" s="119" t="s">
        <v>294</v>
      </c>
      <c r="F262" s="120">
        <f>H144</f>
        <v>0</v>
      </c>
      <c r="G262" s="117">
        <f>X94</f>
        <v>5</v>
      </c>
      <c r="H262" s="117">
        <f>ROUND(($F$262/$G$262),0)</f>
        <v>0</v>
      </c>
      <c r="I262" s="117">
        <f t="shared" ref="I262:L262" si="73">ROUND(($F$262/$G$262),0)</f>
        <v>0</v>
      </c>
      <c r="J262" s="117">
        <f t="shared" si="73"/>
        <v>0</v>
      </c>
      <c r="K262" s="117">
        <f t="shared" si="73"/>
        <v>0</v>
      </c>
      <c r="L262" s="117">
        <f t="shared" si="73"/>
        <v>0</v>
      </c>
      <c r="M262" s="120">
        <f>F262-(H262+I262+J262+K262+L262)</f>
        <v>0</v>
      </c>
    </row>
    <row r="263" spans="5:13" hidden="1" x14ac:dyDescent="0.25">
      <c r="E263" s="119" t="s">
        <v>292</v>
      </c>
      <c r="F263" s="117"/>
      <c r="G263" s="117"/>
      <c r="H263" s="117">
        <f>H262</f>
        <v>0</v>
      </c>
      <c r="I263" s="117">
        <f>I262+H263</f>
        <v>0</v>
      </c>
      <c r="J263" s="117">
        <f t="shared" ref="J263:L263" si="74">J262+I263</f>
        <v>0</v>
      </c>
      <c r="K263" s="117">
        <f t="shared" si="74"/>
        <v>0</v>
      </c>
      <c r="L263" s="117">
        <f t="shared" si="74"/>
        <v>0</v>
      </c>
      <c r="M263" s="117"/>
    </row>
    <row r="264" spans="5:13" hidden="1" x14ac:dyDescent="0.25">
      <c r="E264" s="119" t="s">
        <v>295</v>
      </c>
      <c r="F264" s="120">
        <f>H154</f>
        <v>0</v>
      </c>
      <c r="G264" s="117">
        <f>X147</f>
        <v>5</v>
      </c>
      <c r="H264" s="117">
        <f>ROUND(($F$264/$G$264),0)</f>
        <v>0</v>
      </c>
      <c r="I264" s="117">
        <f t="shared" ref="I264:L264" si="75">ROUND(($F$264/$G$264),0)</f>
        <v>0</v>
      </c>
      <c r="J264" s="117">
        <f t="shared" si="75"/>
        <v>0</v>
      </c>
      <c r="K264" s="117">
        <f t="shared" si="75"/>
        <v>0</v>
      </c>
      <c r="L264" s="117">
        <f t="shared" si="75"/>
        <v>0</v>
      </c>
      <c r="M264" s="120">
        <f>F264-(H264+I264+J264+K264+L264)</f>
        <v>0</v>
      </c>
    </row>
    <row r="265" spans="5:13" hidden="1" x14ac:dyDescent="0.25">
      <c r="E265" s="119" t="s">
        <v>292</v>
      </c>
      <c r="F265" s="117"/>
      <c r="G265" s="117"/>
      <c r="H265" s="117">
        <f>H264</f>
        <v>0</v>
      </c>
      <c r="I265" s="117">
        <f>I264+H265</f>
        <v>0</v>
      </c>
      <c r="J265" s="117">
        <f t="shared" ref="J265:K265" si="76">J264+I265</f>
        <v>0</v>
      </c>
      <c r="K265" s="117">
        <f t="shared" si="76"/>
        <v>0</v>
      </c>
      <c r="L265" s="117">
        <f>L264+K265</f>
        <v>0</v>
      </c>
      <c r="M265" s="117"/>
    </row>
    <row r="266" spans="5:13" hidden="1" x14ac:dyDescent="0.25">
      <c r="E266" s="119" t="s">
        <v>296</v>
      </c>
      <c r="F266" s="120">
        <f>H182</f>
        <v>0</v>
      </c>
      <c r="G266" s="117">
        <f>X157</f>
        <v>3</v>
      </c>
      <c r="H266" s="117">
        <f>ROUND(($F$266/$G$266),0)</f>
        <v>0</v>
      </c>
      <c r="I266" s="117">
        <f t="shared" ref="I266:L266" si="77">ROUND(($F$266/$G$266),0)</f>
        <v>0</v>
      </c>
      <c r="J266" s="117">
        <f t="shared" si="77"/>
        <v>0</v>
      </c>
      <c r="K266" s="117">
        <f t="shared" si="77"/>
        <v>0</v>
      </c>
      <c r="L266" s="117">
        <f t="shared" si="77"/>
        <v>0</v>
      </c>
      <c r="M266" s="120">
        <f>F266-(H266+I266+J266+K266+L266)</f>
        <v>0</v>
      </c>
    </row>
    <row r="267" spans="5:13" hidden="1" x14ac:dyDescent="0.25">
      <c r="E267" s="119" t="s">
        <v>292</v>
      </c>
      <c r="F267" s="117"/>
      <c r="G267" s="117"/>
      <c r="H267" s="117">
        <f>H266</f>
        <v>0</v>
      </c>
      <c r="I267" s="117">
        <f>I266+H267</f>
        <v>0</v>
      </c>
      <c r="J267" s="117">
        <f t="shared" ref="J267:L267" si="78">J266+I267</f>
        <v>0</v>
      </c>
      <c r="K267" s="117">
        <f t="shared" si="78"/>
        <v>0</v>
      </c>
      <c r="L267" s="117">
        <f t="shared" si="78"/>
        <v>0</v>
      </c>
      <c r="M267" s="117"/>
    </row>
    <row r="268" spans="5:13" hidden="1" x14ac:dyDescent="0.25">
      <c r="E268" s="117" t="s">
        <v>297</v>
      </c>
      <c r="F268" s="120">
        <f>SUM(F258:F267)</f>
        <v>0</v>
      </c>
      <c r="G268" s="117"/>
      <c r="H268" s="117">
        <f>H258+H260+H262+H264+H266</f>
        <v>0</v>
      </c>
      <c r="I268" s="117">
        <f t="shared" ref="I268:L268" si="79">I258+I260+I262+I264+I266</f>
        <v>0</v>
      </c>
      <c r="J268" s="117">
        <f t="shared" si="79"/>
        <v>0</v>
      </c>
      <c r="K268" s="117">
        <f t="shared" si="79"/>
        <v>0</v>
      </c>
      <c r="L268" s="117">
        <f t="shared" si="79"/>
        <v>0</v>
      </c>
      <c r="M268" s="120">
        <f>M258+M260+M262+M264+M266</f>
        <v>0</v>
      </c>
    </row>
    <row r="269" spans="5:13" hidden="1" x14ac:dyDescent="0.25">
      <c r="E269" s="121" t="s">
        <v>298</v>
      </c>
      <c r="F269" s="120">
        <f>H212</f>
        <v>0</v>
      </c>
      <c r="G269" s="117">
        <f>X196</f>
        <v>1</v>
      </c>
      <c r="H269" s="117">
        <f>ROUND(($F$269/$G$269),0)</f>
        <v>0</v>
      </c>
      <c r="I269" s="117"/>
      <c r="J269" s="117"/>
      <c r="K269" s="117"/>
      <c r="L269" s="117"/>
      <c r="M269" s="120">
        <f>F269-H269</f>
        <v>0</v>
      </c>
    </row>
    <row r="270" spans="5:13" hidden="1" x14ac:dyDescent="0.25">
      <c r="E270" s="121" t="s">
        <v>299</v>
      </c>
      <c r="F270" s="120">
        <f>H231</f>
        <v>0</v>
      </c>
      <c r="G270" s="117">
        <f>X215</f>
        <v>10</v>
      </c>
      <c r="H270" s="117">
        <f>ROUND(($F$270/$G$270),0)</f>
        <v>0</v>
      </c>
      <c r="I270" s="117">
        <f>ROUND(($F$270/$G$270),0)</f>
        <v>0</v>
      </c>
      <c r="J270" s="117">
        <f>ROUND(($F$270/$G$270),0)</f>
        <v>0</v>
      </c>
      <c r="K270" s="117">
        <f>ROUND(($F$270/$G$270),0)</f>
        <v>0</v>
      </c>
      <c r="L270" s="117">
        <f>ROUND(($F$270/$G$270),0)</f>
        <v>0</v>
      </c>
      <c r="M270" s="120">
        <f>F270-SUM(H270:L270)</f>
        <v>0</v>
      </c>
    </row>
    <row r="271" spans="5:13" hidden="1" x14ac:dyDescent="0.25">
      <c r="E271" s="121" t="s">
        <v>300</v>
      </c>
      <c r="F271" s="117"/>
      <c r="G271" s="117"/>
      <c r="H271" s="117">
        <f>H270</f>
        <v>0</v>
      </c>
      <c r="I271" s="117">
        <f>I270+H271</f>
        <v>0</v>
      </c>
      <c r="J271" s="117">
        <f t="shared" ref="J271:L271" si="80">J270+I271</f>
        <v>0</v>
      </c>
      <c r="K271" s="117">
        <f t="shared" si="80"/>
        <v>0</v>
      </c>
      <c r="L271" s="117">
        <f t="shared" si="80"/>
        <v>0</v>
      </c>
      <c r="M271" s="117"/>
    </row>
    <row r="272" spans="5:13" hidden="1" x14ac:dyDescent="0.25">
      <c r="E272" s="121" t="s">
        <v>301</v>
      </c>
      <c r="F272" s="120">
        <f>H241</f>
        <v>0</v>
      </c>
      <c r="G272" s="117">
        <f>X234</f>
        <v>5</v>
      </c>
      <c r="H272" s="117">
        <f>ROUND(($F$272/$G$272),0)</f>
        <v>0</v>
      </c>
      <c r="I272" s="117">
        <f>ROUND(($F$272/$G$272),0)</f>
        <v>0</v>
      </c>
      <c r="J272" s="117">
        <f>ROUND(($F$272/$G$272),0)</f>
        <v>0</v>
      </c>
      <c r="K272" s="117">
        <f>ROUND(($F$272/$G$272),0)</f>
        <v>0</v>
      </c>
      <c r="L272" s="117">
        <f>ROUND(($F$272/$G$272),0)</f>
        <v>0</v>
      </c>
      <c r="M272" s="120">
        <f>F272-SUM(H272:L272)</f>
        <v>0</v>
      </c>
    </row>
    <row r="273" spans="5:13" hidden="1" x14ac:dyDescent="0.25">
      <c r="E273" s="121" t="s">
        <v>154</v>
      </c>
      <c r="F273" s="117"/>
      <c r="G273" s="117"/>
      <c r="H273" s="117">
        <f>H272</f>
        <v>0</v>
      </c>
      <c r="I273" s="117">
        <f>I272+H273</f>
        <v>0</v>
      </c>
      <c r="J273" s="117">
        <f t="shared" ref="J273:L273" si="81">J272+I273</f>
        <v>0</v>
      </c>
      <c r="K273" s="117">
        <f t="shared" si="81"/>
        <v>0</v>
      </c>
      <c r="L273" s="117">
        <f t="shared" si="81"/>
        <v>0</v>
      </c>
      <c r="M273" s="117"/>
    </row>
    <row r="274" spans="5:13" hidden="1" x14ac:dyDescent="0.25">
      <c r="E274" s="121" t="s">
        <v>302</v>
      </c>
      <c r="F274" s="120">
        <f>H251</f>
        <v>0</v>
      </c>
      <c r="G274" s="117">
        <f>X246</f>
        <v>5</v>
      </c>
      <c r="H274" s="117">
        <f>ROUND(($F$274/$G$274),0)</f>
        <v>0</v>
      </c>
      <c r="I274" s="117">
        <f>ROUND(($F$274/$G$274),0)</f>
        <v>0</v>
      </c>
      <c r="J274" s="117">
        <f>ROUND(($F$274/$G$274),0)</f>
        <v>0</v>
      </c>
      <c r="K274" s="117">
        <f>ROUND(($F$274/$G$274),0)</f>
        <v>0</v>
      </c>
      <c r="L274" s="117">
        <f>ROUND(($F$274/$G$274),0)</f>
        <v>0</v>
      </c>
      <c r="M274" s="120">
        <f>F274-SUM(H274:L274)</f>
        <v>0</v>
      </c>
    </row>
    <row r="275" spans="5:13" hidden="1" x14ac:dyDescent="0.25">
      <c r="E275" s="121" t="s">
        <v>303</v>
      </c>
      <c r="F275" s="117"/>
      <c r="G275" s="117"/>
      <c r="H275" s="117">
        <f>H274</f>
        <v>0</v>
      </c>
      <c r="I275" s="117">
        <f>I274+H275</f>
        <v>0</v>
      </c>
      <c r="J275" s="117">
        <f t="shared" ref="J275:L275" si="82">J274+I275</f>
        <v>0</v>
      </c>
      <c r="K275" s="117">
        <f t="shared" si="82"/>
        <v>0</v>
      </c>
      <c r="L275" s="117">
        <f t="shared" si="82"/>
        <v>0</v>
      </c>
      <c r="M275" s="117"/>
    </row>
    <row r="276" spans="5:13" hidden="1" x14ac:dyDescent="0.25">
      <c r="E276" s="7"/>
      <c r="F276" s="7"/>
      <c r="G276" s="7"/>
      <c r="H276" s="7"/>
      <c r="I276" s="7"/>
      <c r="J276" s="7"/>
      <c r="K276" s="7"/>
      <c r="L276" s="7"/>
      <c r="M276" s="7"/>
    </row>
    <row r="277" spans="5:13" hidden="1" x14ac:dyDescent="0.25">
      <c r="E277" s="7"/>
      <c r="F277" s="7"/>
      <c r="G277" s="7"/>
      <c r="H277" s="7"/>
      <c r="I277" s="7"/>
      <c r="J277" s="7"/>
      <c r="K277" s="7"/>
      <c r="L277" s="7"/>
      <c r="M277" s="7"/>
    </row>
    <row r="278" spans="5:13" hidden="1" x14ac:dyDescent="0.25">
      <c r="E278" s="636" t="s">
        <v>423</v>
      </c>
      <c r="F278" s="636"/>
      <c r="G278" s="636"/>
      <c r="H278" s="636"/>
      <c r="I278" s="636"/>
      <c r="J278" s="636"/>
      <c r="K278" s="636"/>
      <c r="L278" s="636"/>
      <c r="M278" s="7"/>
    </row>
    <row r="279" spans="5:13" hidden="1" x14ac:dyDescent="0.25">
      <c r="E279" s="117" t="s">
        <v>424</v>
      </c>
      <c r="F279" s="118">
        <f>BASES!D7</f>
        <v>2021</v>
      </c>
      <c r="G279" s="117" t="s">
        <v>387</v>
      </c>
      <c r="H279" s="118">
        <f>BASES!E7</f>
        <v>2022</v>
      </c>
      <c r="I279" s="118">
        <f>BASES!F7</f>
        <v>2023</v>
      </c>
      <c r="J279" s="118">
        <f>BASES!G7</f>
        <v>2024</v>
      </c>
      <c r="K279" s="118">
        <f>BASES!H7</f>
        <v>2025</v>
      </c>
      <c r="L279" s="117" t="s">
        <v>425</v>
      </c>
      <c r="M279" s="7"/>
    </row>
    <row r="280" spans="5:13" hidden="1" x14ac:dyDescent="0.25">
      <c r="E280" s="119" t="s">
        <v>291</v>
      </c>
      <c r="F280" s="120">
        <f>K48</f>
        <v>0</v>
      </c>
      <c r="G280" s="117">
        <f>X41</f>
        <v>20</v>
      </c>
      <c r="H280" s="117">
        <f>ROUND(($F$280/$G$280),0)</f>
        <v>0</v>
      </c>
      <c r="I280" s="117">
        <f t="shared" ref="I280:K280" si="83">ROUND(($F$280/$G$280),0)</f>
        <v>0</v>
      </c>
      <c r="J280" s="117">
        <f t="shared" si="83"/>
        <v>0</v>
      </c>
      <c r="K280" s="117">
        <f t="shared" si="83"/>
        <v>0</v>
      </c>
      <c r="L280" s="120">
        <f>F280-SUM(H280:K280)</f>
        <v>0</v>
      </c>
      <c r="M280" s="7"/>
    </row>
    <row r="281" spans="5:13" hidden="1" x14ac:dyDescent="0.25">
      <c r="E281" s="119" t="s">
        <v>292</v>
      </c>
      <c r="F281" s="117"/>
      <c r="G281" s="117"/>
      <c r="H281" s="117">
        <f>H280</f>
        <v>0</v>
      </c>
      <c r="I281" s="117">
        <f>I280+H281</f>
        <v>0</v>
      </c>
      <c r="J281" s="117">
        <f t="shared" ref="J281:K281" si="84">J280+I281</f>
        <v>0</v>
      </c>
      <c r="K281" s="117">
        <f t="shared" si="84"/>
        <v>0</v>
      </c>
      <c r="L281" s="117"/>
      <c r="M281" s="7"/>
    </row>
    <row r="282" spans="5:13" hidden="1" x14ac:dyDescent="0.25">
      <c r="E282" s="119" t="s">
        <v>293</v>
      </c>
      <c r="F282" s="120">
        <f>K91</f>
        <v>0</v>
      </c>
      <c r="G282" s="117">
        <f>X51</f>
        <v>10</v>
      </c>
      <c r="H282" s="117">
        <f>ROUND(($F$282/$G$282),0)</f>
        <v>0</v>
      </c>
      <c r="I282" s="117">
        <f t="shared" ref="I282:K282" si="85">ROUND(($F$282/$G$282),0)</f>
        <v>0</v>
      </c>
      <c r="J282" s="117">
        <f t="shared" si="85"/>
        <v>0</v>
      </c>
      <c r="K282" s="117">
        <f t="shared" si="85"/>
        <v>0</v>
      </c>
      <c r="L282" s="120">
        <f>F282-SUM(H282:K282)</f>
        <v>0</v>
      </c>
      <c r="M282" s="7"/>
    </row>
    <row r="283" spans="5:13" hidden="1" x14ac:dyDescent="0.25">
      <c r="E283" s="119" t="s">
        <v>292</v>
      </c>
      <c r="F283" s="117"/>
      <c r="G283" s="117"/>
      <c r="H283" s="117">
        <f>H282</f>
        <v>0</v>
      </c>
      <c r="I283" s="117">
        <f>I282+H283</f>
        <v>0</v>
      </c>
      <c r="J283" s="117">
        <f t="shared" ref="J283:K283" si="86">J282+I283</f>
        <v>0</v>
      </c>
      <c r="K283" s="117">
        <f t="shared" si="86"/>
        <v>0</v>
      </c>
      <c r="L283" s="117"/>
      <c r="M283" s="7"/>
    </row>
    <row r="284" spans="5:13" hidden="1" x14ac:dyDescent="0.25">
      <c r="E284" s="119" t="s">
        <v>294</v>
      </c>
      <c r="F284" s="120">
        <f>K144</f>
        <v>0</v>
      </c>
      <c r="G284" s="117">
        <f>X94</f>
        <v>5</v>
      </c>
      <c r="H284" s="117">
        <f>ROUND(($F$284/$G$284),0)</f>
        <v>0</v>
      </c>
      <c r="I284" s="117">
        <f t="shared" ref="I284:K284" si="87">ROUND(($F$284/$G$284),0)</f>
        <v>0</v>
      </c>
      <c r="J284" s="117">
        <f t="shared" si="87"/>
        <v>0</v>
      </c>
      <c r="K284" s="117">
        <f t="shared" si="87"/>
        <v>0</v>
      </c>
      <c r="L284" s="120">
        <f>F284-SUM(H284:K284)</f>
        <v>0</v>
      </c>
      <c r="M284" s="7"/>
    </row>
    <row r="285" spans="5:13" hidden="1" x14ac:dyDescent="0.25">
      <c r="E285" s="119" t="s">
        <v>292</v>
      </c>
      <c r="F285" s="117"/>
      <c r="G285" s="117"/>
      <c r="H285" s="117">
        <f>H284</f>
        <v>0</v>
      </c>
      <c r="I285" s="117">
        <f>I284+H285</f>
        <v>0</v>
      </c>
      <c r="J285" s="117">
        <f t="shared" ref="J285:K285" si="88">J284+I285</f>
        <v>0</v>
      </c>
      <c r="K285" s="117">
        <f t="shared" si="88"/>
        <v>0</v>
      </c>
      <c r="L285" s="117"/>
      <c r="M285" s="7"/>
    </row>
    <row r="286" spans="5:13" hidden="1" x14ac:dyDescent="0.25">
      <c r="E286" s="119" t="s">
        <v>295</v>
      </c>
      <c r="F286" s="120">
        <f>K154</f>
        <v>0</v>
      </c>
      <c r="G286" s="117">
        <f>X147</f>
        <v>5</v>
      </c>
      <c r="H286" s="117">
        <f>ROUND(($F$286/$G$286),0)</f>
        <v>0</v>
      </c>
      <c r="I286" s="117">
        <f t="shared" ref="I286:K286" si="89">ROUND(($F$286/$G$286),0)</f>
        <v>0</v>
      </c>
      <c r="J286" s="117">
        <f t="shared" si="89"/>
        <v>0</v>
      </c>
      <c r="K286" s="117">
        <f t="shared" si="89"/>
        <v>0</v>
      </c>
      <c r="L286" s="120">
        <f>F286-SUM(H286:K286)</f>
        <v>0</v>
      </c>
      <c r="M286" s="7"/>
    </row>
    <row r="287" spans="5:13" hidden="1" x14ac:dyDescent="0.25">
      <c r="E287" s="119" t="s">
        <v>292</v>
      </c>
      <c r="F287" s="117"/>
      <c r="G287" s="117"/>
      <c r="H287" s="117">
        <f>H286</f>
        <v>0</v>
      </c>
      <c r="I287" s="117">
        <f>I286+H287</f>
        <v>0</v>
      </c>
      <c r="J287" s="117">
        <f t="shared" ref="J287:K287" si="90">J286+I287</f>
        <v>0</v>
      </c>
      <c r="K287" s="117">
        <f t="shared" si="90"/>
        <v>0</v>
      </c>
      <c r="L287" s="117"/>
      <c r="M287" s="7"/>
    </row>
    <row r="288" spans="5:13" hidden="1" x14ac:dyDescent="0.25">
      <c r="E288" s="119" t="s">
        <v>296</v>
      </c>
      <c r="F288" s="120">
        <f>K182</f>
        <v>0</v>
      </c>
      <c r="G288" s="117">
        <f>X157</f>
        <v>3</v>
      </c>
      <c r="H288" s="117">
        <f>ROUND(($F$288/$G$288),0)</f>
        <v>0</v>
      </c>
      <c r="I288" s="117">
        <f t="shared" ref="I288:K288" si="91">ROUND(($F$288/$G$288),0)</f>
        <v>0</v>
      </c>
      <c r="J288" s="117">
        <f t="shared" si="91"/>
        <v>0</v>
      </c>
      <c r="K288" s="117">
        <f t="shared" si="91"/>
        <v>0</v>
      </c>
      <c r="L288" s="120">
        <f>F288-SUM(H288:K288)</f>
        <v>0</v>
      </c>
      <c r="M288" s="7"/>
    </row>
    <row r="289" spans="5:13" hidden="1" x14ac:dyDescent="0.25">
      <c r="E289" s="119" t="s">
        <v>292</v>
      </c>
      <c r="F289" s="117"/>
      <c r="G289" s="117"/>
      <c r="H289" s="117">
        <f>H288</f>
        <v>0</v>
      </c>
      <c r="I289" s="117">
        <f>I288+H289</f>
        <v>0</v>
      </c>
      <c r="J289" s="117">
        <f t="shared" ref="J289:K289" si="92">J288+I289</f>
        <v>0</v>
      </c>
      <c r="K289" s="117">
        <f t="shared" si="92"/>
        <v>0</v>
      </c>
      <c r="L289" s="117"/>
      <c r="M289" s="7"/>
    </row>
    <row r="290" spans="5:13" hidden="1" x14ac:dyDescent="0.25">
      <c r="E290" s="117" t="s">
        <v>297</v>
      </c>
      <c r="F290" s="120">
        <f>F280+F282+F284+F286+F288</f>
        <v>0</v>
      </c>
      <c r="G290" s="120"/>
      <c r="H290" s="120">
        <f t="shared" ref="H290:L290" si="93">H280+H282+H284+H286+H288</f>
        <v>0</v>
      </c>
      <c r="I290" s="120">
        <f t="shared" si="93"/>
        <v>0</v>
      </c>
      <c r="J290" s="120">
        <f t="shared" si="93"/>
        <v>0</v>
      </c>
      <c r="K290" s="120">
        <f t="shared" si="93"/>
        <v>0</v>
      </c>
      <c r="L290" s="120">
        <f t="shared" si="93"/>
        <v>0</v>
      </c>
      <c r="M290" s="7"/>
    </row>
    <row r="291" spans="5:13" hidden="1" x14ac:dyDescent="0.25">
      <c r="E291" s="119" t="s">
        <v>298</v>
      </c>
      <c r="F291" s="120">
        <f>K212</f>
        <v>0</v>
      </c>
      <c r="G291" s="117">
        <f>X196</f>
        <v>1</v>
      </c>
      <c r="H291" s="117">
        <f>ROUND(($F$291/$G$291),0)</f>
        <v>0</v>
      </c>
      <c r="I291" s="117">
        <f t="shared" ref="I291:K291" si="94">ROUND(($F$291/$G$291),0)</f>
        <v>0</v>
      </c>
      <c r="J291" s="117">
        <f t="shared" si="94"/>
        <v>0</v>
      </c>
      <c r="K291" s="117">
        <f t="shared" si="94"/>
        <v>0</v>
      </c>
      <c r="L291" s="120">
        <f>F291-SUM(H291:K291)</f>
        <v>0</v>
      </c>
      <c r="M291" s="7"/>
    </row>
    <row r="292" spans="5:13" hidden="1" x14ac:dyDescent="0.25">
      <c r="E292" s="119" t="s">
        <v>299</v>
      </c>
      <c r="F292" s="120">
        <f>K231</f>
        <v>0</v>
      </c>
      <c r="G292" s="117">
        <f>X215</f>
        <v>10</v>
      </c>
      <c r="H292" s="117">
        <f>ROUND(($F$292/$G$292),0)</f>
        <v>0</v>
      </c>
      <c r="I292" s="117">
        <f t="shared" ref="I292:K292" si="95">ROUND(($F$292/$G$292),0)</f>
        <v>0</v>
      </c>
      <c r="J292" s="117">
        <f t="shared" si="95"/>
        <v>0</v>
      </c>
      <c r="K292" s="117">
        <f t="shared" si="95"/>
        <v>0</v>
      </c>
      <c r="L292" s="120">
        <f>F292-SUM(H292:K292)</f>
        <v>0</v>
      </c>
      <c r="M292" s="7"/>
    </row>
    <row r="293" spans="5:13" hidden="1" x14ac:dyDescent="0.25">
      <c r="E293" s="119" t="s">
        <v>300</v>
      </c>
      <c r="F293" s="117"/>
      <c r="G293" s="117"/>
      <c r="H293" s="117">
        <f>H292</f>
        <v>0</v>
      </c>
      <c r="I293" s="117">
        <f>I292+H293</f>
        <v>0</v>
      </c>
      <c r="J293" s="117">
        <f t="shared" ref="J293:K293" si="96">J292+I293</f>
        <v>0</v>
      </c>
      <c r="K293" s="117">
        <f t="shared" si="96"/>
        <v>0</v>
      </c>
      <c r="L293" s="117"/>
      <c r="M293" s="7"/>
    </row>
    <row r="294" spans="5:13" hidden="1" x14ac:dyDescent="0.25">
      <c r="E294" s="119" t="s">
        <v>301</v>
      </c>
      <c r="F294" s="120">
        <f>K243</f>
        <v>0</v>
      </c>
      <c r="G294" s="117">
        <f>X234</f>
        <v>5</v>
      </c>
      <c r="H294" s="117">
        <f>ROUND(($F$294/$G$294),0)</f>
        <v>0</v>
      </c>
      <c r="I294" s="117">
        <f t="shared" ref="I294:K294" si="97">ROUND(($F$294/$G$294),0)</f>
        <v>0</v>
      </c>
      <c r="J294" s="117">
        <f t="shared" si="97"/>
        <v>0</v>
      </c>
      <c r="K294" s="117">
        <f t="shared" si="97"/>
        <v>0</v>
      </c>
      <c r="L294" s="120">
        <f>F294-SUM(H294:K294)</f>
        <v>0</v>
      </c>
      <c r="M294" s="7"/>
    </row>
    <row r="295" spans="5:13" hidden="1" x14ac:dyDescent="0.25">
      <c r="E295" s="119" t="s">
        <v>154</v>
      </c>
      <c r="F295" s="117"/>
      <c r="G295" s="117"/>
      <c r="H295" s="117">
        <f>H294</f>
        <v>0</v>
      </c>
      <c r="I295" s="117">
        <f>I294+H295</f>
        <v>0</v>
      </c>
      <c r="J295" s="117">
        <f t="shared" ref="J295:K295" si="98">J294+I295</f>
        <v>0</v>
      </c>
      <c r="K295" s="117">
        <f t="shared" si="98"/>
        <v>0</v>
      </c>
      <c r="L295" s="117"/>
      <c r="M295" s="7"/>
    </row>
    <row r="296" spans="5:13" hidden="1" x14ac:dyDescent="0.25">
      <c r="E296" s="119" t="s">
        <v>302</v>
      </c>
      <c r="F296" s="120">
        <f>K249</f>
        <v>0</v>
      </c>
      <c r="G296" s="117">
        <f>X246</f>
        <v>5</v>
      </c>
      <c r="H296" s="117">
        <f>ROUND(($F$296/$G$296),0)</f>
        <v>0</v>
      </c>
      <c r="I296" s="117">
        <f t="shared" ref="I296:K296" si="99">ROUND(($F$296/$G$296),0)</f>
        <v>0</v>
      </c>
      <c r="J296" s="117">
        <f t="shared" si="99"/>
        <v>0</v>
      </c>
      <c r="K296" s="117">
        <f t="shared" si="99"/>
        <v>0</v>
      </c>
      <c r="L296" s="120">
        <f>F296-SUM(H296:K296)</f>
        <v>0</v>
      </c>
      <c r="M296" s="7"/>
    </row>
    <row r="297" spans="5:13" hidden="1" x14ac:dyDescent="0.25">
      <c r="E297" s="119" t="s">
        <v>303</v>
      </c>
      <c r="F297" s="117"/>
      <c r="G297" s="117"/>
      <c r="H297" s="117">
        <f>H296</f>
        <v>0</v>
      </c>
      <c r="I297" s="117">
        <f>I296+H297</f>
        <v>0</v>
      </c>
      <c r="J297" s="117">
        <f t="shared" ref="J297:K297" si="100">J296+I297</f>
        <v>0</v>
      </c>
      <c r="K297" s="117">
        <f t="shared" si="100"/>
        <v>0</v>
      </c>
      <c r="L297" s="117"/>
      <c r="M297" s="7"/>
    </row>
    <row r="298" spans="5:13" hidden="1" x14ac:dyDescent="0.25">
      <c r="E298" s="7"/>
      <c r="F298" s="7"/>
      <c r="G298" s="7"/>
      <c r="H298" s="7"/>
      <c r="I298" s="7"/>
      <c r="J298" s="7"/>
      <c r="K298" s="7"/>
      <c r="L298" s="7"/>
      <c r="M298" s="7"/>
    </row>
    <row r="299" spans="5:13" hidden="1" x14ac:dyDescent="0.25">
      <c r="E299" s="7"/>
      <c r="F299" s="7"/>
      <c r="G299" s="7"/>
      <c r="H299" s="7"/>
      <c r="I299" s="7"/>
      <c r="J299" s="7"/>
      <c r="K299" s="7"/>
      <c r="L299" s="7"/>
      <c r="M299" s="7"/>
    </row>
    <row r="300" spans="5:13" hidden="1" x14ac:dyDescent="0.25">
      <c r="E300" s="636" t="s">
        <v>426</v>
      </c>
      <c r="F300" s="636"/>
      <c r="G300" s="636"/>
      <c r="H300" s="636"/>
      <c r="I300" s="636"/>
      <c r="J300" s="636"/>
      <c r="K300" s="636"/>
      <c r="L300" s="7"/>
      <c r="M300" s="7"/>
    </row>
    <row r="301" spans="5:13" hidden="1" x14ac:dyDescent="0.25">
      <c r="E301" s="117" t="s">
        <v>420</v>
      </c>
      <c r="F301" s="118">
        <f>BASES!E7</f>
        <v>2022</v>
      </c>
      <c r="G301" s="117" t="s">
        <v>387</v>
      </c>
      <c r="H301" s="118">
        <f>BASES!F7</f>
        <v>2023</v>
      </c>
      <c r="I301" s="118">
        <f>BASES!G7</f>
        <v>2024</v>
      </c>
      <c r="J301" s="118">
        <f>BASES!H7</f>
        <v>2025</v>
      </c>
      <c r="K301" s="117" t="s">
        <v>425</v>
      </c>
      <c r="L301" s="7"/>
      <c r="M301" s="7"/>
    </row>
    <row r="302" spans="5:13" hidden="1" x14ac:dyDescent="0.25">
      <c r="E302" s="119" t="s">
        <v>291</v>
      </c>
      <c r="F302" s="120">
        <f>N48</f>
        <v>0</v>
      </c>
      <c r="G302" s="117">
        <f>X41</f>
        <v>20</v>
      </c>
      <c r="H302" s="117">
        <f>ROUND(($F$302/$G$302),0)</f>
        <v>0</v>
      </c>
      <c r="I302" s="117">
        <f t="shared" ref="I302:J302" si="101">ROUND(($F$302/$G$302),0)</f>
        <v>0</v>
      </c>
      <c r="J302" s="117">
        <f t="shared" si="101"/>
        <v>0</v>
      </c>
      <c r="K302" s="120">
        <f>F302-SUM(H302:J302)</f>
        <v>0</v>
      </c>
      <c r="L302" s="7"/>
      <c r="M302" s="7"/>
    </row>
    <row r="303" spans="5:13" hidden="1" x14ac:dyDescent="0.25">
      <c r="E303" s="119" t="s">
        <v>292</v>
      </c>
      <c r="F303" s="117"/>
      <c r="G303" s="117"/>
      <c r="H303" s="117">
        <f>H302</f>
        <v>0</v>
      </c>
      <c r="I303" s="117">
        <f>I302+H303</f>
        <v>0</v>
      </c>
      <c r="J303" s="117">
        <f>J302+I303</f>
        <v>0</v>
      </c>
      <c r="K303" s="117"/>
      <c r="L303" s="7"/>
      <c r="M303" s="7"/>
    </row>
    <row r="304" spans="5:13" hidden="1" x14ac:dyDescent="0.25">
      <c r="E304" s="119" t="s">
        <v>293</v>
      </c>
      <c r="F304" s="120">
        <f>N91</f>
        <v>0</v>
      </c>
      <c r="G304" s="117">
        <f>X51</f>
        <v>10</v>
      </c>
      <c r="H304" s="117">
        <f>ROUND(($F$304/$G$304),0)</f>
        <v>0</v>
      </c>
      <c r="I304" s="117">
        <f t="shared" ref="I304:J304" si="102">ROUND(($F$304/$G$304),0)</f>
        <v>0</v>
      </c>
      <c r="J304" s="117">
        <f t="shared" si="102"/>
        <v>0</v>
      </c>
      <c r="K304" s="120">
        <f>F304-SUM(H304:J304)</f>
        <v>0</v>
      </c>
      <c r="L304" s="7"/>
      <c r="M304" s="7"/>
    </row>
    <row r="305" spans="5:13" hidden="1" x14ac:dyDescent="0.25">
      <c r="E305" s="119" t="s">
        <v>292</v>
      </c>
      <c r="F305" s="117"/>
      <c r="G305" s="117"/>
      <c r="H305" s="117">
        <f>H304</f>
        <v>0</v>
      </c>
      <c r="I305" s="117">
        <f>I304+H305</f>
        <v>0</v>
      </c>
      <c r="J305" s="117">
        <f>J304+I305</f>
        <v>0</v>
      </c>
      <c r="K305" s="117"/>
      <c r="L305" s="7"/>
      <c r="M305" s="7"/>
    </row>
    <row r="306" spans="5:13" hidden="1" x14ac:dyDescent="0.25">
      <c r="E306" s="119" t="s">
        <v>294</v>
      </c>
      <c r="F306" s="120">
        <f>N144</f>
        <v>0</v>
      </c>
      <c r="G306" s="117">
        <f>X94</f>
        <v>5</v>
      </c>
      <c r="H306" s="117">
        <f>ROUND(($F$306/$G$306),0)</f>
        <v>0</v>
      </c>
      <c r="I306" s="117">
        <f t="shared" ref="I306:J306" si="103">ROUND(($F$306/$G$306),0)</f>
        <v>0</v>
      </c>
      <c r="J306" s="117">
        <f t="shared" si="103"/>
        <v>0</v>
      </c>
      <c r="K306" s="120">
        <f>F306-SUM(H306:J306)</f>
        <v>0</v>
      </c>
      <c r="L306" s="7"/>
      <c r="M306" s="7"/>
    </row>
    <row r="307" spans="5:13" hidden="1" x14ac:dyDescent="0.25">
      <c r="E307" s="119" t="s">
        <v>292</v>
      </c>
      <c r="F307" s="117"/>
      <c r="G307" s="117"/>
      <c r="H307" s="117">
        <f>H306</f>
        <v>0</v>
      </c>
      <c r="I307" s="117">
        <f>I306+H307</f>
        <v>0</v>
      </c>
      <c r="J307" s="117">
        <f>J306+I307</f>
        <v>0</v>
      </c>
      <c r="K307" s="117"/>
      <c r="L307" s="7"/>
      <c r="M307" s="7"/>
    </row>
    <row r="308" spans="5:13" hidden="1" x14ac:dyDescent="0.25">
      <c r="E308" s="119" t="s">
        <v>295</v>
      </c>
      <c r="F308" s="120">
        <f>N154</f>
        <v>0</v>
      </c>
      <c r="G308" s="117">
        <f>X147</f>
        <v>5</v>
      </c>
      <c r="H308" s="117">
        <f>ROUND(($F$308/$G$308),0)</f>
        <v>0</v>
      </c>
      <c r="I308" s="117">
        <f t="shared" ref="I308:J308" si="104">ROUND(($F$308/$G$308),0)</f>
        <v>0</v>
      </c>
      <c r="J308" s="117">
        <f t="shared" si="104"/>
        <v>0</v>
      </c>
      <c r="K308" s="120">
        <f>F308-SUM(H308:J308)</f>
        <v>0</v>
      </c>
      <c r="L308" s="7"/>
      <c r="M308" s="7"/>
    </row>
    <row r="309" spans="5:13" hidden="1" x14ac:dyDescent="0.25">
      <c r="E309" s="119" t="s">
        <v>292</v>
      </c>
      <c r="F309" s="117"/>
      <c r="G309" s="117"/>
      <c r="H309" s="117">
        <f>H308</f>
        <v>0</v>
      </c>
      <c r="I309" s="117">
        <f>I308+H309</f>
        <v>0</v>
      </c>
      <c r="J309" s="117">
        <f>J308+I309</f>
        <v>0</v>
      </c>
      <c r="K309" s="117"/>
      <c r="L309" s="7"/>
      <c r="M309" s="7"/>
    </row>
    <row r="310" spans="5:13" hidden="1" x14ac:dyDescent="0.25">
      <c r="E310" s="119" t="s">
        <v>296</v>
      </c>
      <c r="F310" s="120">
        <f>N182</f>
        <v>0</v>
      </c>
      <c r="G310" s="117">
        <f>X157</f>
        <v>3</v>
      </c>
      <c r="H310" s="117">
        <f>ROUND(($F$310/$G$310),0)</f>
        <v>0</v>
      </c>
      <c r="I310" s="117">
        <f t="shared" ref="I310:J310" si="105">ROUND(($F$310/$G$310),0)</f>
        <v>0</v>
      </c>
      <c r="J310" s="117">
        <f t="shared" si="105"/>
        <v>0</v>
      </c>
      <c r="K310" s="120">
        <f>F310-SUM(H310:J310)</f>
        <v>0</v>
      </c>
      <c r="L310" s="7"/>
      <c r="M310" s="7"/>
    </row>
    <row r="311" spans="5:13" hidden="1" x14ac:dyDescent="0.25">
      <c r="E311" s="119" t="s">
        <v>292</v>
      </c>
      <c r="F311" s="117"/>
      <c r="G311" s="117"/>
      <c r="H311" s="117">
        <f>H310</f>
        <v>0</v>
      </c>
      <c r="I311" s="117">
        <f>I310+H311</f>
        <v>0</v>
      </c>
      <c r="J311" s="117">
        <f>J310+I311</f>
        <v>0</v>
      </c>
      <c r="K311" s="117"/>
      <c r="L311" s="7"/>
      <c r="M311" s="7"/>
    </row>
    <row r="312" spans="5:13" hidden="1" x14ac:dyDescent="0.25">
      <c r="E312" s="117" t="s">
        <v>297</v>
      </c>
      <c r="F312" s="120">
        <f>F302+F304+F306+F308+F310</f>
        <v>0</v>
      </c>
      <c r="G312" s="120"/>
      <c r="H312" s="120">
        <f t="shared" ref="H312:K312" si="106">H302+H304+H306+H308+H310</f>
        <v>0</v>
      </c>
      <c r="I312" s="120">
        <f t="shared" si="106"/>
        <v>0</v>
      </c>
      <c r="J312" s="120">
        <f t="shared" si="106"/>
        <v>0</v>
      </c>
      <c r="K312" s="120">
        <f t="shared" si="106"/>
        <v>0</v>
      </c>
      <c r="L312" s="7"/>
      <c r="M312" s="7"/>
    </row>
    <row r="313" spans="5:13" hidden="1" x14ac:dyDescent="0.25">
      <c r="E313" s="119" t="s">
        <v>298</v>
      </c>
      <c r="F313" s="120">
        <f>N212</f>
        <v>0</v>
      </c>
      <c r="G313" s="117">
        <f>X196</f>
        <v>1</v>
      </c>
      <c r="H313" s="117">
        <f>ROUND(($F$313/$G$313),0)</f>
        <v>0</v>
      </c>
      <c r="I313" s="117">
        <f t="shared" ref="I313:J313" si="107">ROUND(($F$313/$G$313),0)</f>
        <v>0</v>
      </c>
      <c r="J313" s="117">
        <f t="shared" si="107"/>
        <v>0</v>
      </c>
      <c r="K313" s="120">
        <f>F313-SUM(H313:J313)</f>
        <v>0</v>
      </c>
      <c r="L313" s="7"/>
      <c r="M313" s="7"/>
    </row>
    <row r="314" spans="5:13" hidden="1" x14ac:dyDescent="0.25">
      <c r="E314" s="119" t="s">
        <v>299</v>
      </c>
      <c r="F314" s="120">
        <f>N231</f>
        <v>0</v>
      </c>
      <c r="G314" s="117">
        <f>X215</f>
        <v>10</v>
      </c>
      <c r="H314" s="117">
        <f>ROUND(($F$314/$G$314),0)</f>
        <v>0</v>
      </c>
      <c r="I314" s="117">
        <f t="shared" ref="I314:J314" si="108">ROUND(($F$314/$G$314),0)</f>
        <v>0</v>
      </c>
      <c r="J314" s="117">
        <f t="shared" si="108"/>
        <v>0</v>
      </c>
      <c r="K314" s="120">
        <f>F314-SUM(H314:J314)</f>
        <v>0</v>
      </c>
      <c r="L314" s="7"/>
      <c r="M314" s="7"/>
    </row>
    <row r="315" spans="5:13" hidden="1" x14ac:dyDescent="0.25">
      <c r="E315" s="119" t="s">
        <v>300</v>
      </c>
      <c r="F315" s="117"/>
      <c r="G315" s="117"/>
      <c r="H315" s="117">
        <f>H314</f>
        <v>0</v>
      </c>
      <c r="I315" s="117">
        <f>I314+H315</f>
        <v>0</v>
      </c>
      <c r="J315" s="117">
        <f>J314+I315</f>
        <v>0</v>
      </c>
      <c r="K315" s="117"/>
      <c r="L315" s="7"/>
      <c r="M315" s="7"/>
    </row>
    <row r="316" spans="5:13" hidden="1" x14ac:dyDescent="0.25">
      <c r="E316" s="119" t="s">
        <v>301</v>
      </c>
      <c r="F316" s="120">
        <f>N241</f>
        <v>0</v>
      </c>
      <c r="G316" s="117">
        <f>X234</f>
        <v>5</v>
      </c>
      <c r="H316" s="117">
        <f>ROUND(($F$316/$G$316),0)</f>
        <v>0</v>
      </c>
      <c r="I316" s="117">
        <f t="shared" ref="I316:J316" si="109">ROUND(($F$316/$G$316),0)</f>
        <v>0</v>
      </c>
      <c r="J316" s="117">
        <f t="shared" si="109"/>
        <v>0</v>
      </c>
      <c r="K316" s="120">
        <f>F316-SUM(H316:J316)</f>
        <v>0</v>
      </c>
      <c r="L316" s="7"/>
      <c r="M316" s="7"/>
    </row>
    <row r="317" spans="5:13" hidden="1" x14ac:dyDescent="0.25">
      <c r="E317" s="119" t="s">
        <v>154</v>
      </c>
      <c r="F317" s="117"/>
      <c r="G317" s="117"/>
      <c r="H317" s="117">
        <f>H316</f>
        <v>0</v>
      </c>
      <c r="I317" s="117">
        <f>I316+H317</f>
        <v>0</v>
      </c>
      <c r="J317" s="117">
        <f>J316+I317</f>
        <v>0</v>
      </c>
      <c r="K317" s="117"/>
      <c r="L317" s="7"/>
      <c r="M317" s="7"/>
    </row>
    <row r="318" spans="5:13" hidden="1" x14ac:dyDescent="0.25">
      <c r="E318" s="119" t="s">
        <v>302</v>
      </c>
      <c r="F318" s="120">
        <f>N249</f>
        <v>0</v>
      </c>
      <c r="G318" s="117">
        <f>X246</f>
        <v>5</v>
      </c>
      <c r="H318" s="117">
        <f>ROUND(($F$318/$G$318),0)</f>
        <v>0</v>
      </c>
      <c r="I318" s="117">
        <f t="shared" ref="I318:J318" si="110">ROUND(($F$318/$G$318),0)</f>
        <v>0</v>
      </c>
      <c r="J318" s="117">
        <f t="shared" si="110"/>
        <v>0</v>
      </c>
      <c r="K318" s="120">
        <f>F318-SUM(H318:J318)</f>
        <v>0</v>
      </c>
      <c r="L318" s="7"/>
      <c r="M318" s="7"/>
    </row>
    <row r="319" spans="5:13" hidden="1" x14ac:dyDescent="0.25">
      <c r="E319" s="119" t="s">
        <v>303</v>
      </c>
      <c r="F319" s="117"/>
      <c r="G319" s="117"/>
      <c r="H319" s="117">
        <f>H318</f>
        <v>0</v>
      </c>
      <c r="I319" s="117">
        <f>I318+H319</f>
        <v>0</v>
      </c>
      <c r="J319" s="117">
        <f>J318+I319</f>
        <v>0</v>
      </c>
      <c r="K319" s="117"/>
      <c r="L319" s="7"/>
      <c r="M319" s="7"/>
    </row>
    <row r="320" spans="5:13" hidden="1" x14ac:dyDescent="0.25">
      <c r="E320" s="7"/>
      <c r="F320" s="7"/>
      <c r="G320" s="7"/>
      <c r="H320" s="7"/>
      <c r="I320" s="7"/>
      <c r="J320" s="7"/>
      <c r="K320" s="7"/>
      <c r="L320" s="7"/>
      <c r="M320" s="7"/>
    </row>
    <row r="321" spans="5:13" hidden="1" x14ac:dyDescent="0.25">
      <c r="E321" s="7"/>
      <c r="F321" s="7"/>
      <c r="G321" s="7"/>
      <c r="H321" s="7"/>
      <c r="I321" s="7"/>
      <c r="J321" s="7"/>
      <c r="K321" s="7"/>
      <c r="L321" s="7"/>
      <c r="M321" s="7"/>
    </row>
    <row r="322" spans="5:13" hidden="1" x14ac:dyDescent="0.25">
      <c r="E322" s="636" t="s">
        <v>427</v>
      </c>
      <c r="F322" s="636"/>
      <c r="G322" s="636"/>
      <c r="H322" s="636"/>
      <c r="I322" s="636"/>
      <c r="J322" s="636"/>
      <c r="K322" s="7"/>
      <c r="L322" s="7"/>
      <c r="M322" s="7"/>
    </row>
    <row r="323" spans="5:13" hidden="1" x14ac:dyDescent="0.25">
      <c r="E323" s="117" t="s">
        <v>424</v>
      </c>
      <c r="F323" s="118">
        <f>BASES!F7</f>
        <v>2023</v>
      </c>
      <c r="G323" s="117" t="s">
        <v>387</v>
      </c>
      <c r="H323" s="118">
        <f>BASES!G7</f>
        <v>2024</v>
      </c>
      <c r="I323" s="118">
        <f>BASES!H7</f>
        <v>2025</v>
      </c>
      <c r="J323" s="117" t="s">
        <v>425</v>
      </c>
      <c r="K323" s="7"/>
      <c r="L323" s="7"/>
      <c r="M323" s="7"/>
    </row>
    <row r="324" spans="5:13" hidden="1" x14ac:dyDescent="0.25">
      <c r="E324" s="119" t="s">
        <v>291</v>
      </c>
      <c r="F324" s="120">
        <f>Q48</f>
        <v>0</v>
      </c>
      <c r="G324" s="117">
        <f>X41</f>
        <v>20</v>
      </c>
      <c r="H324" s="117">
        <f>ROUND(($F$324/$G$324),0)</f>
        <v>0</v>
      </c>
      <c r="I324" s="117">
        <f>ROUND(($F$324/$G$324),0)</f>
        <v>0</v>
      </c>
      <c r="J324" s="120">
        <f>F324-SUM(H324:I324)</f>
        <v>0</v>
      </c>
      <c r="K324" s="7"/>
      <c r="L324" s="7"/>
      <c r="M324" s="7"/>
    </row>
    <row r="325" spans="5:13" hidden="1" x14ac:dyDescent="0.25">
      <c r="E325" s="119" t="s">
        <v>292</v>
      </c>
      <c r="F325" s="117"/>
      <c r="G325" s="117"/>
      <c r="H325" s="117">
        <f>H324</f>
        <v>0</v>
      </c>
      <c r="I325" s="117">
        <f>I324+H325</f>
        <v>0</v>
      </c>
      <c r="J325" s="117"/>
      <c r="K325" s="7"/>
      <c r="L325" s="7"/>
      <c r="M325" s="7"/>
    </row>
    <row r="326" spans="5:13" hidden="1" x14ac:dyDescent="0.25">
      <c r="E326" s="119" t="s">
        <v>293</v>
      </c>
      <c r="F326" s="120">
        <f>Q91</f>
        <v>0</v>
      </c>
      <c r="G326" s="117">
        <f>X51</f>
        <v>10</v>
      </c>
      <c r="H326" s="117">
        <f>ROUND(($F$326/$G$326),0)</f>
        <v>0</v>
      </c>
      <c r="I326" s="117">
        <f>ROUND(($F$326/$G$326),0)</f>
        <v>0</v>
      </c>
      <c r="J326" s="120">
        <f>F326-SUM(H326:I326)</f>
        <v>0</v>
      </c>
      <c r="K326" s="7"/>
      <c r="L326" s="7"/>
      <c r="M326" s="7"/>
    </row>
    <row r="327" spans="5:13" hidden="1" x14ac:dyDescent="0.25">
      <c r="E327" s="119" t="s">
        <v>292</v>
      </c>
      <c r="F327" s="117"/>
      <c r="G327" s="117"/>
      <c r="H327" s="117">
        <f>H326</f>
        <v>0</v>
      </c>
      <c r="I327" s="117">
        <f>I326+H327</f>
        <v>0</v>
      </c>
      <c r="J327" s="117"/>
      <c r="K327" s="7"/>
      <c r="L327" s="7"/>
      <c r="M327" s="7"/>
    </row>
    <row r="328" spans="5:13" hidden="1" x14ac:dyDescent="0.25">
      <c r="E328" s="119" t="s">
        <v>294</v>
      </c>
      <c r="F328" s="120">
        <f>Q144</f>
        <v>0</v>
      </c>
      <c r="G328" s="117">
        <f>X94</f>
        <v>5</v>
      </c>
      <c r="H328" s="117">
        <f>ROUND(($F$328/$G$328),0)</f>
        <v>0</v>
      </c>
      <c r="I328" s="117">
        <f>ROUND(($F$328/$G$328),0)</f>
        <v>0</v>
      </c>
      <c r="J328" s="120">
        <f>F328-SUM(H328:I328)</f>
        <v>0</v>
      </c>
      <c r="K328" s="7"/>
      <c r="L328" s="7"/>
      <c r="M328" s="7"/>
    </row>
    <row r="329" spans="5:13" hidden="1" x14ac:dyDescent="0.25">
      <c r="E329" s="119" t="s">
        <v>292</v>
      </c>
      <c r="F329" s="117"/>
      <c r="G329" s="117"/>
      <c r="H329" s="117">
        <f>H328</f>
        <v>0</v>
      </c>
      <c r="I329" s="117">
        <f>I328+H329</f>
        <v>0</v>
      </c>
      <c r="J329" s="117"/>
      <c r="K329" s="7"/>
      <c r="L329" s="7"/>
      <c r="M329" s="7"/>
    </row>
    <row r="330" spans="5:13" hidden="1" x14ac:dyDescent="0.25">
      <c r="E330" s="119" t="s">
        <v>295</v>
      </c>
      <c r="F330" s="120">
        <f>Q154</f>
        <v>0</v>
      </c>
      <c r="G330" s="117">
        <f>X147</f>
        <v>5</v>
      </c>
      <c r="H330" s="117">
        <f>ROUND(($F$330/$G$330),0)</f>
        <v>0</v>
      </c>
      <c r="I330" s="117">
        <f>ROUND(($F$330/$G$330),0)</f>
        <v>0</v>
      </c>
      <c r="J330" s="120">
        <f>F330-SUM(H330:I330)</f>
        <v>0</v>
      </c>
      <c r="K330" s="7"/>
      <c r="L330" s="7"/>
      <c r="M330" s="7"/>
    </row>
    <row r="331" spans="5:13" hidden="1" x14ac:dyDescent="0.25">
      <c r="E331" s="119" t="s">
        <v>292</v>
      </c>
      <c r="F331" s="117"/>
      <c r="G331" s="117"/>
      <c r="H331" s="117">
        <f>H330</f>
        <v>0</v>
      </c>
      <c r="I331" s="117">
        <f>I330+H331</f>
        <v>0</v>
      </c>
      <c r="J331" s="117"/>
      <c r="K331" s="7"/>
      <c r="L331" s="7"/>
      <c r="M331" s="7"/>
    </row>
    <row r="332" spans="5:13" hidden="1" x14ac:dyDescent="0.25">
      <c r="E332" s="119" t="s">
        <v>296</v>
      </c>
      <c r="F332" s="120">
        <f>Q182</f>
        <v>0</v>
      </c>
      <c r="G332" s="117">
        <f>X157</f>
        <v>3</v>
      </c>
      <c r="H332" s="117">
        <f>ROUND(($F$332/$G$332),0)</f>
        <v>0</v>
      </c>
      <c r="I332" s="117">
        <f>ROUND(($F$332/$G$332),0)</f>
        <v>0</v>
      </c>
      <c r="J332" s="120">
        <f>F332-SUM(H332:I332)</f>
        <v>0</v>
      </c>
      <c r="K332" s="7"/>
      <c r="L332" s="7"/>
      <c r="M332" s="7"/>
    </row>
    <row r="333" spans="5:13" hidden="1" x14ac:dyDescent="0.25">
      <c r="E333" s="119" t="s">
        <v>292</v>
      </c>
      <c r="F333" s="117"/>
      <c r="G333" s="117"/>
      <c r="H333" s="117">
        <f>H332</f>
        <v>0</v>
      </c>
      <c r="I333" s="117">
        <f>I332+H333</f>
        <v>0</v>
      </c>
      <c r="J333" s="117"/>
      <c r="K333" s="7"/>
      <c r="L333" s="7"/>
      <c r="M333" s="7"/>
    </row>
    <row r="334" spans="5:13" hidden="1" x14ac:dyDescent="0.25">
      <c r="E334" s="117" t="s">
        <v>297</v>
      </c>
      <c r="F334" s="120">
        <f>F324+F326+F328+F330+F332</f>
        <v>0</v>
      </c>
      <c r="G334" s="120"/>
      <c r="H334" s="120">
        <f t="shared" ref="H334:J334" si="111">H324+H326+H328+H330+H332</f>
        <v>0</v>
      </c>
      <c r="I334" s="120">
        <f t="shared" si="111"/>
        <v>0</v>
      </c>
      <c r="J334" s="120">
        <f t="shared" si="111"/>
        <v>0</v>
      </c>
      <c r="K334" s="7"/>
      <c r="L334" s="7"/>
      <c r="M334" s="7"/>
    </row>
    <row r="335" spans="5:13" hidden="1" x14ac:dyDescent="0.25">
      <c r="E335" s="119" t="s">
        <v>298</v>
      </c>
      <c r="F335" s="120">
        <f>Q212</f>
        <v>0</v>
      </c>
      <c r="G335" s="117">
        <f>X196</f>
        <v>1</v>
      </c>
      <c r="H335" s="117">
        <f>ROUND(($F$335/$G$335),0)</f>
        <v>0</v>
      </c>
      <c r="I335" s="117">
        <f>ROUND(($F$335/$G$335),0)</f>
        <v>0</v>
      </c>
      <c r="J335" s="120">
        <f>F335-SUM(H335:I335)</f>
        <v>0</v>
      </c>
      <c r="K335" s="7"/>
      <c r="L335" s="7"/>
      <c r="M335" s="7"/>
    </row>
    <row r="336" spans="5:13" hidden="1" x14ac:dyDescent="0.25">
      <c r="E336" s="119" t="s">
        <v>299</v>
      </c>
      <c r="F336" s="120">
        <f>Q231</f>
        <v>0</v>
      </c>
      <c r="G336" s="117">
        <f>X215</f>
        <v>10</v>
      </c>
      <c r="H336" s="117">
        <f>ROUND(($F$336/$G$336),0)</f>
        <v>0</v>
      </c>
      <c r="I336" s="117">
        <f>ROUND(($F$336/$G$336),0)</f>
        <v>0</v>
      </c>
      <c r="J336" s="120">
        <f>F336-SUM(H336:I336)</f>
        <v>0</v>
      </c>
      <c r="K336" s="7"/>
      <c r="L336" s="7"/>
      <c r="M336" s="7"/>
    </row>
    <row r="337" spans="5:13" hidden="1" x14ac:dyDescent="0.25">
      <c r="E337" s="119" t="s">
        <v>300</v>
      </c>
      <c r="F337" s="117"/>
      <c r="G337" s="117"/>
      <c r="H337" s="117">
        <f>H336</f>
        <v>0</v>
      </c>
      <c r="I337" s="117">
        <f>I336+H337</f>
        <v>0</v>
      </c>
      <c r="J337" s="117"/>
      <c r="K337" s="7"/>
      <c r="L337" s="7"/>
      <c r="M337" s="7"/>
    </row>
    <row r="338" spans="5:13" hidden="1" x14ac:dyDescent="0.25">
      <c r="E338" s="119" t="s">
        <v>301</v>
      </c>
      <c r="F338" s="120">
        <f>Q241</f>
        <v>0</v>
      </c>
      <c r="G338" s="117">
        <f>X234</f>
        <v>5</v>
      </c>
      <c r="H338" s="117">
        <f>ROUND(($F$338/$G$338),0)</f>
        <v>0</v>
      </c>
      <c r="I338" s="117">
        <f>ROUND(($F$338/$G$338),0)</f>
        <v>0</v>
      </c>
      <c r="J338" s="120">
        <f>F338-SUM(H338:I338)</f>
        <v>0</v>
      </c>
      <c r="K338" s="7"/>
      <c r="L338" s="7"/>
      <c r="M338" s="7"/>
    </row>
    <row r="339" spans="5:13" hidden="1" x14ac:dyDescent="0.25">
      <c r="E339" s="119" t="s">
        <v>154</v>
      </c>
      <c r="F339" s="117"/>
      <c r="G339" s="117"/>
      <c r="H339" s="117">
        <f>H338</f>
        <v>0</v>
      </c>
      <c r="I339" s="117">
        <f>I338+H339</f>
        <v>0</v>
      </c>
      <c r="J339" s="117"/>
      <c r="K339" s="7"/>
      <c r="L339" s="7"/>
      <c r="M339" s="7"/>
    </row>
    <row r="340" spans="5:13" hidden="1" x14ac:dyDescent="0.25">
      <c r="E340" s="119" t="s">
        <v>302</v>
      </c>
      <c r="F340" s="120">
        <f>Q249</f>
        <v>0</v>
      </c>
      <c r="G340" s="117">
        <f>X246</f>
        <v>5</v>
      </c>
      <c r="H340" s="117">
        <f>ROUND(($F$340/$G$340),0)</f>
        <v>0</v>
      </c>
      <c r="I340" s="117">
        <f>ROUND(($F$340/$G$340),0)</f>
        <v>0</v>
      </c>
      <c r="J340" s="120">
        <f>F340-SUM(H340:I340)</f>
        <v>0</v>
      </c>
      <c r="K340" s="7"/>
      <c r="L340" s="7"/>
      <c r="M340" s="7"/>
    </row>
    <row r="341" spans="5:13" hidden="1" x14ac:dyDescent="0.25">
      <c r="E341" s="119" t="s">
        <v>303</v>
      </c>
      <c r="F341" s="117"/>
      <c r="G341" s="117"/>
      <c r="H341" s="117">
        <f>H340</f>
        <v>0</v>
      </c>
      <c r="I341" s="117">
        <f>I340+H341</f>
        <v>0</v>
      </c>
      <c r="J341" s="117"/>
      <c r="K341" s="7"/>
      <c r="L341" s="7"/>
      <c r="M341" s="7"/>
    </row>
    <row r="342" spans="5:13" hidden="1" x14ac:dyDescent="0.25">
      <c r="E342" s="7"/>
      <c r="F342" s="7"/>
      <c r="G342" s="7"/>
      <c r="H342" s="7"/>
      <c r="I342" s="7"/>
      <c r="J342" s="7"/>
      <c r="K342" s="7"/>
      <c r="L342" s="7"/>
      <c r="M342" s="7"/>
    </row>
    <row r="343" spans="5:13" hidden="1" x14ac:dyDescent="0.25">
      <c r="E343" s="7"/>
      <c r="F343" s="7"/>
      <c r="G343" s="7"/>
      <c r="H343" s="7"/>
      <c r="I343" s="7"/>
      <c r="J343" s="7"/>
      <c r="K343" s="7"/>
      <c r="L343" s="7"/>
      <c r="M343" s="7"/>
    </row>
    <row r="344" spans="5:13" hidden="1" x14ac:dyDescent="0.25">
      <c r="E344" s="636" t="s">
        <v>428</v>
      </c>
      <c r="F344" s="636"/>
      <c r="G344" s="636"/>
      <c r="H344" s="636"/>
      <c r="I344" s="636"/>
      <c r="J344" s="7"/>
      <c r="K344" s="7"/>
      <c r="L344" s="7"/>
      <c r="M344" s="7"/>
    </row>
    <row r="345" spans="5:13" hidden="1" x14ac:dyDescent="0.25">
      <c r="E345" s="117" t="s">
        <v>424</v>
      </c>
      <c r="F345" s="117">
        <v>2023</v>
      </c>
      <c r="G345" s="117" t="s">
        <v>387</v>
      </c>
      <c r="H345" s="117">
        <v>2024</v>
      </c>
      <c r="I345" s="117" t="s">
        <v>425</v>
      </c>
      <c r="J345" s="7"/>
      <c r="K345" s="7"/>
      <c r="L345" s="7"/>
      <c r="M345" s="7"/>
    </row>
    <row r="346" spans="5:13" hidden="1" x14ac:dyDescent="0.25">
      <c r="E346" s="119" t="s">
        <v>291</v>
      </c>
      <c r="F346" s="120">
        <f>T48</f>
        <v>0</v>
      </c>
      <c r="G346" s="117">
        <f>X41</f>
        <v>20</v>
      </c>
      <c r="H346" s="117">
        <f>ROUND(($F$346/$G$346),0)</f>
        <v>0</v>
      </c>
      <c r="I346" s="120">
        <f>F346-H346</f>
        <v>0</v>
      </c>
      <c r="J346" s="7"/>
      <c r="K346" s="7"/>
      <c r="L346" s="7"/>
      <c r="M346" s="7"/>
    </row>
    <row r="347" spans="5:13" hidden="1" x14ac:dyDescent="0.25">
      <c r="E347" s="119" t="s">
        <v>292</v>
      </c>
      <c r="F347" s="117"/>
      <c r="G347" s="117"/>
      <c r="H347" s="117">
        <f>H346</f>
        <v>0</v>
      </c>
      <c r="I347" s="117"/>
      <c r="J347" s="7"/>
      <c r="K347" s="7"/>
      <c r="L347" s="7"/>
      <c r="M347" s="7"/>
    </row>
    <row r="348" spans="5:13" hidden="1" x14ac:dyDescent="0.25">
      <c r="E348" s="119" t="s">
        <v>293</v>
      </c>
      <c r="F348" s="120">
        <f>T91</f>
        <v>0</v>
      </c>
      <c r="G348" s="117">
        <f>X51</f>
        <v>10</v>
      </c>
      <c r="H348" s="117">
        <f>ROUND(($F$348/$G$348),0)</f>
        <v>0</v>
      </c>
      <c r="I348" s="120">
        <f>F348-H348</f>
        <v>0</v>
      </c>
      <c r="J348" s="7"/>
      <c r="K348" s="7"/>
      <c r="L348" s="7"/>
      <c r="M348" s="7"/>
    </row>
    <row r="349" spans="5:13" hidden="1" x14ac:dyDescent="0.25">
      <c r="E349" s="119" t="s">
        <v>292</v>
      </c>
      <c r="F349" s="117"/>
      <c r="G349" s="117"/>
      <c r="H349" s="117">
        <f>H348</f>
        <v>0</v>
      </c>
      <c r="I349" s="117"/>
      <c r="J349" s="7"/>
      <c r="K349" s="7"/>
      <c r="L349" s="7"/>
      <c r="M349" s="7"/>
    </row>
    <row r="350" spans="5:13" hidden="1" x14ac:dyDescent="0.25">
      <c r="E350" s="119" t="s">
        <v>294</v>
      </c>
      <c r="F350" s="120">
        <f>T144</f>
        <v>0</v>
      </c>
      <c r="G350" s="117">
        <f>X94</f>
        <v>5</v>
      </c>
      <c r="H350" s="117">
        <f>ROUND(($F$350/$G$350),0)</f>
        <v>0</v>
      </c>
      <c r="I350" s="120">
        <f>F350-H350</f>
        <v>0</v>
      </c>
      <c r="J350" s="7"/>
      <c r="K350" s="7"/>
      <c r="L350" s="7"/>
      <c r="M350" s="7"/>
    </row>
    <row r="351" spans="5:13" hidden="1" x14ac:dyDescent="0.25">
      <c r="E351" s="119" t="s">
        <v>292</v>
      </c>
      <c r="F351" s="117"/>
      <c r="G351" s="117"/>
      <c r="H351" s="117">
        <f>H350</f>
        <v>0</v>
      </c>
      <c r="I351" s="117"/>
      <c r="J351" s="7"/>
      <c r="K351" s="7"/>
      <c r="L351" s="7"/>
      <c r="M351" s="7"/>
    </row>
    <row r="352" spans="5:13" hidden="1" x14ac:dyDescent="0.25">
      <c r="E352" s="119" t="s">
        <v>295</v>
      </c>
      <c r="F352" s="120">
        <f>T154</f>
        <v>0</v>
      </c>
      <c r="G352" s="117">
        <f>X147</f>
        <v>5</v>
      </c>
      <c r="H352" s="117">
        <f>ROUND(($F$352/$G$352),0)</f>
        <v>0</v>
      </c>
      <c r="I352" s="120">
        <f>F352-H352</f>
        <v>0</v>
      </c>
      <c r="J352" s="7"/>
      <c r="K352" s="7"/>
      <c r="L352" s="7"/>
      <c r="M352" s="7"/>
    </row>
    <row r="353" spans="5:13" hidden="1" x14ac:dyDescent="0.25">
      <c r="E353" s="119" t="s">
        <v>292</v>
      </c>
      <c r="F353" s="117"/>
      <c r="G353" s="117"/>
      <c r="H353" s="117">
        <f>H352</f>
        <v>0</v>
      </c>
      <c r="I353" s="117"/>
      <c r="J353" s="7"/>
      <c r="K353" s="7"/>
      <c r="L353" s="7"/>
      <c r="M353" s="7"/>
    </row>
    <row r="354" spans="5:13" hidden="1" x14ac:dyDescent="0.25">
      <c r="E354" s="119" t="s">
        <v>296</v>
      </c>
      <c r="F354" s="120">
        <f>T182</f>
        <v>0</v>
      </c>
      <c r="G354" s="117">
        <f>X157</f>
        <v>3</v>
      </c>
      <c r="H354" s="117">
        <f>ROUND(($F$354/$G$354),0)</f>
        <v>0</v>
      </c>
      <c r="I354" s="120">
        <f>F354-H354</f>
        <v>0</v>
      </c>
      <c r="J354" s="7"/>
      <c r="K354" s="7"/>
      <c r="L354" s="7"/>
      <c r="M354" s="7"/>
    </row>
    <row r="355" spans="5:13" hidden="1" x14ac:dyDescent="0.25">
      <c r="E355" s="119" t="s">
        <v>292</v>
      </c>
      <c r="F355" s="117"/>
      <c r="G355" s="117"/>
      <c r="H355" s="117">
        <f>H354</f>
        <v>0</v>
      </c>
      <c r="I355" s="117"/>
      <c r="J355" s="7"/>
      <c r="K355" s="7"/>
      <c r="L355" s="7"/>
      <c r="M355" s="7"/>
    </row>
    <row r="356" spans="5:13" hidden="1" x14ac:dyDescent="0.25">
      <c r="E356" s="117" t="s">
        <v>297</v>
      </c>
      <c r="F356" s="120">
        <f>F346+F348+F350+F352+F354</f>
        <v>0</v>
      </c>
      <c r="G356" s="120"/>
      <c r="H356" s="120">
        <f t="shared" ref="H356:I356" si="112">H346+H348+H350+H352+H354</f>
        <v>0</v>
      </c>
      <c r="I356" s="120">
        <f t="shared" si="112"/>
        <v>0</v>
      </c>
      <c r="J356" s="7"/>
      <c r="K356" s="7"/>
      <c r="L356" s="7"/>
      <c r="M356" s="7"/>
    </row>
    <row r="357" spans="5:13" hidden="1" x14ac:dyDescent="0.25">
      <c r="E357" s="119" t="s">
        <v>298</v>
      </c>
      <c r="F357" s="120">
        <f>T212</f>
        <v>0</v>
      </c>
      <c r="G357" s="117">
        <f>X196</f>
        <v>1</v>
      </c>
      <c r="H357" s="117">
        <f>ROUND(($F$357/$G$357),0)</f>
        <v>0</v>
      </c>
      <c r="I357" s="120">
        <f>F357-H357</f>
        <v>0</v>
      </c>
      <c r="J357" s="7"/>
      <c r="K357" s="7"/>
      <c r="L357" s="7"/>
      <c r="M357" s="7"/>
    </row>
    <row r="358" spans="5:13" hidden="1" x14ac:dyDescent="0.25">
      <c r="E358" s="119" t="s">
        <v>299</v>
      </c>
      <c r="F358" s="120">
        <f>T231</f>
        <v>0</v>
      </c>
      <c r="G358" s="117">
        <f>X215</f>
        <v>10</v>
      </c>
      <c r="H358" s="117">
        <f>ROUND(($F$358/$G$358),0)</f>
        <v>0</v>
      </c>
      <c r="I358" s="120">
        <f>F358-H358</f>
        <v>0</v>
      </c>
      <c r="J358" s="7"/>
      <c r="K358" s="7"/>
      <c r="L358" s="7"/>
      <c r="M358" s="7"/>
    </row>
    <row r="359" spans="5:13" hidden="1" x14ac:dyDescent="0.25">
      <c r="E359" s="119" t="s">
        <v>300</v>
      </c>
      <c r="F359" s="117"/>
      <c r="G359" s="117"/>
      <c r="H359" s="117">
        <f>H358</f>
        <v>0</v>
      </c>
      <c r="I359" s="117"/>
      <c r="J359" s="7"/>
      <c r="K359" s="7"/>
      <c r="L359" s="7"/>
      <c r="M359" s="7"/>
    </row>
    <row r="360" spans="5:13" hidden="1" x14ac:dyDescent="0.25">
      <c r="E360" s="119" t="s">
        <v>301</v>
      </c>
      <c r="F360" s="120">
        <f>T241</f>
        <v>0</v>
      </c>
      <c r="G360" s="117">
        <f>X234</f>
        <v>5</v>
      </c>
      <c r="H360" s="117">
        <f>ROUND(($F$360/$G$360),0)</f>
        <v>0</v>
      </c>
      <c r="I360" s="120">
        <f>F360-H360</f>
        <v>0</v>
      </c>
      <c r="J360" s="7"/>
      <c r="K360" s="7"/>
      <c r="L360" s="7"/>
      <c r="M360" s="7"/>
    </row>
    <row r="361" spans="5:13" hidden="1" x14ac:dyDescent="0.25">
      <c r="E361" s="119" t="s">
        <v>154</v>
      </c>
      <c r="F361" s="117"/>
      <c r="G361" s="117"/>
      <c r="H361" s="117">
        <f>H360</f>
        <v>0</v>
      </c>
      <c r="I361" s="117"/>
      <c r="J361" s="7"/>
      <c r="K361" s="7"/>
      <c r="L361" s="7"/>
      <c r="M361" s="7"/>
    </row>
    <row r="362" spans="5:13" hidden="1" x14ac:dyDescent="0.25">
      <c r="E362" s="119" t="s">
        <v>302</v>
      </c>
      <c r="F362" s="120">
        <f>T249</f>
        <v>0</v>
      </c>
      <c r="G362" s="117">
        <f>X246</f>
        <v>5</v>
      </c>
      <c r="H362" s="117">
        <f>ROUND(($F$362/$G$362),0)</f>
        <v>0</v>
      </c>
      <c r="I362" s="120">
        <f>F362-H362</f>
        <v>0</v>
      </c>
      <c r="J362" s="7"/>
      <c r="K362" s="7"/>
      <c r="L362" s="7"/>
      <c r="M362" s="7"/>
    </row>
    <row r="363" spans="5:13" hidden="1" x14ac:dyDescent="0.25">
      <c r="E363" s="119" t="s">
        <v>303</v>
      </c>
      <c r="F363" s="117"/>
      <c r="G363" s="117"/>
      <c r="H363" s="117">
        <f>H362</f>
        <v>0</v>
      </c>
      <c r="I363" s="117"/>
      <c r="J363" s="7"/>
      <c r="K363" s="7"/>
      <c r="L363" s="7"/>
      <c r="M363" s="7"/>
    </row>
    <row r="364" spans="5:13" hidden="1" x14ac:dyDescent="0.25">
      <c r="E364" s="7"/>
      <c r="F364" s="7"/>
      <c r="G364" s="7"/>
      <c r="H364" s="7"/>
      <c r="I364" s="7"/>
      <c r="J364" s="7"/>
      <c r="K364" s="7"/>
      <c r="L364" s="7"/>
      <c r="M364" s="7"/>
    </row>
    <row r="365" spans="5:13" hidden="1" x14ac:dyDescent="0.25">
      <c r="E365" s="7"/>
      <c r="F365" s="7"/>
      <c r="G365" s="7"/>
      <c r="H365" s="7"/>
      <c r="I365" s="7"/>
      <c r="J365" s="7"/>
      <c r="K365" s="7"/>
      <c r="L365" s="7"/>
      <c r="M365" s="7"/>
    </row>
    <row r="366" spans="5:13" hidden="1" x14ac:dyDescent="0.25">
      <c r="E366" s="122" t="s">
        <v>429</v>
      </c>
      <c r="F366" s="117" t="s">
        <v>59</v>
      </c>
      <c r="G366" s="118">
        <f>BASES!D7</f>
        <v>2021</v>
      </c>
      <c r="H366" s="118">
        <f>BASES!E7</f>
        <v>2022</v>
      </c>
      <c r="I366" s="118">
        <f>BASES!F7</f>
        <v>2023</v>
      </c>
      <c r="J366" s="118">
        <f>BASES!G7</f>
        <v>2024</v>
      </c>
      <c r="K366" s="118">
        <f>BASES!H7</f>
        <v>2025</v>
      </c>
      <c r="L366" s="7"/>
      <c r="M366" s="7"/>
    </row>
    <row r="367" spans="5:13" hidden="1" x14ac:dyDescent="0.25">
      <c r="E367" s="117" t="s">
        <v>304</v>
      </c>
      <c r="F367" s="120">
        <f>F258</f>
        <v>0</v>
      </c>
      <c r="G367" s="120">
        <f>F367+F280</f>
        <v>0</v>
      </c>
      <c r="H367" s="120">
        <f>G367+F302</f>
        <v>0</v>
      </c>
      <c r="I367" s="120">
        <f>H367+F324</f>
        <v>0</v>
      </c>
      <c r="J367" s="120">
        <f>I367+F346</f>
        <v>0</v>
      </c>
      <c r="K367" s="120">
        <f>J367+W48</f>
        <v>0</v>
      </c>
      <c r="L367" s="7"/>
      <c r="M367" s="7"/>
    </row>
    <row r="368" spans="5:13" hidden="1" x14ac:dyDescent="0.25">
      <c r="E368" s="117" t="s">
        <v>305</v>
      </c>
      <c r="F368" s="117">
        <v>0</v>
      </c>
      <c r="G368" s="117">
        <f>-1*H259</f>
        <v>0</v>
      </c>
      <c r="H368" s="117">
        <f>-1*(I259+H281)</f>
        <v>0</v>
      </c>
      <c r="I368" s="117">
        <f>-1*(J259+I281+H303)</f>
        <v>0</v>
      </c>
      <c r="J368" s="117">
        <f>-1*(K259+J281+I303+H325)</f>
        <v>0</v>
      </c>
      <c r="K368" s="117">
        <f>-1*(L259+K281+J303+I325+H347)</f>
        <v>0</v>
      </c>
      <c r="L368" s="7"/>
      <c r="M368" s="7"/>
    </row>
    <row r="369" spans="5:13" hidden="1" x14ac:dyDescent="0.25">
      <c r="E369" s="117" t="s">
        <v>306</v>
      </c>
      <c r="F369" s="117">
        <v>0</v>
      </c>
      <c r="G369" s="117">
        <f>H258</f>
        <v>0</v>
      </c>
      <c r="H369" s="117">
        <f>I258+H280</f>
        <v>0</v>
      </c>
      <c r="I369" s="117">
        <f>J258+I280+H302</f>
        <v>0</v>
      </c>
      <c r="J369" s="117">
        <f>K258+J280+I302+H324</f>
        <v>0</v>
      </c>
      <c r="K369" s="117">
        <f>L258+K280+J302+I324+H346</f>
        <v>0</v>
      </c>
      <c r="L369" s="7"/>
      <c r="M369" s="7"/>
    </row>
    <row r="370" spans="5:13" hidden="1" x14ac:dyDescent="0.25">
      <c r="E370" s="7"/>
      <c r="F370" s="7"/>
      <c r="G370" s="7"/>
      <c r="H370" s="7"/>
      <c r="I370" s="7"/>
      <c r="J370" s="7"/>
      <c r="K370" s="7"/>
      <c r="L370" s="7"/>
      <c r="M370" s="7"/>
    </row>
    <row r="371" spans="5:13" hidden="1" x14ac:dyDescent="0.25">
      <c r="E371" s="122" t="s">
        <v>430</v>
      </c>
      <c r="F371" s="117" t="str">
        <f>F366</f>
        <v>AÑO 0</v>
      </c>
      <c r="G371" s="117">
        <f t="shared" ref="G371:K371" si="113">G366</f>
        <v>2021</v>
      </c>
      <c r="H371" s="117">
        <f t="shared" si="113"/>
        <v>2022</v>
      </c>
      <c r="I371" s="117">
        <f t="shared" si="113"/>
        <v>2023</v>
      </c>
      <c r="J371" s="117">
        <f t="shared" si="113"/>
        <v>2024</v>
      </c>
      <c r="K371" s="117">
        <f t="shared" si="113"/>
        <v>2025</v>
      </c>
      <c r="L371" s="7"/>
      <c r="M371" s="7"/>
    </row>
    <row r="372" spans="5:13" hidden="1" x14ac:dyDescent="0.25">
      <c r="E372" s="117" t="s">
        <v>304</v>
      </c>
      <c r="F372" s="120">
        <f>F260</f>
        <v>0</v>
      </c>
      <c r="G372" s="120">
        <f>F372+F282</f>
        <v>0</v>
      </c>
      <c r="H372" s="120">
        <f>G372+F304</f>
        <v>0</v>
      </c>
      <c r="I372" s="120">
        <f>H372+F326</f>
        <v>0</v>
      </c>
      <c r="J372" s="120">
        <f>I372+F348</f>
        <v>0</v>
      </c>
      <c r="K372" s="120">
        <f>J372+W91</f>
        <v>0</v>
      </c>
      <c r="L372" s="7"/>
      <c r="M372" s="7"/>
    </row>
    <row r="373" spans="5:13" hidden="1" x14ac:dyDescent="0.25">
      <c r="E373" s="117" t="s">
        <v>305</v>
      </c>
      <c r="F373" s="117">
        <v>0</v>
      </c>
      <c r="G373" s="117">
        <f>-1*(H261)</f>
        <v>0</v>
      </c>
      <c r="H373" s="117">
        <f>-1*(I261+H283)</f>
        <v>0</v>
      </c>
      <c r="I373" s="117">
        <f>-1*(J261+I283+H305)</f>
        <v>0</v>
      </c>
      <c r="J373" s="117">
        <f>-1*(K261+J283+I305+H327)</f>
        <v>0</v>
      </c>
      <c r="K373" s="117">
        <f>-1*(L261+K283+J305+I327+H349)</f>
        <v>0</v>
      </c>
      <c r="L373" s="7"/>
      <c r="M373" s="7"/>
    </row>
    <row r="374" spans="5:13" hidden="1" x14ac:dyDescent="0.25">
      <c r="E374" s="117" t="s">
        <v>306</v>
      </c>
      <c r="F374" s="117">
        <v>0</v>
      </c>
      <c r="G374" s="117">
        <f>H260</f>
        <v>0</v>
      </c>
      <c r="H374" s="117">
        <f>I260+H282</f>
        <v>0</v>
      </c>
      <c r="I374" s="117">
        <f>J260+I282+H304</f>
        <v>0</v>
      </c>
      <c r="J374" s="117">
        <f>K260+J282+I304+H326</f>
        <v>0</v>
      </c>
      <c r="K374" s="117">
        <f>L260+K282+J304+I326+H348</f>
        <v>0</v>
      </c>
      <c r="L374" s="7"/>
      <c r="M374" s="7"/>
    </row>
    <row r="375" spans="5:13" hidden="1" x14ac:dyDescent="0.25">
      <c r="E375" s="7"/>
      <c r="F375" s="7"/>
      <c r="G375" s="7"/>
      <c r="H375" s="7"/>
      <c r="I375" s="7"/>
      <c r="J375" s="7"/>
      <c r="K375" s="7"/>
      <c r="L375" s="7"/>
      <c r="M375" s="7"/>
    </row>
    <row r="376" spans="5:13" hidden="1" x14ac:dyDescent="0.25">
      <c r="E376" s="122" t="s">
        <v>431</v>
      </c>
      <c r="F376" s="117" t="str">
        <f>F371</f>
        <v>AÑO 0</v>
      </c>
      <c r="G376" s="117">
        <f t="shared" ref="G376:K376" si="114">G371</f>
        <v>2021</v>
      </c>
      <c r="H376" s="117">
        <f t="shared" si="114"/>
        <v>2022</v>
      </c>
      <c r="I376" s="117">
        <f t="shared" si="114"/>
        <v>2023</v>
      </c>
      <c r="J376" s="117">
        <f t="shared" si="114"/>
        <v>2024</v>
      </c>
      <c r="K376" s="117">
        <f t="shared" si="114"/>
        <v>2025</v>
      </c>
      <c r="L376" s="7"/>
      <c r="M376" s="7"/>
    </row>
    <row r="377" spans="5:13" hidden="1" x14ac:dyDescent="0.25">
      <c r="E377" s="117" t="s">
        <v>304</v>
      </c>
      <c r="F377" s="120">
        <f>F262</f>
        <v>0</v>
      </c>
      <c r="G377" s="120">
        <f>F377+F284</f>
        <v>0</v>
      </c>
      <c r="H377" s="120">
        <f>G377+F306</f>
        <v>0</v>
      </c>
      <c r="I377" s="120">
        <f>H377+F328</f>
        <v>0</v>
      </c>
      <c r="J377" s="120">
        <f>I377+F350</f>
        <v>0</v>
      </c>
      <c r="K377" s="120">
        <f>J377+W144</f>
        <v>0</v>
      </c>
      <c r="L377" s="7"/>
      <c r="M377" s="7"/>
    </row>
    <row r="378" spans="5:13" hidden="1" x14ac:dyDescent="0.25">
      <c r="E378" s="117" t="s">
        <v>305</v>
      </c>
      <c r="F378" s="117">
        <v>0</v>
      </c>
      <c r="G378" s="117">
        <f>-1*(H263)</f>
        <v>0</v>
      </c>
      <c r="H378" s="117">
        <f>-1*(I263+H285)</f>
        <v>0</v>
      </c>
      <c r="I378" s="117">
        <f>-1*(J263+I285+H307)</f>
        <v>0</v>
      </c>
      <c r="J378" s="117">
        <f>-1*(K263+J285+I307+H329)</f>
        <v>0</v>
      </c>
      <c r="K378" s="117">
        <f>-1*(L263+K285+J307+I329+H351)</f>
        <v>0</v>
      </c>
      <c r="L378" s="7"/>
      <c r="M378" s="7"/>
    </row>
    <row r="379" spans="5:13" hidden="1" x14ac:dyDescent="0.25">
      <c r="E379" s="117" t="s">
        <v>306</v>
      </c>
      <c r="F379" s="117">
        <v>0</v>
      </c>
      <c r="G379" s="117">
        <f>H262</f>
        <v>0</v>
      </c>
      <c r="H379" s="117">
        <f>I262+H284</f>
        <v>0</v>
      </c>
      <c r="I379" s="117">
        <f>J262+I284+H306</f>
        <v>0</v>
      </c>
      <c r="J379" s="117">
        <f>K262+J284+I306+H328</f>
        <v>0</v>
      </c>
      <c r="K379" s="117">
        <f>L262+K284+J306+I328+H350</f>
        <v>0</v>
      </c>
      <c r="L379" s="7"/>
      <c r="M379" s="7"/>
    </row>
    <row r="380" spans="5:13" hidden="1" x14ac:dyDescent="0.25">
      <c r="E380" s="7"/>
      <c r="F380" s="7"/>
      <c r="G380" s="7"/>
      <c r="H380" s="7"/>
      <c r="I380" s="7"/>
      <c r="J380" s="7"/>
      <c r="K380" s="7"/>
      <c r="L380" s="7"/>
      <c r="M380" s="7"/>
    </row>
    <row r="381" spans="5:13" hidden="1" x14ac:dyDescent="0.25">
      <c r="E381" s="122" t="s">
        <v>309</v>
      </c>
      <c r="F381" s="117" t="str">
        <f>F376</f>
        <v>AÑO 0</v>
      </c>
      <c r="G381" s="117">
        <f t="shared" ref="G381:K381" si="115">G376</f>
        <v>2021</v>
      </c>
      <c r="H381" s="117">
        <f t="shared" si="115"/>
        <v>2022</v>
      </c>
      <c r="I381" s="117">
        <f t="shared" si="115"/>
        <v>2023</v>
      </c>
      <c r="J381" s="117">
        <f t="shared" si="115"/>
        <v>2024</v>
      </c>
      <c r="K381" s="117">
        <f t="shared" si="115"/>
        <v>2025</v>
      </c>
      <c r="L381" s="7"/>
      <c r="M381" s="7"/>
    </row>
    <row r="382" spans="5:13" hidden="1" x14ac:dyDescent="0.25">
      <c r="E382" s="117" t="s">
        <v>304</v>
      </c>
      <c r="F382" s="120">
        <f>F264</f>
        <v>0</v>
      </c>
      <c r="G382" s="120">
        <f>F382+F286</f>
        <v>0</v>
      </c>
      <c r="H382" s="120">
        <f>G382+F308</f>
        <v>0</v>
      </c>
      <c r="I382" s="120">
        <f>H382+F330</f>
        <v>0</v>
      </c>
      <c r="J382" s="120">
        <f>I382+F352</f>
        <v>0</v>
      </c>
      <c r="K382" s="120">
        <f>J382+W154</f>
        <v>0</v>
      </c>
      <c r="L382" s="7"/>
      <c r="M382" s="7"/>
    </row>
    <row r="383" spans="5:13" hidden="1" x14ac:dyDescent="0.25">
      <c r="E383" s="117" t="s">
        <v>305</v>
      </c>
      <c r="F383" s="117">
        <v>0</v>
      </c>
      <c r="G383" s="117">
        <f>-1*(H265)</f>
        <v>0</v>
      </c>
      <c r="H383" s="117">
        <f>-1*(I265+H287)</f>
        <v>0</v>
      </c>
      <c r="I383" s="117">
        <f>-1*(J265+I287+H309)</f>
        <v>0</v>
      </c>
      <c r="J383" s="117">
        <f>-1*(K265+J287+I309+H331)</f>
        <v>0</v>
      </c>
      <c r="K383" s="117">
        <f>-1*(L265+K287+J309+I331+H353)</f>
        <v>0</v>
      </c>
      <c r="L383" s="7"/>
      <c r="M383" s="7"/>
    </row>
    <row r="384" spans="5:13" hidden="1" x14ac:dyDescent="0.25">
      <c r="E384" s="117" t="s">
        <v>306</v>
      </c>
      <c r="F384" s="117">
        <v>0</v>
      </c>
      <c r="G384" s="117">
        <f>H264</f>
        <v>0</v>
      </c>
      <c r="H384" s="117">
        <f>I264+H286</f>
        <v>0</v>
      </c>
      <c r="I384" s="117">
        <f>J264+I286+H308</f>
        <v>0</v>
      </c>
      <c r="J384" s="117">
        <f>K264+J286+I308+H330</f>
        <v>0</v>
      </c>
      <c r="K384" s="117">
        <f>L264+K286+J308+I330+H352</f>
        <v>0</v>
      </c>
      <c r="L384" s="7"/>
      <c r="M384" s="7"/>
    </row>
    <row r="385" spans="5:13" hidden="1" x14ac:dyDescent="0.25">
      <c r="E385" s="7"/>
      <c r="F385" s="7"/>
      <c r="G385" s="7"/>
      <c r="H385" s="7"/>
      <c r="I385" s="7"/>
      <c r="J385" s="7"/>
      <c r="K385" s="7"/>
      <c r="L385" s="7"/>
      <c r="M385" s="7"/>
    </row>
    <row r="386" spans="5:13" hidden="1" x14ac:dyDescent="0.25">
      <c r="E386" s="122" t="s">
        <v>65</v>
      </c>
      <c r="F386" s="117" t="str">
        <f>F381</f>
        <v>AÑO 0</v>
      </c>
      <c r="G386" s="117">
        <f t="shared" ref="G386:K386" si="116">G381</f>
        <v>2021</v>
      </c>
      <c r="H386" s="117">
        <f t="shared" si="116"/>
        <v>2022</v>
      </c>
      <c r="I386" s="117">
        <f t="shared" si="116"/>
        <v>2023</v>
      </c>
      <c r="J386" s="117">
        <f t="shared" si="116"/>
        <v>2024</v>
      </c>
      <c r="K386" s="117">
        <f t="shared" si="116"/>
        <v>2025</v>
      </c>
      <c r="L386" s="7"/>
      <c r="M386" s="7"/>
    </row>
    <row r="387" spans="5:13" hidden="1" x14ac:dyDescent="0.25">
      <c r="E387" s="117" t="s">
        <v>304</v>
      </c>
      <c r="F387" s="120">
        <f>F266</f>
        <v>0</v>
      </c>
      <c r="G387" s="120">
        <f>F387+F288</f>
        <v>0</v>
      </c>
      <c r="H387" s="120">
        <f>G387+F310</f>
        <v>0</v>
      </c>
      <c r="I387" s="120">
        <f>H387+F332</f>
        <v>0</v>
      </c>
      <c r="J387" s="120">
        <f>I387+F354</f>
        <v>0</v>
      </c>
      <c r="K387" s="120">
        <f>J387+W182</f>
        <v>0</v>
      </c>
      <c r="L387" s="7"/>
      <c r="M387" s="7"/>
    </row>
    <row r="388" spans="5:13" hidden="1" x14ac:dyDescent="0.25">
      <c r="E388" s="117" t="s">
        <v>305</v>
      </c>
      <c r="F388" s="117">
        <v>0</v>
      </c>
      <c r="G388" s="117">
        <f>-1*(H267)</f>
        <v>0</v>
      </c>
      <c r="H388" s="117">
        <f>-1*(I267+H289)</f>
        <v>0</v>
      </c>
      <c r="I388" s="117">
        <f>-1*(J267+I289+H311)</f>
        <v>0</v>
      </c>
      <c r="J388" s="117">
        <f>-1*(K267+J289+I311+H333)</f>
        <v>0</v>
      </c>
      <c r="K388" s="117">
        <f>-1*(L267+K289+J311+I333+H355)</f>
        <v>0</v>
      </c>
      <c r="L388" s="7"/>
      <c r="M388" s="7"/>
    </row>
    <row r="389" spans="5:13" hidden="1" x14ac:dyDescent="0.25">
      <c r="E389" s="117" t="s">
        <v>306</v>
      </c>
      <c r="F389" s="117">
        <v>0</v>
      </c>
      <c r="G389" s="117">
        <f>H266</f>
        <v>0</v>
      </c>
      <c r="H389" s="117">
        <f>I266+H288</f>
        <v>0</v>
      </c>
      <c r="I389" s="117">
        <f>J266+I288+H310</f>
        <v>0</v>
      </c>
      <c r="J389" s="117">
        <f>K266+J288+I310+H332</f>
        <v>0</v>
      </c>
      <c r="K389" s="117">
        <f>L266+K288+J310+I332+H354</f>
        <v>0</v>
      </c>
      <c r="L389" s="7"/>
      <c r="M389" s="7"/>
    </row>
    <row r="390" spans="5:13" hidden="1" x14ac:dyDescent="0.25">
      <c r="E390" s="7"/>
      <c r="F390" s="7"/>
      <c r="G390" s="7"/>
      <c r="H390" s="7"/>
      <c r="I390" s="7"/>
      <c r="J390" s="7"/>
      <c r="K390" s="7"/>
      <c r="L390" s="7"/>
      <c r="M390" s="7"/>
    </row>
    <row r="391" spans="5:13" hidden="1" x14ac:dyDescent="0.25">
      <c r="E391" s="122" t="s">
        <v>66</v>
      </c>
      <c r="F391" s="117" t="str">
        <f>F386</f>
        <v>AÑO 0</v>
      </c>
      <c r="G391" s="117">
        <f t="shared" ref="G391:K391" si="117">G386</f>
        <v>2021</v>
      </c>
      <c r="H391" s="117">
        <f t="shared" si="117"/>
        <v>2022</v>
      </c>
      <c r="I391" s="117">
        <f t="shared" si="117"/>
        <v>2023</v>
      </c>
      <c r="J391" s="117">
        <f t="shared" si="117"/>
        <v>2024</v>
      </c>
      <c r="K391" s="117">
        <f t="shared" si="117"/>
        <v>2025</v>
      </c>
      <c r="L391" s="7"/>
      <c r="M391" s="7"/>
    </row>
    <row r="392" spans="5:13" hidden="1" x14ac:dyDescent="0.25">
      <c r="E392" s="117" t="s">
        <v>304</v>
      </c>
      <c r="F392" s="120">
        <f>F269</f>
        <v>0</v>
      </c>
      <c r="G392" s="120">
        <f>F392+F291</f>
        <v>0</v>
      </c>
      <c r="H392" s="120">
        <f>G392+F313</f>
        <v>0</v>
      </c>
      <c r="I392" s="120">
        <f>H392+F335</f>
        <v>0</v>
      </c>
      <c r="J392" s="120">
        <f>I392+F357</f>
        <v>0</v>
      </c>
      <c r="K392" s="120">
        <f>J392+W212</f>
        <v>0</v>
      </c>
      <c r="L392" s="7"/>
      <c r="M392" s="7"/>
    </row>
    <row r="393" spans="5:13" hidden="1" x14ac:dyDescent="0.25">
      <c r="E393" s="117" t="s">
        <v>307</v>
      </c>
      <c r="F393" s="117">
        <v>0</v>
      </c>
      <c r="G393" s="117">
        <f>-1*(H270)</f>
        <v>0</v>
      </c>
      <c r="H393" s="117">
        <f>-1*(I270+H292)</f>
        <v>0</v>
      </c>
      <c r="I393" s="117">
        <f>-1*(J270+I292+H314)</f>
        <v>0</v>
      </c>
      <c r="J393" s="117">
        <f>-1*(K270+J292+I314+H336)</f>
        <v>0</v>
      </c>
      <c r="K393" s="117">
        <f>-1*(L270+K292+J314+I336+H358)</f>
        <v>0</v>
      </c>
      <c r="L393" s="7"/>
      <c r="M393" s="7"/>
    </row>
    <row r="394" spans="5:13" hidden="1" x14ac:dyDescent="0.25">
      <c r="E394" s="117" t="s">
        <v>308</v>
      </c>
      <c r="F394" s="117">
        <v>0</v>
      </c>
      <c r="G394" s="117">
        <f>H269</f>
        <v>0</v>
      </c>
      <c r="H394" s="117">
        <f>I269+H291</f>
        <v>0</v>
      </c>
      <c r="I394" s="117">
        <f>J269+I291+H313</f>
        <v>0</v>
      </c>
      <c r="J394" s="117">
        <f>K269+J291+I313+H335</f>
        <v>0</v>
      </c>
      <c r="K394" s="117">
        <f>L269+K291+J313+I335+H357</f>
        <v>0</v>
      </c>
      <c r="L394" s="7"/>
      <c r="M394" s="7"/>
    </row>
    <row r="395" spans="5:13" hidden="1" x14ac:dyDescent="0.25">
      <c r="E395" s="7"/>
      <c r="F395" s="7"/>
      <c r="G395" s="7"/>
      <c r="H395" s="7"/>
      <c r="I395" s="7"/>
      <c r="J395" s="7"/>
      <c r="K395" s="7"/>
      <c r="L395" s="7"/>
      <c r="M395" s="7"/>
    </row>
    <row r="396" spans="5:13" hidden="1" x14ac:dyDescent="0.25">
      <c r="E396" s="122" t="s">
        <v>310</v>
      </c>
      <c r="F396" s="117" t="str">
        <f>F391</f>
        <v>AÑO 0</v>
      </c>
      <c r="G396" s="117">
        <f t="shared" ref="G396:K396" si="118">G391</f>
        <v>2021</v>
      </c>
      <c r="H396" s="117">
        <f t="shared" si="118"/>
        <v>2022</v>
      </c>
      <c r="I396" s="117">
        <f t="shared" si="118"/>
        <v>2023</v>
      </c>
      <c r="J396" s="117">
        <f t="shared" si="118"/>
        <v>2024</v>
      </c>
      <c r="K396" s="117">
        <f t="shared" si="118"/>
        <v>2025</v>
      </c>
      <c r="L396" s="7"/>
      <c r="M396" s="7"/>
    </row>
    <row r="397" spans="5:13" hidden="1" x14ac:dyDescent="0.25">
      <c r="E397" s="117" t="s">
        <v>304</v>
      </c>
      <c r="F397" s="120">
        <f>F270</f>
        <v>0</v>
      </c>
      <c r="G397" s="120">
        <f>F397+F292</f>
        <v>0</v>
      </c>
      <c r="H397" s="120">
        <f>G397+F314</f>
        <v>0</v>
      </c>
      <c r="I397" s="120">
        <f>H397+F336</f>
        <v>0</v>
      </c>
      <c r="J397" s="120">
        <f>I397+F358</f>
        <v>0</v>
      </c>
      <c r="K397" s="120">
        <f>J397+W231</f>
        <v>0</v>
      </c>
      <c r="L397" s="7"/>
      <c r="M397" s="7"/>
    </row>
    <row r="398" spans="5:13" hidden="1" x14ac:dyDescent="0.25">
      <c r="E398" s="117" t="s">
        <v>307</v>
      </c>
      <c r="F398" s="117">
        <v>0</v>
      </c>
      <c r="G398" s="117">
        <f>-1*(H271)</f>
        <v>0</v>
      </c>
      <c r="H398" s="117">
        <f>-1*(I271+H293)</f>
        <v>0</v>
      </c>
      <c r="I398" s="117">
        <f>-1*(J271+I293+H315)</f>
        <v>0</v>
      </c>
      <c r="J398" s="117">
        <f>-1*(K271+J293+I315+H337)</f>
        <v>0</v>
      </c>
      <c r="K398" s="117">
        <f>-1*(L271+K293+J315+I337+H359)</f>
        <v>0</v>
      </c>
      <c r="L398" s="7"/>
      <c r="M398" s="7"/>
    </row>
    <row r="399" spans="5:13" hidden="1" x14ac:dyDescent="0.25">
      <c r="E399" s="117" t="s">
        <v>308</v>
      </c>
      <c r="F399" s="117">
        <v>0</v>
      </c>
      <c r="G399" s="117">
        <f>H270</f>
        <v>0</v>
      </c>
      <c r="H399" s="117">
        <f>I270+H292</f>
        <v>0</v>
      </c>
      <c r="I399" s="117">
        <f>J270+I292+H314</f>
        <v>0</v>
      </c>
      <c r="J399" s="117">
        <f>K270+J292+I314+H336</f>
        <v>0</v>
      </c>
      <c r="K399" s="117">
        <f>L270+K292+J314+I336+H358</f>
        <v>0</v>
      </c>
      <c r="L399" s="7"/>
      <c r="M399" s="7"/>
    </row>
    <row r="400" spans="5:13" hidden="1" x14ac:dyDescent="0.25">
      <c r="E400" s="7"/>
      <c r="F400" s="7"/>
      <c r="G400" s="7"/>
      <c r="H400" s="7"/>
      <c r="I400" s="7"/>
      <c r="J400" s="7"/>
      <c r="K400" s="7"/>
      <c r="L400" s="7"/>
      <c r="M400" s="7"/>
    </row>
    <row r="401" spans="5:13" hidden="1" x14ac:dyDescent="0.25">
      <c r="E401" s="122" t="s">
        <v>432</v>
      </c>
      <c r="F401" s="117" t="str">
        <f>F396</f>
        <v>AÑO 0</v>
      </c>
      <c r="G401" s="117">
        <f t="shared" ref="G401:K401" si="119">G396</f>
        <v>2021</v>
      </c>
      <c r="H401" s="117">
        <f t="shared" si="119"/>
        <v>2022</v>
      </c>
      <c r="I401" s="117">
        <f t="shared" si="119"/>
        <v>2023</v>
      </c>
      <c r="J401" s="117">
        <f t="shared" si="119"/>
        <v>2024</v>
      </c>
      <c r="K401" s="117">
        <f t="shared" si="119"/>
        <v>2025</v>
      </c>
      <c r="L401" s="7"/>
      <c r="M401" s="7"/>
    </row>
    <row r="402" spans="5:13" hidden="1" x14ac:dyDescent="0.25">
      <c r="E402" s="117" t="s">
        <v>304</v>
      </c>
      <c r="F402" s="120">
        <f>F272</f>
        <v>0</v>
      </c>
      <c r="G402" s="120">
        <f>F402+F294</f>
        <v>0</v>
      </c>
      <c r="H402" s="120">
        <f>G402+F316</f>
        <v>0</v>
      </c>
      <c r="I402" s="120">
        <f>H402+F338</f>
        <v>0</v>
      </c>
      <c r="J402" s="120">
        <f>I402+F360</f>
        <v>0</v>
      </c>
      <c r="K402" s="120">
        <f>J402+W241</f>
        <v>0</v>
      </c>
      <c r="L402" s="7"/>
      <c r="M402" s="7"/>
    </row>
    <row r="403" spans="5:13" hidden="1" x14ac:dyDescent="0.25">
      <c r="E403" s="117" t="s">
        <v>307</v>
      </c>
      <c r="F403" s="117">
        <v>0</v>
      </c>
      <c r="G403" s="117">
        <f>-1*(H273)</f>
        <v>0</v>
      </c>
      <c r="H403" s="117">
        <f>-1*(I273+H295)</f>
        <v>0</v>
      </c>
      <c r="I403" s="117">
        <f>-1*(J273+I295+H317)</f>
        <v>0</v>
      </c>
      <c r="J403" s="117">
        <f>-1*(K273+J295+I317+H339)</f>
        <v>0</v>
      </c>
      <c r="K403" s="117">
        <f>-1*(L273+K295+J317+I339+H361)</f>
        <v>0</v>
      </c>
      <c r="L403" s="7"/>
      <c r="M403" s="7"/>
    </row>
    <row r="404" spans="5:13" hidden="1" x14ac:dyDescent="0.25">
      <c r="E404" s="117" t="s">
        <v>308</v>
      </c>
      <c r="F404" s="117">
        <v>0</v>
      </c>
      <c r="G404" s="117">
        <f>H272</f>
        <v>0</v>
      </c>
      <c r="H404" s="117">
        <f>I272+H294</f>
        <v>0</v>
      </c>
      <c r="I404" s="117">
        <f>J272+I294+H316</f>
        <v>0</v>
      </c>
      <c r="J404" s="117">
        <f>K272+J294+I316+H338</f>
        <v>0</v>
      </c>
      <c r="K404" s="117">
        <f>L272+K294+J316+I338+H360</f>
        <v>0</v>
      </c>
      <c r="L404" s="7"/>
      <c r="M404" s="7"/>
    </row>
    <row r="405" spans="5:13" hidden="1" x14ac:dyDescent="0.25">
      <c r="E405" s="7"/>
      <c r="F405" s="7"/>
      <c r="G405" s="7"/>
      <c r="H405" s="7"/>
      <c r="I405" s="7"/>
      <c r="J405" s="7"/>
      <c r="K405" s="7"/>
      <c r="L405" s="7"/>
      <c r="M405" s="7"/>
    </row>
    <row r="406" spans="5:13" hidden="1" x14ac:dyDescent="0.25">
      <c r="E406" s="122" t="s">
        <v>69</v>
      </c>
      <c r="F406" s="117" t="str">
        <f>F401</f>
        <v>AÑO 0</v>
      </c>
      <c r="G406" s="117">
        <f>G401</f>
        <v>2021</v>
      </c>
      <c r="H406" s="117">
        <f t="shared" ref="H406:K406" si="120">H401</f>
        <v>2022</v>
      </c>
      <c r="I406" s="117">
        <f t="shared" si="120"/>
        <v>2023</v>
      </c>
      <c r="J406" s="117">
        <f t="shared" si="120"/>
        <v>2024</v>
      </c>
      <c r="K406" s="117">
        <f t="shared" si="120"/>
        <v>2025</v>
      </c>
      <c r="L406" s="7"/>
      <c r="M406" s="7"/>
    </row>
    <row r="407" spans="5:13" hidden="1" x14ac:dyDescent="0.25">
      <c r="E407" s="117" t="s">
        <v>304</v>
      </c>
      <c r="F407" s="120">
        <f>F274</f>
        <v>0</v>
      </c>
      <c r="G407" s="120">
        <f>F407+F296</f>
        <v>0</v>
      </c>
      <c r="H407" s="120">
        <f>G407+F318</f>
        <v>0</v>
      </c>
      <c r="I407" s="120">
        <f>H407+F340</f>
        <v>0</v>
      </c>
      <c r="J407" s="120">
        <f>I407+F362</f>
        <v>0</v>
      </c>
      <c r="K407" s="120">
        <f>J407+W249</f>
        <v>0</v>
      </c>
      <c r="L407" s="7"/>
      <c r="M407" s="7"/>
    </row>
    <row r="408" spans="5:13" hidden="1" x14ac:dyDescent="0.25">
      <c r="E408" s="117" t="s">
        <v>307</v>
      </c>
      <c r="F408" s="117">
        <v>0</v>
      </c>
      <c r="G408" s="117">
        <f>-1*(H275)</f>
        <v>0</v>
      </c>
      <c r="H408" s="117">
        <f>-1*(I275+H297)</f>
        <v>0</v>
      </c>
      <c r="I408" s="117">
        <f>-1*(J275+I297+H319)</f>
        <v>0</v>
      </c>
      <c r="J408" s="117">
        <f>-1*(K275+J297+I319+H341)</f>
        <v>0</v>
      </c>
      <c r="K408" s="117">
        <f>-1*(L275+K297+J319+I341+H363)</f>
        <v>0</v>
      </c>
      <c r="L408" s="7"/>
      <c r="M408" s="7"/>
    </row>
    <row r="409" spans="5:13" hidden="1" x14ac:dyDescent="0.25">
      <c r="E409" s="117" t="s">
        <v>308</v>
      </c>
      <c r="F409" s="117">
        <v>0</v>
      </c>
      <c r="G409" s="117">
        <f>H274</f>
        <v>0</v>
      </c>
      <c r="H409" s="117">
        <f>I274+H296</f>
        <v>0</v>
      </c>
      <c r="I409" s="117">
        <f>J274+I296+H318</f>
        <v>0</v>
      </c>
      <c r="J409" s="117">
        <f>K274+J296+I318+H340</f>
        <v>0</v>
      </c>
      <c r="K409" s="117">
        <f>L274+K296+J318+I340+H362</f>
        <v>0</v>
      </c>
      <c r="L409" s="7"/>
      <c r="M409" s="7"/>
    </row>
    <row r="410" spans="5:13" hidden="1" x14ac:dyDescent="0.25">
      <c r="E410" s="7"/>
      <c r="F410" s="7"/>
      <c r="G410" s="7"/>
      <c r="H410" s="7"/>
      <c r="I410" s="7"/>
      <c r="J410" s="7"/>
      <c r="K410" s="7"/>
      <c r="L410" s="7"/>
      <c r="M410" s="7"/>
    </row>
    <row r="411" spans="5:13" hidden="1" x14ac:dyDescent="0.25">
      <c r="E411" s="117"/>
      <c r="F411" s="117"/>
      <c r="G411" s="117">
        <f>G406</f>
        <v>2021</v>
      </c>
      <c r="H411" s="117">
        <f t="shared" ref="H411:K411" si="121">H406</f>
        <v>2022</v>
      </c>
      <c r="I411" s="117">
        <f t="shared" si="121"/>
        <v>2023</v>
      </c>
      <c r="J411" s="117">
        <f t="shared" si="121"/>
        <v>2024</v>
      </c>
      <c r="K411" s="117">
        <f t="shared" si="121"/>
        <v>2025</v>
      </c>
      <c r="L411" s="7"/>
      <c r="M411" s="7"/>
    </row>
    <row r="412" spans="5:13" hidden="1" x14ac:dyDescent="0.25">
      <c r="E412" s="122" t="s">
        <v>433</v>
      </c>
      <c r="F412" s="117"/>
      <c r="G412" s="117">
        <f>G369+G374+G379+G384+G389</f>
        <v>0</v>
      </c>
      <c r="H412" s="117">
        <f>H369+H374+H379+H384+H389</f>
        <v>0</v>
      </c>
      <c r="I412" s="117">
        <f t="shared" ref="I412:K412" si="122">I369+I374+I379+I384+I389</f>
        <v>0</v>
      </c>
      <c r="J412" s="117">
        <f t="shared" si="122"/>
        <v>0</v>
      </c>
      <c r="K412" s="117">
        <f t="shared" si="122"/>
        <v>0</v>
      </c>
      <c r="L412" s="7"/>
      <c r="M412" s="7"/>
    </row>
    <row r="413" spans="5:13" hidden="1" x14ac:dyDescent="0.25">
      <c r="E413" s="122" t="s">
        <v>434</v>
      </c>
      <c r="F413" s="117"/>
      <c r="G413" s="117">
        <f>G394+G399+G404+G409</f>
        <v>0</v>
      </c>
      <c r="H413" s="117">
        <f t="shared" ref="H413:K413" si="123">H394+H399+H404+H409</f>
        <v>0</v>
      </c>
      <c r="I413" s="117">
        <f t="shared" si="123"/>
        <v>0</v>
      </c>
      <c r="J413" s="117">
        <f t="shared" si="123"/>
        <v>0</v>
      </c>
      <c r="K413" s="117">
        <f t="shared" si="123"/>
        <v>0</v>
      </c>
      <c r="L413" s="7"/>
      <c r="M413" s="7"/>
    </row>
    <row r="414" spans="5:13" hidden="1" x14ac:dyDescent="0.25">
      <c r="E414" s="7"/>
      <c r="F414" s="7"/>
      <c r="G414" s="7"/>
      <c r="H414" s="7"/>
      <c r="I414" s="7"/>
      <c r="J414" s="7"/>
      <c r="K414" s="7"/>
      <c r="L414" s="7"/>
      <c r="M414" s="7"/>
    </row>
    <row r="415" spans="5:13" hidden="1" x14ac:dyDescent="0.25">
      <c r="E415" s="122" t="s">
        <v>60</v>
      </c>
      <c r="F415" s="117" t="str">
        <f>F406</f>
        <v>AÑO 0</v>
      </c>
      <c r="G415" s="117">
        <f t="shared" ref="G415:K415" si="124">G406</f>
        <v>2021</v>
      </c>
      <c r="H415" s="117">
        <f t="shared" si="124"/>
        <v>2022</v>
      </c>
      <c r="I415" s="117">
        <f t="shared" si="124"/>
        <v>2023</v>
      </c>
      <c r="J415" s="117">
        <f t="shared" si="124"/>
        <v>2024</v>
      </c>
      <c r="K415" s="117">
        <f t="shared" si="124"/>
        <v>2025</v>
      </c>
      <c r="L415" s="7"/>
      <c r="M415" s="7"/>
    </row>
    <row r="416" spans="5:13" hidden="1" x14ac:dyDescent="0.25">
      <c r="E416" s="117" t="s">
        <v>304</v>
      </c>
      <c r="F416" s="117">
        <f>F36</f>
        <v>0</v>
      </c>
      <c r="G416" s="117">
        <f>F416+G36</f>
        <v>0</v>
      </c>
      <c r="H416" s="117">
        <f>G416+H36</f>
        <v>0</v>
      </c>
      <c r="I416" s="117">
        <f>H416+I36</f>
        <v>0</v>
      </c>
      <c r="J416" s="117">
        <f>I416+J36</f>
        <v>0</v>
      </c>
      <c r="K416" s="117">
        <f>J416+K36</f>
        <v>0</v>
      </c>
      <c r="L416" s="7"/>
      <c r="M416" s="7"/>
    </row>
    <row r="417" spans="5:13" hidden="1" x14ac:dyDescent="0.25">
      <c r="E417" s="7"/>
      <c r="F417" s="7"/>
      <c r="G417" s="7"/>
      <c r="H417" s="7"/>
      <c r="I417" s="7"/>
      <c r="J417" s="7"/>
      <c r="K417" s="7"/>
      <c r="L417" s="7"/>
      <c r="M417" s="7"/>
    </row>
  </sheetData>
  <sheetProtection algorithmName="SHA-512" hashValue="dxTwkqRQT582DSD0nNIR4BTEjKbz0HBaAG/wSYNTtu02KhXfOTkBsfjJlUCVzDs64pd+iWb7r3v8B3ee/Bl8qQ==" saltValue="6OBn8QqGpZ4TQ7iulZXUUQ==" spinCount="100000" sheet="1" objects="1" scenarios="1"/>
  <mergeCells count="41">
    <mergeCell ref="U39:W39"/>
    <mergeCell ref="E38:W38"/>
    <mergeCell ref="E184:G184"/>
    <mergeCell ref="F194:H194"/>
    <mergeCell ref="I194:K194"/>
    <mergeCell ref="L194:N194"/>
    <mergeCell ref="O194:Q194"/>
    <mergeCell ref="R194:T194"/>
    <mergeCell ref="U194:W194"/>
    <mergeCell ref="F39:H39"/>
    <mergeCell ref="I39:K39"/>
    <mergeCell ref="L39:N39"/>
    <mergeCell ref="O39:Q39"/>
    <mergeCell ref="R39:T39"/>
    <mergeCell ref="D187:G191"/>
    <mergeCell ref="D20:T20"/>
    <mergeCell ref="D30:G33"/>
    <mergeCell ref="I30:K33"/>
    <mergeCell ref="L21:N21"/>
    <mergeCell ref="E256:M256"/>
    <mergeCell ref="F21:H21"/>
    <mergeCell ref="I21:K21"/>
    <mergeCell ref="O21:Q21"/>
    <mergeCell ref="E194:E195"/>
    <mergeCell ref="R21:T21"/>
    <mergeCell ref="E278:L278"/>
    <mergeCell ref="E300:K300"/>
    <mergeCell ref="E322:J322"/>
    <mergeCell ref="E344:I344"/>
    <mergeCell ref="D6:O6"/>
    <mergeCell ref="E243:G243"/>
    <mergeCell ref="E251:G251"/>
    <mergeCell ref="E253:G253"/>
    <mergeCell ref="F7:G7"/>
    <mergeCell ref="H7:I7"/>
    <mergeCell ref="J7:K7"/>
    <mergeCell ref="L7:M7"/>
    <mergeCell ref="N7:O7"/>
    <mergeCell ref="D12:F12"/>
    <mergeCell ref="D13:F13"/>
    <mergeCell ref="D14:F1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insertar_fila">
                <anchor moveWithCells="1" sizeWithCells="1">
                  <from>
                    <xdr:col>0</xdr:col>
                    <xdr:colOff>400050</xdr:colOff>
                    <xdr:row>5</xdr:row>
                    <xdr:rowOff>9525</xdr:rowOff>
                  </from>
                  <to>
                    <xdr:col>2</xdr:col>
                    <xdr:colOff>447675</xdr:colOff>
                    <xdr:row>7</xdr:row>
                    <xdr:rowOff>0</xdr:rowOff>
                  </to>
                </anchor>
              </controlPr>
            </control>
          </mc:Choice>
        </mc:AlternateContent>
        <mc:AlternateContent xmlns:mc="http://schemas.openxmlformats.org/markup-compatibility/2006">
          <mc:Choice Requires="x14">
            <control shapeId="75779" r:id="rId5" name="Button 3">
              <controlPr defaultSize="0" print="0" autoFill="0" autoPict="0" macro="[0]!insertar_fila_1">
                <anchor moveWithCells="1" sizeWithCells="1">
                  <from>
                    <xdr:col>0</xdr:col>
                    <xdr:colOff>476250</xdr:colOff>
                    <xdr:row>20</xdr:row>
                    <xdr:rowOff>123825</xdr:rowOff>
                  </from>
                  <to>
                    <xdr:col>2</xdr:col>
                    <xdr:colOff>400050</xdr:colOff>
                    <xdr:row>22</xdr:row>
                    <xdr:rowOff>123825</xdr:rowOff>
                  </to>
                </anchor>
              </controlPr>
            </control>
          </mc:Choice>
        </mc:AlternateContent>
        <mc:AlternateContent xmlns:mc="http://schemas.openxmlformats.org/markup-compatibility/2006">
          <mc:Choice Requires="x14">
            <control shapeId="75780" r:id="rId6" name="Button 4">
              <controlPr defaultSize="0" print="0" autoFill="0" autoPict="0" macro="[0]!Portada">
                <anchor moveWithCells="1" sizeWithCells="1">
                  <from>
                    <xdr:col>6</xdr:col>
                    <xdr:colOff>762000</xdr:colOff>
                    <xdr:row>1</xdr:row>
                    <xdr:rowOff>9525</xdr:rowOff>
                  </from>
                  <to>
                    <xdr:col>6</xdr:col>
                    <xdr:colOff>2781300</xdr:colOff>
                    <xdr:row>3</xdr:row>
                    <xdr:rowOff>123825</xdr:rowOff>
                  </to>
                </anchor>
              </controlPr>
            </control>
          </mc:Choice>
        </mc:AlternateContent>
      </controls>
    </mc:Choice>
  </mc:AlternateContent>
  <tableParts count="2">
    <tablePart r:id="rId7"/>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852B-0793-478D-9BEE-37CAE190EA47}">
  <sheetPr codeName="Hoja7"/>
  <dimension ref="A5:P172"/>
  <sheetViews>
    <sheetView showGridLines="0" zoomScaleNormal="100" workbookViewId="0">
      <selection activeCell="E158" sqref="E158"/>
    </sheetView>
  </sheetViews>
  <sheetFormatPr baseColWidth="10" defaultRowHeight="15" x14ac:dyDescent="0.25"/>
  <cols>
    <col min="1" max="1" width="54.28515625" style="139" customWidth="1"/>
    <col min="2" max="2" width="49.7109375" style="139" customWidth="1"/>
    <col min="3" max="3" width="29.28515625" style="139" customWidth="1"/>
    <col min="4" max="4" width="28.140625" style="139" customWidth="1"/>
    <col min="5" max="5" width="21.28515625" style="139" customWidth="1"/>
    <col min="6" max="6" width="16.28515625" style="139" customWidth="1"/>
    <col min="7" max="7" width="34.28515625" style="139" customWidth="1"/>
    <col min="8" max="8" width="21.85546875" style="139" customWidth="1"/>
    <col min="9" max="9" width="16.7109375" style="139" customWidth="1"/>
    <col min="10" max="11" width="18.42578125" style="139" customWidth="1"/>
    <col min="12" max="12" width="18.140625" style="139" customWidth="1"/>
    <col min="13" max="13" width="20" style="139" customWidth="1"/>
    <col min="14" max="14" width="18.5703125" style="139" customWidth="1"/>
    <col min="15" max="15" width="22.42578125" style="139" customWidth="1"/>
    <col min="16" max="16" width="22.28515625" style="139" customWidth="1"/>
    <col min="17" max="16384" width="11.42578125" style="139"/>
  </cols>
  <sheetData>
    <row r="5" spans="1:16" ht="15.75" thickBot="1" x14ac:dyDescent="0.3"/>
    <row r="6" spans="1:16" x14ac:dyDescent="0.25">
      <c r="A6" s="671" t="s">
        <v>402</v>
      </c>
      <c r="B6" s="672"/>
    </row>
    <row r="7" spans="1:16" x14ac:dyDescent="0.25">
      <c r="A7" s="673"/>
      <c r="B7" s="674"/>
    </row>
    <row r="8" spans="1:16" x14ac:dyDescent="0.25">
      <c r="A8" s="673"/>
      <c r="B8" s="674"/>
    </row>
    <row r="9" spans="1:16" ht="15.75" thickBot="1" x14ac:dyDescent="0.3">
      <c r="A9" s="675"/>
      <c r="B9" s="676"/>
    </row>
    <row r="14" spans="1:16" x14ac:dyDescent="0.25">
      <c r="A14" s="681" t="s">
        <v>70</v>
      </c>
      <c r="B14" s="681"/>
      <c r="C14" s="681"/>
      <c r="D14" s="681"/>
      <c r="E14" s="681"/>
      <c r="F14" s="681"/>
      <c r="G14" s="681"/>
    </row>
    <row r="15" spans="1:16" ht="45.6" customHeight="1" x14ac:dyDescent="0.25">
      <c r="A15" s="140" t="s">
        <v>71</v>
      </c>
      <c r="B15" s="140" t="s">
        <v>72</v>
      </c>
      <c r="C15" s="140" t="s">
        <v>73</v>
      </c>
      <c r="D15" s="140" t="s">
        <v>74</v>
      </c>
      <c r="E15" s="140" t="s">
        <v>288</v>
      </c>
      <c r="F15" s="140" t="s">
        <v>1</v>
      </c>
      <c r="G15" s="140" t="s">
        <v>4</v>
      </c>
      <c r="H15" s="140" t="s">
        <v>2</v>
      </c>
      <c r="I15" s="140" t="s">
        <v>3</v>
      </c>
      <c r="J15" s="140" t="s">
        <v>76</v>
      </c>
      <c r="K15" s="140"/>
      <c r="L15" s="140" t="s">
        <v>11</v>
      </c>
      <c r="M15" s="140" t="s">
        <v>77</v>
      </c>
      <c r="N15" s="140" t="s">
        <v>13</v>
      </c>
      <c r="O15" s="140" t="s">
        <v>78</v>
      </c>
      <c r="P15" s="140" t="s">
        <v>79</v>
      </c>
    </row>
    <row r="16" spans="1:16" x14ac:dyDescent="0.25">
      <c r="A16" s="141"/>
      <c r="B16" s="141"/>
      <c r="C16" s="141"/>
      <c r="D16" s="141"/>
      <c r="E16" s="142"/>
      <c r="F16" s="143">
        <f>BASES!C16</f>
        <v>8.3299999999999999E-2</v>
      </c>
      <c r="G16" s="143">
        <f>BASES!C19</f>
        <v>0.12</v>
      </c>
      <c r="H16" s="143">
        <f>BASES!C17</f>
        <v>8.3299999999999999E-2</v>
      </c>
      <c r="I16" s="143">
        <f>BASES!C18</f>
        <v>4.1700000000000001E-2</v>
      </c>
      <c r="J16" s="143">
        <f>BASES!C25</f>
        <v>0.09</v>
      </c>
      <c r="K16" s="143"/>
      <c r="L16" s="144">
        <f>BASES!C27</f>
        <v>0.12</v>
      </c>
      <c r="M16" s="143">
        <f>BASES!C28</f>
        <v>8.5000000000000006E-2</v>
      </c>
      <c r="N16" s="143">
        <f>BASES!C29</f>
        <v>5.2199999999999998E-3</v>
      </c>
      <c r="O16" s="142"/>
      <c r="P16" s="142"/>
    </row>
    <row r="17" spans="1:16" x14ac:dyDescent="0.25">
      <c r="A17" s="145">
        <v>1</v>
      </c>
      <c r="B17" s="146"/>
      <c r="C17" s="147"/>
      <c r="D17" s="147"/>
      <c r="E17" s="148">
        <f>C17+D17</f>
        <v>0</v>
      </c>
      <c r="F17" s="148">
        <f>C17*$F$16</f>
        <v>0</v>
      </c>
      <c r="G17" s="148">
        <f>C17*$G$16</f>
        <v>0</v>
      </c>
      <c r="H17" s="148">
        <f>C17*$H$16</f>
        <v>0</v>
      </c>
      <c r="I17" s="148">
        <f>C17*$I$16</f>
        <v>0</v>
      </c>
      <c r="J17" s="148">
        <f>C17*$J$16</f>
        <v>0</v>
      </c>
      <c r="K17" s="148"/>
      <c r="L17" s="148">
        <f>C17*$L$16</f>
        <v>0</v>
      </c>
      <c r="M17" s="148">
        <f>C17*$M$16</f>
        <v>0</v>
      </c>
      <c r="N17" s="148">
        <f>C17*$N$16</f>
        <v>0</v>
      </c>
      <c r="O17" s="148">
        <f>SUM(E17:N17)</f>
        <v>0</v>
      </c>
      <c r="P17" s="148">
        <f>O17*12</f>
        <v>0</v>
      </c>
    </row>
    <row r="18" spans="1:16" x14ac:dyDescent="0.25">
      <c r="A18" s="145">
        <v>2</v>
      </c>
      <c r="B18" s="146"/>
      <c r="C18" s="147"/>
      <c r="D18" s="147"/>
      <c r="E18" s="148">
        <f t="shared" ref="E18:E27" si="0">C18+D18</f>
        <v>0</v>
      </c>
      <c r="F18" s="148">
        <f t="shared" ref="F18:F27" si="1">C18*$F$16</f>
        <v>0</v>
      </c>
      <c r="G18" s="148">
        <f t="shared" ref="G18:G27" si="2">C18*$G$16</f>
        <v>0</v>
      </c>
      <c r="H18" s="148">
        <f t="shared" ref="H18:H27" si="3">C18*$H$16</f>
        <v>0</v>
      </c>
      <c r="I18" s="148">
        <f t="shared" ref="I18:I27" si="4">C18*$I$16</f>
        <v>0</v>
      </c>
      <c r="J18" s="148">
        <f t="shared" ref="J18:J27" si="5">C18*$J$16</f>
        <v>0</v>
      </c>
      <c r="K18" s="148"/>
      <c r="L18" s="148">
        <f t="shared" ref="L18:L27" si="6">C18*$L$16</f>
        <v>0</v>
      </c>
      <c r="M18" s="148">
        <f t="shared" ref="M18:M27" si="7">C18*$M$16</f>
        <v>0</v>
      </c>
      <c r="N18" s="148">
        <f t="shared" ref="N18:N27" si="8">C18*$N$16</f>
        <v>0</v>
      </c>
      <c r="O18" s="148">
        <f t="shared" ref="O18:O27" si="9">SUM(E18:N18)</f>
        <v>0</v>
      </c>
      <c r="P18" s="148">
        <f t="shared" ref="P18:P27" si="10">O18*12</f>
        <v>0</v>
      </c>
    </row>
    <row r="19" spans="1:16" x14ac:dyDescent="0.25">
      <c r="A19" s="145">
        <v>3</v>
      </c>
      <c r="B19" s="146"/>
      <c r="C19" s="147"/>
      <c r="D19" s="147"/>
      <c r="E19" s="148">
        <f t="shared" si="0"/>
        <v>0</v>
      </c>
      <c r="F19" s="148">
        <f t="shared" si="1"/>
        <v>0</v>
      </c>
      <c r="G19" s="148">
        <f t="shared" si="2"/>
        <v>0</v>
      </c>
      <c r="H19" s="148">
        <f t="shared" si="3"/>
        <v>0</v>
      </c>
      <c r="I19" s="148">
        <f t="shared" si="4"/>
        <v>0</v>
      </c>
      <c r="J19" s="148">
        <f t="shared" si="5"/>
        <v>0</v>
      </c>
      <c r="K19" s="148"/>
      <c r="L19" s="148">
        <f t="shared" si="6"/>
        <v>0</v>
      </c>
      <c r="M19" s="148">
        <f t="shared" si="7"/>
        <v>0</v>
      </c>
      <c r="N19" s="148">
        <f t="shared" si="8"/>
        <v>0</v>
      </c>
      <c r="O19" s="148">
        <f t="shared" si="9"/>
        <v>0</v>
      </c>
      <c r="P19" s="148">
        <f t="shared" si="10"/>
        <v>0</v>
      </c>
    </row>
    <row r="20" spans="1:16" x14ac:dyDescent="0.25">
      <c r="A20" s="145">
        <v>4</v>
      </c>
      <c r="B20" s="146"/>
      <c r="C20" s="147"/>
      <c r="D20" s="147"/>
      <c r="E20" s="148">
        <f t="shared" si="0"/>
        <v>0</v>
      </c>
      <c r="F20" s="148">
        <f t="shared" si="1"/>
        <v>0</v>
      </c>
      <c r="G20" s="148">
        <f t="shared" si="2"/>
        <v>0</v>
      </c>
      <c r="H20" s="148">
        <f t="shared" si="3"/>
        <v>0</v>
      </c>
      <c r="I20" s="148">
        <f t="shared" si="4"/>
        <v>0</v>
      </c>
      <c r="J20" s="148">
        <f t="shared" si="5"/>
        <v>0</v>
      </c>
      <c r="K20" s="148"/>
      <c r="L20" s="148">
        <f t="shared" si="6"/>
        <v>0</v>
      </c>
      <c r="M20" s="148">
        <f t="shared" si="7"/>
        <v>0</v>
      </c>
      <c r="N20" s="148">
        <f t="shared" si="8"/>
        <v>0</v>
      </c>
      <c r="O20" s="148">
        <f t="shared" si="9"/>
        <v>0</v>
      </c>
      <c r="P20" s="148">
        <f t="shared" si="10"/>
        <v>0</v>
      </c>
    </row>
    <row r="21" spans="1:16" x14ac:dyDescent="0.25">
      <c r="A21" s="145">
        <v>5</v>
      </c>
      <c r="B21" s="146"/>
      <c r="C21" s="147"/>
      <c r="D21" s="147"/>
      <c r="E21" s="148">
        <f t="shared" si="0"/>
        <v>0</v>
      </c>
      <c r="F21" s="148">
        <f t="shared" si="1"/>
        <v>0</v>
      </c>
      <c r="G21" s="148">
        <f t="shared" si="2"/>
        <v>0</v>
      </c>
      <c r="H21" s="148">
        <f t="shared" si="3"/>
        <v>0</v>
      </c>
      <c r="I21" s="148">
        <f t="shared" si="4"/>
        <v>0</v>
      </c>
      <c r="J21" s="148">
        <f t="shared" si="5"/>
        <v>0</v>
      </c>
      <c r="K21" s="148"/>
      <c r="L21" s="148">
        <f t="shared" si="6"/>
        <v>0</v>
      </c>
      <c r="M21" s="148">
        <f t="shared" si="7"/>
        <v>0</v>
      </c>
      <c r="N21" s="148">
        <f t="shared" si="8"/>
        <v>0</v>
      </c>
      <c r="O21" s="148">
        <f t="shared" si="9"/>
        <v>0</v>
      </c>
      <c r="P21" s="148">
        <f t="shared" si="10"/>
        <v>0</v>
      </c>
    </row>
    <row r="22" spans="1:16" x14ac:dyDescent="0.25">
      <c r="A22" s="145">
        <v>6</v>
      </c>
      <c r="B22" s="146"/>
      <c r="C22" s="147"/>
      <c r="D22" s="147"/>
      <c r="E22" s="148">
        <f t="shared" si="0"/>
        <v>0</v>
      </c>
      <c r="F22" s="148">
        <f t="shared" si="1"/>
        <v>0</v>
      </c>
      <c r="G22" s="148">
        <f t="shared" si="2"/>
        <v>0</v>
      </c>
      <c r="H22" s="148">
        <f t="shared" si="3"/>
        <v>0</v>
      </c>
      <c r="I22" s="148">
        <f t="shared" si="4"/>
        <v>0</v>
      </c>
      <c r="J22" s="148">
        <f t="shared" si="5"/>
        <v>0</v>
      </c>
      <c r="K22" s="148"/>
      <c r="L22" s="148">
        <f t="shared" si="6"/>
        <v>0</v>
      </c>
      <c r="M22" s="148">
        <f t="shared" si="7"/>
        <v>0</v>
      </c>
      <c r="N22" s="148">
        <f t="shared" si="8"/>
        <v>0</v>
      </c>
      <c r="O22" s="148">
        <f t="shared" si="9"/>
        <v>0</v>
      </c>
      <c r="P22" s="148">
        <f t="shared" si="10"/>
        <v>0</v>
      </c>
    </row>
    <row r="23" spans="1:16" x14ac:dyDescent="0.25">
      <c r="A23" s="145">
        <v>7</v>
      </c>
      <c r="B23" s="146"/>
      <c r="C23" s="147"/>
      <c r="D23" s="147"/>
      <c r="E23" s="148">
        <f t="shared" si="0"/>
        <v>0</v>
      </c>
      <c r="F23" s="148">
        <f t="shared" si="1"/>
        <v>0</v>
      </c>
      <c r="G23" s="148">
        <f t="shared" si="2"/>
        <v>0</v>
      </c>
      <c r="H23" s="148">
        <f t="shared" si="3"/>
        <v>0</v>
      </c>
      <c r="I23" s="148">
        <f t="shared" si="4"/>
        <v>0</v>
      </c>
      <c r="J23" s="148">
        <f t="shared" si="5"/>
        <v>0</v>
      </c>
      <c r="K23" s="148"/>
      <c r="L23" s="148">
        <f t="shared" si="6"/>
        <v>0</v>
      </c>
      <c r="M23" s="148">
        <f t="shared" si="7"/>
        <v>0</v>
      </c>
      <c r="N23" s="148">
        <f t="shared" si="8"/>
        <v>0</v>
      </c>
      <c r="O23" s="148">
        <f t="shared" si="9"/>
        <v>0</v>
      </c>
      <c r="P23" s="148">
        <f t="shared" si="10"/>
        <v>0</v>
      </c>
    </row>
    <row r="24" spans="1:16" x14ac:dyDescent="0.25">
      <c r="A24" s="145">
        <v>8</v>
      </c>
      <c r="B24" s="146"/>
      <c r="C24" s="147"/>
      <c r="D24" s="147"/>
      <c r="E24" s="148">
        <f t="shared" si="0"/>
        <v>0</v>
      </c>
      <c r="F24" s="148">
        <f t="shared" si="1"/>
        <v>0</v>
      </c>
      <c r="G24" s="148">
        <f t="shared" si="2"/>
        <v>0</v>
      </c>
      <c r="H24" s="148">
        <f t="shared" si="3"/>
        <v>0</v>
      </c>
      <c r="I24" s="148">
        <f t="shared" si="4"/>
        <v>0</v>
      </c>
      <c r="J24" s="148">
        <f t="shared" si="5"/>
        <v>0</v>
      </c>
      <c r="K24" s="148"/>
      <c r="L24" s="148">
        <f t="shared" si="6"/>
        <v>0</v>
      </c>
      <c r="M24" s="148">
        <f t="shared" si="7"/>
        <v>0</v>
      </c>
      <c r="N24" s="148">
        <f t="shared" si="8"/>
        <v>0</v>
      </c>
      <c r="O24" s="148">
        <f t="shared" si="9"/>
        <v>0</v>
      </c>
      <c r="P24" s="148">
        <f t="shared" si="10"/>
        <v>0</v>
      </c>
    </row>
    <row r="25" spans="1:16" x14ac:dyDescent="0.25">
      <c r="A25" s="145">
        <v>9</v>
      </c>
      <c r="B25" s="146"/>
      <c r="C25" s="147"/>
      <c r="D25" s="147"/>
      <c r="E25" s="148">
        <f t="shared" si="0"/>
        <v>0</v>
      </c>
      <c r="F25" s="148">
        <f t="shared" si="1"/>
        <v>0</v>
      </c>
      <c r="G25" s="148">
        <f t="shared" si="2"/>
        <v>0</v>
      </c>
      <c r="H25" s="148">
        <f t="shared" si="3"/>
        <v>0</v>
      </c>
      <c r="I25" s="148">
        <f t="shared" si="4"/>
        <v>0</v>
      </c>
      <c r="J25" s="148">
        <f t="shared" si="5"/>
        <v>0</v>
      </c>
      <c r="K25" s="148"/>
      <c r="L25" s="148">
        <f t="shared" si="6"/>
        <v>0</v>
      </c>
      <c r="M25" s="148">
        <f t="shared" si="7"/>
        <v>0</v>
      </c>
      <c r="N25" s="148">
        <f t="shared" si="8"/>
        <v>0</v>
      </c>
      <c r="O25" s="148">
        <f t="shared" si="9"/>
        <v>0</v>
      </c>
      <c r="P25" s="148">
        <f t="shared" si="10"/>
        <v>0</v>
      </c>
    </row>
    <row r="26" spans="1:16" x14ac:dyDescent="0.25">
      <c r="A26" s="145">
        <v>10</v>
      </c>
      <c r="B26" s="146"/>
      <c r="C26" s="147"/>
      <c r="D26" s="147"/>
      <c r="E26" s="148">
        <f t="shared" si="0"/>
        <v>0</v>
      </c>
      <c r="F26" s="148">
        <f t="shared" si="1"/>
        <v>0</v>
      </c>
      <c r="G26" s="148">
        <f t="shared" si="2"/>
        <v>0</v>
      </c>
      <c r="H26" s="148">
        <f t="shared" si="3"/>
        <v>0</v>
      </c>
      <c r="I26" s="148">
        <f t="shared" si="4"/>
        <v>0</v>
      </c>
      <c r="J26" s="148">
        <f t="shared" si="5"/>
        <v>0</v>
      </c>
      <c r="K26" s="148"/>
      <c r="L26" s="148">
        <f t="shared" si="6"/>
        <v>0</v>
      </c>
      <c r="M26" s="148">
        <f t="shared" si="7"/>
        <v>0</v>
      </c>
      <c r="N26" s="148">
        <f t="shared" si="8"/>
        <v>0</v>
      </c>
      <c r="O26" s="148">
        <f t="shared" si="9"/>
        <v>0</v>
      </c>
      <c r="P26" s="148">
        <f t="shared" si="10"/>
        <v>0</v>
      </c>
    </row>
    <row r="27" spans="1:16" x14ac:dyDescent="0.25">
      <c r="A27" s="149">
        <v>11</v>
      </c>
      <c r="B27" s="146"/>
      <c r="C27" s="147"/>
      <c r="D27" s="147"/>
      <c r="E27" s="148">
        <f t="shared" si="0"/>
        <v>0</v>
      </c>
      <c r="F27" s="148">
        <f t="shared" si="1"/>
        <v>0</v>
      </c>
      <c r="G27" s="148">
        <f t="shared" si="2"/>
        <v>0</v>
      </c>
      <c r="H27" s="148">
        <f t="shared" si="3"/>
        <v>0</v>
      </c>
      <c r="I27" s="148">
        <f t="shared" si="4"/>
        <v>0</v>
      </c>
      <c r="J27" s="148">
        <f t="shared" si="5"/>
        <v>0</v>
      </c>
      <c r="K27" s="148"/>
      <c r="L27" s="148">
        <f t="shared" si="6"/>
        <v>0</v>
      </c>
      <c r="M27" s="148">
        <f t="shared" si="7"/>
        <v>0</v>
      </c>
      <c r="N27" s="148">
        <f t="shared" si="8"/>
        <v>0</v>
      </c>
      <c r="O27" s="148">
        <f t="shared" si="9"/>
        <v>0</v>
      </c>
      <c r="P27" s="148">
        <f t="shared" si="10"/>
        <v>0</v>
      </c>
    </row>
    <row r="28" spans="1:16" x14ac:dyDescent="0.25">
      <c r="A28" s="150"/>
      <c r="B28" s="196" t="s">
        <v>78</v>
      </c>
      <c r="C28" s="197">
        <f>SUM(C17:C27)</f>
        <v>0</v>
      </c>
      <c r="D28" s="197">
        <f t="shared" ref="D28:P28" si="11">SUM(D17:D27)</f>
        <v>0</v>
      </c>
      <c r="E28" s="197">
        <f t="shared" si="11"/>
        <v>0</v>
      </c>
      <c r="F28" s="197">
        <f t="shared" si="11"/>
        <v>0</v>
      </c>
      <c r="G28" s="197">
        <f t="shared" si="11"/>
        <v>0</v>
      </c>
      <c r="H28" s="197">
        <f t="shared" si="11"/>
        <v>0</v>
      </c>
      <c r="I28" s="197">
        <f t="shared" si="11"/>
        <v>0</v>
      </c>
      <c r="J28" s="197">
        <f t="shared" si="11"/>
        <v>0</v>
      </c>
      <c r="K28" s="197"/>
      <c r="L28" s="197">
        <f t="shared" si="11"/>
        <v>0</v>
      </c>
      <c r="M28" s="197">
        <f t="shared" si="11"/>
        <v>0</v>
      </c>
      <c r="N28" s="197">
        <f t="shared" si="11"/>
        <v>0</v>
      </c>
      <c r="O28" s="197">
        <f t="shared" si="11"/>
        <v>0</v>
      </c>
      <c r="P28" s="197">
        <f t="shared" si="11"/>
        <v>0</v>
      </c>
    </row>
    <row r="29" spans="1:16" x14ac:dyDescent="0.25">
      <c r="A29" s="150"/>
      <c r="B29" s="196" t="s">
        <v>80</v>
      </c>
      <c r="C29" s="197">
        <f>C28*12</f>
        <v>0</v>
      </c>
      <c r="D29" s="197">
        <f t="shared" ref="D29:O29" si="12">D28*12</f>
        <v>0</v>
      </c>
      <c r="E29" s="197">
        <f t="shared" si="12"/>
        <v>0</v>
      </c>
      <c r="F29" s="197">
        <f t="shared" si="12"/>
        <v>0</v>
      </c>
      <c r="G29" s="197">
        <f t="shared" si="12"/>
        <v>0</v>
      </c>
      <c r="H29" s="197">
        <f t="shared" si="12"/>
        <v>0</v>
      </c>
      <c r="I29" s="197">
        <f t="shared" si="12"/>
        <v>0</v>
      </c>
      <c r="J29" s="197">
        <f t="shared" si="12"/>
        <v>0</v>
      </c>
      <c r="K29" s="197"/>
      <c r="L29" s="197">
        <f t="shared" si="12"/>
        <v>0</v>
      </c>
      <c r="M29" s="197">
        <f t="shared" si="12"/>
        <v>0</v>
      </c>
      <c r="N29" s="197">
        <f t="shared" si="12"/>
        <v>0</v>
      </c>
      <c r="O29" s="197">
        <f t="shared" si="12"/>
        <v>0</v>
      </c>
      <c r="P29" s="197"/>
    </row>
    <row r="32" spans="1:16" x14ac:dyDescent="0.25">
      <c r="A32" s="680" t="s">
        <v>81</v>
      </c>
      <c r="B32" s="680"/>
      <c r="C32" s="680"/>
      <c r="D32" s="680"/>
      <c r="E32" s="680"/>
      <c r="F32" s="680"/>
      <c r="G32" s="680"/>
      <c r="H32" s="680"/>
      <c r="I32" s="680"/>
      <c r="J32" s="680"/>
      <c r="K32" s="680"/>
      <c r="L32" s="680"/>
      <c r="M32" s="680"/>
      <c r="N32" s="680"/>
      <c r="O32" s="680"/>
      <c r="P32" s="680"/>
    </row>
    <row r="34" spans="1:4" x14ac:dyDescent="0.25">
      <c r="A34" s="198" t="s">
        <v>71</v>
      </c>
      <c r="B34" s="198" t="s">
        <v>72</v>
      </c>
      <c r="C34" s="198" t="s">
        <v>73</v>
      </c>
      <c r="D34" s="198" t="s">
        <v>82</v>
      </c>
    </row>
    <row r="35" spans="1:4" x14ac:dyDescent="0.25">
      <c r="A35" s="145">
        <v>1</v>
      </c>
      <c r="B35" s="146"/>
      <c r="C35" s="147"/>
      <c r="D35" s="151">
        <f>C35*12</f>
        <v>0</v>
      </c>
    </row>
    <row r="36" spans="1:4" x14ac:dyDescent="0.25">
      <c r="A36" s="145">
        <v>2</v>
      </c>
      <c r="B36" s="146"/>
      <c r="C36" s="147"/>
      <c r="D36" s="151">
        <f t="shared" ref="D36:D45" si="13">C36*12</f>
        <v>0</v>
      </c>
    </row>
    <row r="37" spans="1:4" x14ac:dyDescent="0.25">
      <c r="A37" s="145">
        <v>3</v>
      </c>
      <c r="B37" s="146"/>
      <c r="C37" s="147"/>
      <c r="D37" s="151">
        <f t="shared" si="13"/>
        <v>0</v>
      </c>
    </row>
    <row r="38" spans="1:4" x14ac:dyDescent="0.25">
      <c r="A38" s="145">
        <v>4</v>
      </c>
      <c r="B38" s="146"/>
      <c r="C38" s="147"/>
      <c r="D38" s="151">
        <f t="shared" si="13"/>
        <v>0</v>
      </c>
    </row>
    <row r="39" spans="1:4" x14ac:dyDescent="0.25">
      <c r="A39" s="145">
        <v>5</v>
      </c>
      <c r="B39" s="146"/>
      <c r="C39" s="147"/>
      <c r="D39" s="151">
        <f t="shared" si="13"/>
        <v>0</v>
      </c>
    </row>
    <row r="40" spans="1:4" x14ac:dyDescent="0.25">
      <c r="A40" s="145">
        <v>6</v>
      </c>
      <c r="B40" s="146"/>
      <c r="C40" s="147"/>
      <c r="D40" s="151">
        <f t="shared" si="13"/>
        <v>0</v>
      </c>
    </row>
    <row r="41" spans="1:4" x14ac:dyDescent="0.25">
      <c r="A41" s="145">
        <v>7</v>
      </c>
      <c r="B41" s="146"/>
      <c r="C41" s="147"/>
      <c r="D41" s="151">
        <f t="shared" si="13"/>
        <v>0</v>
      </c>
    </row>
    <row r="42" spans="1:4" x14ac:dyDescent="0.25">
      <c r="A42" s="145">
        <v>8</v>
      </c>
      <c r="B42" s="146"/>
      <c r="C42" s="147"/>
      <c r="D42" s="151">
        <f t="shared" si="13"/>
        <v>0</v>
      </c>
    </row>
    <row r="43" spans="1:4" x14ac:dyDescent="0.25">
      <c r="A43" s="145">
        <v>9</v>
      </c>
      <c r="B43" s="146"/>
      <c r="C43" s="147"/>
      <c r="D43" s="151">
        <f t="shared" si="13"/>
        <v>0</v>
      </c>
    </row>
    <row r="44" spans="1:4" x14ac:dyDescent="0.25">
      <c r="A44" s="145">
        <v>10</v>
      </c>
      <c r="B44" s="146"/>
      <c r="C44" s="147"/>
      <c r="D44" s="151">
        <f t="shared" si="13"/>
        <v>0</v>
      </c>
    </row>
    <row r="45" spans="1:4" x14ac:dyDescent="0.25">
      <c r="A45" s="145">
        <v>11</v>
      </c>
      <c r="B45" s="146"/>
      <c r="C45" s="147"/>
      <c r="D45" s="151">
        <f t="shared" si="13"/>
        <v>0</v>
      </c>
    </row>
    <row r="46" spans="1:4" x14ac:dyDescent="0.25">
      <c r="A46" s="141"/>
      <c r="B46" s="196" t="s">
        <v>83</v>
      </c>
      <c r="C46" s="199">
        <f>SUM(C35:C45)</f>
        <v>0</v>
      </c>
      <c r="D46" s="199">
        <f>SUM(D35:D45)</f>
        <v>0</v>
      </c>
    </row>
    <row r="47" spans="1:4" x14ac:dyDescent="0.25">
      <c r="A47" s="141"/>
      <c r="B47" s="196" t="s">
        <v>79</v>
      </c>
      <c r="C47" s="199">
        <f>C46*12</f>
        <v>0</v>
      </c>
      <c r="D47" s="200"/>
    </row>
    <row r="50" spans="1:16" ht="15.75" thickBot="1" x14ac:dyDescent="0.3"/>
    <row r="51" spans="1:16" x14ac:dyDescent="0.25">
      <c r="A51" s="671" t="s">
        <v>403</v>
      </c>
      <c r="B51" s="677"/>
      <c r="C51" s="672"/>
    </row>
    <row r="52" spans="1:16" x14ac:dyDescent="0.25">
      <c r="A52" s="673"/>
      <c r="B52" s="678"/>
      <c r="C52" s="674"/>
    </row>
    <row r="53" spans="1:16" x14ac:dyDescent="0.25">
      <c r="A53" s="673"/>
      <c r="B53" s="678"/>
      <c r="C53" s="674"/>
    </row>
    <row r="54" spans="1:16" ht="15.75" thickBot="1" x14ac:dyDescent="0.3">
      <c r="A54" s="675"/>
      <c r="B54" s="679"/>
      <c r="C54" s="676"/>
    </row>
    <row r="56" spans="1:16" x14ac:dyDescent="0.25">
      <c r="A56" s="681" t="s">
        <v>70</v>
      </c>
      <c r="B56" s="681"/>
      <c r="C56" s="681"/>
      <c r="D56" s="681"/>
      <c r="E56" s="681"/>
      <c r="F56" s="681"/>
      <c r="G56" s="681"/>
      <c r="H56" s="681"/>
      <c r="I56" s="681"/>
      <c r="J56" s="681"/>
      <c r="K56" s="681"/>
      <c r="L56" s="681"/>
      <c r="M56" s="681"/>
      <c r="N56" s="681"/>
      <c r="O56" s="681"/>
      <c r="P56" s="681"/>
    </row>
    <row r="58" spans="1:16" ht="40.9" customHeight="1" x14ac:dyDescent="0.25">
      <c r="A58" s="140" t="s">
        <v>71</v>
      </c>
      <c r="B58" s="140" t="s">
        <v>72</v>
      </c>
      <c r="C58" s="140" t="s">
        <v>73</v>
      </c>
      <c r="D58" s="140" t="s">
        <v>74</v>
      </c>
      <c r="E58" s="140" t="s">
        <v>75</v>
      </c>
      <c r="F58" s="140" t="s">
        <v>1</v>
      </c>
      <c r="G58" s="140" t="s">
        <v>4</v>
      </c>
      <c r="H58" s="140" t="s">
        <v>2</v>
      </c>
      <c r="I58" s="140" t="s">
        <v>3</v>
      </c>
      <c r="J58" s="140" t="s">
        <v>76</v>
      </c>
      <c r="K58" s="140"/>
      <c r="L58" s="140" t="s">
        <v>11</v>
      </c>
      <c r="M58" s="140" t="s">
        <v>77</v>
      </c>
      <c r="N58" s="140" t="s">
        <v>13</v>
      </c>
      <c r="O58" s="140" t="s">
        <v>78</v>
      </c>
      <c r="P58" s="140" t="s">
        <v>79</v>
      </c>
    </row>
    <row r="59" spans="1:16" x14ac:dyDescent="0.25">
      <c r="A59" s="141"/>
      <c r="B59" s="141"/>
      <c r="C59" s="141"/>
      <c r="D59" s="141"/>
      <c r="E59" s="142"/>
      <c r="F59" s="143">
        <f>F16</f>
        <v>8.3299999999999999E-2</v>
      </c>
      <c r="G59" s="143">
        <f>G16</f>
        <v>0.12</v>
      </c>
      <c r="H59" s="143">
        <f>H16</f>
        <v>8.3299999999999999E-2</v>
      </c>
      <c r="I59" s="143">
        <f>I16</f>
        <v>4.1700000000000001E-2</v>
      </c>
      <c r="J59" s="143">
        <f>J16</f>
        <v>0.09</v>
      </c>
      <c r="K59" s="143"/>
      <c r="L59" s="144">
        <f>L16</f>
        <v>0.12</v>
      </c>
      <c r="M59" s="143">
        <f>M16</f>
        <v>8.5000000000000006E-2</v>
      </c>
      <c r="N59" s="143">
        <f>N16</f>
        <v>5.2199999999999998E-3</v>
      </c>
      <c r="O59" s="142"/>
      <c r="P59" s="142"/>
    </row>
    <row r="60" spans="1:16" x14ac:dyDescent="0.25">
      <c r="A60" s="145">
        <v>1</v>
      </c>
      <c r="B60" s="146" t="s">
        <v>41</v>
      </c>
      <c r="C60" s="147"/>
      <c r="D60" s="147"/>
      <c r="E60" s="148">
        <f>C60+D60</f>
        <v>0</v>
      </c>
      <c r="F60" s="148">
        <f>C60*$F$59</f>
        <v>0</v>
      </c>
      <c r="G60" s="148">
        <f>C60*$G$59</f>
        <v>0</v>
      </c>
      <c r="H60" s="148">
        <f>C60*$H$59</f>
        <v>0</v>
      </c>
      <c r="I60" s="148">
        <f>C60*$I$59</f>
        <v>0</v>
      </c>
      <c r="J60" s="148">
        <f>C60*$J$59</f>
        <v>0</v>
      </c>
      <c r="K60" s="148"/>
      <c r="L60" s="148">
        <f>C60*$L$59</f>
        <v>0</v>
      </c>
      <c r="M60" s="148">
        <f>C60*$M$59</f>
        <v>0</v>
      </c>
      <c r="N60" s="148">
        <f>C60*$N$59</f>
        <v>0</v>
      </c>
      <c r="O60" s="148">
        <f>SUM(E60:N60)</f>
        <v>0</v>
      </c>
      <c r="P60" s="148">
        <f>O60*12</f>
        <v>0</v>
      </c>
    </row>
    <row r="61" spans="1:16" x14ac:dyDescent="0.25">
      <c r="A61" s="145">
        <v>2</v>
      </c>
      <c r="B61" s="146"/>
      <c r="C61" s="147"/>
      <c r="D61" s="147"/>
      <c r="E61" s="148">
        <f t="shared" ref="E61:E69" si="14">C61+D61</f>
        <v>0</v>
      </c>
      <c r="F61" s="148">
        <f t="shared" ref="F61:F69" si="15">C61*$F$59</f>
        <v>0</v>
      </c>
      <c r="G61" s="148">
        <f t="shared" ref="G61:G69" si="16">C61*$G$59</f>
        <v>0</v>
      </c>
      <c r="H61" s="148">
        <f t="shared" ref="H61:H69" si="17">C61*$H$59</f>
        <v>0</v>
      </c>
      <c r="I61" s="148">
        <f t="shared" ref="I61:I69" si="18">C61*$I$59</f>
        <v>0</v>
      </c>
      <c r="J61" s="148">
        <f t="shared" ref="J61:J69" si="19">C61*$J$59</f>
        <v>0</v>
      </c>
      <c r="K61" s="148"/>
      <c r="L61" s="148">
        <f t="shared" ref="L61:L69" si="20">C61*$L$59</f>
        <v>0</v>
      </c>
      <c r="M61" s="148">
        <f t="shared" ref="M61:M69" si="21">C61*$M$59</f>
        <v>0</v>
      </c>
      <c r="N61" s="148">
        <f t="shared" ref="N61:N69" si="22">C61*$N$59</f>
        <v>0</v>
      </c>
      <c r="O61" s="148">
        <f t="shared" ref="O61:O69" si="23">SUM(E61:N61)</f>
        <v>0</v>
      </c>
      <c r="P61" s="148">
        <f t="shared" ref="P61:P69" si="24">O61*12</f>
        <v>0</v>
      </c>
    </row>
    <row r="62" spans="1:16" x14ac:dyDescent="0.25">
      <c r="A62" s="145">
        <v>3</v>
      </c>
      <c r="B62" s="146"/>
      <c r="C62" s="147"/>
      <c r="D62" s="147"/>
      <c r="E62" s="148">
        <f t="shared" si="14"/>
        <v>0</v>
      </c>
      <c r="F62" s="148">
        <f t="shared" si="15"/>
        <v>0</v>
      </c>
      <c r="G62" s="148">
        <f t="shared" si="16"/>
        <v>0</v>
      </c>
      <c r="H62" s="148">
        <f t="shared" si="17"/>
        <v>0</v>
      </c>
      <c r="I62" s="148">
        <f t="shared" si="18"/>
        <v>0</v>
      </c>
      <c r="J62" s="148">
        <f t="shared" si="19"/>
        <v>0</v>
      </c>
      <c r="K62" s="148"/>
      <c r="L62" s="148">
        <f t="shared" si="20"/>
        <v>0</v>
      </c>
      <c r="M62" s="148">
        <f t="shared" si="21"/>
        <v>0</v>
      </c>
      <c r="N62" s="148">
        <f t="shared" si="22"/>
        <v>0</v>
      </c>
      <c r="O62" s="148">
        <f t="shared" si="23"/>
        <v>0</v>
      </c>
      <c r="P62" s="148">
        <f t="shared" si="24"/>
        <v>0</v>
      </c>
    </row>
    <row r="63" spans="1:16" x14ac:dyDescent="0.25">
      <c r="A63" s="145">
        <v>4</v>
      </c>
      <c r="B63" s="146"/>
      <c r="C63" s="147"/>
      <c r="D63" s="147"/>
      <c r="E63" s="148">
        <f t="shared" si="14"/>
        <v>0</v>
      </c>
      <c r="F63" s="148">
        <f t="shared" si="15"/>
        <v>0</v>
      </c>
      <c r="G63" s="148">
        <f t="shared" si="16"/>
        <v>0</v>
      </c>
      <c r="H63" s="148">
        <f t="shared" si="17"/>
        <v>0</v>
      </c>
      <c r="I63" s="148">
        <f t="shared" si="18"/>
        <v>0</v>
      </c>
      <c r="J63" s="148">
        <f t="shared" si="19"/>
        <v>0</v>
      </c>
      <c r="K63" s="148"/>
      <c r="L63" s="148">
        <f t="shared" si="20"/>
        <v>0</v>
      </c>
      <c r="M63" s="148">
        <f t="shared" si="21"/>
        <v>0</v>
      </c>
      <c r="N63" s="148">
        <f t="shared" si="22"/>
        <v>0</v>
      </c>
      <c r="O63" s="148">
        <f t="shared" si="23"/>
        <v>0</v>
      </c>
      <c r="P63" s="148">
        <f t="shared" si="24"/>
        <v>0</v>
      </c>
    </row>
    <row r="64" spans="1:16" x14ac:dyDescent="0.25">
      <c r="A64" s="145">
        <v>5</v>
      </c>
      <c r="B64" s="146"/>
      <c r="C64" s="147"/>
      <c r="D64" s="147"/>
      <c r="E64" s="148">
        <f t="shared" si="14"/>
        <v>0</v>
      </c>
      <c r="F64" s="148">
        <f t="shared" si="15"/>
        <v>0</v>
      </c>
      <c r="G64" s="148">
        <f t="shared" si="16"/>
        <v>0</v>
      </c>
      <c r="H64" s="148">
        <f t="shared" si="17"/>
        <v>0</v>
      </c>
      <c r="I64" s="148">
        <f t="shared" si="18"/>
        <v>0</v>
      </c>
      <c r="J64" s="148">
        <f t="shared" si="19"/>
        <v>0</v>
      </c>
      <c r="K64" s="148"/>
      <c r="L64" s="148">
        <f t="shared" si="20"/>
        <v>0</v>
      </c>
      <c r="M64" s="148">
        <f t="shared" si="21"/>
        <v>0</v>
      </c>
      <c r="N64" s="148">
        <f t="shared" si="22"/>
        <v>0</v>
      </c>
      <c r="O64" s="148">
        <f t="shared" si="23"/>
        <v>0</v>
      </c>
      <c r="P64" s="148">
        <f t="shared" si="24"/>
        <v>0</v>
      </c>
    </row>
    <row r="65" spans="1:16" x14ac:dyDescent="0.25">
      <c r="A65" s="145">
        <v>6</v>
      </c>
      <c r="B65" s="146"/>
      <c r="C65" s="147"/>
      <c r="D65" s="147"/>
      <c r="E65" s="148">
        <f t="shared" si="14"/>
        <v>0</v>
      </c>
      <c r="F65" s="148">
        <f t="shared" si="15"/>
        <v>0</v>
      </c>
      <c r="G65" s="148">
        <f t="shared" si="16"/>
        <v>0</v>
      </c>
      <c r="H65" s="148">
        <f t="shared" si="17"/>
        <v>0</v>
      </c>
      <c r="I65" s="148">
        <f t="shared" si="18"/>
        <v>0</v>
      </c>
      <c r="J65" s="148">
        <f t="shared" si="19"/>
        <v>0</v>
      </c>
      <c r="K65" s="148"/>
      <c r="L65" s="148">
        <f t="shared" si="20"/>
        <v>0</v>
      </c>
      <c r="M65" s="148">
        <f t="shared" si="21"/>
        <v>0</v>
      </c>
      <c r="N65" s="148">
        <f t="shared" si="22"/>
        <v>0</v>
      </c>
      <c r="O65" s="148">
        <f t="shared" si="23"/>
        <v>0</v>
      </c>
      <c r="P65" s="148">
        <f t="shared" si="24"/>
        <v>0</v>
      </c>
    </row>
    <row r="66" spans="1:16" x14ac:dyDescent="0.25">
      <c r="A66" s="145">
        <v>7</v>
      </c>
      <c r="B66" s="146"/>
      <c r="C66" s="147"/>
      <c r="D66" s="147"/>
      <c r="E66" s="148">
        <f t="shared" si="14"/>
        <v>0</v>
      </c>
      <c r="F66" s="148">
        <f t="shared" si="15"/>
        <v>0</v>
      </c>
      <c r="G66" s="148">
        <f t="shared" si="16"/>
        <v>0</v>
      </c>
      <c r="H66" s="148">
        <f t="shared" si="17"/>
        <v>0</v>
      </c>
      <c r="I66" s="148">
        <f t="shared" si="18"/>
        <v>0</v>
      </c>
      <c r="J66" s="148">
        <f t="shared" si="19"/>
        <v>0</v>
      </c>
      <c r="K66" s="148"/>
      <c r="L66" s="148">
        <f t="shared" si="20"/>
        <v>0</v>
      </c>
      <c r="M66" s="148">
        <f t="shared" si="21"/>
        <v>0</v>
      </c>
      <c r="N66" s="148">
        <f t="shared" si="22"/>
        <v>0</v>
      </c>
      <c r="O66" s="148">
        <f t="shared" si="23"/>
        <v>0</v>
      </c>
      <c r="P66" s="148">
        <f t="shared" si="24"/>
        <v>0</v>
      </c>
    </row>
    <row r="67" spans="1:16" x14ac:dyDescent="0.25">
      <c r="A67" s="145">
        <v>8</v>
      </c>
      <c r="B67" s="146"/>
      <c r="C67" s="147"/>
      <c r="D67" s="147"/>
      <c r="E67" s="148">
        <f t="shared" si="14"/>
        <v>0</v>
      </c>
      <c r="F67" s="148">
        <f t="shared" si="15"/>
        <v>0</v>
      </c>
      <c r="G67" s="148">
        <f t="shared" si="16"/>
        <v>0</v>
      </c>
      <c r="H67" s="148">
        <f t="shared" si="17"/>
        <v>0</v>
      </c>
      <c r="I67" s="148">
        <f t="shared" si="18"/>
        <v>0</v>
      </c>
      <c r="J67" s="148">
        <f t="shared" si="19"/>
        <v>0</v>
      </c>
      <c r="K67" s="148"/>
      <c r="L67" s="148">
        <f t="shared" si="20"/>
        <v>0</v>
      </c>
      <c r="M67" s="148">
        <f t="shared" si="21"/>
        <v>0</v>
      </c>
      <c r="N67" s="148">
        <f t="shared" si="22"/>
        <v>0</v>
      </c>
      <c r="O67" s="148">
        <f t="shared" si="23"/>
        <v>0</v>
      </c>
      <c r="P67" s="148">
        <f t="shared" si="24"/>
        <v>0</v>
      </c>
    </row>
    <row r="68" spans="1:16" x14ac:dyDescent="0.25">
      <c r="A68" s="145">
        <v>9</v>
      </c>
      <c r="B68" s="146"/>
      <c r="C68" s="147"/>
      <c r="D68" s="147"/>
      <c r="E68" s="148">
        <f t="shared" si="14"/>
        <v>0</v>
      </c>
      <c r="F68" s="148">
        <f t="shared" si="15"/>
        <v>0</v>
      </c>
      <c r="G68" s="148">
        <f t="shared" si="16"/>
        <v>0</v>
      </c>
      <c r="H68" s="148">
        <f t="shared" si="17"/>
        <v>0</v>
      </c>
      <c r="I68" s="148">
        <f t="shared" si="18"/>
        <v>0</v>
      </c>
      <c r="J68" s="148">
        <f t="shared" si="19"/>
        <v>0</v>
      </c>
      <c r="K68" s="148"/>
      <c r="L68" s="148">
        <f t="shared" si="20"/>
        <v>0</v>
      </c>
      <c r="M68" s="148">
        <f t="shared" si="21"/>
        <v>0</v>
      </c>
      <c r="N68" s="148">
        <f t="shared" si="22"/>
        <v>0</v>
      </c>
      <c r="O68" s="148">
        <f t="shared" si="23"/>
        <v>0</v>
      </c>
      <c r="P68" s="148">
        <f t="shared" si="24"/>
        <v>0</v>
      </c>
    </row>
    <row r="69" spans="1:16" x14ac:dyDescent="0.25">
      <c r="A69" s="145">
        <v>10</v>
      </c>
      <c r="B69" s="146"/>
      <c r="C69" s="147"/>
      <c r="D69" s="147"/>
      <c r="E69" s="148">
        <f t="shared" si="14"/>
        <v>0</v>
      </c>
      <c r="F69" s="148">
        <f t="shared" si="15"/>
        <v>0</v>
      </c>
      <c r="G69" s="148">
        <f t="shared" si="16"/>
        <v>0</v>
      </c>
      <c r="H69" s="148">
        <f t="shared" si="17"/>
        <v>0</v>
      </c>
      <c r="I69" s="148">
        <f t="shared" si="18"/>
        <v>0</v>
      </c>
      <c r="J69" s="148">
        <f t="shared" si="19"/>
        <v>0</v>
      </c>
      <c r="K69" s="148"/>
      <c r="L69" s="148">
        <f t="shared" si="20"/>
        <v>0</v>
      </c>
      <c r="M69" s="148">
        <f t="shared" si="21"/>
        <v>0</v>
      </c>
      <c r="N69" s="148">
        <f t="shared" si="22"/>
        <v>0</v>
      </c>
      <c r="O69" s="148">
        <f t="shared" si="23"/>
        <v>0</v>
      </c>
      <c r="P69" s="148">
        <f t="shared" si="24"/>
        <v>0</v>
      </c>
    </row>
    <row r="70" spans="1:16" x14ac:dyDescent="0.25">
      <c r="A70" s="141"/>
      <c r="B70" s="201" t="s">
        <v>78</v>
      </c>
      <c r="C70" s="199">
        <f>SUM(C60:C69)</f>
        <v>0</v>
      </c>
      <c r="D70" s="199">
        <f t="shared" ref="D70:P70" si="25">SUM(D60:D69)</f>
        <v>0</v>
      </c>
      <c r="E70" s="199">
        <f t="shared" si="25"/>
        <v>0</v>
      </c>
      <c r="F70" s="199">
        <f t="shared" si="25"/>
        <v>0</v>
      </c>
      <c r="G70" s="199">
        <f t="shared" si="25"/>
        <v>0</v>
      </c>
      <c r="H70" s="199">
        <f t="shared" si="25"/>
        <v>0</v>
      </c>
      <c r="I70" s="199">
        <f t="shared" si="25"/>
        <v>0</v>
      </c>
      <c r="J70" s="199">
        <f t="shared" si="25"/>
        <v>0</v>
      </c>
      <c r="K70" s="199"/>
      <c r="L70" s="199">
        <f t="shared" si="25"/>
        <v>0</v>
      </c>
      <c r="M70" s="199">
        <f t="shared" si="25"/>
        <v>0</v>
      </c>
      <c r="N70" s="199">
        <f t="shared" si="25"/>
        <v>0</v>
      </c>
      <c r="O70" s="199">
        <f t="shared" si="25"/>
        <v>0</v>
      </c>
      <c r="P70" s="199">
        <f t="shared" si="25"/>
        <v>0</v>
      </c>
    </row>
    <row r="71" spans="1:16" x14ac:dyDescent="0.25">
      <c r="A71" s="141"/>
      <c r="B71" s="201" t="s">
        <v>79</v>
      </c>
      <c r="C71" s="199">
        <f>C70*12</f>
        <v>0</v>
      </c>
      <c r="D71" s="199">
        <f t="shared" ref="D71:O71" si="26">D70*12</f>
        <v>0</v>
      </c>
      <c r="E71" s="199">
        <f t="shared" si="26"/>
        <v>0</v>
      </c>
      <c r="F71" s="199">
        <f t="shared" si="26"/>
        <v>0</v>
      </c>
      <c r="G71" s="199">
        <f t="shared" si="26"/>
        <v>0</v>
      </c>
      <c r="H71" s="199">
        <f t="shared" si="26"/>
        <v>0</v>
      </c>
      <c r="I71" s="199">
        <f t="shared" si="26"/>
        <v>0</v>
      </c>
      <c r="J71" s="199">
        <f t="shared" si="26"/>
        <v>0</v>
      </c>
      <c r="K71" s="199"/>
      <c r="L71" s="199">
        <f t="shared" si="26"/>
        <v>0</v>
      </c>
      <c r="M71" s="199">
        <f t="shared" si="26"/>
        <v>0</v>
      </c>
      <c r="N71" s="199">
        <f t="shared" si="26"/>
        <v>0</v>
      </c>
      <c r="O71" s="199">
        <f t="shared" si="26"/>
        <v>0</v>
      </c>
      <c r="P71" s="199"/>
    </row>
    <row r="74" spans="1:16" x14ac:dyDescent="0.25">
      <c r="A74" s="680" t="s">
        <v>84</v>
      </c>
      <c r="B74" s="680"/>
      <c r="C74" s="680"/>
      <c r="D74" s="680"/>
      <c r="E74" s="680"/>
    </row>
    <row r="75" spans="1:16" ht="15.75" thickBot="1" x14ac:dyDescent="0.3"/>
    <row r="76" spans="1:16" ht="15.75" thickBot="1" x14ac:dyDescent="0.3">
      <c r="A76" s="152" t="s">
        <v>71</v>
      </c>
      <c r="B76" s="153" t="s">
        <v>72</v>
      </c>
      <c r="C76" s="153" t="s">
        <v>73</v>
      </c>
      <c r="D76" s="154" t="s">
        <v>82</v>
      </c>
    </row>
    <row r="77" spans="1:16" x14ac:dyDescent="0.25">
      <c r="A77" s="155">
        <v>1</v>
      </c>
      <c r="B77" s="156"/>
      <c r="C77" s="157"/>
      <c r="D77" s="158">
        <f>C77*12</f>
        <v>0</v>
      </c>
    </row>
    <row r="78" spans="1:16" x14ac:dyDescent="0.25">
      <c r="A78" s="159">
        <v>2</v>
      </c>
      <c r="B78" s="146"/>
      <c r="C78" s="147"/>
      <c r="D78" s="158">
        <f t="shared" ref="D78:D87" si="27">C78*12</f>
        <v>0</v>
      </c>
    </row>
    <row r="79" spans="1:16" x14ac:dyDescent="0.25">
      <c r="A79" s="159">
        <v>3</v>
      </c>
      <c r="B79" s="146"/>
      <c r="C79" s="147"/>
      <c r="D79" s="158">
        <f t="shared" si="27"/>
        <v>0</v>
      </c>
    </row>
    <row r="80" spans="1:16" x14ac:dyDescent="0.25">
      <c r="A80" s="159">
        <v>4</v>
      </c>
      <c r="B80" s="146"/>
      <c r="C80" s="147"/>
      <c r="D80" s="158">
        <f t="shared" si="27"/>
        <v>0</v>
      </c>
    </row>
    <row r="81" spans="1:4" x14ac:dyDescent="0.25">
      <c r="A81" s="159">
        <v>5</v>
      </c>
      <c r="B81" s="146"/>
      <c r="C81" s="147"/>
      <c r="D81" s="158">
        <f t="shared" si="27"/>
        <v>0</v>
      </c>
    </row>
    <row r="82" spans="1:4" x14ac:dyDescent="0.25">
      <c r="A82" s="159">
        <v>6</v>
      </c>
      <c r="B82" s="146"/>
      <c r="C82" s="147"/>
      <c r="D82" s="158">
        <f t="shared" si="27"/>
        <v>0</v>
      </c>
    </row>
    <row r="83" spans="1:4" x14ac:dyDescent="0.25">
      <c r="A83" s="159">
        <v>7</v>
      </c>
      <c r="B83" s="146"/>
      <c r="C83" s="147"/>
      <c r="D83" s="158">
        <f t="shared" si="27"/>
        <v>0</v>
      </c>
    </row>
    <row r="84" spans="1:4" x14ac:dyDescent="0.25">
      <c r="A84" s="159">
        <v>8</v>
      </c>
      <c r="B84" s="146"/>
      <c r="C84" s="147"/>
      <c r="D84" s="158">
        <f t="shared" si="27"/>
        <v>0</v>
      </c>
    </row>
    <row r="85" spans="1:4" x14ac:dyDescent="0.25">
      <c r="A85" s="159">
        <v>9</v>
      </c>
      <c r="B85" s="146"/>
      <c r="C85" s="147"/>
      <c r="D85" s="158">
        <f t="shared" si="27"/>
        <v>0</v>
      </c>
    </row>
    <row r="86" spans="1:4" x14ac:dyDescent="0.25">
      <c r="A86" s="159">
        <v>10</v>
      </c>
      <c r="B86" s="146"/>
      <c r="C86" s="147"/>
      <c r="D86" s="158">
        <f t="shared" si="27"/>
        <v>0</v>
      </c>
    </row>
    <row r="87" spans="1:4" x14ac:dyDescent="0.25">
      <c r="A87" s="159">
        <v>11</v>
      </c>
      <c r="B87" s="146"/>
      <c r="C87" s="147"/>
      <c r="D87" s="158">
        <f t="shared" si="27"/>
        <v>0</v>
      </c>
    </row>
    <row r="88" spans="1:4" x14ac:dyDescent="0.25">
      <c r="A88" s="160"/>
      <c r="B88" s="196" t="s">
        <v>78</v>
      </c>
      <c r="C88" s="202">
        <f>SUM(C77:C87)</f>
        <v>0</v>
      </c>
      <c r="D88" s="203">
        <f>SUM(D77:D87)</f>
        <v>0</v>
      </c>
    </row>
    <row r="89" spans="1:4" ht="15.75" thickBot="1" x14ac:dyDescent="0.3">
      <c r="A89" s="161"/>
      <c r="B89" s="204" t="s">
        <v>80</v>
      </c>
      <c r="C89" s="205">
        <f>C88*12</f>
        <v>0</v>
      </c>
      <c r="D89" s="206"/>
    </row>
    <row r="91" spans="1:4" ht="15.75" thickBot="1" x14ac:dyDescent="0.3"/>
    <row r="92" spans="1:4" x14ac:dyDescent="0.25">
      <c r="A92" s="671" t="s">
        <v>404</v>
      </c>
      <c r="B92" s="677"/>
      <c r="C92" s="672"/>
    </row>
    <row r="93" spans="1:4" x14ac:dyDescent="0.25">
      <c r="A93" s="673"/>
      <c r="B93" s="678"/>
      <c r="C93" s="674"/>
    </row>
    <row r="94" spans="1:4" x14ac:dyDescent="0.25">
      <c r="A94" s="673"/>
      <c r="B94" s="678"/>
      <c r="C94" s="674"/>
    </row>
    <row r="95" spans="1:4" x14ac:dyDescent="0.25">
      <c r="A95" s="673"/>
      <c r="B95" s="678"/>
      <c r="C95" s="674"/>
    </row>
    <row r="96" spans="1:4" x14ac:dyDescent="0.25">
      <c r="A96" s="673"/>
      <c r="B96" s="678"/>
      <c r="C96" s="674"/>
    </row>
    <row r="97" spans="1:16" x14ac:dyDescent="0.25">
      <c r="A97" s="673"/>
      <c r="B97" s="678"/>
      <c r="C97" s="674"/>
    </row>
    <row r="98" spans="1:16" ht="15.75" thickBot="1" x14ac:dyDescent="0.3">
      <c r="A98" s="675"/>
      <c r="B98" s="679"/>
      <c r="C98" s="676"/>
    </row>
    <row r="101" spans="1:16" x14ac:dyDescent="0.25">
      <c r="D101" s="162" t="s">
        <v>85</v>
      </c>
    </row>
    <row r="103" spans="1:16" x14ac:dyDescent="0.25">
      <c r="A103" s="681" t="s">
        <v>70</v>
      </c>
      <c r="B103" s="681"/>
      <c r="C103" s="681"/>
    </row>
    <row r="106" spans="1:16" ht="28.15" customHeight="1" x14ac:dyDescent="0.25">
      <c r="A106" s="140" t="s">
        <v>71</v>
      </c>
      <c r="B106" s="140" t="s">
        <v>72</v>
      </c>
      <c r="C106" s="140" t="s">
        <v>73</v>
      </c>
      <c r="D106" s="140" t="s">
        <v>74</v>
      </c>
      <c r="E106" s="140" t="s">
        <v>75</v>
      </c>
      <c r="F106" s="140" t="s">
        <v>1</v>
      </c>
      <c r="G106" s="140" t="s">
        <v>4</v>
      </c>
      <c r="H106" s="140" t="s">
        <v>2</v>
      </c>
      <c r="I106" s="140" t="s">
        <v>3</v>
      </c>
      <c r="J106" s="140" t="s">
        <v>76</v>
      </c>
      <c r="K106" s="140"/>
      <c r="L106" s="140" t="s">
        <v>11</v>
      </c>
      <c r="M106" s="140" t="s">
        <v>77</v>
      </c>
      <c r="N106" s="140" t="s">
        <v>13</v>
      </c>
      <c r="O106" s="140" t="s">
        <v>78</v>
      </c>
      <c r="P106" s="140" t="s">
        <v>79</v>
      </c>
    </row>
    <row r="107" spans="1:16" x14ac:dyDescent="0.25">
      <c r="A107" s="150"/>
      <c r="B107" s="150"/>
      <c r="C107" s="150"/>
      <c r="D107" s="150"/>
      <c r="E107" s="163"/>
      <c r="F107" s="164">
        <f>F59</f>
        <v>8.3299999999999999E-2</v>
      </c>
      <c r="G107" s="164">
        <f>G59</f>
        <v>0.12</v>
      </c>
      <c r="H107" s="164">
        <f>H59</f>
        <v>8.3299999999999999E-2</v>
      </c>
      <c r="I107" s="164">
        <f>I59</f>
        <v>4.1700000000000001E-2</v>
      </c>
      <c r="J107" s="164">
        <f>J59</f>
        <v>0.09</v>
      </c>
      <c r="K107" s="164"/>
      <c r="L107" s="165">
        <f>L59</f>
        <v>0.12</v>
      </c>
      <c r="M107" s="164">
        <f>M59</f>
        <v>8.5000000000000006E-2</v>
      </c>
      <c r="N107" s="164">
        <f>N59</f>
        <v>5.2199999999999998E-3</v>
      </c>
      <c r="O107" s="163"/>
      <c r="P107" s="163"/>
    </row>
    <row r="108" spans="1:16" x14ac:dyDescent="0.25">
      <c r="A108" s="149">
        <v>1</v>
      </c>
      <c r="B108" s="146"/>
      <c r="C108" s="147"/>
      <c r="D108" s="147"/>
      <c r="E108" s="166">
        <f>C108+D108</f>
        <v>0</v>
      </c>
      <c r="F108" s="166">
        <f>C108*$F$107</f>
        <v>0</v>
      </c>
      <c r="G108" s="166">
        <f>C108*$G$107</f>
        <v>0</v>
      </c>
      <c r="H108" s="166">
        <f>C108*$H$107</f>
        <v>0</v>
      </c>
      <c r="I108" s="166">
        <f>C108*$I$107</f>
        <v>0</v>
      </c>
      <c r="J108" s="166">
        <f>C108*$J$107</f>
        <v>0</v>
      </c>
      <c r="K108" s="166"/>
      <c r="L108" s="166">
        <f>C108*$L$107</f>
        <v>0</v>
      </c>
      <c r="M108" s="166">
        <f>C108*$M$107</f>
        <v>0</v>
      </c>
      <c r="N108" s="166">
        <f>C108*$N$107</f>
        <v>0</v>
      </c>
      <c r="O108" s="166">
        <f>SUM(E108:N108)</f>
        <v>0</v>
      </c>
      <c r="P108" s="166">
        <f>O108*12</f>
        <v>0</v>
      </c>
    </row>
    <row r="109" spans="1:16" x14ac:dyDescent="0.25">
      <c r="A109" s="149">
        <v>2</v>
      </c>
      <c r="B109" s="146"/>
      <c r="C109" s="147"/>
      <c r="D109" s="147"/>
      <c r="E109" s="166">
        <f t="shared" ref="E109:E117" si="28">C109+D109</f>
        <v>0</v>
      </c>
      <c r="F109" s="166">
        <f t="shared" ref="F109:F117" si="29">C109*$F$107</f>
        <v>0</v>
      </c>
      <c r="G109" s="166">
        <f t="shared" ref="G109:G117" si="30">C109*$G$107</f>
        <v>0</v>
      </c>
      <c r="H109" s="166">
        <f t="shared" ref="H109:H117" si="31">C109*$H$107</f>
        <v>0</v>
      </c>
      <c r="I109" s="166">
        <f t="shared" ref="I109:I117" si="32">C109*$I$107</f>
        <v>0</v>
      </c>
      <c r="J109" s="166">
        <f t="shared" ref="J109:J117" si="33">C109*$J$107</f>
        <v>0</v>
      </c>
      <c r="K109" s="166"/>
      <c r="L109" s="166">
        <f t="shared" ref="L109:L117" si="34">C109*$L$107</f>
        <v>0</v>
      </c>
      <c r="M109" s="166">
        <f t="shared" ref="M109:M117" si="35">C109*$M$107</f>
        <v>0</v>
      </c>
      <c r="N109" s="166">
        <f t="shared" ref="N109:N117" si="36">C109*$N$107</f>
        <v>0</v>
      </c>
      <c r="O109" s="166">
        <f t="shared" ref="O109:O117" si="37">SUM(E109:N109)</f>
        <v>0</v>
      </c>
      <c r="P109" s="166">
        <f t="shared" ref="P109:P117" si="38">O109*12</f>
        <v>0</v>
      </c>
    </row>
    <row r="110" spans="1:16" x14ac:dyDescent="0.25">
      <c r="A110" s="149">
        <v>3</v>
      </c>
      <c r="B110" s="146"/>
      <c r="C110" s="147"/>
      <c r="D110" s="147"/>
      <c r="E110" s="166">
        <f t="shared" si="28"/>
        <v>0</v>
      </c>
      <c r="F110" s="166">
        <f t="shared" si="29"/>
        <v>0</v>
      </c>
      <c r="G110" s="166">
        <f t="shared" si="30"/>
        <v>0</v>
      </c>
      <c r="H110" s="166">
        <f t="shared" si="31"/>
        <v>0</v>
      </c>
      <c r="I110" s="166">
        <f t="shared" si="32"/>
        <v>0</v>
      </c>
      <c r="J110" s="166">
        <f t="shared" si="33"/>
        <v>0</v>
      </c>
      <c r="K110" s="166"/>
      <c r="L110" s="166">
        <f t="shared" si="34"/>
        <v>0</v>
      </c>
      <c r="M110" s="166">
        <f t="shared" si="35"/>
        <v>0</v>
      </c>
      <c r="N110" s="166">
        <f t="shared" si="36"/>
        <v>0</v>
      </c>
      <c r="O110" s="166">
        <f t="shared" si="37"/>
        <v>0</v>
      </c>
      <c r="P110" s="166">
        <f t="shared" si="38"/>
        <v>0</v>
      </c>
    </row>
    <row r="111" spans="1:16" x14ac:dyDescent="0.25">
      <c r="A111" s="149">
        <v>4</v>
      </c>
      <c r="B111" s="146"/>
      <c r="C111" s="147"/>
      <c r="D111" s="147"/>
      <c r="E111" s="166">
        <f t="shared" si="28"/>
        <v>0</v>
      </c>
      <c r="F111" s="166">
        <f t="shared" si="29"/>
        <v>0</v>
      </c>
      <c r="G111" s="166">
        <f t="shared" si="30"/>
        <v>0</v>
      </c>
      <c r="H111" s="166">
        <f t="shared" si="31"/>
        <v>0</v>
      </c>
      <c r="I111" s="166">
        <f t="shared" si="32"/>
        <v>0</v>
      </c>
      <c r="J111" s="166">
        <f t="shared" si="33"/>
        <v>0</v>
      </c>
      <c r="K111" s="166"/>
      <c r="L111" s="166">
        <f t="shared" si="34"/>
        <v>0</v>
      </c>
      <c r="M111" s="166">
        <f t="shared" si="35"/>
        <v>0</v>
      </c>
      <c r="N111" s="166">
        <f t="shared" si="36"/>
        <v>0</v>
      </c>
      <c r="O111" s="166">
        <f t="shared" si="37"/>
        <v>0</v>
      </c>
      <c r="P111" s="166">
        <f t="shared" si="38"/>
        <v>0</v>
      </c>
    </row>
    <row r="112" spans="1:16" x14ac:dyDescent="0.25">
      <c r="A112" s="149">
        <v>5</v>
      </c>
      <c r="B112" s="146"/>
      <c r="C112" s="147"/>
      <c r="D112" s="147"/>
      <c r="E112" s="166">
        <f t="shared" si="28"/>
        <v>0</v>
      </c>
      <c r="F112" s="166">
        <f t="shared" si="29"/>
        <v>0</v>
      </c>
      <c r="G112" s="166">
        <f t="shared" si="30"/>
        <v>0</v>
      </c>
      <c r="H112" s="166">
        <f t="shared" si="31"/>
        <v>0</v>
      </c>
      <c r="I112" s="166">
        <f t="shared" si="32"/>
        <v>0</v>
      </c>
      <c r="J112" s="166">
        <f t="shared" si="33"/>
        <v>0</v>
      </c>
      <c r="K112" s="166"/>
      <c r="L112" s="166">
        <f t="shared" si="34"/>
        <v>0</v>
      </c>
      <c r="M112" s="166">
        <f t="shared" si="35"/>
        <v>0</v>
      </c>
      <c r="N112" s="166">
        <f t="shared" si="36"/>
        <v>0</v>
      </c>
      <c r="O112" s="166">
        <f t="shared" si="37"/>
        <v>0</v>
      </c>
      <c r="P112" s="166">
        <f t="shared" si="38"/>
        <v>0</v>
      </c>
    </row>
    <row r="113" spans="1:16" x14ac:dyDescent="0.25">
      <c r="A113" s="149">
        <v>6</v>
      </c>
      <c r="B113" s="146"/>
      <c r="C113" s="147"/>
      <c r="D113" s="147"/>
      <c r="E113" s="166">
        <f t="shared" si="28"/>
        <v>0</v>
      </c>
      <c r="F113" s="166">
        <f t="shared" si="29"/>
        <v>0</v>
      </c>
      <c r="G113" s="166">
        <f t="shared" si="30"/>
        <v>0</v>
      </c>
      <c r="H113" s="166">
        <f t="shared" si="31"/>
        <v>0</v>
      </c>
      <c r="I113" s="166">
        <f t="shared" si="32"/>
        <v>0</v>
      </c>
      <c r="J113" s="166">
        <f t="shared" si="33"/>
        <v>0</v>
      </c>
      <c r="K113" s="166"/>
      <c r="L113" s="166">
        <f t="shared" si="34"/>
        <v>0</v>
      </c>
      <c r="M113" s="166">
        <f t="shared" si="35"/>
        <v>0</v>
      </c>
      <c r="N113" s="166">
        <f t="shared" si="36"/>
        <v>0</v>
      </c>
      <c r="O113" s="166">
        <f t="shared" si="37"/>
        <v>0</v>
      </c>
      <c r="P113" s="166">
        <f t="shared" si="38"/>
        <v>0</v>
      </c>
    </row>
    <row r="114" spans="1:16" x14ac:dyDescent="0.25">
      <c r="A114" s="149">
        <v>7</v>
      </c>
      <c r="B114" s="146"/>
      <c r="C114" s="147"/>
      <c r="D114" s="147"/>
      <c r="E114" s="166">
        <f t="shared" si="28"/>
        <v>0</v>
      </c>
      <c r="F114" s="166">
        <f t="shared" si="29"/>
        <v>0</v>
      </c>
      <c r="G114" s="166">
        <f t="shared" si="30"/>
        <v>0</v>
      </c>
      <c r="H114" s="166">
        <f t="shared" si="31"/>
        <v>0</v>
      </c>
      <c r="I114" s="166">
        <f t="shared" si="32"/>
        <v>0</v>
      </c>
      <c r="J114" s="166">
        <f t="shared" si="33"/>
        <v>0</v>
      </c>
      <c r="K114" s="166"/>
      <c r="L114" s="166">
        <f t="shared" si="34"/>
        <v>0</v>
      </c>
      <c r="M114" s="166">
        <f t="shared" si="35"/>
        <v>0</v>
      </c>
      <c r="N114" s="166">
        <f t="shared" si="36"/>
        <v>0</v>
      </c>
      <c r="O114" s="166">
        <f t="shared" si="37"/>
        <v>0</v>
      </c>
      <c r="P114" s="166">
        <f t="shared" si="38"/>
        <v>0</v>
      </c>
    </row>
    <row r="115" spans="1:16" x14ac:dyDescent="0.25">
      <c r="A115" s="149">
        <v>8</v>
      </c>
      <c r="B115" s="146"/>
      <c r="C115" s="147"/>
      <c r="D115" s="147"/>
      <c r="E115" s="166">
        <f t="shared" si="28"/>
        <v>0</v>
      </c>
      <c r="F115" s="166">
        <f t="shared" si="29"/>
        <v>0</v>
      </c>
      <c r="G115" s="166">
        <f t="shared" si="30"/>
        <v>0</v>
      </c>
      <c r="H115" s="166">
        <f t="shared" si="31"/>
        <v>0</v>
      </c>
      <c r="I115" s="166">
        <f t="shared" si="32"/>
        <v>0</v>
      </c>
      <c r="J115" s="166">
        <f t="shared" si="33"/>
        <v>0</v>
      </c>
      <c r="K115" s="166"/>
      <c r="L115" s="166">
        <f t="shared" si="34"/>
        <v>0</v>
      </c>
      <c r="M115" s="166">
        <f t="shared" si="35"/>
        <v>0</v>
      </c>
      <c r="N115" s="166">
        <f t="shared" si="36"/>
        <v>0</v>
      </c>
      <c r="O115" s="166">
        <f t="shared" si="37"/>
        <v>0</v>
      </c>
      <c r="P115" s="166">
        <f t="shared" si="38"/>
        <v>0</v>
      </c>
    </row>
    <row r="116" spans="1:16" x14ac:dyDescent="0.25">
      <c r="A116" s="149">
        <v>9</v>
      </c>
      <c r="B116" s="146"/>
      <c r="C116" s="147"/>
      <c r="D116" s="147"/>
      <c r="E116" s="166">
        <f t="shared" si="28"/>
        <v>0</v>
      </c>
      <c r="F116" s="166">
        <f t="shared" si="29"/>
        <v>0</v>
      </c>
      <c r="G116" s="166">
        <f t="shared" si="30"/>
        <v>0</v>
      </c>
      <c r="H116" s="166">
        <f t="shared" si="31"/>
        <v>0</v>
      </c>
      <c r="I116" s="166">
        <f t="shared" si="32"/>
        <v>0</v>
      </c>
      <c r="J116" s="166">
        <f t="shared" si="33"/>
        <v>0</v>
      </c>
      <c r="K116" s="166"/>
      <c r="L116" s="166">
        <f t="shared" si="34"/>
        <v>0</v>
      </c>
      <c r="M116" s="166">
        <f t="shared" si="35"/>
        <v>0</v>
      </c>
      <c r="N116" s="166">
        <f t="shared" si="36"/>
        <v>0</v>
      </c>
      <c r="O116" s="166">
        <f t="shared" si="37"/>
        <v>0</v>
      </c>
      <c r="P116" s="166">
        <f t="shared" si="38"/>
        <v>0</v>
      </c>
    </row>
    <row r="117" spans="1:16" x14ac:dyDescent="0.25">
      <c r="A117" s="149">
        <v>10</v>
      </c>
      <c r="B117" s="146"/>
      <c r="C117" s="147"/>
      <c r="D117" s="147"/>
      <c r="E117" s="166">
        <f t="shared" si="28"/>
        <v>0</v>
      </c>
      <c r="F117" s="166">
        <f t="shared" si="29"/>
        <v>0</v>
      </c>
      <c r="G117" s="166">
        <f t="shared" si="30"/>
        <v>0</v>
      </c>
      <c r="H117" s="166">
        <f t="shared" si="31"/>
        <v>0</v>
      </c>
      <c r="I117" s="166">
        <f t="shared" si="32"/>
        <v>0</v>
      </c>
      <c r="J117" s="166">
        <f t="shared" si="33"/>
        <v>0</v>
      </c>
      <c r="K117" s="166"/>
      <c r="L117" s="166">
        <f t="shared" si="34"/>
        <v>0</v>
      </c>
      <c r="M117" s="166">
        <f t="shared" si="35"/>
        <v>0</v>
      </c>
      <c r="N117" s="166">
        <f t="shared" si="36"/>
        <v>0</v>
      </c>
      <c r="O117" s="166">
        <f t="shared" si="37"/>
        <v>0</v>
      </c>
      <c r="P117" s="166">
        <f t="shared" si="38"/>
        <v>0</v>
      </c>
    </row>
    <row r="118" spans="1:16" x14ac:dyDescent="0.25">
      <c r="A118" s="150"/>
      <c r="B118" s="196" t="s">
        <v>78</v>
      </c>
      <c r="C118" s="199">
        <f>SUM(C108:C117)</f>
        <v>0</v>
      </c>
      <c r="D118" s="199">
        <f t="shared" ref="D118:P118" si="39">SUM(D108:D117)</f>
        <v>0</v>
      </c>
      <c r="E118" s="199">
        <f t="shared" si="39"/>
        <v>0</v>
      </c>
      <c r="F118" s="199">
        <f t="shared" si="39"/>
        <v>0</v>
      </c>
      <c r="G118" s="199">
        <f t="shared" si="39"/>
        <v>0</v>
      </c>
      <c r="H118" s="199">
        <f t="shared" si="39"/>
        <v>0</v>
      </c>
      <c r="I118" s="199">
        <f t="shared" si="39"/>
        <v>0</v>
      </c>
      <c r="J118" s="199">
        <f t="shared" si="39"/>
        <v>0</v>
      </c>
      <c r="K118" s="199"/>
      <c r="L118" s="199">
        <f t="shared" si="39"/>
        <v>0</v>
      </c>
      <c r="M118" s="199">
        <f t="shared" si="39"/>
        <v>0</v>
      </c>
      <c r="N118" s="199">
        <f t="shared" si="39"/>
        <v>0</v>
      </c>
      <c r="O118" s="199">
        <f t="shared" si="39"/>
        <v>0</v>
      </c>
      <c r="P118" s="199">
        <f t="shared" si="39"/>
        <v>0</v>
      </c>
    </row>
    <row r="119" spans="1:16" x14ac:dyDescent="0.25">
      <c r="A119" s="150"/>
      <c r="B119" s="196" t="s">
        <v>79</v>
      </c>
      <c r="C119" s="199">
        <f>C118*12</f>
        <v>0</v>
      </c>
      <c r="D119" s="199">
        <f t="shared" ref="D119:O119" si="40">D118*12</f>
        <v>0</v>
      </c>
      <c r="E119" s="199">
        <f t="shared" si="40"/>
        <v>0</v>
      </c>
      <c r="F119" s="199">
        <f t="shared" si="40"/>
        <v>0</v>
      </c>
      <c r="G119" s="199">
        <f t="shared" si="40"/>
        <v>0</v>
      </c>
      <c r="H119" s="199">
        <f t="shared" si="40"/>
        <v>0</v>
      </c>
      <c r="I119" s="199">
        <f t="shared" si="40"/>
        <v>0</v>
      </c>
      <c r="J119" s="199">
        <f t="shared" si="40"/>
        <v>0</v>
      </c>
      <c r="K119" s="199"/>
      <c r="L119" s="199">
        <f t="shared" si="40"/>
        <v>0</v>
      </c>
      <c r="M119" s="199">
        <f t="shared" si="40"/>
        <v>0</v>
      </c>
      <c r="N119" s="199">
        <f t="shared" si="40"/>
        <v>0</v>
      </c>
      <c r="O119" s="199">
        <f t="shared" si="40"/>
        <v>0</v>
      </c>
      <c r="P119" s="199"/>
    </row>
    <row r="122" spans="1:16" x14ac:dyDescent="0.25">
      <c r="A122" s="681" t="s">
        <v>81</v>
      </c>
      <c r="B122" s="681"/>
      <c r="C122" s="681"/>
    </row>
    <row r="123" spans="1:16" ht="15.75" thickBot="1" x14ac:dyDescent="0.3"/>
    <row r="124" spans="1:16" x14ac:dyDescent="0.25">
      <c r="A124" s="207" t="s">
        <v>71</v>
      </c>
      <c r="B124" s="208" t="s">
        <v>72</v>
      </c>
      <c r="C124" s="208" t="s">
        <v>73</v>
      </c>
      <c r="D124" s="209" t="s">
        <v>82</v>
      </c>
    </row>
    <row r="125" spans="1:16" x14ac:dyDescent="0.25">
      <c r="A125" s="167">
        <v>1</v>
      </c>
      <c r="B125" s="146"/>
      <c r="C125" s="147"/>
      <c r="D125" s="168">
        <f>C125*12</f>
        <v>0</v>
      </c>
    </row>
    <row r="126" spans="1:16" x14ac:dyDescent="0.25">
      <c r="A126" s="167">
        <v>2</v>
      </c>
      <c r="B126" s="146"/>
      <c r="C126" s="147"/>
      <c r="D126" s="168"/>
    </row>
    <row r="127" spans="1:16" x14ac:dyDescent="0.25">
      <c r="A127" s="167">
        <v>3</v>
      </c>
      <c r="B127" s="146"/>
      <c r="C127" s="147"/>
      <c r="D127" s="168"/>
    </row>
    <row r="128" spans="1:16" x14ac:dyDescent="0.25">
      <c r="A128" s="167">
        <v>4</v>
      </c>
      <c r="B128" s="146"/>
      <c r="C128" s="147"/>
      <c r="D128" s="168"/>
    </row>
    <row r="129" spans="1:12" x14ac:dyDescent="0.25">
      <c r="A129" s="167">
        <v>5</v>
      </c>
      <c r="B129" s="146"/>
      <c r="C129" s="147"/>
      <c r="D129" s="168"/>
    </row>
    <row r="130" spans="1:12" x14ac:dyDescent="0.25">
      <c r="A130" s="167">
        <v>6</v>
      </c>
      <c r="B130" s="146"/>
      <c r="C130" s="147"/>
      <c r="D130" s="168"/>
    </row>
    <row r="131" spans="1:12" x14ac:dyDescent="0.25">
      <c r="A131" s="167">
        <v>7</v>
      </c>
      <c r="B131" s="146"/>
      <c r="C131" s="147"/>
      <c r="D131" s="168"/>
    </row>
    <row r="132" spans="1:12" x14ac:dyDescent="0.25">
      <c r="A132" s="167">
        <v>8</v>
      </c>
      <c r="B132" s="146"/>
      <c r="C132" s="147"/>
      <c r="D132" s="168"/>
    </row>
    <row r="133" spans="1:12" x14ac:dyDescent="0.25">
      <c r="A133" s="167">
        <v>9</v>
      </c>
      <c r="B133" s="146"/>
      <c r="C133" s="147"/>
      <c r="D133" s="168"/>
    </row>
    <row r="134" spans="1:12" x14ac:dyDescent="0.25">
      <c r="A134" s="167">
        <v>10</v>
      </c>
      <c r="B134" s="146"/>
      <c r="C134" s="147"/>
      <c r="D134" s="168"/>
    </row>
    <row r="135" spans="1:12" ht="15.75" thickBot="1" x14ac:dyDescent="0.3">
      <c r="A135" s="167">
        <v>11</v>
      </c>
      <c r="B135" s="146"/>
      <c r="C135" s="147"/>
      <c r="D135" s="168"/>
    </row>
    <row r="136" spans="1:12" x14ac:dyDescent="0.25">
      <c r="A136" s="160"/>
      <c r="B136" s="196" t="s">
        <v>78</v>
      </c>
      <c r="C136" s="199">
        <f>SUM(C125:C135)</f>
        <v>0</v>
      </c>
      <c r="D136" s="210">
        <f>SUM(D125:D135)</f>
        <v>0</v>
      </c>
      <c r="G136" s="671" t="s">
        <v>406</v>
      </c>
      <c r="H136" s="677"/>
      <c r="I136" s="677"/>
      <c r="J136" s="677"/>
      <c r="K136" s="677"/>
      <c r="L136" s="672"/>
    </row>
    <row r="137" spans="1:12" ht="15.75" thickBot="1" x14ac:dyDescent="0.3">
      <c r="A137" s="161"/>
      <c r="B137" s="204" t="s">
        <v>80</v>
      </c>
      <c r="C137" s="211">
        <f>C136*12</f>
        <v>0</v>
      </c>
      <c r="D137" s="212"/>
      <c r="G137" s="673"/>
      <c r="H137" s="678"/>
      <c r="I137" s="678"/>
      <c r="J137" s="678"/>
      <c r="K137" s="678"/>
      <c r="L137" s="674"/>
    </row>
    <row r="138" spans="1:12" x14ac:dyDescent="0.25">
      <c r="G138" s="673"/>
      <c r="H138" s="678"/>
      <c r="I138" s="678"/>
      <c r="J138" s="678"/>
      <c r="K138" s="678"/>
      <c r="L138" s="674"/>
    </row>
    <row r="139" spans="1:12" ht="15.75" thickBot="1" x14ac:dyDescent="0.3">
      <c r="G139" s="673"/>
      <c r="H139" s="678"/>
      <c r="I139" s="678"/>
      <c r="J139" s="678"/>
      <c r="K139" s="678"/>
      <c r="L139" s="674"/>
    </row>
    <row r="140" spans="1:12" ht="15.75" thickBot="1" x14ac:dyDescent="0.3">
      <c r="A140" s="671" t="s">
        <v>405</v>
      </c>
      <c r="B140" s="677"/>
      <c r="C140" s="672"/>
      <c r="G140" s="675"/>
      <c r="H140" s="679"/>
      <c r="I140" s="679"/>
      <c r="J140" s="679"/>
      <c r="K140" s="679"/>
      <c r="L140" s="676"/>
    </row>
    <row r="141" spans="1:12" x14ac:dyDescent="0.25">
      <c r="A141" s="673"/>
      <c r="B141" s="678"/>
      <c r="C141" s="674"/>
    </row>
    <row r="142" spans="1:12" ht="15.75" thickBot="1" x14ac:dyDescent="0.3">
      <c r="A142" s="675"/>
      <c r="B142" s="679"/>
      <c r="C142" s="676"/>
    </row>
    <row r="143" spans="1:12" ht="15.75" thickBot="1" x14ac:dyDescent="0.3"/>
    <row r="144" spans="1:12" x14ac:dyDescent="0.25">
      <c r="A144" s="207" t="s">
        <v>86</v>
      </c>
      <c r="B144" s="208" t="s">
        <v>87</v>
      </c>
      <c r="C144" s="209" t="s">
        <v>88</v>
      </c>
    </row>
    <row r="145" spans="1:12" ht="15.75" thickBot="1" x14ac:dyDescent="0.3">
      <c r="A145" s="169"/>
      <c r="B145" s="170"/>
      <c r="C145" s="171">
        <f>B145*12</f>
        <v>0</v>
      </c>
    </row>
    <row r="146" spans="1:12" x14ac:dyDescent="0.25">
      <c r="A146" s="169"/>
      <c r="B146" s="170"/>
      <c r="C146" s="171">
        <f t="shared" ref="C146:C171" si="41">B146*12</f>
        <v>0</v>
      </c>
      <c r="G146" s="207" t="s">
        <v>90</v>
      </c>
      <c r="H146" s="213">
        <f>BASES!D7</f>
        <v>2021</v>
      </c>
      <c r="I146" s="213">
        <f>BASES!E7</f>
        <v>2022</v>
      </c>
      <c r="J146" s="213">
        <f>BASES!F7</f>
        <v>2023</v>
      </c>
      <c r="K146" s="213">
        <f>BASES!G7</f>
        <v>2024</v>
      </c>
      <c r="L146" s="213">
        <f>BASES!H7</f>
        <v>2025</v>
      </c>
    </row>
    <row r="147" spans="1:12" x14ac:dyDescent="0.25">
      <c r="A147" s="169"/>
      <c r="B147" s="170"/>
      <c r="C147" s="171">
        <f t="shared" si="41"/>
        <v>0</v>
      </c>
      <c r="G147" s="172" t="s">
        <v>91</v>
      </c>
      <c r="H147" s="173"/>
      <c r="I147" s="173"/>
      <c r="J147" s="173"/>
      <c r="K147" s="173"/>
      <c r="L147" s="173"/>
    </row>
    <row r="148" spans="1:12" ht="27" customHeight="1" x14ac:dyDescent="0.25">
      <c r="A148" s="169"/>
      <c r="B148" s="170"/>
      <c r="C148" s="171">
        <f t="shared" si="41"/>
        <v>0</v>
      </c>
      <c r="G148" s="174" t="s">
        <v>92</v>
      </c>
      <c r="H148" s="173"/>
      <c r="I148" s="173"/>
      <c r="J148" s="173"/>
      <c r="K148" s="173"/>
      <c r="L148" s="173"/>
    </row>
    <row r="149" spans="1:12" x14ac:dyDescent="0.25">
      <c r="A149" s="169"/>
      <c r="B149" s="170"/>
      <c r="C149" s="171">
        <f t="shared" si="41"/>
        <v>0</v>
      </c>
      <c r="G149" s="175" t="s">
        <v>93</v>
      </c>
      <c r="H149" s="173"/>
      <c r="I149" s="173"/>
      <c r="J149" s="173"/>
      <c r="K149" s="173"/>
      <c r="L149" s="173"/>
    </row>
    <row r="150" spans="1:12" ht="25.9" customHeight="1" x14ac:dyDescent="0.25">
      <c r="A150" s="169"/>
      <c r="B150" s="170"/>
      <c r="C150" s="171">
        <f t="shared" si="41"/>
        <v>0</v>
      </c>
      <c r="G150" s="176" t="s">
        <v>94</v>
      </c>
      <c r="H150" s="214"/>
      <c r="I150" s="214"/>
      <c r="J150" s="214"/>
      <c r="K150" s="214"/>
      <c r="L150" s="214"/>
    </row>
    <row r="151" spans="1:12" ht="15.75" thickBot="1" x14ac:dyDescent="0.3">
      <c r="A151" s="169"/>
      <c r="B151" s="170"/>
      <c r="C151" s="171">
        <f t="shared" si="41"/>
        <v>0</v>
      </c>
      <c r="G151" s="177" t="s">
        <v>95</v>
      </c>
      <c r="H151" s="211">
        <f>SUM(H147:H150)</f>
        <v>0</v>
      </c>
      <c r="I151" s="211">
        <f>SUM(I147:I150)</f>
        <v>0</v>
      </c>
      <c r="J151" s="211">
        <f>SUM(J147:J150)</f>
        <v>0</v>
      </c>
      <c r="K151" s="215">
        <f>SUM(K147:K150)</f>
        <v>0</v>
      </c>
      <c r="L151" s="216">
        <f>SUM(L147:L150)</f>
        <v>0</v>
      </c>
    </row>
    <row r="152" spans="1:12" x14ac:dyDescent="0.25">
      <c r="A152" s="169"/>
      <c r="B152" s="170"/>
      <c r="C152" s="171">
        <f t="shared" si="41"/>
        <v>0</v>
      </c>
    </row>
    <row r="153" spans="1:12" x14ac:dyDescent="0.25">
      <c r="A153" s="169"/>
      <c r="B153" s="170"/>
      <c r="C153" s="171">
        <f t="shared" si="41"/>
        <v>0</v>
      </c>
    </row>
    <row r="154" spans="1:12" x14ac:dyDescent="0.25">
      <c r="A154" s="169"/>
      <c r="B154" s="170"/>
      <c r="C154" s="171">
        <f t="shared" si="41"/>
        <v>0</v>
      </c>
    </row>
    <row r="155" spans="1:12" x14ac:dyDescent="0.25">
      <c r="A155" s="169"/>
      <c r="B155" s="170"/>
      <c r="C155" s="171">
        <f t="shared" si="41"/>
        <v>0</v>
      </c>
    </row>
    <row r="156" spans="1:12" x14ac:dyDescent="0.25">
      <c r="A156" s="169"/>
      <c r="B156" s="170"/>
      <c r="C156" s="171">
        <f t="shared" si="41"/>
        <v>0</v>
      </c>
    </row>
    <row r="157" spans="1:12" x14ac:dyDescent="0.25">
      <c r="A157" s="169"/>
      <c r="B157" s="170"/>
      <c r="C157" s="171">
        <f t="shared" si="41"/>
        <v>0</v>
      </c>
    </row>
    <row r="158" spans="1:12" x14ac:dyDescent="0.25">
      <c r="A158" s="169"/>
      <c r="B158" s="170"/>
      <c r="C158" s="171">
        <f t="shared" si="41"/>
        <v>0</v>
      </c>
    </row>
    <row r="159" spans="1:12" x14ac:dyDescent="0.25">
      <c r="A159" s="169"/>
      <c r="B159" s="170"/>
      <c r="C159" s="171">
        <f t="shared" si="41"/>
        <v>0</v>
      </c>
    </row>
    <row r="160" spans="1:12" x14ac:dyDescent="0.25">
      <c r="A160" s="169"/>
      <c r="B160" s="170"/>
      <c r="C160" s="171">
        <f t="shared" si="41"/>
        <v>0</v>
      </c>
    </row>
    <row r="161" spans="1:3" x14ac:dyDescent="0.25">
      <c r="A161" s="169"/>
      <c r="B161" s="170"/>
      <c r="C161" s="171">
        <f t="shared" si="41"/>
        <v>0</v>
      </c>
    </row>
    <row r="162" spans="1:3" x14ac:dyDescent="0.25">
      <c r="A162" s="169"/>
      <c r="B162" s="170"/>
      <c r="C162" s="171">
        <f t="shared" si="41"/>
        <v>0</v>
      </c>
    </row>
    <row r="163" spans="1:3" x14ac:dyDescent="0.25">
      <c r="A163" s="169"/>
      <c r="B163" s="170"/>
      <c r="C163" s="171">
        <f t="shared" si="41"/>
        <v>0</v>
      </c>
    </row>
    <row r="164" spans="1:3" x14ac:dyDescent="0.25">
      <c r="A164" s="169"/>
      <c r="B164" s="170"/>
      <c r="C164" s="171">
        <f t="shared" si="41"/>
        <v>0</v>
      </c>
    </row>
    <row r="165" spans="1:3" x14ac:dyDescent="0.25">
      <c r="A165" s="169"/>
      <c r="B165" s="170"/>
      <c r="C165" s="171">
        <f t="shared" si="41"/>
        <v>0</v>
      </c>
    </row>
    <row r="166" spans="1:3" x14ac:dyDescent="0.25">
      <c r="A166" s="169"/>
      <c r="B166" s="170"/>
      <c r="C166" s="171">
        <f t="shared" si="41"/>
        <v>0</v>
      </c>
    </row>
    <row r="167" spans="1:3" x14ac:dyDescent="0.25">
      <c r="A167" s="169"/>
      <c r="B167" s="170"/>
      <c r="C167" s="171">
        <f t="shared" si="41"/>
        <v>0</v>
      </c>
    </row>
    <row r="168" spans="1:3" x14ac:dyDescent="0.25">
      <c r="A168" s="169"/>
      <c r="B168" s="170"/>
      <c r="C168" s="171">
        <f t="shared" si="41"/>
        <v>0</v>
      </c>
    </row>
    <row r="169" spans="1:3" x14ac:dyDescent="0.25">
      <c r="A169" s="169"/>
      <c r="B169" s="170"/>
      <c r="C169" s="171">
        <f t="shared" si="41"/>
        <v>0</v>
      </c>
    </row>
    <row r="170" spans="1:3" x14ac:dyDescent="0.25">
      <c r="A170" s="169"/>
      <c r="B170" s="170"/>
      <c r="C170" s="171">
        <f t="shared" si="41"/>
        <v>0</v>
      </c>
    </row>
    <row r="171" spans="1:3" x14ac:dyDescent="0.25">
      <c r="A171" s="169"/>
      <c r="B171" s="170"/>
      <c r="C171" s="171">
        <f t="shared" si="41"/>
        <v>0</v>
      </c>
    </row>
    <row r="172" spans="1:3" ht="15.75" thickBot="1" x14ac:dyDescent="0.3">
      <c r="A172" s="217" t="s">
        <v>89</v>
      </c>
      <c r="B172" s="218"/>
      <c r="C172" s="216">
        <f>SUM(C145:C171)</f>
        <v>0</v>
      </c>
    </row>
  </sheetData>
  <sheetProtection algorithmName="SHA-512" hashValue="Vq+Q3TqPp1knk34sKWu+wjciEywm3C14QwtaI5q055q8hiCionKEr7DZDivd9sJtRdheA9LI5l9WwHuotqw7fg==" saltValue="R3LejEIyXGtXI4iNAsCCHg==" spinCount="100000" sheet="1" objects="1" scenarios="1"/>
  <mergeCells count="11">
    <mergeCell ref="A6:B9"/>
    <mergeCell ref="A51:C54"/>
    <mergeCell ref="A92:C98"/>
    <mergeCell ref="A140:C142"/>
    <mergeCell ref="G136:L140"/>
    <mergeCell ref="A74:E74"/>
    <mergeCell ref="A103:C103"/>
    <mergeCell ref="A122:C122"/>
    <mergeCell ref="A14:G14"/>
    <mergeCell ref="A32:P32"/>
    <mergeCell ref="A56:P5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Button 5">
              <controlPr defaultSize="0" print="0" autoFill="0" autoPict="0" macro="[0]!Portada">
                <anchor moveWithCells="1" sizeWithCells="1">
                  <from>
                    <xdr:col>1</xdr:col>
                    <xdr:colOff>2524125</xdr:colOff>
                    <xdr:row>9</xdr:row>
                    <xdr:rowOff>57150</xdr:rowOff>
                  </from>
                  <to>
                    <xdr:col>2</xdr:col>
                    <xdr:colOff>952500</xdr:colOff>
                    <xdr:row>12</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05FB4-D4F2-46C6-8A89-D190718F57BB}">
  <sheetPr codeName="Hoja8"/>
  <dimension ref="B6:G32"/>
  <sheetViews>
    <sheetView showGridLines="0" zoomScaleNormal="100" workbookViewId="0">
      <selection activeCell="E8" sqref="E8"/>
    </sheetView>
  </sheetViews>
  <sheetFormatPr baseColWidth="10" defaultRowHeight="15" x14ac:dyDescent="0.25"/>
  <cols>
    <col min="1" max="1" width="11.42578125" style="139"/>
    <col min="2" max="2" width="11.28515625" style="139" bestFit="1" customWidth="1"/>
    <col min="3" max="3" width="45.5703125" style="139" customWidth="1"/>
    <col min="4" max="4" width="24.42578125" style="139" customWidth="1"/>
    <col min="5" max="5" width="24" style="139" bestFit="1" customWidth="1"/>
    <col min="6" max="6" width="13" style="139" bestFit="1" customWidth="1"/>
    <col min="7" max="7" width="24.7109375" style="139" bestFit="1" customWidth="1"/>
    <col min="8" max="16384" width="11.42578125" style="139"/>
  </cols>
  <sheetData>
    <row r="6" spans="2:5" ht="15.75" thickBot="1" x14ac:dyDescent="0.3"/>
    <row r="7" spans="2:5" x14ac:dyDescent="0.25">
      <c r="C7" s="219" t="s">
        <v>96</v>
      </c>
      <c r="D7" s="221">
        <f>'CTOS_VS_ING_OPER-INV_INFRAEST'!H253</f>
        <v>0</v>
      </c>
    </row>
    <row r="8" spans="2:5" ht="15.75" thickBot="1" x14ac:dyDescent="0.3">
      <c r="C8" s="220" t="s">
        <v>97</v>
      </c>
      <c r="D8" s="222">
        <f>'CTOS_VS_ING_OPER-INV_INFRAEST'!H241</f>
        <v>0</v>
      </c>
    </row>
    <row r="9" spans="2:5" ht="15.75" thickBot="1" x14ac:dyDescent="0.3">
      <c r="D9" s="225"/>
      <c r="E9" s="225"/>
    </row>
    <row r="10" spans="2:5" x14ac:dyDescent="0.25">
      <c r="B10" s="178"/>
      <c r="C10" s="179" t="s">
        <v>42</v>
      </c>
      <c r="D10" s="223" t="s">
        <v>98</v>
      </c>
      <c r="E10" s="224" t="s">
        <v>99</v>
      </c>
    </row>
    <row r="11" spans="2:5" ht="15.75" thickBot="1" x14ac:dyDescent="0.3">
      <c r="B11" s="180" t="s">
        <v>100</v>
      </c>
      <c r="C11" s="429">
        <f>COSTOS_DE_PRODUCCION!D180</f>
        <v>0</v>
      </c>
      <c r="D11" s="182"/>
      <c r="E11" s="183">
        <f>(C11/12)*D11</f>
        <v>0</v>
      </c>
    </row>
    <row r="12" spans="2:5" ht="15.75" thickBot="1" x14ac:dyDescent="0.3"/>
    <row r="13" spans="2:5" x14ac:dyDescent="0.25">
      <c r="B13" s="178"/>
      <c r="C13" s="179" t="s">
        <v>101</v>
      </c>
      <c r="D13" s="223" t="s">
        <v>98</v>
      </c>
      <c r="E13" s="224" t="s">
        <v>99</v>
      </c>
    </row>
    <row r="14" spans="2:5" ht="15.75" thickBot="1" x14ac:dyDescent="0.3">
      <c r="B14" s="180" t="s">
        <v>100</v>
      </c>
      <c r="C14" s="181">
        <f>COSTOS_DE_PRODUCCION!D179</f>
        <v>0</v>
      </c>
      <c r="D14" s="182"/>
      <c r="E14" s="183">
        <f>(C14/12)*D14</f>
        <v>0</v>
      </c>
    </row>
    <row r="15" spans="2:5" ht="15.75" thickBot="1" x14ac:dyDescent="0.3"/>
    <row r="16" spans="2:5" x14ac:dyDescent="0.25">
      <c r="B16" s="178"/>
      <c r="C16" s="179" t="s">
        <v>102</v>
      </c>
      <c r="D16" s="223" t="s">
        <v>98</v>
      </c>
      <c r="E16" s="224" t="s">
        <v>99</v>
      </c>
    </row>
    <row r="17" spans="2:7" ht="15.75" thickBot="1" x14ac:dyDescent="0.3">
      <c r="B17" s="180" t="s">
        <v>100</v>
      </c>
      <c r="C17" s="181">
        <f>COSTOS_DE_PRODUCCION!D181</f>
        <v>0</v>
      </c>
      <c r="D17" s="182"/>
      <c r="E17" s="183">
        <f>(C17/12)*D17</f>
        <v>0</v>
      </c>
    </row>
    <row r="19" spans="2:7" x14ac:dyDescent="0.25">
      <c r="C19" s="682" t="s">
        <v>103</v>
      </c>
      <c r="D19" s="682"/>
      <c r="E19" s="184">
        <f>D7+D8+E11+E14+E17</f>
        <v>0</v>
      </c>
    </row>
    <row r="20" spans="2:7" ht="15.75" thickBot="1" x14ac:dyDescent="0.3">
      <c r="C20" s="682" t="s">
        <v>104</v>
      </c>
      <c r="D20" s="682"/>
      <c r="E20" s="185"/>
    </row>
    <row r="21" spans="2:7" x14ac:dyDescent="0.25">
      <c r="C21" s="682" t="s">
        <v>105</v>
      </c>
      <c r="D21" s="682"/>
      <c r="E21" s="186">
        <f>E19-E20</f>
        <v>0</v>
      </c>
    </row>
    <row r="23" spans="2:7" x14ac:dyDescent="0.25">
      <c r="C23" s="149"/>
      <c r="D23" s="149" t="s">
        <v>78</v>
      </c>
      <c r="E23" s="149" t="s">
        <v>79</v>
      </c>
    </row>
    <row r="24" spans="2:7" x14ac:dyDescent="0.25">
      <c r="C24" s="149" t="s">
        <v>106</v>
      </c>
      <c r="D24" s="192"/>
      <c r="E24" s="193">
        <f>((1+D24)^12)-1</f>
        <v>0</v>
      </c>
    </row>
    <row r="25" spans="2:7" ht="15.75" thickBot="1" x14ac:dyDescent="0.3"/>
    <row r="26" spans="2:7" x14ac:dyDescent="0.25">
      <c r="C26" s="187" t="s">
        <v>58</v>
      </c>
      <c r="D26" s="188" t="s">
        <v>107</v>
      </c>
      <c r="E26" s="188" t="s">
        <v>108</v>
      </c>
      <c r="F26" s="188" t="s">
        <v>109</v>
      </c>
      <c r="G26" s="189" t="s">
        <v>110</v>
      </c>
    </row>
    <row r="27" spans="2:7" x14ac:dyDescent="0.25">
      <c r="C27" s="226" t="str">
        <f>BASES!C7</f>
        <v>AÑO 0</v>
      </c>
      <c r="D27" s="190"/>
      <c r="E27" s="190"/>
      <c r="F27" s="190"/>
      <c r="G27" s="191">
        <f>E21*-1</f>
        <v>0</v>
      </c>
    </row>
    <row r="28" spans="2:7" x14ac:dyDescent="0.25">
      <c r="C28" s="227">
        <f>BASES!D7</f>
        <v>2021</v>
      </c>
      <c r="D28" s="190">
        <f>E28+F28</f>
        <v>0</v>
      </c>
      <c r="E28" s="190">
        <f>$G$27/BASES!$G$22</f>
        <v>0</v>
      </c>
      <c r="F28" s="190">
        <f>G27*$E$24</f>
        <v>0</v>
      </c>
      <c r="G28" s="191">
        <f>G27-E28</f>
        <v>0</v>
      </c>
    </row>
    <row r="29" spans="2:7" x14ac:dyDescent="0.25">
      <c r="C29" s="227">
        <f>BASES!E7</f>
        <v>2022</v>
      </c>
      <c r="D29" s="190">
        <f>E29+F29</f>
        <v>0</v>
      </c>
      <c r="E29" s="190">
        <f>$G$27/BASES!$G$22</f>
        <v>0</v>
      </c>
      <c r="F29" s="190">
        <f>G28*$E$24</f>
        <v>0</v>
      </c>
      <c r="G29" s="191">
        <f>G28-E29</f>
        <v>0</v>
      </c>
    </row>
    <row r="30" spans="2:7" x14ac:dyDescent="0.25">
      <c r="C30" s="227">
        <f>BASES!F7</f>
        <v>2023</v>
      </c>
      <c r="D30" s="190">
        <f>E30+F30</f>
        <v>0</v>
      </c>
      <c r="E30" s="190">
        <f>$G$27/BASES!$G$22</f>
        <v>0</v>
      </c>
      <c r="F30" s="190">
        <f>G29*$E$24</f>
        <v>0</v>
      </c>
      <c r="G30" s="191">
        <f>G29-E30</f>
        <v>0</v>
      </c>
    </row>
    <row r="31" spans="2:7" x14ac:dyDescent="0.25">
      <c r="C31" s="227">
        <f>BASES!G7</f>
        <v>2024</v>
      </c>
      <c r="D31" s="190">
        <f>E31+F31</f>
        <v>0</v>
      </c>
      <c r="E31" s="190">
        <f>$G$27/BASES!$G$22</f>
        <v>0</v>
      </c>
      <c r="F31" s="190">
        <f>G30*$E$24</f>
        <v>0</v>
      </c>
      <c r="G31" s="191">
        <f>G30-E31</f>
        <v>0</v>
      </c>
    </row>
    <row r="32" spans="2:7" ht="15.75" thickBot="1" x14ac:dyDescent="0.3">
      <c r="C32" s="228">
        <f>BASES!H7</f>
        <v>2025</v>
      </c>
      <c r="D32" s="190">
        <f>E32+F32</f>
        <v>0</v>
      </c>
      <c r="E32" s="190">
        <f>$G$27/BASES!$G$22</f>
        <v>0</v>
      </c>
      <c r="F32" s="190">
        <f>G31*$E$24</f>
        <v>0</v>
      </c>
      <c r="G32" s="191">
        <f>G31-E32</f>
        <v>0</v>
      </c>
    </row>
  </sheetData>
  <sheetProtection algorithmName="SHA-512" hashValue="hCrFGGOSg0Vqtv3CYUztcrLkig1R5/3pNvG3rp94gBQWpqQT6MHS6dMGAZ9OLWa2fuoDndpmSDyFJSligw7q1A==" saltValue="WKUZnq7FdudS4PTkRrdccg==" spinCount="100000" sheet="1" objects="1" scenarios="1"/>
  <mergeCells count="3">
    <mergeCell ref="C19:D19"/>
    <mergeCell ref="C20:D20"/>
    <mergeCell ref="C21:D2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2" r:id="rId3" name="Button 6">
              <controlPr defaultSize="0" print="0" autoFill="0" autoPict="0" macro="[0]!Portada">
                <anchor moveWithCells="1" sizeWithCells="1">
                  <from>
                    <xdr:col>5</xdr:col>
                    <xdr:colOff>523875</xdr:colOff>
                    <xdr:row>5</xdr:row>
                    <xdr:rowOff>47625</xdr:rowOff>
                  </from>
                  <to>
                    <xdr:col>6</xdr:col>
                    <xdr:colOff>590550</xdr:colOff>
                    <xdr:row>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1D06-7EF8-440B-8FB0-B94550585360}">
  <sheetPr codeName="Hoja9"/>
  <dimension ref="B2:G14"/>
  <sheetViews>
    <sheetView showGridLines="0" zoomScaleNormal="100" workbookViewId="0">
      <selection activeCell="I7" sqref="I7"/>
    </sheetView>
  </sheetViews>
  <sheetFormatPr baseColWidth="10" defaultRowHeight="15" x14ac:dyDescent="0.25"/>
  <cols>
    <col min="1" max="1" width="11.42578125" style="139"/>
    <col min="2" max="2" width="51.28515625" style="139" customWidth="1"/>
    <col min="3" max="3" width="27.140625" style="139" customWidth="1"/>
    <col min="4" max="4" width="24.28515625" style="139" customWidth="1"/>
    <col min="5" max="5" width="26.28515625" style="139" customWidth="1"/>
    <col min="6" max="6" width="26.85546875" style="139" customWidth="1"/>
    <col min="7" max="7" width="27.140625" style="139" customWidth="1"/>
    <col min="8" max="16384" width="11.42578125" style="139"/>
  </cols>
  <sheetData>
    <row r="2" spans="2:7" ht="15.75" thickBot="1" x14ac:dyDescent="0.3"/>
    <row r="3" spans="2:7" x14ac:dyDescent="0.25">
      <c r="B3" s="231" t="s">
        <v>111</v>
      </c>
      <c r="C3" s="229">
        <f>BASES!D7</f>
        <v>2021</v>
      </c>
      <c r="D3" s="229">
        <f>BASES!E7</f>
        <v>2022</v>
      </c>
      <c r="E3" s="229">
        <f>BASES!F7</f>
        <v>2023</v>
      </c>
      <c r="F3" s="229">
        <f>BASES!G7</f>
        <v>2024</v>
      </c>
      <c r="G3" s="230">
        <f>BASES!H7</f>
        <v>2025</v>
      </c>
    </row>
    <row r="4" spans="2:7" x14ac:dyDescent="0.25">
      <c r="B4" s="233" t="s">
        <v>56</v>
      </c>
      <c r="C4" s="394">
        <f>'CTOS_VS_ING_OPER-INV_INFRAEST'!G14</f>
        <v>0</v>
      </c>
      <c r="D4" s="394">
        <f>'CTOS_VS_ING_OPER-INV_INFRAEST'!I14</f>
        <v>0</v>
      </c>
      <c r="E4" s="394">
        <f>'CTOS_VS_ING_OPER-INV_INFRAEST'!K14</f>
        <v>0</v>
      </c>
      <c r="F4" s="394">
        <f>'CTOS_VS_ING_OPER-INV_INFRAEST'!M14</f>
        <v>0</v>
      </c>
      <c r="G4" s="395">
        <f>'CTOS_VS_ING_OPER-INV_INFRAEST'!O14</f>
        <v>0</v>
      </c>
    </row>
    <row r="5" spans="2:7" x14ac:dyDescent="0.25">
      <c r="B5" s="194" t="s">
        <v>112</v>
      </c>
      <c r="C5" s="396">
        <f>'GTOS_ADTIVO_Y_VTAS-CTOS_FIJOS'!P28+'GTOS_ADTIVO_Y_VTAS-CTOS_FIJOS'!D46</f>
        <v>0</v>
      </c>
      <c r="D5" s="396">
        <f>C5*(1+BASES!$E$8)</f>
        <v>0</v>
      </c>
      <c r="E5" s="396">
        <f>D5*(1+BASES!$F$8)</f>
        <v>0</v>
      </c>
      <c r="F5" s="396">
        <f>E5*(1+BASES!$G$8)</f>
        <v>0</v>
      </c>
      <c r="G5" s="397">
        <f>F5*(1+BASES!$H$8)</f>
        <v>0</v>
      </c>
    </row>
    <row r="6" spans="2:7" x14ac:dyDescent="0.25">
      <c r="B6" s="194" t="s">
        <v>113</v>
      </c>
      <c r="C6" s="396">
        <f>'GTOS_ADTIVO_Y_VTAS-CTOS_FIJOS'!D88+'GTOS_ADTIVO_Y_VTAS-CTOS_FIJOS'!O71</f>
        <v>0</v>
      </c>
      <c r="D6" s="396">
        <f>C6*(1+BASES!$E$8)</f>
        <v>0</v>
      </c>
      <c r="E6" s="396">
        <f>D6*(1+BASES!$F$8)</f>
        <v>0</v>
      </c>
      <c r="F6" s="396">
        <f>E6*(1+BASES!$G$8)</f>
        <v>0</v>
      </c>
      <c r="G6" s="397">
        <f>F6*(1+BASES!$H$8)</f>
        <v>0</v>
      </c>
    </row>
    <row r="7" spans="2:7" x14ac:dyDescent="0.25">
      <c r="B7" s="194" t="s">
        <v>114</v>
      </c>
      <c r="C7" s="396">
        <f>'GTOS_ADTIVO_Y_VTAS-CTOS_FIJOS'!C137+'GTOS_ADTIVO_Y_VTAS-CTOS_FIJOS'!O119</f>
        <v>0</v>
      </c>
      <c r="D7" s="396">
        <f>C7*(1+BASES!$E$8)</f>
        <v>0</v>
      </c>
      <c r="E7" s="396">
        <f>D7*(1+BASES!$F$8)</f>
        <v>0</v>
      </c>
      <c r="F7" s="396">
        <f>E7*(1+BASES!$G$8)</f>
        <v>0</v>
      </c>
      <c r="G7" s="397">
        <f>F7*(1+BASES!$H$8)</f>
        <v>0</v>
      </c>
    </row>
    <row r="8" spans="2:7" x14ac:dyDescent="0.25">
      <c r="B8" s="194" t="s">
        <v>115</v>
      </c>
      <c r="C8" s="396">
        <f>'GTOS_ADTIVO_Y_VTAS-CTOS_FIJOS'!H151</f>
        <v>0</v>
      </c>
      <c r="D8" s="396">
        <f>'GTOS_ADTIVO_Y_VTAS-CTOS_FIJOS'!I151</f>
        <v>0</v>
      </c>
      <c r="E8" s="396">
        <f>'GTOS_ADTIVO_Y_VTAS-CTOS_FIJOS'!J151</f>
        <v>0</v>
      </c>
      <c r="F8" s="396">
        <f>'GTOS_ADTIVO_Y_VTAS-CTOS_FIJOS'!K151</f>
        <v>0</v>
      </c>
      <c r="G8" s="397">
        <f>'GTOS_ADTIVO_Y_VTAS-CTOS_FIJOS'!L151</f>
        <v>0</v>
      </c>
    </row>
    <row r="9" spans="2:7" x14ac:dyDescent="0.25">
      <c r="B9" s="194" t="s">
        <v>116</v>
      </c>
      <c r="C9" s="396">
        <f>'GTOS_ADTIVO_Y_VTAS-CTOS_FIJOS'!C172</f>
        <v>0</v>
      </c>
      <c r="D9" s="396">
        <f>C9*(1+BASES!$E$8)</f>
        <v>0</v>
      </c>
      <c r="E9" s="396">
        <f>D9*(1+BASES!$F$8)</f>
        <v>0</v>
      </c>
      <c r="F9" s="396">
        <f>E9*(1+BASES!$G$8)</f>
        <v>0</v>
      </c>
      <c r="G9" s="397">
        <f>F9*(1+BASES!$H$8)</f>
        <v>0</v>
      </c>
    </row>
    <row r="10" spans="2:7" x14ac:dyDescent="0.25">
      <c r="B10" s="194" t="s">
        <v>117</v>
      </c>
      <c r="C10" s="396">
        <f>NECESIDADES_DE_FINANCIACION!D28*-1</f>
        <v>0</v>
      </c>
      <c r="D10" s="396">
        <f>NECESIDADES_DE_FINANCIACION!D29*-1</f>
        <v>0</v>
      </c>
      <c r="E10" s="396">
        <f>NECESIDADES_DE_FINANCIACION!D30*-1</f>
        <v>0</v>
      </c>
      <c r="F10" s="396">
        <f>NECESIDADES_DE_FINANCIACION!D31*-1</f>
        <v>0</v>
      </c>
      <c r="G10" s="397">
        <f>NECESIDADES_DE_FINANCIACION!D32*-1</f>
        <v>0</v>
      </c>
    </row>
    <row r="11" spans="2:7" x14ac:dyDescent="0.25">
      <c r="B11" s="194" t="s">
        <v>118</v>
      </c>
      <c r="C11" s="396">
        <f>ESTADO_DE_RESULTADOS!B7</f>
        <v>0</v>
      </c>
      <c r="D11" s="396">
        <f>ESTADO_DE_RESULTADOS!C7</f>
        <v>0</v>
      </c>
      <c r="E11" s="396">
        <f>ESTADO_DE_RESULTADOS!D7</f>
        <v>0</v>
      </c>
      <c r="F11" s="396">
        <f>ESTADO_DE_RESULTADOS!E7</f>
        <v>0</v>
      </c>
      <c r="G11" s="397">
        <f>ESTADO_DE_RESULTADOS!F7</f>
        <v>0</v>
      </c>
    </row>
    <row r="12" spans="2:7" x14ac:dyDescent="0.25">
      <c r="B12" s="194" t="s">
        <v>119</v>
      </c>
      <c r="C12" s="396">
        <f>ESTADO_DE_RESULTADOS!B8</f>
        <v>0</v>
      </c>
      <c r="D12" s="396">
        <f>ESTADO_DE_RESULTADOS!C8</f>
        <v>0</v>
      </c>
      <c r="E12" s="396">
        <f>ESTADO_DE_RESULTADOS!D8</f>
        <v>0</v>
      </c>
      <c r="F12" s="396">
        <f>ESTADO_DE_RESULTADOS!E8</f>
        <v>0</v>
      </c>
      <c r="G12" s="397">
        <f>ESTADO_DE_RESULTADOS!F8</f>
        <v>0</v>
      </c>
    </row>
    <row r="13" spans="2:7" x14ac:dyDescent="0.25">
      <c r="B13" s="232" t="s">
        <v>120</v>
      </c>
      <c r="C13" s="398">
        <f>SUM(C5:C12)</f>
        <v>0</v>
      </c>
      <c r="D13" s="398">
        <f>SUM(D5:D12)</f>
        <v>0</v>
      </c>
      <c r="E13" s="398">
        <f>SUM(E5:E12)</f>
        <v>0</v>
      </c>
      <c r="F13" s="398">
        <f>SUM(F5:F12)</f>
        <v>0</v>
      </c>
      <c r="G13" s="399">
        <f>SUM(G5:G12)</f>
        <v>0</v>
      </c>
    </row>
    <row r="14" spans="2:7" ht="15.75" thickBot="1" x14ac:dyDescent="0.3">
      <c r="B14" s="195" t="s">
        <v>121</v>
      </c>
      <c r="C14" s="400">
        <f>C4-C13</f>
        <v>0</v>
      </c>
      <c r="D14" s="400">
        <f>D4-D13</f>
        <v>0</v>
      </c>
      <c r="E14" s="400">
        <f>E4-E13</f>
        <v>0</v>
      </c>
      <c r="F14" s="400">
        <f>F4-F13</f>
        <v>0</v>
      </c>
      <c r="G14" s="401">
        <f>G4-G13</f>
        <v>0</v>
      </c>
    </row>
  </sheetData>
  <sheetProtection algorithmName="SHA-512" hashValue="iDpRKsl4moenmQw5XaGj4zDL6IQCv4SBCIRwtEQjXQDI+k8PjndI59Z8deh3Xd+QFwv09GulWDAolFztRuLl4Q==" saltValue="uulwfM0FjZ1/MzSMMZLN4A==" spinCount="100000" sheet="1" objects="1" scenarios="1"/>
  <pageMargins left="0.7" right="0.7" top="0.75" bottom="0.75" header="0.3" footer="0.3"/>
  <pageSetup paperSize="9" orientation="portrait" horizontalDpi="0" verticalDpi="0" r:id="rId1"/>
  <ignoredErrors>
    <ignoredError sqref="D8:G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Portada">
                <anchor moveWithCells="1" sizeWithCells="1">
                  <from>
                    <xdr:col>7</xdr:col>
                    <xdr:colOff>542925</xdr:colOff>
                    <xdr:row>4</xdr:row>
                    <xdr:rowOff>85725</xdr:rowOff>
                  </from>
                  <to>
                    <xdr:col>10</xdr:col>
                    <xdr:colOff>76200</xdr:colOff>
                    <xdr:row>7</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97BD-A5AA-4E0E-8AEC-657CC9F45761}">
  <sheetPr codeName="Hoja18"/>
  <dimension ref="E1:Q45"/>
  <sheetViews>
    <sheetView showGridLines="0" zoomScaleNormal="100" workbookViewId="0">
      <selection activeCell="H14" sqref="H14"/>
    </sheetView>
  </sheetViews>
  <sheetFormatPr baseColWidth="10" defaultRowHeight="15" x14ac:dyDescent="0.25"/>
  <cols>
    <col min="1" max="4" width="11.42578125" style="2"/>
    <col min="5" max="5" width="15.42578125" style="2" bestFit="1" customWidth="1"/>
    <col min="6" max="6" width="35.140625" style="2" bestFit="1" customWidth="1"/>
    <col min="7" max="7" width="52.5703125" style="2" customWidth="1"/>
    <col min="8" max="8" width="53.7109375" style="2" bestFit="1" customWidth="1"/>
    <col min="9" max="9" width="35.28515625" style="2" bestFit="1" customWidth="1"/>
    <col min="10" max="10" width="51.85546875" style="2" bestFit="1" customWidth="1"/>
    <col min="11" max="11" width="59.42578125" style="2" bestFit="1" customWidth="1"/>
    <col min="12" max="12" width="11.42578125" style="2"/>
    <col min="13" max="13" width="3.5703125" style="2" customWidth="1"/>
    <col min="14" max="14" width="21.7109375" style="2" bestFit="1" customWidth="1"/>
    <col min="15" max="16" width="11.42578125" style="2"/>
    <col min="17" max="17" width="7.5703125" style="2" bestFit="1" customWidth="1"/>
    <col min="18" max="16384" width="11.42578125" style="2"/>
  </cols>
  <sheetData>
    <row r="1" spans="5:11" ht="15.75" thickBot="1" x14ac:dyDescent="0.3"/>
    <row r="2" spans="5:11" x14ac:dyDescent="0.25">
      <c r="G2" s="684" t="s">
        <v>419</v>
      </c>
      <c r="H2" s="685"/>
    </row>
    <row r="3" spans="5:11" ht="15.75" customHeight="1" thickBot="1" x14ac:dyDescent="0.3">
      <c r="G3" s="686"/>
      <c r="H3" s="687"/>
    </row>
    <row r="4" spans="5:11" ht="15.75" customHeight="1" x14ac:dyDescent="0.4">
      <c r="G4" s="132"/>
      <c r="H4" s="132"/>
    </row>
    <row r="5" spans="5:11" ht="15.75" customHeight="1" x14ac:dyDescent="0.4">
      <c r="G5" s="132"/>
      <c r="H5" s="132"/>
    </row>
    <row r="6" spans="5:11" ht="15.75" customHeight="1" x14ac:dyDescent="0.4">
      <c r="G6" s="132"/>
      <c r="H6" s="132"/>
    </row>
    <row r="8" spans="5:11" ht="15.75" x14ac:dyDescent="0.25">
      <c r="E8" s="69" t="s">
        <v>355</v>
      </c>
      <c r="F8" s="69" t="s">
        <v>407</v>
      </c>
      <c r="G8" s="69" t="s">
        <v>1194</v>
      </c>
      <c r="H8" s="69" t="s">
        <v>122</v>
      </c>
      <c r="I8" s="402" t="s">
        <v>123</v>
      </c>
      <c r="J8" s="69" t="s">
        <v>124</v>
      </c>
      <c r="K8" s="69" t="s">
        <v>408</v>
      </c>
    </row>
    <row r="9" spans="5:11" ht="15.75" x14ac:dyDescent="0.25">
      <c r="E9" s="62">
        <v>0</v>
      </c>
      <c r="F9" s="72" t="str">
        <f>VLOOKUP(Tabla6[[#This Row],[CÓDIGO ]],Tabla3[],2,0)</f>
        <v xml:space="preserve">Seleccionar producto o servicio </v>
      </c>
      <c r="G9" s="73">
        <f>VLOOKUP(Tabla6[[#This Row],[CÓDIGO ]],Tabla2[],4,0)</f>
        <v>0</v>
      </c>
      <c r="H9" s="73">
        <f>VLOOKUP(Tabla6[[#This Row],[CÓDIGO ]],Tabla3[],4)</f>
        <v>0</v>
      </c>
      <c r="I9" s="73">
        <f>VLOOKUP(Tabla6[[#This Row],[CÓDIGO ]],Tabla15[],18)</f>
        <v>0</v>
      </c>
      <c r="J9" s="73">
        <f>Tabla6[[#This Row],[PRECIO DE VENTA ]]-Tabla6[[#This Row],[COSTOS DE PRODUCCIÓN ]]</f>
        <v>0</v>
      </c>
      <c r="K9" s="112">
        <f>IF($G$12=0,0,G9/$G$12)</f>
        <v>0</v>
      </c>
    </row>
    <row r="10" spans="5:11" ht="15.75" x14ac:dyDescent="0.25">
      <c r="E10" s="62"/>
      <c r="F10" s="72" t="str">
        <f>VLOOKUP(Tabla6[[#This Row],[CÓDIGO ]],Tabla3[],2,0)</f>
        <v xml:space="preserve">Seleccionar producto o servicio </v>
      </c>
      <c r="G10" s="73">
        <f>VLOOKUP(Tabla6[[#This Row],[CÓDIGO ]],Tabla2[],4,0)</f>
        <v>0</v>
      </c>
      <c r="H10" s="73">
        <f>VLOOKUP(Tabla6[[#This Row],[CÓDIGO ]],Tabla3[],4)</f>
        <v>0</v>
      </c>
      <c r="I10" s="73">
        <f>VLOOKUP(Tabla6[[#This Row],[CÓDIGO ]],Tabla15[],18)</f>
        <v>0</v>
      </c>
      <c r="J10" s="73">
        <f>Tabla6[[#This Row],[PRECIO DE VENTA ]]-Tabla6[[#This Row],[COSTOS DE PRODUCCIÓN ]]</f>
        <v>0</v>
      </c>
      <c r="K10" s="112">
        <f>IF($G$12=0,0,G10/$G$12)</f>
        <v>0</v>
      </c>
    </row>
    <row r="12" spans="5:11" ht="15.75" x14ac:dyDescent="0.25">
      <c r="E12" s="640" t="s">
        <v>125</v>
      </c>
      <c r="F12" s="640"/>
      <c r="G12" s="109">
        <f>SUM(Tabla6[INGRESOS TOTALES])</f>
        <v>0</v>
      </c>
    </row>
    <row r="13" spans="5:11" s="74" customFormat="1" ht="15.75" x14ac:dyDescent="0.25">
      <c r="E13" s="133"/>
      <c r="F13" s="133"/>
      <c r="G13" s="134"/>
    </row>
    <row r="14" spans="5:11" s="74" customFormat="1" ht="15.75" x14ac:dyDescent="0.25">
      <c r="E14" s="133"/>
      <c r="F14" s="133"/>
      <c r="G14" s="134"/>
    </row>
    <row r="15" spans="5:11" s="74" customFormat="1" ht="15.75" x14ac:dyDescent="0.25">
      <c r="E15" s="133"/>
      <c r="F15" s="133"/>
      <c r="G15" s="134"/>
    </row>
    <row r="16" spans="5:11" s="74" customFormat="1" ht="15.75" x14ac:dyDescent="0.25">
      <c r="E16" s="133"/>
      <c r="F16" s="133"/>
      <c r="G16" s="134"/>
    </row>
    <row r="18" spans="5:17" ht="15.75" x14ac:dyDescent="0.25">
      <c r="E18" s="594" t="s">
        <v>126</v>
      </c>
      <c r="F18" s="595"/>
      <c r="G18" s="595"/>
      <c r="H18" s="595"/>
      <c r="I18" s="596"/>
    </row>
    <row r="19" spans="5:17" ht="15.75" x14ac:dyDescent="0.25">
      <c r="E19" s="69" t="s">
        <v>355</v>
      </c>
      <c r="F19" s="69" t="s">
        <v>407</v>
      </c>
      <c r="G19" s="69" t="s">
        <v>124</v>
      </c>
      <c r="H19" s="69" t="s">
        <v>127</v>
      </c>
      <c r="I19" s="69" t="s">
        <v>409</v>
      </c>
    </row>
    <row r="20" spans="5:17" ht="15.75" x14ac:dyDescent="0.25">
      <c r="E20" s="67">
        <v>0</v>
      </c>
      <c r="F20" s="72" t="str">
        <f>VLOOKUP(Tabla7[[#This Row],[CÓDIGO ]],Tabla3[],2)</f>
        <v xml:space="preserve">Seleccionar producto o servicio </v>
      </c>
      <c r="G20" s="73">
        <f>VLOOKUP(Tabla7[[#This Row],[CÓDIGO ]],Tabla6[],6,0)</f>
        <v>0</v>
      </c>
      <c r="H20" s="112">
        <f>VLOOKUP(Tabla7[[#This Row],[CÓDIGO ]],Tabla6[],7,0)</f>
        <v>0</v>
      </c>
      <c r="I20" s="73">
        <f>Tabla7[[#This Row],[MARGEN DE CONTRIBUCIÓN UNITARIO ]]*Tabla7[[#This Row],[PARTICIPACIÓN % EN VENTAS ]]</f>
        <v>0</v>
      </c>
    </row>
    <row r="21" spans="5:17" ht="15.75" x14ac:dyDescent="0.25">
      <c r="E21" s="62"/>
      <c r="F21" s="72" t="str">
        <f>VLOOKUP(Tabla7[[#This Row],[CÓDIGO ]],Tabla3[],2)</f>
        <v xml:space="preserve">Seleccionar producto o servicio </v>
      </c>
      <c r="G21" s="73">
        <f>VLOOKUP(Tabla7[[#This Row],[CÓDIGO ]],Tabla6[],6,0)</f>
        <v>0</v>
      </c>
      <c r="H21" s="112">
        <f>VLOOKUP(Tabla7[[#This Row],[CÓDIGO ]],Tabla6[],7,0)</f>
        <v>0</v>
      </c>
      <c r="I21" s="73">
        <f>Tabla7[[#This Row],[MARGEN DE CONTRIBUCIÓN UNITARIO ]]*Tabla7[[#This Row],[PARTICIPACIÓN % EN VENTAS ]]</f>
        <v>0</v>
      </c>
    </row>
    <row r="23" spans="5:17" ht="15.75" x14ac:dyDescent="0.25">
      <c r="N23" s="115" t="s">
        <v>130</v>
      </c>
      <c r="O23" s="594" t="s">
        <v>131</v>
      </c>
      <c r="P23" s="595"/>
      <c r="Q23" s="596"/>
    </row>
    <row r="24" spans="5:17" ht="15.75" x14ac:dyDescent="0.25">
      <c r="N24" s="91" t="s">
        <v>412</v>
      </c>
      <c r="O24" s="93">
        <v>0</v>
      </c>
      <c r="P24" s="93">
        <f>G45</f>
        <v>0</v>
      </c>
      <c r="Q24" s="93">
        <f>P24*2</f>
        <v>0</v>
      </c>
    </row>
    <row r="25" spans="5:17" ht="15.75" x14ac:dyDescent="0.25">
      <c r="N25" s="116" t="s">
        <v>413</v>
      </c>
      <c r="O25" s="94">
        <v>0</v>
      </c>
      <c r="P25" s="94">
        <f>SUMPRODUCT(Tabla8[-],Tabla6[[PRECIO DE VENTA ]])</f>
        <v>0</v>
      </c>
      <c r="Q25" s="94">
        <f>SUMPRODUCT(Tabla8[[UNIDADES CALCULADAS PARA EL GRÁFICO ]],Tabla6[[PRECIO DE VENTA ]])</f>
        <v>0</v>
      </c>
    </row>
    <row r="26" spans="5:17" ht="15.75" x14ac:dyDescent="0.25">
      <c r="N26" s="91" t="s">
        <v>414</v>
      </c>
      <c r="O26" s="94">
        <f>G31</f>
        <v>0</v>
      </c>
      <c r="P26" s="94">
        <f>O26</f>
        <v>0</v>
      </c>
      <c r="Q26" s="94">
        <f>P26</f>
        <v>0</v>
      </c>
    </row>
    <row r="27" spans="5:17" ht="15.75" x14ac:dyDescent="0.25">
      <c r="N27" s="91" t="s">
        <v>415</v>
      </c>
      <c r="O27" s="94">
        <v>0</v>
      </c>
      <c r="P27" s="94">
        <f>SUMPRODUCT(Tabla6[[COSTOS DE PRODUCCIÓN ]],Tabla8[-])</f>
        <v>0</v>
      </c>
      <c r="Q27" s="94">
        <f>SUMPRODUCT(Tabla6[[COSTOS DE PRODUCCIÓN ]],Tabla8[[UNIDADES CALCULADAS PARA EL GRÁFICO ]])</f>
        <v>0</v>
      </c>
    </row>
    <row r="28" spans="5:17" ht="15.75" x14ac:dyDescent="0.25">
      <c r="N28" s="116" t="s">
        <v>416</v>
      </c>
      <c r="O28" s="94">
        <f>O26+O27</f>
        <v>0</v>
      </c>
      <c r="P28" s="94">
        <f>P26+P27</f>
        <v>0</v>
      </c>
      <c r="Q28" s="94">
        <f>Q26+Q27</f>
        <v>0</v>
      </c>
    </row>
    <row r="29" spans="5:17" ht="15.75" x14ac:dyDescent="0.25">
      <c r="E29" s="683" t="s">
        <v>411</v>
      </c>
      <c r="F29" s="683"/>
      <c r="G29" s="683"/>
      <c r="H29" s="683"/>
      <c r="I29" s="95">
        <f>SUM(Tabla7[[MARGEN PONDERADO ]])</f>
        <v>0</v>
      </c>
      <c r="N29" s="90" t="s">
        <v>417</v>
      </c>
      <c r="O29" s="94">
        <f>O25-O28</f>
        <v>0</v>
      </c>
      <c r="P29" s="94">
        <f t="shared" ref="P29:Q29" si="0">P25-P28</f>
        <v>0</v>
      </c>
      <c r="Q29" s="94">
        <f t="shared" si="0"/>
        <v>0</v>
      </c>
    </row>
    <row r="31" spans="5:17" ht="15.75" x14ac:dyDescent="0.25">
      <c r="E31" s="640" t="s">
        <v>89</v>
      </c>
      <c r="F31" s="640"/>
      <c r="G31" s="109">
        <f>CUADRO_DE_COSTOS_Y_GASTOS_FIJOS!$C$13</f>
        <v>0</v>
      </c>
    </row>
    <row r="33" spans="5:8" ht="15.75" x14ac:dyDescent="0.25">
      <c r="E33" s="665" t="s">
        <v>410</v>
      </c>
      <c r="F33" s="667"/>
      <c r="G33" s="113">
        <f>IF(I29=0,0,G31/I29)</f>
        <v>0</v>
      </c>
    </row>
    <row r="39" spans="5:8" ht="15.75" x14ac:dyDescent="0.25">
      <c r="E39" s="635" t="s">
        <v>128</v>
      </c>
      <c r="F39" s="635"/>
      <c r="G39" s="635"/>
    </row>
    <row r="40" spans="5:8" ht="15.75" x14ac:dyDescent="0.25">
      <c r="E40" s="69" t="s">
        <v>355</v>
      </c>
      <c r="F40" s="69" t="s">
        <v>407</v>
      </c>
      <c r="G40" s="69" t="s">
        <v>283</v>
      </c>
      <c r="H40" s="102" t="s">
        <v>129</v>
      </c>
    </row>
    <row r="41" spans="5:8" ht="15.75" x14ac:dyDescent="0.25">
      <c r="E41" s="67">
        <v>0</v>
      </c>
      <c r="F41" s="72" t="str">
        <f>VLOOKUP(Tabla8[[#This Row],[CÓDIGO ]],Tabla3[],2)</f>
        <v xml:space="preserve">Seleccionar producto o servicio </v>
      </c>
      <c r="G41" s="114">
        <f>$G$33*VLOOKUP(Tabla8[[#This Row],[CÓDIGO ]],Tabla6[],7,0)</f>
        <v>0</v>
      </c>
      <c r="H41" s="114">
        <f>$Q$24*VLOOKUP(Tabla8[[#This Row],[CÓDIGO ]],Tabla6[],7,0)</f>
        <v>0</v>
      </c>
    </row>
    <row r="42" spans="5:8" ht="15.75" x14ac:dyDescent="0.25">
      <c r="E42" s="62"/>
      <c r="F42" s="72" t="str">
        <f>VLOOKUP(Tabla8[[#This Row],[CÓDIGO ]],Tabla3[],2)</f>
        <v xml:space="preserve">Seleccionar producto o servicio </v>
      </c>
      <c r="G42" s="114">
        <f>$G$33*VLOOKUP(Tabla8[[#This Row],[CÓDIGO ]],Tabla6[],7,0)</f>
        <v>0</v>
      </c>
      <c r="H42" s="114">
        <f>$Q$24*VLOOKUP(Tabla8[[#This Row],[CÓDIGO ]],Tabla6[],7,0)</f>
        <v>0</v>
      </c>
    </row>
    <row r="45" spans="5:8" ht="15.75" x14ac:dyDescent="0.25">
      <c r="E45" s="683" t="s">
        <v>418</v>
      </c>
      <c r="F45" s="683"/>
      <c r="G45" s="93">
        <f>SUM(Tabla8[-])</f>
        <v>0</v>
      </c>
      <c r="H45" s="93">
        <f>SUM(Tabla8[[UNIDADES CALCULADAS PARA EL GRÁFICO ]])</f>
        <v>0</v>
      </c>
    </row>
  </sheetData>
  <sheetProtection algorithmName="SHA-512" hashValue="2lEinzlZgmLc2kkHygSLjxRRVklmCrx41mgHgm/0x+ZX920LtTeB2O9y5BKAcfbcLiiFVwgagR8Jw1c7T2YFAA==" saltValue="DKx0bOPkSxf9uFnx3uUcLA==" spinCount="100000" sheet="1" objects="1" scenarios="1"/>
  <mergeCells count="9">
    <mergeCell ref="O23:Q23"/>
    <mergeCell ref="E12:F12"/>
    <mergeCell ref="E18:I18"/>
    <mergeCell ref="E31:F31"/>
    <mergeCell ref="E45:F45"/>
    <mergeCell ref="G2:H3"/>
    <mergeCell ref="E33:F33"/>
    <mergeCell ref="E29:H29"/>
    <mergeCell ref="E39:G39"/>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insertar_fila_2">
                <anchor moveWithCells="1" sizeWithCells="1">
                  <from>
                    <xdr:col>1</xdr:col>
                    <xdr:colOff>114300</xdr:colOff>
                    <xdr:row>6</xdr:row>
                    <xdr:rowOff>0</xdr:rowOff>
                  </from>
                  <to>
                    <xdr:col>2</xdr:col>
                    <xdr:colOff>695325</xdr:colOff>
                    <xdr:row>7</xdr:row>
                    <xdr:rowOff>133350</xdr:rowOff>
                  </to>
                </anchor>
              </controlPr>
            </control>
          </mc:Choice>
        </mc:AlternateContent>
        <mc:AlternateContent xmlns:mc="http://schemas.openxmlformats.org/markup-compatibility/2006">
          <mc:Choice Requires="x14">
            <control shapeId="80898" r:id="rId5" name="Button 2">
              <controlPr defaultSize="0" print="0" autoFill="0" autoPict="0" macro="[0]!insertar_fila_3">
                <anchor moveWithCells="1" sizeWithCells="1">
                  <from>
                    <xdr:col>1</xdr:col>
                    <xdr:colOff>95250</xdr:colOff>
                    <xdr:row>17</xdr:row>
                    <xdr:rowOff>85725</xdr:rowOff>
                  </from>
                  <to>
                    <xdr:col>2</xdr:col>
                    <xdr:colOff>676275</xdr:colOff>
                    <xdr:row>19</xdr:row>
                    <xdr:rowOff>9525</xdr:rowOff>
                  </to>
                </anchor>
              </controlPr>
            </control>
          </mc:Choice>
        </mc:AlternateContent>
        <mc:AlternateContent xmlns:mc="http://schemas.openxmlformats.org/markup-compatibility/2006">
          <mc:Choice Requires="x14">
            <control shapeId="80899" r:id="rId6" name="Button 3">
              <controlPr defaultSize="0" print="0" autoFill="0" autoPict="0" macro="[0]!insertar_fila_4">
                <anchor moveWithCells="1" sizeWithCells="1">
                  <from>
                    <xdr:col>1</xdr:col>
                    <xdr:colOff>104775</xdr:colOff>
                    <xdr:row>38</xdr:row>
                    <xdr:rowOff>28575</xdr:rowOff>
                  </from>
                  <to>
                    <xdr:col>2</xdr:col>
                    <xdr:colOff>685800</xdr:colOff>
                    <xdr:row>39</xdr:row>
                    <xdr:rowOff>152400</xdr:rowOff>
                  </to>
                </anchor>
              </controlPr>
            </control>
          </mc:Choice>
        </mc:AlternateContent>
        <mc:AlternateContent xmlns:mc="http://schemas.openxmlformats.org/markup-compatibility/2006">
          <mc:Choice Requires="x14">
            <control shapeId="80900" r:id="rId7" name="Button 4">
              <controlPr defaultSize="0" print="0" autoFill="0" autoPict="0" macro="[0]!Portada">
                <anchor moveWithCells="1" sizeWithCells="1">
                  <from>
                    <xdr:col>1</xdr:col>
                    <xdr:colOff>304800</xdr:colOff>
                    <xdr:row>1</xdr:row>
                    <xdr:rowOff>38100</xdr:rowOff>
                  </from>
                  <to>
                    <xdr:col>3</xdr:col>
                    <xdr:colOff>114300</xdr:colOff>
                    <xdr:row>3</xdr:row>
                    <xdr:rowOff>9525</xdr:rowOff>
                  </to>
                </anchor>
              </controlPr>
            </control>
          </mc:Choice>
        </mc:AlternateContent>
      </controls>
    </mc:Choice>
  </mc:AlternateContent>
  <tableParts count="3">
    <tablePart r:id="rId8"/>
    <tablePart r:id="rId9"/>
    <tablePart r:id="rId10"/>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53E0F-164E-427D-882E-F0EAE6C4D9FD}">
  <sheetPr codeName="Hoja11"/>
  <dimension ref="A6:I76"/>
  <sheetViews>
    <sheetView showGridLines="0" zoomScaleNormal="100" workbookViewId="0">
      <selection activeCell="F2" sqref="F2"/>
    </sheetView>
  </sheetViews>
  <sheetFormatPr baseColWidth="10" defaultRowHeight="15" x14ac:dyDescent="0.25"/>
  <cols>
    <col min="1" max="1" width="52.5703125" style="139" customWidth="1"/>
    <col min="2" max="2" width="20.28515625" style="139" customWidth="1"/>
    <col min="3" max="3" width="25.28515625" style="139" customWidth="1"/>
    <col min="4" max="4" width="21.7109375" style="139" customWidth="1"/>
    <col min="5" max="7" width="24.85546875" style="139" customWidth="1"/>
    <col min="8" max="16384" width="11.42578125" style="139"/>
  </cols>
  <sheetData>
    <row r="6" spans="1:9" ht="15" customHeight="1" thickBot="1" x14ac:dyDescent="0.3"/>
    <row r="7" spans="1:9" ht="22.15" customHeight="1" thickBot="1" x14ac:dyDescent="0.3">
      <c r="A7" s="694" t="s">
        <v>132</v>
      </c>
      <c r="B7" s="695"/>
      <c r="C7" s="276" t="str">
        <f>BASES!C7</f>
        <v>AÑO 0</v>
      </c>
      <c r="D7" s="276">
        <f>BASES!D7</f>
        <v>2021</v>
      </c>
      <c r="E7" s="276">
        <f>BASES!E7</f>
        <v>2022</v>
      </c>
      <c r="F7" s="276">
        <f>BASES!F7</f>
        <v>2023</v>
      </c>
      <c r="G7" s="276">
        <f>BASES!G7</f>
        <v>2024</v>
      </c>
      <c r="H7" s="276">
        <f>BASES!H7</f>
        <v>2025</v>
      </c>
    </row>
    <row r="8" spans="1:9" x14ac:dyDescent="0.25">
      <c r="A8" s="234" t="s">
        <v>133</v>
      </c>
      <c r="B8" s="235" t="s">
        <v>142</v>
      </c>
      <c r="C8" s="236"/>
      <c r="D8" s="237"/>
      <c r="E8" s="237"/>
      <c r="F8" s="237"/>
      <c r="G8" s="237"/>
      <c r="H8" s="238"/>
    </row>
    <row r="9" spans="1:9" x14ac:dyDescent="0.25">
      <c r="A9" s="239" t="s">
        <v>134</v>
      </c>
      <c r="B9" s="149" t="s">
        <v>143</v>
      </c>
      <c r="C9" s="456">
        <f>NECESIDADES_DE_FINANCIACION!E14+NECESIDADES_DE_FINANCIACION!E17</f>
        <v>0</v>
      </c>
      <c r="D9" s="404">
        <f>(COSTOS_DE_PRODUCCION!D179*BALANCE_GENERAL!D8)/360</f>
        <v>0</v>
      </c>
      <c r="E9" s="404">
        <f>(COSTOS_DE_PRODUCCION!F179*BALANCE_GENERAL!E8)/360</f>
        <v>0</v>
      </c>
      <c r="F9" s="404">
        <f>(COSTOS_DE_PRODUCCION!G179*BALANCE_GENERAL!F8)/360</f>
        <v>0</v>
      </c>
      <c r="G9" s="404">
        <f>(COSTOS_DE_PRODUCCION!H179*BALANCE_GENERAL!G8)/360</f>
        <v>0</v>
      </c>
      <c r="H9" s="404">
        <f>(COSTOS_DE_PRODUCCION!I179*BALANCE_GENERAL!H8)/360</f>
        <v>0</v>
      </c>
      <c r="I9" s="403"/>
    </row>
    <row r="10" spans="1:9" x14ac:dyDescent="0.25">
      <c r="A10" s="239" t="s">
        <v>135</v>
      </c>
      <c r="B10" s="149" t="s">
        <v>143</v>
      </c>
      <c r="C10" s="405"/>
      <c r="D10" s="406">
        <f>C9-D9</f>
        <v>0</v>
      </c>
      <c r="E10" s="406">
        <f>D9-E9</f>
        <v>0</v>
      </c>
      <c r="F10" s="406">
        <f>E9-F9</f>
        <v>0</v>
      </c>
      <c r="G10" s="406">
        <f>F9-G9</f>
        <v>0</v>
      </c>
      <c r="H10" s="406">
        <f>G9-H9</f>
        <v>0</v>
      </c>
    </row>
    <row r="11" spans="1:9" x14ac:dyDescent="0.25">
      <c r="A11" s="241" t="s">
        <v>136</v>
      </c>
      <c r="B11" s="149" t="s">
        <v>144</v>
      </c>
      <c r="C11" s="240"/>
      <c r="D11" s="242"/>
      <c r="E11" s="242"/>
      <c r="F11" s="242"/>
      <c r="G11" s="242"/>
      <c r="H11" s="243"/>
    </row>
    <row r="12" spans="1:9" x14ac:dyDescent="0.25">
      <c r="A12" s="241" t="s">
        <v>137</v>
      </c>
      <c r="B12" s="149" t="s">
        <v>143</v>
      </c>
      <c r="C12" s="407"/>
      <c r="D12" s="408">
        <f>ESTADO_DE_RESULTADOS!B4*BALANCE_GENERAL!D11/360</f>
        <v>0</v>
      </c>
      <c r="E12" s="408">
        <f>ESTADO_DE_RESULTADOS!C4*BALANCE_GENERAL!E11/360</f>
        <v>0</v>
      </c>
      <c r="F12" s="408">
        <f>ESTADO_DE_RESULTADOS!D4*BALANCE_GENERAL!F11/360</f>
        <v>0</v>
      </c>
      <c r="G12" s="408">
        <f>ESTADO_DE_RESULTADOS!E4*BALANCE_GENERAL!G11/360</f>
        <v>0</v>
      </c>
      <c r="H12" s="408">
        <f>ESTADO_DE_RESULTADOS!F4*BALANCE_GENERAL!H11/360</f>
        <v>0</v>
      </c>
    </row>
    <row r="13" spans="1:9" x14ac:dyDescent="0.25">
      <c r="A13" s="241" t="s">
        <v>138</v>
      </c>
      <c r="B13" s="149" t="s">
        <v>143</v>
      </c>
      <c r="C13" s="405"/>
      <c r="D13" s="406">
        <f>C12-D12</f>
        <v>0</v>
      </c>
      <c r="E13" s="406">
        <f>D12-E12</f>
        <v>0</v>
      </c>
      <c r="F13" s="406">
        <f>E12-F12</f>
        <v>0</v>
      </c>
      <c r="G13" s="406">
        <f>F12-G12</f>
        <v>0</v>
      </c>
      <c r="H13" s="406">
        <f>G12-H12</f>
        <v>0</v>
      </c>
    </row>
    <row r="14" spans="1:9" x14ac:dyDescent="0.25">
      <c r="A14" s="239" t="s">
        <v>139</v>
      </c>
      <c r="B14" s="149" t="s">
        <v>145</v>
      </c>
      <c r="C14" s="244"/>
      <c r="D14" s="245"/>
      <c r="E14" s="245"/>
      <c r="F14" s="245"/>
      <c r="G14" s="245"/>
      <c r="H14" s="246"/>
    </row>
    <row r="15" spans="1:9" x14ac:dyDescent="0.25">
      <c r="A15" s="239" t="s">
        <v>140</v>
      </c>
      <c r="B15" s="149" t="s">
        <v>143</v>
      </c>
      <c r="C15" s="409"/>
      <c r="D15" s="410">
        <f>(COSTOS_DE_PRODUCCION!D179+COSTOS_DE_PRODUCCION!D180)*BALANCE_GENERAL!D14/360</f>
        <v>0</v>
      </c>
      <c r="E15" s="410">
        <f>(COSTOS_DE_PRODUCCION!F179+COSTOS_DE_PRODUCCION!F180)*BALANCE_GENERAL!E14/360</f>
        <v>0</v>
      </c>
      <c r="F15" s="410">
        <f>(COSTOS_DE_PRODUCCION!G179+COSTOS_DE_PRODUCCION!G180)*BALANCE_GENERAL!F14/360</f>
        <v>0</v>
      </c>
      <c r="G15" s="410">
        <f>(COSTOS_DE_PRODUCCION!H179+COSTOS_DE_PRODUCCION!H180)*BALANCE_GENERAL!G14/360</f>
        <v>0</v>
      </c>
      <c r="H15" s="410">
        <f>(COSTOS_DE_PRODUCCION!I179+COSTOS_DE_PRODUCCION!I180)*BALANCE_GENERAL!H14/360</f>
        <v>0</v>
      </c>
      <c r="I15" s="403"/>
    </row>
    <row r="16" spans="1:9" ht="15.75" thickBot="1" x14ac:dyDescent="0.3">
      <c r="A16" s="247" t="s">
        <v>141</v>
      </c>
      <c r="B16" s="248" t="s">
        <v>146</v>
      </c>
      <c r="C16" s="411"/>
      <c r="D16" s="412">
        <f>C15-D15</f>
        <v>0</v>
      </c>
      <c r="E16" s="412">
        <f>D15-E15</f>
        <v>0</v>
      </c>
      <c r="F16" s="412">
        <f>E15-F15</f>
        <v>0</v>
      </c>
      <c r="G16" s="412">
        <f>F15-G15</f>
        <v>0</v>
      </c>
      <c r="H16" s="412">
        <f>G15-H15</f>
        <v>0</v>
      </c>
    </row>
    <row r="18" spans="1:8" ht="15.75" thickBot="1" x14ac:dyDescent="0.3"/>
    <row r="19" spans="1:8" x14ac:dyDescent="0.25">
      <c r="A19" s="249" t="s">
        <v>147</v>
      </c>
      <c r="B19" s="696" t="s">
        <v>111</v>
      </c>
      <c r="C19" s="696"/>
      <c r="D19" s="696"/>
      <c r="E19" s="696"/>
      <c r="F19" s="696"/>
      <c r="G19" s="697"/>
    </row>
    <row r="20" spans="1:8" x14ac:dyDescent="0.25">
      <c r="A20" s="250"/>
      <c r="B20" s="295" t="str">
        <f>C7</f>
        <v>AÑO 0</v>
      </c>
      <c r="C20" s="295">
        <f>D7</f>
        <v>2021</v>
      </c>
      <c r="D20" s="295">
        <f t="shared" ref="D20:G20" si="0">E7</f>
        <v>2022</v>
      </c>
      <c r="E20" s="295">
        <f t="shared" si="0"/>
        <v>2023</v>
      </c>
      <c r="F20" s="295">
        <f t="shared" si="0"/>
        <v>2024</v>
      </c>
      <c r="G20" s="295">
        <f t="shared" si="0"/>
        <v>2025</v>
      </c>
    </row>
    <row r="21" spans="1:8" ht="18.75" x14ac:dyDescent="0.3">
      <c r="A21" s="691" t="s">
        <v>148</v>
      </c>
      <c r="B21" s="692"/>
      <c r="C21" s="692"/>
      <c r="D21" s="692"/>
      <c r="E21" s="692"/>
      <c r="F21" s="692"/>
      <c r="G21" s="693"/>
    </row>
    <row r="22" spans="1:8" x14ac:dyDescent="0.25">
      <c r="A22" s="251" t="s">
        <v>149</v>
      </c>
      <c r="B22" s="252">
        <f>B74-B23-B24-B30-B33-B36-B39-B42-B45-B48-B51-B26-B27-B56</f>
        <v>0</v>
      </c>
      <c r="C22" s="252">
        <f t="shared" ref="C22:G22" si="1">C74-C23-C24-C30-C33-C36-C39-C42-C45-C48-C51-C26-C27-C56</f>
        <v>0</v>
      </c>
      <c r="D22" s="252">
        <f t="shared" si="1"/>
        <v>0</v>
      </c>
      <c r="E22" s="252">
        <f t="shared" si="1"/>
        <v>0</v>
      </c>
      <c r="F22" s="252">
        <f t="shared" si="1"/>
        <v>0</v>
      </c>
      <c r="G22" s="252">
        <f t="shared" si="1"/>
        <v>0</v>
      </c>
    </row>
    <row r="23" spans="1:8" x14ac:dyDescent="0.25">
      <c r="A23" s="251" t="s">
        <v>150</v>
      </c>
      <c r="B23" s="252">
        <f t="shared" ref="B23:G23" si="2">C9</f>
        <v>0</v>
      </c>
      <c r="C23" s="252">
        <f t="shared" si="2"/>
        <v>0</v>
      </c>
      <c r="D23" s="252">
        <f t="shared" si="2"/>
        <v>0</v>
      </c>
      <c r="E23" s="252">
        <f t="shared" si="2"/>
        <v>0</v>
      </c>
      <c r="F23" s="252">
        <f t="shared" si="2"/>
        <v>0</v>
      </c>
      <c r="G23" s="253">
        <f t="shared" si="2"/>
        <v>0</v>
      </c>
    </row>
    <row r="24" spans="1:8" x14ac:dyDescent="0.25">
      <c r="A24" s="251" t="s">
        <v>151</v>
      </c>
      <c r="B24" s="252">
        <f t="shared" ref="B24:G24" si="3">C12</f>
        <v>0</v>
      </c>
      <c r="C24" s="252">
        <f t="shared" si="3"/>
        <v>0</v>
      </c>
      <c r="D24" s="252">
        <f t="shared" si="3"/>
        <v>0</v>
      </c>
      <c r="E24" s="252">
        <f t="shared" si="3"/>
        <v>0</v>
      </c>
      <c r="F24" s="252">
        <f t="shared" si="3"/>
        <v>0</v>
      </c>
      <c r="G24" s="253">
        <f t="shared" si="3"/>
        <v>0</v>
      </c>
    </row>
    <row r="25" spans="1:8" x14ac:dyDescent="0.25">
      <c r="A25" s="254" t="s">
        <v>152</v>
      </c>
      <c r="B25" s="255">
        <f t="shared" ref="B25:G25" si="4">B22+B23+B24</f>
        <v>0</v>
      </c>
      <c r="C25" s="255">
        <f t="shared" si="4"/>
        <v>0</v>
      </c>
      <c r="D25" s="255">
        <f t="shared" si="4"/>
        <v>0</v>
      </c>
      <c r="E25" s="255">
        <f t="shared" si="4"/>
        <v>0</v>
      </c>
      <c r="F25" s="255">
        <f t="shared" si="4"/>
        <v>0</v>
      </c>
      <c r="G25" s="256">
        <f t="shared" si="4"/>
        <v>0</v>
      </c>
    </row>
    <row r="26" spans="1:8" x14ac:dyDescent="0.25">
      <c r="A26" s="251" t="s">
        <v>153</v>
      </c>
      <c r="B26" s="252">
        <f>'CTOS_VS_ING_OPER-INV_INFRAEST'!F402</f>
        <v>0</v>
      </c>
      <c r="C26" s="252">
        <f>'CTOS_VS_ING_OPER-INV_INFRAEST'!G402</f>
        <v>0</v>
      </c>
      <c r="D26" s="252">
        <f>'CTOS_VS_ING_OPER-INV_INFRAEST'!H402</f>
        <v>0</v>
      </c>
      <c r="E26" s="252">
        <f>'CTOS_VS_ING_OPER-INV_INFRAEST'!I402</f>
        <v>0</v>
      </c>
      <c r="F26" s="252">
        <f>'CTOS_VS_ING_OPER-INV_INFRAEST'!J402</f>
        <v>0</v>
      </c>
      <c r="G26" s="252">
        <f>'CTOS_VS_ING_OPER-INV_INFRAEST'!K402</f>
        <v>0</v>
      </c>
      <c r="H26" s="257"/>
    </row>
    <row r="27" spans="1:8" x14ac:dyDescent="0.25">
      <c r="A27" s="251" t="s">
        <v>154</v>
      </c>
      <c r="B27" s="252"/>
      <c r="C27" s="252">
        <f>'CTOS_VS_ING_OPER-INV_INFRAEST'!G403</f>
        <v>0</v>
      </c>
      <c r="D27" s="252">
        <f>'CTOS_VS_ING_OPER-INV_INFRAEST'!H403</f>
        <v>0</v>
      </c>
      <c r="E27" s="252">
        <f>'CTOS_VS_ING_OPER-INV_INFRAEST'!I403</f>
        <v>0</v>
      </c>
      <c r="F27" s="252">
        <f>'CTOS_VS_ING_OPER-INV_INFRAEST'!J403</f>
        <v>0</v>
      </c>
      <c r="G27" s="252">
        <f>'CTOS_VS_ING_OPER-INV_INFRAEST'!K403</f>
        <v>0</v>
      </c>
      <c r="H27" s="257"/>
    </row>
    <row r="28" spans="1:8" x14ac:dyDescent="0.25">
      <c r="A28" s="254" t="s">
        <v>155</v>
      </c>
      <c r="B28" s="258">
        <f t="shared" ref="B28:G28" si="5">B26+B27</f>
        <v>0</v>
      </c>
      <c r="C28" s="258">
        <f t="shared" si="5"/>
        <v>0</v>
      </c>
      <c r="D28" s="258">
        <f t="shared" si="5"/>
        <v>0</v>
      </c>
      <c r="E28" s="258">
        <f t="shared" si="5"/>
        <v>0</v>
      </c>
      <c r="F28" s="258">
        <f t="shared" si="5"/>
        <v>0</v>
      </c>
      <c r="G28" s="258">
        <f t="shared" si="5"/>
        <v>0</v>
      </c>
    </row>
    <row r="29" spans="1:8" ht="18.75" x14ac:dyDescent="0.3">
      <c r="A29" s="698" t="s">
        <v>156</v>
      </c>
      <c r="B29" s="699"/>
      <c r="C29" s="699"/>
      <c r="D29" s="699"/>
      <c r="E29" s="699"/>
      <c r="F29" s="699"/>
      <c r="G29" s="700"/>
    </row>
    <row r="30" spans="1:8" x14ac:dyDescent="0.25">
      <c r="A30" s="259" t="s">
        <v>157</v>
      </c>
      <c r="B30" s="260">
        <f>'CTOS_VS_ING_OPER-INV_INFRAEST'!F416</f>
        <v>0</v>
      </c>
      <c r="C30" s="260">
        <f>'CTOS_VS_ING_OPER-INV_INFRAEST'!G416</f>
        <v>0</v>
      </c>
      <c r="D30" s="260">
        <f>'CTOS_VS_ING_OPER-INV_INFRAEST'!H416</f>
        <v>0</v>
      </c>
      <c r="E30" s="260">
        <f>'CTOS_VS_ING_OPER-INV_INFRAEST'!I416</f>
        <v>0</v>
      </c>
      <c r="F30" s="260">
        <f>'CTOS_VS_ING_OPER-INV_INFRAEST'!J416</f>
        <v>0</v>
      </c>
      <c r="G30" s="260">
        <f>'CTOS_VS_ING_OPER-INV_INFRAEST'!K416</f>
        <v>0</v>
      </c>
      <c r="H30" s="257"/>
    </row>
    <row r="31" spans="1:8" x14ac:dyDescent="0.25">
      <c r="A31" s="261" t="s">
        <v>158</v>
      </c>
      <c r="B31" s="262">
        <f>'CTOS_VS_ING_OPER-INV_INFRAEST'!F367</f>
        <v>0</v>
      </c>
      <c r="C31" s="262">
        <f>'CTOS_VS_ING_OPER-INV_INFRAEST'!G367</f>
        <v>0</v>
      </c>
      <c r="D31" s="262">
        <f>'CTOS_VS_ING_OPER-INV_INFRAEST'!H367</f>
        <v>0</v>
      </c>
      <c r="E31" s="262">
        <f>'CTOS_VS_ING_OPER-INV_INFRAEST'!I367</f>
        <v>0</v>
      </c>
      <c r="F31" s="262">
        <f>'CTOS_VS_ING_OPER-INV_INFRAEST'!J367</f>
        <v>0</v>
      </c>
      <c r="G31" s="262">
        <f>'CTOS_VS_ING_OPER-INV_INFRAEST'!K367</f>
        <v>0</v>
      </c>
      <c r="H31" s="257"/>
    </row>
    <row r="32" spans="1:8" x14ac:dyDescent="0.25">
      <c r="A32" s="261" t="s">
        <v>160</v>
      </c>
      <c r="B32" s="262"/>
      <c r="C32" s="262">
        <f>'CTOS_VS_ING_OPER-INV_INFRAEST'!G368</f>
        <v>0</v>
      </c>
      <c r="D32" s="262">
        <f>'CTOS_VS_ING_OPER-INV_INFRAEST'!H368</f>
        <v>0</v>
      </c>
      <c r="E32" s="262">
        <f>'CTOS_VS_ING_OPER-INV_INFRAEST'!I368</f>
        <v>0</v>
      </c>
      <c r="F32" s="262">
        <f>'CTOS_VS_ING_OPER-INV_INFRAEST'!J368</f>
        <v>0</v>
      </c>
      <c r="G32" s="262">
        <f>'CTOS_VS_ING_OPER-INV_INFRAEST'!K368</f>
        <v>0</v>
      </c>
      <c r="H32" s="257"/>
    </row>
    <row r="33" spans="1:8" x14ac:dyDescent="0.25">
      <c r="A33" s="261" t="s">
        <v>161</v>
      </c>
      <c r="B33" s="262">
        <f t="shared" ref="B33:G33" si="6">B31+B32</f>
        <v>0</v>
      </c>
      <c r="C33" s="262">
        <f t="shared" si="6"/>
        <v>0</v>
      </c>
      <c r="D33" s="262">
        <f t="shared" si="6"/>
        <v>0</v>
      </c>
      <c r="E33" s="262">
        <f t="shared" si="6"/>
        <v>0</v>
      </c>
      <c r="F33" s="262">
        <f t="shared" si="6"/>
        <v>0</v>
      </c>
      <c r="G33" s="262">
        <f t="shared" si="6"/>
        <v>0</v>
      </c>
      <c r="H33" s="257"/>
    </row>
    <row r="34" spans="1:8" x14ac:dyDescent="0.25">
      <c r="A34" s="259" t="s">
        <v>162</v>
      </c>
      <c r="B34" s="260">
        <f>'CTOS_VS_ING_OPER-INV_INFRAEST'!F372</f>
        <v>0</v>
      </c>
      <c r="C34" s="260">
        <f>'CTOS_VS_ING_OPER-INV_INFRAEST'!G372</f>
        <v>0</v>
      </c>
      <c r="D34" s="260">
        <f>'CTOS_VS_ING_OPER-INV_INFRAEST'!H372</f>
        <v>0</v>
      </c>
      <c r="E34" s="260">
        <f>'CTOS_VS_ING_OPER-INV_INFRAEST'!I372</f>
        <v>0</v>
      </c>
      <c r="F34" s="260">
        <f>'CTOS_VS_ING_OPER-INV_INFRAEST'!J372</f>
        <v>0</v>
      </c>
      <c r="G34" s="260">
        <f>'CTOS_VS_ING_OPER-INV_INFRAEST'!K372</f>
        <v>0</v>
      </c>
      <c r="H34" s="257"/>
    </row>
    <row r="35" spans="1:8" x14ac:dyDescent="0.25">
      <c r="A35" s="259" t="s">
        <v>163</v>
      </c>
      <c r="B35" s="260"/>
      <c r="C35" s="260">
        <f>'CTOS_VS_ING_OPER-INV_INFRAEST'!G373</f>
        <v>0</v>
      </c>
      <c r="D35" s="260">
        <f>'CTOS_VS_ING_OPER-INV_INFRAEST'!H373</f>
        <v>0</v>
      </c>
      <c r="E35" s="260">
        <f>'CTOS_VS_ING_OPER-INV_INFRAEST'!I373</f>
        <v>0</v>
      </c>
      <c r="F35" s="260">
        <f>'CTOS_VS_ING_OPER-INV_INFRAEST'!J373</f>
        <v>0</v>
      </c>
      <c r="G35" s="260">
        <f>'CTOS_VS_ING_OPER-INV_INFRAEST'!K373</f>
        <v>0</v>
      </c>
      <c r="H35" s="257"/>
    </row>
    <row r="36" spans="1:8" x14ac:dyDescent="0.25">
      <c r="A36" s="259" t="s">
        <v>164</v>
      </c>
      <c r="B36" s="260">
        <f>B34+B35</f>
        <v>0</v>
      </c>
      <c r="C36" s="260">
        <f t="shared" ref="C36:G36" si="7">C34+C35</f>
        <v>0</v>
      </c>
      <c r="D36" s="260">
        <f t="shared" si="7"/>
        <v>0</v>
      </c>
      <c r="E36" s="260">
        <f t="shared" si="7"/>
        <v>0</v>
      </c>
      <c r="F36" s="260">
        <f t="shared" si="7"/>
        <v>0</v>
      </c>
      <c r="G36" s="260">
        <f t="shared" si="7"/>
        <v>0</v>
      </c>
      <c r="H36" s="257"/>
    </row>
    <row r="37" spans="1:8" x14ac:dyDescent="0.25">
      <c r="A37" s="261" t="s">
        <v>165</v>
      </c>
      <c r="B37" s="262">
        <f>'CTOS_VS_ING_OPER-INV_INFRAEST'!F377</f>
        <v>0</v>
      </c>
      <c r="C37" s="262">
        <f>'CTOS_VS_ING_OPER-INV_INFRAEST'!G377</f>
        <v>0</v>
      </c>
      <c r="D37" s="262">
        <f>'CTOS_VS_ING_OPER-INV_INFRAEST'!H377</f>
        <v>0</v>
      </c>
      <c r="E37" s="262">
        <f>'CTOS_VS_ING_OPER-INV_INFRAEST'!I377</f>
        <v>0</v>
      </c>
      <c r="F37" s="262">
        <f>'CTOS_VS_ING_OPER-INV_INFRAEST'!J377</f>
        <v>0</v>
      </c>
      <c r="G37" s="262">
        <f>'CTOS_VS_ING_OPER-INV_INFRAEST'!K377</f>
        <v>0</v>
      </c>
      <c r="H37" s="257"/>
    </row>
    <row r="38" spans="1:8" x14ac:dyDescent="0.25">
      <c r="A38" s="261" t="s">
        <v>159</v>
      </c>
      <c r="B38" s="262"/>
      <c r="C38" s="262">
        <f>'CTOS_VS_ING_OPER-INV_INFRAEST'!G378</f>
        <v>0</v>
      </c>
      <c r="D38" s="262">
        <f>'CTOS_VS_ING_OPER-INV_INFRAEST'!H378</f>
        <v>0</v>
      </c>
      <c r="E38" s="262">
        <f>'CTOS_VS_ING_OPER-INV_INFRAEST'!I378</f>
        <v>0</v>
      </c>
      <c r="F38" s="262">
        <f>'CTOS_VS_ING_OPER-INV_INFRAEST'!J378</f>
        <v>0</v>
      </c>
      <c r="G38" s="262">
        <f>'CTOS_VS_ING_OPER-INV_INFRAEST'!K378</f>
        <v>0</v>
      </c>
      <c r="H38" s="257"/>
    </row>
    <row r="39" spans="1:8" x14ac:dyDescent="0.25">
      <c r="A39" s="261" t="s">
        <v>166</v>
      </c>
      <c r="B39" s="262">
        <f t="shared" ref="B39:G39" si="8">B37+B38</f>
        <v>0</v>
      </c>
      <c r="C39" s="262">
        <f t="shared" si="8"/>
        <v>0</v>
      </c>
      <c r="D39" s="262">
        <f t="shared" si="8"/>
        <v>0</v>
      </c>
      <c r="E39" s="262">
        <f t="shared" si="8"/>
        <v>0</v>
      </c>
      <c r="F39" s="262">
        <f t="shared" si="8"/>
        <v>0</v>
      </c>
      <c r="G39" s="262">
        <f t="shared" si="8"/>
        <v>0</v>
      </c>
      <c r="H39" s="257"/>
    </row>
    <row r="40" spans="1:8" x14ac:dyDescent="0.25">
      <c r="A40" s="259" t="s">
        <v>167</v>
      </c>
      <c r="B40" s="260">
        <f>'CTOS_VS_ING_OPER-INV_INFRAEST'!F382</f>
        <v>0</v>
      </c>
      <c r="C40" s="260">
        <f>'CTOS_VS_ING_OPER-INV_INFRAEST'!G382</f>
        <v>0</v>
      </c>
      <c r="D40" s="260">
        <f>'CTOS_VS_ING_OPER-INV_INFRAEST'!H382</f>
        <v>0</v>
      </c>
      <c r="E40" s="260">
        <f>'CTOS_VS_ING_OPER-INV_INFRAEST'!I382</f>
        <v>0</v>
      </c>
      <c r="F40" s="260">
        <f>'CTOS_VS_ING_OPER-INV_INFRAEST'!J382</f>
        <v>0</v>
      </c>
      <c r="G40" s="260">
        <f>'CTOS_VS_ING_OPER-INV_INFRAEST'!K382</f>
        <v>0</v>
      </c>
      <c r="H40" s="257"/>
    </row>
    <row r="41" spans="1:8" x14ac:dyDescent="0.25">
      <c r="A41" s="259" t="s">
        <v>159</v>
      </c>
      <c r="B41" s="260"/>
      <c r="C41" s="260">
        <f>'CTOS_VS_ING_OPER-INV_INFRAEST'!G383</f>
        <v>0</v>
      </c>
      <c r="D41" s="260">
        <f>'CTOS_VS_ING_OPER-INV_INFRAEST'!H383</f>
        <v>0</v>
      </c>
      <c r="E41" s="260">
        <f>'CTOS_VS_ING_OPER-INV_INFRAEST'!I383</f>
        <v>0</v>
      </c>
      <c r="F41" s="260">
        <f>'CTOS_VS_ING_OPER-INV_INFRAEST'!J383</f>
        <v>0</v>
      </c>
      <c r="G41" s="260">
        <f>'CTOS_VS_ING_OPER-INV_INFRAEST'!K383</f>
        <v>0</v>
      </c>
      <c r="H41" s="257"/>
    </row>
    <row r="42" spans="1:8" x14ac:dyDescent="0.25">
      <c r="A42" s="259" t="s">
        <v>168</v>
      </c>
      <c r="B42" s="260">
        <f t="shared" ref="B42:G42" si="9">B40+B41</f>
        <v>0</v>
      </c>
      <c r="C42" s="260">
        <f t="shared" si="9"/>
        <v>0</v>
      </c>
      <c r="D42" s="260">
        <f t="shared" si="9"/>
        <v>0</v>
      </c>
      <c r="E42" s="260">
        <f t="shared" si="9"/>
        <v>0</v>
      </c>
      <c r="F42" s="260">
        <f t="shared" si="9"/>
        <v>0</v>
      </c>
      <c r="G42" s="260">
        <f t="shared" si="9"/>
        <v>0</v>
      </c>
      <c r="H42" s="257"/>
    </row>
    <row r="43" spans="1:8" x14ac:dyDescent="0.25">
      <c r="A43" s="261" t="s">
        <v>169</v>
      </c>
      <c r="B43" s="262">
        <f>'CTOS_VS_ING_OPER-INV_INFRAEST'!F387</f>
        <v>0</v>
      </c>
      <c r="C43" s="262">
        <f>'CTOS_VS_ING_OPER-INV_INFRAEST'!G387</f>
        <v>0</v>
      </c>
      <c r="D43" s="262">
        <f>'CTOS_VS_ING_OPER-INV_INFRAEST'!H387</f>
        <v>0</v>
      </c>
      <c r="E43" s="262">
        <f>'CTOS_VS_ING_OPER-INV_INFRAEST'!I387</f>
        <v>0</v>
      </c>
      <c r="F43" s="262">
        <f>'CTOS_VS_ING_OPER-INV_INFRAEST'!J387</f>
        <v>0</v>
      </c>
      <c r="G43" s="262">
        <f>'CTOS_VS_ING_OPER-INV_INFRAEST'!K387</f>
        <v>0</v>
      </c>
      <c r="H43" s="257"/>
    </row>
    <row r="44" spans="1:8" x14ac:dyDescent="0.25">
      <c r="A44" s="261" t="s">
        <v>159</v>
      </c>
      <c r="B44" s="262"/>
      <c r="C44" s="262">
        <f>'CTOS_VS_ING_OPER-INV_INFRAEST'!G388</f>
        <v>0</v>
      </c>
      <c r="D44" s="262">
        <f>'CTOS_VS_ING_OPER-INV_INFRAEST'!H388</f>
        <v>0</v>
      </c>
      <c r="E44" s="262">
        <f>'CTOS_VS_ING_OPER-INV_INFRAEST'!I388</f>
        <v>0</v>
      </c>
      <c r="F44" s="262">
        <f>'CTOS_VS_ING_OPER-INV_INFRAEST'!J388</f>
        <v>0</v>
      </c>
      <c r="G44" s="262">
        <f>'CTOS_VS_ING_OPER-INV_INFRAEST'!K388</f>
        <v>0</v>
      </c>
      <c r="H44" s="257"/>
    </row>
    <row r="45" spans="1:8" x14ac:dyDescent="0.25">
      <c r="A45" s="261" t="s">
        <v>170</v>
      </c>
      <c r="B45" s="262">
        <f t="shared" ref="B45:G45" si="10">B43+B44</f>
        <v>0</v>
      </c>
      <c r="C45" s="262">
        <f t="shared" si="10"/>
        <v>0</v>
      </c>
      <c r="D45" s="262">
        <f t="shared" si="10"/>
        <v>0</v>
      </c>
      <c r="E45" s="262">
        <f t="shared" si="10"/>
        <v>0</v>
      </c>
      <c r="F45" s="262">
        <f t="shared" si="10"/>
        <v>0</v>
      </c>
      <c r="G45" s="262">
        <f t="shared" si="10"/>
        <v>0</v>
      </c>
      <c r="H45" s="257"/>
    </row>
    <row r="46" spans="1:8" x14ac:dyDescent="0.25">
      <c r="A46" s="259" t="s">
        <v>171</v>
      </c>
      <c r="B46" s="260">
        <f>'CTOS_VS_ING_OPER-INV_INFRAEST'!F392</f>
        <v>0</v>
      </c>
      <c r="C46" s="260">
        <f>'CTOS_VS_ING_OPER-INV_INFRAEST'!G392</f>
        <v>0</v>
      </c>
      <c r="D46" s="260">
        <f>'CTOS_VS_ING_OPER-INV_INFRAEST'!H392</f>
        <v>0</v>
      </c>
      <c r="E46" s="260">
        <f>'CTOS_VS_ING_OPER-INV_INFRAEST'!I392</f>
        <v>0</v>
      </c>
      <c r="F46" s="260">
        <f>'CTOS_VS_ING_OPER-INV_INFRAEST'!J392</f>
        <v>0</v>
      </c>
      <c r="G46" s="260">
        <f>'CTOS_VS_ING_OPER-INV_INFRAEST'!K392</f>
        <v>0</v>
      </c>
      <c r="H46" s="257"/>
    </row>
    <row r="47" spans="1:8" x14ac:dyDescent="0.25">
      <c r="A47" s="259" t="s">
        <v>172</v>
      </c>
      <c r="B47" s="260"/>
      <c r="C47" s="260">
        <f>'CTOS_VS_ING_OPER-INV_INFRAEST'!G393</f>
        <v>0</v>
      </c>
      <c r="D47" s="260">
        <f>'CTOS_VS_ING_OPER-INV_INFRAEST'!H393</f>
        <v>0</v>
      </c>
      <c r="E47" s="260">
        <f>'CTOS_VS_ING_OPER-INV_INFRAEST'!I393</f>
        <v>0</v>
      </c>
      <c r="F47" s="260">
        <f>'CTOS_VS_ING_OPER-INV_INFRAEST'!J393</f>
        <v>0</v>
      </c>
      <c r="G47" s="260">
        <f>'CTOS_VS_ING_OPER-INV_INFRAEST'!K393</f>
        <v>0</v>
      </c>
      <c r="H47" s="257"/>
    </row>
    <row r="48" spans="1:8" x14ac:dyDescent="0.25">
      <c r="A48" s="259" t="s">
        <v>171</v>
      </c>
      <c r="B48" s="260">
        <f>B46+B47</f>
        <v>0</v>
      </c>
      <c r="C48" s="260">
        <f t="shared" ref="C48:G48" si="11">C46+C47</f>
        <v>0</v>
      </c>
      <c r="D48" s="260">
        <f t="shared" si="11"/>
        <v>0</v>
      </c>
      <c r="E48" s="260">
        <f t="shared" si="11"/>
        <v>0</v>
      </c>
      <c r="F48" s="260">
        <f t="shared" si="11"/>
        <v>0</v>
      </c>
      <c r="G48" s="260">
        <f t="shared" si="11"/>
        <v>0</v>
      </c>
      <c r="H48" s="257"/>
    </row>
    <row r="49" spans="1:8" x14ac:dyDescent="0.25">
      <c r="A49" s="261" t="s">
        <v>173</v>
      </c>
      <c r="B49" s="262">
        <f>'CTOS_VS_ING_OPER-INV_INFRAEST'!F397</f>
        <v>0</v>
      </c>
      <c r="C49" s="262">
        <f>'CTOS_VS_ING_OPER-INV_INFRAEST'!G397</f>
        <v>0</v>
      </c>
      <c r="D49" s="262">
        <f>'CTOS_VS_ING_OPER-INV_INFRAEST'!H397</f>
        <v>0</v>
      </c>
      <c r="E49" s="262">
        <f>'CTOS_VS_ING_OPER-INV_INFRAEST'!I397</f>
        <v>0</v>
      </c>
      <c r="F49" s="262">
        <f>'CTOS_VS_ING_OPER-INV_INFRAEST'!J397</f>
        <v>0</v>
      </c>
      <c r="G49" s="262">
        <f>'CTOS_VS_ING_OPER-INV_INFRAEST'!K397</f>
        <v>0</v>
      </c>
      <c r="H49" s="257"/>
    </row>
    <row r="50" spans="1:8" x14ac:dyDescent="0.25">
      <c r="A50" s="261" t="s">
        <v>172</v>
      </c>
      <c r="B50" s="262"/>
      <c r="C50" s="262">
        <f>'CTOS_VS_ING_OPER-INV_INFRAEST'!G398</f>
        <v>0</v>
      </c>
      <c r="D50" s="262">
        <f>'CTOS_VS_ING_OPER-INV_INFRAEST'!H398</f>
        <v>0</v>
      </c>
      <c r="E50" s="262">
        <f>'CTOS_VS_ING_OPER-INV_INFRAEST'!I398</f>
        <v>0</v>
      </c>
      <c r="F50" s="262">
        <f>'CTOS_VS_ING_OPER-INV_INFRAEST'!J398</f>
        <v>0</v>
      </c>
      <c r="G50" s="262">
        <f>'CTOS_VS_ING_OPER-INV_INFRAEST'!K398</f>
        <v>0</v>
      </c>
      <c r="H50" s="257"/>
    </row>
    <row r="51" spans="1:8" x14ac:dyDescent="0.25">
      <c r="A51" s="261" t="s">
        <v>311</v>
      </c>
      <c r="B51" s="262">
        <f>B49+B50</f>
        <v>0</v>
      </c>
      <c r="C51" s="262">
        <f t="shared" ref="C51:G51" si="12">C49+C50</f>
        <v>0</v>
      </c>
      <c r="D51" s="262">
        <f t="shared" si="12"/>
        <v>0</v>
      </c>
      <c r="E51" s="262">
        <f t="shared" si="12"/>
        <v>0</v>
      </c>
      <c r="F51" s="262">
        <f t="shared" si="12"/>
        <v>0</v>
      </c>
      <c r="G51" s="262">
        <f t="shared" si="12"/>
        <v>0</v>
      </c>
      <c r="H51" s="257"/>
    </row>
    <row r="52" spans="1:8" x14ac:dyDescent="0.25">
      <c r="A52" s="263" t="s">
        <v>174</v>
      </c>
      <c r="B52" s="258">
        <f>B30+B33+B36+B39+B42+B45+B48+B51</f>
        <v>0</v>
      </c>
      <c r="C52" s="258">
        <f t="shared" ref="C52:G52" si="13">C30+C33+C36+C39+C42+C45+C48+C51</f>
        <v>0</v>
      </c>
      <c r="D52" s="258">
        <f t="shared" si="13"/>
        <v>0</v>
      </c>
      <c r="E52" s="258">
        <f t="shared" si="13"/>
        <v>0</v>
      </c>
      <c r="F52" s="258">
        <f t="shared" si="13"/>
        <v>0</v>
      </c>
      <c r="G52" s="258">
        <f t="shared" si="13"/>
        <v>0</v>
      </c>
    </row>
    <row r="53" spans="1:8" ht="18.75" x14ac:dyDescent="0.3">
      <c r="A53" s="691" t="s">
        <v>69</v>
      </c>
      <c r="B53" s="692"/>
      <c r="C53" s="692"/>
      <c r="D53" s="692"/>
      <c r="E53" s="692"/>
      <c r="F53" s="692"/>
      <c r="G53" s="693"/>
    </row>
    <row r="54" spans="1:8" x14ac:dyDescent="0.25">
      <c r="A54" s="259" t="s">
        <v>69</v>
      </c>
      <c r="B54" s="264">
        <f>'CTOS_VS_ING_OPER-INV_INFRAEST'!F407</f>
        <v>0</v>
      </c>
      <c r="C54" s="264">
        <f>'CTOS_VS_ING_OPER-INV_INFRAEST'!G407</f>
        <v>0</v>
      </c>
      <c r="D54" s="264">
        <f>'CTOS_VS_ING_OPER-INV_INFRAEST'!H407</f>
        <v>0</v>
      </c>
      <c r="E54" s="264">
        <f>'CTOS_VS_ING_OPER-INV_INFRAEST'!I407</f>
        <v>0</v>
      </c>
      <c r="F54" s="264">
        <f>'CTOS_VS_ING_OPER-INV_INFRAEST'!J407</f>
        <v>0</v>
      </c>
      <c r="G54" s="264">
        <f>'CTOS_VS_ING_OPER-INV_INFRAEST'!K407</f>
        <v>0</v>
      </c>
      <c r="H54" s="257"/>
    </row>
    <row r="55" spans="1:8" x14ac:dyDescent="0.25">
      <c r="A55" s="259" t="s">
        <v>175</v>
      </c>
      <c r="B55" s="264">
        <f>'CTOS_VS_ING_OPER-INV_INFRAEST'!F409</f>
        <v>0</v>
      </c>
      <c r="C55" s="264">
        <f>'CTOS_VS_ING_OPER-INV_INFRAEST'!G409</f>
        <v>0</v>
      </c>
      <c r="D55" s="264">
        <f>'CTOS_VS_ING_OPER-INV_INFRAEST'!H409</f>
        <v>0</v>
      </c>
      <c r="E55" s="264">
        <f>'CTOS_VS_ING_OPER-INV_INFRAEST'!I409</f>
        <v>0</v>
      </c>
      <c r="F55" s="264">
        <f>'CTOS_VS_ING_OPER-INV_INFRAEST'!J409</f>
        <v>0</v>
      </c>
      <c r="G55" s="264">
        <f>'CTOS_VS_ING_OPER-INV_INFRAEST'!K409</f>
        <v>0</v>
      </c>
      <c r="H55" s="257"/>
    </row>
    <row r="56" spans="1:8" x14ac:dyDescent="0.25">
      <c r="A56" s="259" t="s">
        <v>69</v>
      </c>
      <c r="B56" s="264">
        <f>B54+B55</f>
        <v>0</v>
      </c>
      <c r="C56" s="264">
        <f t="shared" ref="C56:G56" si="14">C54+C55</f>
        <v>0</v>
      </c>
      <c r="D56" s="264">
        <f t="shared" si="14"/>
        <v>0</v>
      </c>
      <c r="E56" s="264">
        <f t="shared" si="14"/>
        <v>0</v>
      </c>
      <c r="F56" s="264">
        <f t="shared" si="14"/>
        <v>0</v>
      </c>
      <c r="G56" s="264">
        <f t="shared" si="14"/>
        <v>0</v>
      </c>
      <c r="H56" s="257"/>
    </row>
    <row r="57" spans="1:8" ht="15.75" thickBot="1" x14ac:dyDescent="0.3">
      <c r="A57" s="265" t="s">
        <v>176</v>
      </c>
      <c r="B57" s="266">
        <f t="shared" ref="B57:G57" si="15">B25+B28+B52+B56</f>
        <v>0</v>
      </c>
      <c r="C57" s="266">
        <f t="shared" si="15"/>
        <v>0</v>
      </c>
      <c r="D57" s="266">
        <f t="shared" si="15"/>
        <v>0</v>
      </c>
      <c r="E57" s="266">
        <f t="shared" si="15"/>
        <v>0</v>
      </c>
      <c r="F57" s="266">
        <f t="shared" si="15"/>
        <v>0</v>
      </c>
      <c r="G57" s="266">
        <f t="shared" si="15"/>
        <v>0</v>
      </c>
    </row>
    <row r="59" spans="1:8" ht="15.75" thickBot="1" x14ac:dyDescent="0.3"/>
    <row r="60" spans="1:8" ht="18.75" x14ac:dyDescent="0.3">
      <c r="A60" s="688" t="s">
        <v>177</v>
      </c>
      <c r="B60" s="689"/>
      <c r="C60" s="689"/>
      <c r="D60" s="689"/>
      <c r="E60" s="689"/>
      <c r="F60" s="689"/>
      <c r="G60" s="690"/>
    </row>
    <row r="61" spans="1:8" x14ac:dyDescent="0.25">
      <c r="A61" s="267" t="s">
        <v>139</v>
      </c>
      <c r="B61" s="268">
        <f t="shared" ref="B61:G61" si="16">C15</f>
        <v>0</v>
      </c>
      <c r="C61" s="268">
        <f t="shared" si="16"/>
        <v>0</v>
      </c>
      <c r="D61" s="268">
        <f t="shared" si="16"/>
        <v>0</v>
      </c>
      <c r="E61" s="268">
        <f t="shared" si="16"/>
        <v>0</v>
      </c>
      <c r="F61" s="268">
        <f t="shared" si="16"/>
        <v>0</v>
      </c>
      <c r="G61" s="268">
        <f t="shared" si="16"/>
        <v>0</v>
      </c>
    </row>
    <row r="62" spans="1:8" x14ac:dyDescent="0.25">
      <c r="A62" s="267" t="s">
        <v>178</v>
      </c>
      <c r="B62" s="268">
        <f>ESTADO_DE_RESULTADOS!B28</f>
        <v>0</v>
      </c>
      <c r="C62" s="268">
        <f>ESTADO_DE_RESULTADOS!C28</f>
        <v>0</v>
      </c>
      <c r="D62" s="268">
        <f>ESTADO_DE_RESULTADOS!D28</f>
        <v>0</v>
      </c>
      <c r="E62" s="268">
        <f>ESTADO_DE_RESULTADOS!E28</f>
        <v>0</v>
      </c>
      <c r="F62" s="268">
        <f>ESTADO_DE_RESULTADOS!F28</f>
        <v>0</v>
      </c>
      <c r="G62" s="268">
        <f>ESTADO_DE_RESULTADOS!G29</f>
        <v>0</v>
      </c>
    </row>
    <row r="63" spans="1:8" x14ac:dyDescent="0.25">
      <c r="A63" s="263" t="s">
        <v>179</v>
      </c>
      <c r="B63" s="258">
        <f t="shared" ref="B63:G63" si="17">SUM(B61:B62)</f>
        <v>0</v>
      </c>
      <c r="C63" s="258">
        <f t="shared" si="17"/>
        <v>0</v>
      </c>
      <c r="D63" s="258">
        <f t="shared" si="17"/>
        <v>0</v>
      </c>
      <c r="E63" s="258">
        <f t="shared" si="17"/>
        <v>0</v>
      </c>
      <c r="F63" s="258">
        <f t="shared" si="17"/>
        <v>0</v>
      </c>
      <c r="G63" s="258">
        <f t="shared" si="17"/>
        <v>0</v>
      </c>
    </row>
    <row r="64" spans="1:8" x14ac:dyDescent="0.25">
      <c r="A64" s="267" t="s">
        <v>180</v>
      </c>
      <c r="B64" s="268">
        <f>NECESIDADES_DE_FINANCIACION!E21</f>
        <v>0</v>
      </c>
      <c r="C64" s="268">
        <f>NECESIDADES_DE_FINANCIACION!G28*-1</f>
        <v>0</v>
      </c>
      <c r="D64" s="268">
        <f>NECESIDADES_DE_FINANCIACION!G29*-1</f>
        <v>0</v>
      </c>
      <c r="E64" s="268">
        <f>NECESIDADES_DE_FINANCIACION!G30*-1</f>
        <v>0</v>
      </c>
      <c r="F64" s="268">
        <f>NECESIDADES_DE_FINANCIACION!G31*-1</f>
        <v>0</v>
      </c>
      <c r="G64" s="268">
        <f>NECESIDADES_DE_FINANCIACION!G32*-1</f>
        <v>0</v>
      </c>
    </row>
    <row r="65" spans="1:7" x14ac:dyDescent="0.25">
      <c r="A65" s="263" t="s">
        <v>181</v>
      </c>
      <c r="B65" s="258">
        <f t="shared" ref="B65:G65" si="18">B63+B64</f>
        <v>0</v>
      </c>
      <c r="C65" s="258">
        <f t="shared" si="18"/>
        <v>0</v>
      </c>
      <c r="D65" s="258">
        <f t="shared" si="18"/>
        <v>0</v>
      </c>
      <c r="E65" s="258">
        <f t="shared" si="18"/>
        <v>0</v>
      </c>
      <c r="F65" s="258">
        <f t="shared" si="18"/>
        <v>0</v>
      </c>
      <c r="G65" s="258">
        <f t="shared" si="18"/>
        <v>0</v>
      </c>
    </row>
    <row r="66" spans="1:7" ht="18.75" x14ac:dyDescent="0.3">
      <c r="A66" s="691" t="s">
        <v>182</v>
      </c>
      <c r="B66" s="692"/>
      <c r="C66" s="692"/>
      <c r="D66" s="692"/>
      <c r="E66" s="692"/>
      <c r="F66" s="692"/>
      <c r="G66" s="693"/>
    </row>
    <row r="67" spans="1:7" x14ac:dyDescent="0.25">
      <c r="A67" s="269" t="s">
        <v>183</v>
      </c>
      <c r="B67" s="270">
        <f>NECESIDADES_DE_FINANCIACION!E20</f>
        <v>0</v>
      </c>
      <c r="C67" s="270">
        <f>B67+FLUJO_DE_CAJA!B39</f>
        <v>0</v>
      </c>
      <c r="D67" s="270">
        <f>C67+FLUJO_DE_CAJA!C39</f>
        <v>0</v>
      </c>
      <c r="E67" s="270">
        <f>D67+FLUJO_DE_CAJA!D39</f>
        <v>0</v>
      </c>
      <c r="F67" s="270">
        <f>E67+FLUJO_DE_CAJA!E39</f>
        <v>0</v>
      </c>
      <c r="G67" s="270">
        <f>F67+FLUJO_DE_CAJA!F39</f>
        <v>0</v>
      </c>
    </row>
    <row r="68" spans="1:7" x14ac:dyDescent="0.25">
      <c r="A68" s="269" t="s">
        <v>184</v>
      </c>
      <c r="B68" s="270">
        <f>0</f>
        <v>0</v>
      </c>
      <c r="C68" s="270">
        <f>ESTADO_DE_RESULTADOS!B29</f>
        <v>0</v>
      </c>
      <c r="D68" s="270">
        <f>ESTADO_DE_RESULTADOS!C29</f>
        <v>0</v>
      </c>
      <c r="E68" s="270">
        <f>ESTADO_DE_RESULTADOS!D29</f>
        <v>0</v>
      </c>
      <c r="F68" s="270">
        <f>ESTADO_DE_RESULTADOS!E29</f>
        <v>0</v>
      </c>
      <c r="G68" s="270">
        <f>ESTADO_DE_RESULTADOS!F29</f>
        <v>0</v>
      </c>
    </row>
    <row r="69" spans="1:7" x14ac:dyDescent="0.25">
      <c r="A69" s="269" t="s">
        <v>185</v>
      </c>
      <c r="B69" s="270">
        <f>0</f>
        <v>0</v>
      </c>
      <c r="C69" s="270">
        <f>ESTADO_DE_RESULTADOS!B35</f>
        <v>0</v>
      </c>
      <c r="D69" s="270">
        <f>ESTADO_DE_RESULTADOS!C35</f>
        <v>0</v>
      </c>
      <c r="E69" s="270">
        <f>ESTADO_DE_RESULTADOS!D35</f>
        <v>0</v>
      </c>
      <c r="F69" s="270">
        <f>ESTADO_DE_RESULTADOS!E35</f>
        <v>0</v>
      </c>
      <c r="G69" s="270">
        <f>ESTADO_DE_RESULTADOS!F35</f>
        <v>0</v>
      </c>
    </row>
    <row r="70" spans="1:7" x14ac:dyDescent="0.25">
      <c r="A70" s="269" t="s">
        <v>186</v>
      </c>
      <c r="B70" s="270">
        <f>0</f>
        <v>0</v>
      </c>
      <c r="C70" s="270">
        <f>ESTADO_DE_RESULTADOS!B31</f>
        <v>0</v>
      </c>
      <c r="D70" s="270">
        <f>ESTADO_DE_RESULTADOS!C31</f>
        <v>0</v>
      </c>
      <c r="E70" s="270">
        <f>ESTADO_DE_RESULTADOS!D31</f>
        <v>0</v>
      </c>
      <c r="F70" s="270">
        <f>ESTADO_DE_RESULTADOS!E31</f>
        <v>0</v>
      </c>
      <c r="G70" s="270">
        <f>ESTADO_DE_RESULTADOS!F31</f>
        <v>0</v>
      </c>
    </row>
    <row r="71" spans="1:7" x14ac:dyDescent="0.25">
      <c r="A71" s="269" t="s">
        <v>187</v>
      </c>
      <c r="B71" s="270">
        <f>0</f>
        <v>0</v>
      </c>
      <c r="C71" s="270"/>
      <c r="D71" s="270"/>
      <c r="E71" s="270"/>
      <c r="F71" s="270"/>
      <c r="G71" s="271"/>
    </row>
    <row r="72" spans="1:7" x14ac:dyDescent="0.25">
      <c r="A72" s="263" t="s">
        <v>188</v>
      </c>
      <c r="B72" s="258">
        <f t="shared" ref="B72:G72" si="19">B67+B68+B69+B70+B71</f>
        <v>0</v>
      </c>
      <c r="C72" s="258">
        <f t="shared" si="19"/>
        <v>0</v>
      </c>
      <c r="D72" s="258">
        <f t="shared" si="19"/>
        <v>0</v>
      </c>
      <c r="E72" s="258">
        <f t="shared" si="19"/>
        <v>0</v>
      </c>
      <c r="F72" s="258">
        <f t="shared" si="19"/>
        <v>0</v>
      </c>
      <c r="G72" s="258">
        <f t="shared" si="19"/>
        <v>0</v>
      </c>
    </row>
    <row r="73" spans="1:7" x14ac:dyDescent="0.25">
      <c r="A73" s="272"/>
      <c r="B73" s="150"/>
      <c r="C73" s="150"/>
      <c r="D73" s="150"/>
      <c r="E73" s="150"/>
      <c r="F73" s="150"/>
      <c r="G73" s="273"/>
    </row>
    <row r="74" spans="1:7" ht="15.75" thickBot="1" x14ac:dyDescent="0.3">
      <c r="A74" s="265" t="s">
        <v>189</v>
      </c>
      <c r="B74" s="266">
        <f t="shared" ref="B74:G74" si="20">B65+B72</f>
        <v>0</v>
      </c>
      <c r="C74" s="266">
        <f t="shared" si="20"/>
        <v>0</v>
      </c>
      <c r="D74" s="266">
        <f t="shared" si="20"/>
        <v>0</v>
      </c>
      <c r="E74" s="266">
        <f t="shared" si="20"/>
        <v>0</v>
      </c>
      <c r="F74" s="266">
        <f t="shared" si="20"/>
        <v>0</v>
      </c>
      <c r="G74" s="266">
        <f t="shared" si="20"/>
        <v>0</v>
      </c>
    </row>
    <row r="76" spans="1:7" x14ac:dyDescent="0.25">
      <c r="A76" s="274" t="s">
        <v>190</v>
      </c>
      <c r="B76" s="275">
        <f t="shared" ref="B76:G76" si="21">B74-B57</f>
        <v>0</v>
      </c>
      <c r="C76" s="275">
        <f t="shared" si="21"/>
        <v>0</v>
      </c>
      <c r="D76" s="275">
        <f t="shared" si="21"/>
        <v>0</v>
      </c>
      <c r="E76" s="275">
        <f t="shared" si="21"/>
        <v>0</v>
      </c>
      <c r="F76" s="275">
        <f t="shared" si="21"/>
        <v>0</v>
      </c>
      <c r="G76" s="275">
        <f t="shared" si="21"/>
        <v>0</v>
      </c>
    </row>
  </sheetData>
  <sheetProtection sheet="1" objects="1" scenarios="1"/>
  <mergeCells count="7">
    <mergeCell ref="A60:G60"/>
    <mergeCell ref="A66:G66"/>
    <mergeCell ref="A7:B7"/>
    <mergeCell ref="B19:G19"/>
    <mergeCell ref="A21:G21"/>
    <mergeCell ref="A29:G29"/>
    <mergeCell ref="A53:G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0" r:id="rId3" name="Button 2">
              <controlPr defaultSize="0" print="0" autoFill="0" autoPict="0" macro="[0]!Portada">
                <anchor moveWithCells="1" sizeWithCells="1">
                  <from>
                    <xdr:col>3</xdr:col>
                    <xdr:colOff>990600</xdr:colOff>
                    <xdr:row>1</xdr:row>
                    <xdr:rowOff>114300</xdr:rowOff>
                  </from>
                  <to>
                    <xdr:col>4</xdr:col>
                    <xdr:colOff>923925</xdr:colOff>
                    <xdr:row>4</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EB061-2E6B-417A-B61F-B60790CA19DE}">
  <sheetPr codeName="Hoja12"/>
  <dimension ref="A2:I36"/>
  <sheetViews>
    <sheetView showGridLines="0" zoomScaleNormal="100" workbookViewId="0">
      <selection activeCell="I17" sqref="I17"/>
    </sheetView>
  </sheetViews>
  <sheetFormatPr baseColWidth="10" defaultRowHeight="15" x14ac:dyDescent="0.25"/>
  <cols>
    <col min="1" max="1" width="33.28515625" style="139" bestFit="1" customWidth="1"/>
    <col min="2" max="2" width="16.28515625" style="139" customWidth="1"/>
    <col min="3" max="3" width="18.5703125" style="139" customWidth="1"/>
    <col min="4" max="4" width="16.85546875" style="139" customWidth="1"/>
    <col min="5" max="5" width="15.42578125" style="139" customWidth="1"/>
    <col min="6" max="6" width="15.7109375" style="139" customWidth="1"/>
    <col min="7" max="7" width="11.42578125" style="139"/>
    <col min="8" max="8" width="32.28515625" style="139" bestFit="1" customWidth="1"/>
    <col min="9" max="16384" width="11.42578125" style="139"/>
  </cols>
  <sheetData>
    <row r="2" spans="1:9" ht="15.75" thickBot="1" x14ac:dyDescent="0.3"/>
    <row r="3" spans="1:9" ht="37.5" x14ac:dyDescent="0.25">
      <c r="A3" s="288" t="s">
        <v>191</v>
      </c>
      <c r="B3" s="296">
        <f>BASES!D7</f>
        <v>2021</v>
      </c>
      <c r="C3" s="296">
        <f>BASES!E7</f>
        <v>2022</v>
      </c>
      <c r="D3" s="296">
        <f>BASES!F7</f>
        <v>2023</v>
      </c>
      <c r="E3" s="296">
        <f>BASES!G7</f>
        <v>2024</v>
      </c>
      <c r="F3" s="296">
        <f>BASES!H7</f>
        <v>2025</v>
      </c>
      <c r="G3" s="225"/>
    </row>
    <row r="4" spans="1:9" x14ac:dyDescent="0.25">
      <c r="A4" s="277" t="s">
        <v>192</v>
      </c>
      <c r="B4" s="438">
        <f>'CTOS_VS_ING_OPER-INV_INFRAEST'!G12</f>
        <v>0</v>
      </c>
      <c r="C4" s="438">
        <f>'CTOS_VS_ING_OPER-INV_INFRAEST'!I12</f>
        <v>0</v>
      </c>
      <c r="D4" s="438">
        <f>'CTOS_VS_ING_OPER-INV_INFRAEST'!K12</f>
        <v>0</v>
      </c>
      <c r="E4" s="438">
        <f>'CTOS_VS_ING_OPER-INV_INFRAEST'!M12</f>
        <v>0</v>
      </c>
      <c r="F4" s="438">
        <f>'CTOS_VS_ING_OPER-INV_INFRAEST'!O12</f>
        <v>0</v>
      </c>
    </row>
    <row r="5" spans="1:9" x14ac:dyDescent="0.25">
      <c r="A5" s="277" t="s">
        <v>193</v>
      </c>
      <c r="B5" s="278">
        <f>B4*$I$12</f>
        <v>0</v>
      </c>
      <c r="C5" s="278">
        <f>C4*$I$12</f>
        <v>0</v>
      </c>
      <c r="D5" s="278">
        <f>D4*$I$12</f>
        <v>0</v>
      </c>
      <c r="E5" s="278">
        <f>E4*$I$12</f>
        <v>0</v>
      </c>
      <c r="F5" s="278">
        <f>F4*$I$12</f>
        <v>0</v>
      </c>
    </row>
    <row r="6" spans="1:9" x14ac:dyDescent="0.25">
      <c r="A6" s="277" t="s">
        <v>194</v>
      </c>
      <c r="B6" s="438">
        <f>COSTOS_DE_PRODUCCION!D182</f>
        <v>0</v>
      </c>
      <c r="C6" s="438">
        <f>COSTOS_DE_PRODUCCION!F182</f>
        <v>0</v>
      </c>
      <c r="D6" s="438">
        <f>COSTOS_DE_PRODUCCION!G182</f>
        <v>0</v>
      </c>
      <c r="E6" s="438">
        <f>COSTOS_DE_PRODUCCION!H182</f>
        <v>0</v>
      </c>
      <c r="F6" s="438">
        <f>COSTOS_DE_PRODUCCION!I182</f>
        <v>0</v>
      </c>
      <c r="G6" s="403"/>
    </row>
    <row r="7" spans="1:9" x14ac:dyDescent="0.25">
      <c r="A7" s="277" t="s">
        <v>34</v>
      </c>
      <c r="B7" s="438">
        <f>'CTOS_VS_ING_OPER-INV_INFRAEST'!G412</f>
        <v>0</v>
      </c>
      <c r="C7" s="438">
        <f>'CTOS_VS_ING_OPER-INV_INFRAEST'!H412</f>
        <v>0</v>
      </c>
      <c r="D7" s="438">
        <f>'CTOS_VS_ING_OPER-INV_INFRAEST'!I412</f>
        <v>0</v>
      </c>
      <c r="E7" s="438">
        <f>'CTOS_VS_ING_OPER-INV_INFRAEST'!J412</f>
        <v>0</v>
      </c>
      <c r="F7" s="438">
        <f>'CTOS_VS_ING_OPER-INV_INFRAEST'!K412</f>
        <v>0</v>
      </c>
      <c r="G7" s="257"/>
    </row>
    <row r="8" spans="1:9" ht="15.75" thickBot="1" x14ac:dyDescent="0.3">
      <c r="A8" s="277" t="s">
        <v>195</v>
      </c>
      <c r="B8" s="438">
        <f>'CTOS_VS_ING_OPER-INV_INFRAEST'!G413</f>
        <v>0</v>
      </c>
      <c r="C8" s="438">
        <f>'CTOS_VS_ING_OPER-INV_INFRAEST'!H413</f>
        <v>0</v>
      </c>
      <c r="D8" s="438">
        <f>'CTOS_VS_ING_OPER-INV_INFRAEST'!I413</f>
        <v>0</v>
      </c>
      <c r="E8" s="438">
        <f>'CTOS_VS_ING_OPER-INV_INFRAEST'!J413</f>
        <v>0</v>
      </c>
      <c r="F8" s="438">
        <f>'CTOS_VS_ING_OPER-INV_INFRAEST'!K413</f>
        <v>0</v>
      </c>
      <c r="G8" s="257"/>
    </row>
    <row r="9" spans="1:9" x14ac:dyDescent="0.25">
      <c r="A9" s="289" t="s">
        <v>196</v>
      </c>
      <c r="B9" s="443">
        <f>B4-B5-B6-B7-B8</f>
        <v>0</v>
      </c>
      <c r="C9" s="443">
        <f>C4-C5-C6-C7-C8</f>
        <v>0</v>
      </c>
      <c r="D9" s="443">
        <f>D4-D5-D6-D7-D8</f>
        <v>0</v>
      </c>
      <c r="E9" s="443">
        <f>E4-E5-E6-E7-E8</f>
        <v>0</v>
      </c>
      <c r="F9" s="443">
        <f>F4-F5-F6-F7-F8</f>
        <v>0</v>
      </c>
      <c r="H9" s="293" t="s">
        <v>211</v>
      </c>
      <c r="I9" s="291">
        <v>0</v>
      </c>
    </row>
    <row r="10" spans="1:9" x14ac:dyDescent="0.25">
      <c r="A10" s="277" t="s">
        <v>197</v>
      </c>
      <c r="B10" s="438">
        <f>CUADRO_DE_COSTOS_Y_GASTOS_FIJOS!C6+CUADRO_DE_COSTOS_Y_GASTOS_FIJOS!C8</f>
        <v>0</v>
      </c>
      <c r="C10" s="438">
        <f>CUADRO_DE_COSTOS_Y_GASTOS_FIJOS!D6+CUADRO_DE_COSTOS_Y_GASTOS_FIJOS!D8</f>
        <v>0</v>
      </c>
      <c r="D10" s="438">
        <f>CUADRO_DE_COSTOS_Y_GASTOS_FIJOS!E6+CUADRO_DE_COSTOS_Y_GASTOS_FIJOS!E8</f>
        <v>0</v>
      </c>
      <c r="E10" s="438">
        <f>CUADRO_DE_COSTOS_Y_GASTOS_FIJOS!F6+CUADRO_DE_COSTOS_Y_GASTOS_FIJOS!F8</f>
        <v>0</v>
      </c>
      <c r="F10" s="438">
        <f>CUADRO_DE_COSTOS_Y_GASTOS_FIJOS!G6+CUADRO_DE_COSTOS_Y_GASTOS_FIJOS!G8</f>
        <v>0</v>
      </c>
      <c r="H10" s="294" t="s">
        <v>212</v>
      </c>
      <c r="I10" s="292">
        <v>0</v>
      </c>
    </row>
    <row r="11" spans="1:9" x14ac:dyDescent="0.25">
      <c r="A11" s="277" t="s">
        <v>198</v>
      </c>
      <c r="B11" s="438">
        <f>CUADRO_DE_COSTOS_Y_GASTOS_FIJOS!C5+CUADRO_DE_COSTOS_Y_GASTOS_FIJOS!C9</f>
        <v>0</v>
      </c>
      <c r="C11" s="438">
        <f>CUADRO_DE_COSTOS_Y_GASTOS_FIJOS!D5+CUADRO_DE_COSTOS_Y_GASTOS_FIJOS!D9</f>
        <v>0</v>
      </c>
      <c r="D11" s="438">
        <f>CUADRO_DE_COSTOS_Y_GASTOS_FIJOS!E5+CUADRO_DE_COSTOS_Y_GASTOS_FIJOS!E9</f>
        <v>0</v>
      </c>
      <c r="E11" s="438">
        <f>CUADRO_DE_COSTOS_Y_GASTOS_FIJOS!F5+CUADRO_DE_COSTOS_Y_GASTOS_FIJOS!F9</f>
        <v>0</v>
      </c>
      <c r="F11" s="438">
        <f>CUADRO_DE_COSTOS_Y_GASTOS_FIJOS!G5+CUADRO_DE_COSTOS_Y_GASTOS_FIJOS!G9</f>
        <v>0</v>
      </c>
      <c r="H11" s="294" t="s">
        <v>213</v>
      </c>
      <c r="I11" s="292">
        <v>0</v>
      </c>
    </row>
    <row r="12" spans="1:9" x14ac:dyDescent="0.25">
      <c r="A12" s="277" t="s">
        <v>199</v>
      </c>
      <c r="B12" s="438">
        <f>CUADRO_DE_COSTOS_Y_GASTOS_FIJOS!C7</f>
        <v>0</v>
      </c>
      <c r="C12" s="438">
        <f>CUADRO_DE_COSTOS_Y_GASTOS_FIJOS!D7</f>
        <v>0</v>
      </c>
      <c r="D12" s="438">
        <f>CUADRO_DE_COSTOS_Y_GASTOS_FIJOS!E7</f>
        <v>0</v>
      </c>
      <c r="E12" s="438">
        <f>CUADRO_DE_COSTOS_Y_GASTOS_FIJOS!F7</f>
        <v>0</v>
      </c>
      <c r="F12" s="438">
        <f>CUADRO_DE_COSTOS_Y_GASTOS_FIJOS!G7</f>
        <v>0</v>
      </c>
      <c r="H12" s="294" t="s">
        <v>214</v>
      </c>
      <c r="I12" s="292">
        <v>0</v>
      </c>
    </row>
    <row r="13" spans="1:9" x14ac:dyDescent="0.25">
      <c r="A13" s="277" t="s">
        <v>200</v>
      </c>
      <c r="B13" s="438">
        <f>B4*BASES!$H$14</f>
        <v>0</v>
      </c>
      <c r="C13" s="438">
        <f>C4*BASES!$H$14</f>
        <v>0</v>
      </c>
      <c r="D13" s="438">
        <f>D4*BASES!$H$14</f>
        <v>0</v>
      </c>
      <c r="E13" s="438">
        <f>E4*BASES!$H$14</f>
        <v>0</v>
      </c>
      <c r="F13" s="438">
        <f>F4*BASES!$H$14</f>
        <v>0</v>
      </c>
      <c r="H13" s="294" t="s">
        <v>215</v>
      </c>
      <c r="I13" s="292">
        <v>0</v>
      </c>
    </row>
    <row r="14" spans="1:9" ht="13.9" customHeight="1" thickBot="1" x14ac:dyDescent="0.3">
      <c r="A14" s="277" t="s">
        <v>201</v>
      </c>
      <c r="B14" s="438">
        <f>B4*$I$13</f>
        <v>0</v>
      </c>
      <c r="C14" s="438">
        <f>C4*$I$13</f>
        <v>0</v>
      </c>
      <c r="D14" s="438">
        <f>D4*$I$13</f>
        <v>0</v>
      </c>
      <c r="E14" s="438">
        <f>E4*$I$13</f>
        <v>0</v>
      </c>
      <c r="F14" s="438">
        <f>F4*$I$13</f>
        <v>0</v>
      </c>
      <c r="H14" s="265" t="s">
        <v>216</v>
      </c>
      <c r="I14" s="445">
        <v>0</v>
      </c>
    </row>
    <row r="15" spans="1:9" ht="19.149999999999999" hidden="1" customHeight="1" x14ac:dyDescent="0.25">
      <c r="A15" s="444" t="s">
        <v>312</v>
      </c>
      <c r="B15" s="278"/>
      <c r="C15" s="278"/>
      <c r="D15" s="278"/>
      <c r="E15" s="278"/>
      <c r="F15" s="280"/>
    </row>
    <row r="16" spans="1:9" x14ac:dyDescent="0.25">
      <c r="A16" s="289" t="s">
        <v>202</v>
      </c>
      <c r="B16" s="443">
        <f>B9-SUM(B10:B15)</f>
        <v>0</v>
      </c>
      <c r="C16" s="443">
        <f>C9-SUM(C10:C15)</f>
        <v>0</v>
      </c>
      <c r="D16" s="443">
        <f>D9-SUM(D10:D15)</f>
        <v>0</v>
      </c>
      <c r="E16" s="443">
        <f>E9-SUM(E10:E15)</f>
        <v>0</v>
      </c>
      <c r="F16" s="443">
        <f>F9-SUM(F10:F15)</f>
        <v>0</v>
      </c>
      <c r="H16" s="281"/>
      <c r="I16" s="282"/>
    </row>
    <row r="17" spans="1:6" x14ac:dyDescent="0.25">
      <c r="A17" s="279" t="s">
        <v>313</v>
      </c>
      <c r="B17" s="278"/>
      <c r="C17" s="278"/>
      <c r="D17" s="278"/>
      <c r="E17" s="278"/>
      <c r="F17" s="280"/>
    </row>
    <row r="18" spans="1:6" x14ac:dyDescent="0.25">
      <c r="A18" s="277" t="s">
        <v>203</v>
      </c>
      <c r="B18" s="438">
        <f>NECESIDADES_DE_FINANCIACION!F28</f>
        <v>0</v>
      </c>
      <c r="C18" s="438">
        <f>NECESIDADES_DE_FINANCIACION!F29</f>
        <v>0</v>
      </c>
      <c r="D18" s="438">
        <f>NECESIDADES_DE_FINANCIACION!F30</f>
        <v>0</v>
      </c>
      <c r="E18" s="438">
        <f>NECESIDADES_DE_FINANCIACION!F31</f>
        <v>0</v>
      </c>
      <c r="F18" s="439">
        <f>NECESIDADES_DE_FINANCIACION!F32</f>
        <v>0</v>
      </c>
    </row>
    <row r="19" spans="1:6" x14ac:dyDescent="0.25">
      <c r="A19" s="277" t="s">
        <v>204</v>
      </c>
      <c r="B19" s="438">
        <f>NECESIDADES_DE_FINANCIACION!E28</f>
        <v>0</v>
      </c>
      <c r="C19" s="438">
        <f>B19</f>
        <v>0</v>
      </c>
      <c r="D19" s="438">
        <f>C19</f>
        <v>0</v>
      </c>
      <c r="E19" s="438">
        <f>D19</f>
        <v>0</v>
      </c>
      <c r="F19" s="438">
        <f>E19</f>
        <v>0</v>
      </c>
    </row>
    <row r="20" spans="1:6" x14ac:dyDescent="0.25">
      <c r="A20" s="277" t="s">
        <v>205</v>
      </c>
      <c r="B20" s="438">
        <f>B17+B18+B19</f>
        <v>0</v>
      </c>
      <c r="C20" s="438">
        <f>C17+C18+C19</f>
        <v>0</v>
      </c>
      <c r="D20" s="438">
        <f>D17+D18+D19</f>
        <v>0</v>
      </c>
      <c r="E20" s="438">
        <f>E17+E18+E19</f>
        <v>0</v>
      </c>
      <c r="F20" s="438">
        <f>F17+F18+F19</f>
        <v>0</v>
      </c>
    </row>
    <row r="21" spans="1:6" hidden="1" x14ac:dyDescent="0.25">
      <c r="A21" s="283" t="s">
        <v>314</v>
      </c>
      <c r="B21" s="440">
        <v>0</v>
      </c>
      <c r="C21" s="440">
        <v>0</v>
      </c>
      <c r="D21" s="440">
        <v>0</v>
      </c>
      <c r="E21" s="440">
        <v>0</v>
      </c>
      <c r="F21" s="441">
        <v>0</v>
      </c>
    </row>
    <row r="22" spans="1:6" hidden="1" x14ac:dyDescent="0.25">
      <c r="A22" s="283" t="s">
        <v>315</v>
      </c>
      <c r="B22" s="440">
        <v>0</v>
      </c>
      <c r="C22" s="440">
        <v>0</v>
      </c>
      <c r="D22" s="440">
        <v>0</v>
      </c>
      <c r="E22" s="440">
        <v>0</v>
      </c>
      <c r="F22" s="441">
        <v>0</v>
      </c>
    </row>
    <row r="23" spans="1:6" hidden="1" x14ac:dyDescent="0.25">
      <c r="A23" s="283" t="s">
        <v>316</v>
      </c>
      <c r="B23" s="440">
        <v>0</v>
      </c>
      <c r="C23" s="440">
        <v>0</v>
      </c>
      <c r="D23" s="440">
        <v>0</v>
      </c>
      <c r="E23" s="440">
        <v>0</v>
      </c>
      <c r="F23" s="441">
        <v>0</v>
      </c>
    </row>
    <row r="24" spans="1:6" hidden="1" x14ac:dyDescent="0.25">
      <c r="A24" s="283" t="s">
        <v>317</v>
      </c>
      <c r="B24" s="440">
        <v>0</v>
      </c>
      <c r="C24" s="440">
        <v>0</v>
      </c>
      <c r="D24" s="440">
        <v>0</v>
      </c>
      <c r="E24" s="440">
        <v>0</v>
      </c>
      <c r="F24" s="441">
        <v>0</v>
      </c>
    </row>
    <row r="25" spans="1:6" hidden="1" x14ac:dyDescent="0.25">
      <c r="A25" s="283" t="s">
        <v>318</v>
      </c>
      <c r="B25" s="440">
        <v>0</v>
      </c>
      <c r="C25" s="440">
        <v>0</v>
      </c>
      <c r="D25" s="440">
        <v>0</v>
      </c>
      <c r="E25" s="440">
        <v>0</v>
      </c>
      <c r="F25" s="441">
        <v>0</v>
      </c>
    </row>
    <row r="26" spans="1:6" hidden="1" x14ac:dyDescent="0.25">
      <c r="A26" s="284" t="s">
        <v>319</v>
      </c>
      <c r="B26" s="440">
        <f>B21+B22+B23+B24+B25</f>
        <v>0</v>
      </c>
      <c r="C26" s="440">
        <f>C21+C22+C23+C24+C25</f>
        <v>0</v>
      </c>
      <c r="D26" s="440">
        <f>D21+D22+D23+D24+D25</f>
        <v>0</v>
      </c>
      <c r="E26" s="440">
        <f>E21+E22+E23+E24+E25</f>
        <v>0</v>
      </c>
      <c r="F26" s="440">
        <f>F21+F22+F23+F24+F25</f>
        <v>0</v>
      </c>
    </row>
    <row r="27" spans="1:6" x14ac:dyDescent="0.25">
      <c r="A27" s="289" t="s">
        <v>206</v>
      </c>
      <c r="B27" s="443">
        <f>B16+B20+B26</f>
        <v>0</v>
      </c>
      <c r="C27" s="443">
        <f>C16+C20+C26</f>
        <v>0</v>
      </c>
      <c r="D27" s="443">
        <f>D16+D20+D26</f>
        <v>0</v>
      </c>
      <c r="E27" s="443">
        <f>E16+E20+E26</f>
        <v>0</v>
      </c>
      <c r="F27" s="443">
        <f>F16+F20+F26</f>
        <v>0</v>
      </c>
    </row>
    <row r="28" spans="1:6" x14ac:dyDescent="0.25">
      <c r="A28" s="277" t="s">
        <v>207</v>
      </c>
      <c r="B28" s="438">
        <f>IF(B27*$I$9&lt;0,0,B27*$I$9)</f>
        <v>0</v>
      </c>
      <c r="C28" s="438">
        <f>IF(C27*$I$9&lt;0,0,C27*$I$9)</f>
        <v>0</v>
      </c>
      <c r="D28" s="438">
        <f>IF(D27*$I$9&lt;0,0,D27*$I$9)</f>
        <v>0</v>
      </c>
      <c r="E28" s="438">
        <f>IF(E27*$I$9&lt;0,0,E27*$I$9)</f>
        <v>0</v>
      </c>
      <c r="F28" s="438">
        <f>IF(F27*$I$9&lt;0,0,F27*$I$9)</f>
        <v>0</v>
      </c>
    </row>
    <row r="29" spans="1:6" x14ac:dyDescent="0.25">
      <c r="A29" s="277" t="s">
        <v>208</v>
      </c>
      <c r="B29" s="438">
        <f>IF(B27*$I$10=0,0,B27*$I$10)</f>
        <v>0</v>
      </c>
      <c r="C29" s="438">
        <f>IF(C27*$I$10=0,0,C27*$I$10)</f>
        <v>0</v>
      </c>
      <c r="D29" s="438">
        <f>IF(D27*$I$10=0,0,D27*$I$10)</f>
        <v>0</v>
      </c>
      <c r="E29" s="438">
        <f>IF(E27*$I$10=0,0,E27*$I$10)</f>
        <v>0</v>
      </c>
      <c r="F29" s="438">
        <f>IF(F27*$I$10=0,0,F27*$I$10)</f>
        <v>0</v>
      </c>
    </row>
    <row r="30" spans="1:6" x14ac:dyDescent="0.25">
      <c r="A30" s="277" t="s">
        <v>209</v>
      </c>
      <c r="B30" s="438">
        <f>IF(B27*$I$11&lt;0,0,B27*$I$11)</f>
        <v>0</v>
      </c>
      <c r="C30" s="438">
        <f>IF(C27*$I$11&lt;0,0,C27*$I$11)</f>
        <v>0</v>
      </c>
      <c r="D30" s="438">
        <f>IF(D27*$I$11&lt;0,0,D27*$I$11)</f>
        <v>0</v>
      </c>
      <c r="E30" s="438">
        <f>IF(E27*$I$11&lt;0,0,E27*$I$11)</f>
        <v>0</v>
      </c>
      <c r="F30" s="438">
        <f>IF(F27*$I$11&lt;0,0,F27*$I$11)</f>
        <v>0</v>
      </c>
    </row>
    <row r="31" spans="1:6" ht="15.75" thickBot="1" x14ac:dyDescent="0.3">
      <c r="A31" s="290" t="s">
        <v>210</v>
      </c>
      <c r="B31" s="442">
        <f>B27-B28-B29-B30</f>
        <v>0</v>
      </c>
      <c r="C31" s="442">
        <f>C27-C28-C29-C30</f>
        <v>0</v>
      </c>
      <c r="D31" s="442">
        <f>D27-D28-D29-D30</f>
        <v>0</v>
      </c>
      <c r="E31" s="442">
        <f>E27-E28-E29-E30</f>
        <v>0</v>
      </c>
      <c r="F31" s="442">
        <f>F27-F28-F29-F30</f>
        <v>0</v>
      </c>
    </row>
    <row r="35" spans="1:6" ht="15" hidden="1" customHeight="1" x14ac:dyDescent="0.25">
      <c r="A35" s="285" t="s">
        <v>185</v>
      </c>
      <c r="B35" s="286">
        <v>0</v>
      </c>
      <c r="C35" s="286">
        <f>B31-B36</f>
        <v>0</v>
      </c>
      <c r="D35" s="286">
        <f>C31-C36</f>
        <v>0</v>
      </c>
      <c r="E35" s="286">
        <f>D31-D36</f>
        <v>0</v>
      </c>
      <c r="F35" s="286">
        <f>E31-E36</f>
        <v>0</v>
      </c>
    </row>
    <row r="36" spans="1:6" hidden="1" x14ac:dyDescent="0.25">
      <c r="A36" s="285" t="s">
        <v>216</v>
      </c>
      <c r="B36" s="287">
        <f>IF(B31*$I$14&lt;0,0,B31*$I$14)</f>
        <v>0</v>
      </c>
      <c r="C36" s="287">
        <f>IF(C31*$I$14&lt;0,0,C31*$I$14)</f>
        <v>0</v>
      </c>
      <c r="D36" s="287">
        <f>IF(D31*$I$14&lt;0,0,D31*$I$14)</f>
        <v>0</v>
      </c>
      <c r="E36" s="287">
        <f>IF(E31*$I$14&lt;0,0,E31*$I$14)</f>
        <v>0</v>
      </c>
      <c r="F36" s="287">
        <f>IF(F31*$I$14&lt;0,0,F31*$I$14)</f>
        <v>0</v>
      </c>
    </row>
  </sheetData>
  <sheetProtection algorithmName="SHA-512" hashValue="m6Esi0dG1xYTsjOeS2dmlVlyj7juZ5z8B7/aWGkLSOaJtouDh1jqyvRWFNBOsUTNM+2TXX/GMdwYKKsiBG/Bjg==" saltValue="pL8VzOnkOw2fzbdJajnaDw=="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Portada">
                <anchor moveWithCells="1" sizeWithCells="1">
                  <from>
                    <xdr:col>7</xdr:col>
                    <xdr:colOff>771525</xdr:colOff>
                    <xdr:row>5</xdr:row>
                    <xdr:rowOff>66675</xdr:rowOff>
                  </from>
                  <to>
                    <xdr:col>8</xdr:col>
                    <xdr:colOff>19050</xdr:colOff>
                    <xdr:row>7</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A283C-A034-4480-AF4A-4C18BD537C3B}">
  <sheetPr codeName="Hoja13"/>
  <dimension ref="A5:G44"/>
  <sheetViews>
    <sheetView showGridLines="0" zoomScaleNormal="100" workbookViewId="0">
      <selection activeCell="B45" sqref="B45"/>
    </sheetView>
  </sheetViews>
  <sheetFormatPr baseColWidth="10" defaultRowHeight="15" x14ac:dyDescent="0.25"/>
  <cols>
    <col min="1" max="1" width="68" style="139" customWidth="1"/>
    <col min="2" max="2" width="21.42578125" style="139" customWidth="1"/>
    <col min="3" max="3" width="18.7109375" style="139" customWidth="1"/>
    <col min="4" max="4" width="19.42578125" style="139" customWidth="1"/>
    <col min="5" max="5" width="19.5703125" style="139" customWidth="1"/>
    <col min="6" max="6" width="21.85546875" style="139" customWidth="1"/>
    <col min="7" max="16384" width="11.42578125" style="139"/>
  </cols>
  <sheetData>
    <row r="5" spans="1:7" ht="15.75" thickBot="1" x14ac:dyDescent="0.3"/>
    <row r="6" spans="1:7" ht="18.75" x14ac:dyDescent="0.25">
      <c r="A6" s="304" t="s">
        <v>217</v>
      </c>
      <c r="B6" s="305">
        <f>BASES!D7</f>
        <v>2021</v>
      </c>
      <c r="C6" s="305">
        <f>BASES!E7</f>
        <v>2022</v>
      </c>
      <c r="D6" s="305">
        <f>BASES!F7</f>
        <v>2023</v>
      </c>
      <c r="E6" s="305">
        <f>BASES!G7</f>
        <v>2024</v>
      </c>
      <c r="F6" s="305">
        <f>BASES!H7</f>
        <v>2025</v>
      </c>
    </row>
    <row r="7" spans="1:7" ht="18.75" x14ac:dyDescent="0.25">
      <c r="A7" s="701" t="s">
        <v>218</v>
      </c>
      <c r="B7" s="702"/>
      <c r="C7" s="702"/>
      <c r="D7" s="702"/>
      <c r="E7" s="702"/>
      <c r="F7" s="703"/>
    </row>
    <row r="8" spans="1:7" x14ac:dyDescent="0.25">
      <c r="A8" s="297" t="s">
        <v>219</v>
      </c>
      <c r="B8" s="413">
        <f>ESTADO_DE_RESULTADOS!B16</f>
        <v>0</v>
      </c>
      <c r="C8" s="413">
        <f>ESTADO_DE_RESULTADOS!C16</f>
        <v>0</v>
      </c>
      <c r="D8" s="413">
        <f>ESTADO_DE_RESULTADOS!D16</f>
        <v>0</v>
      </c>
      <c r="E8" s="413">
        <f>ESTADO_DE_RESULTADOS!E16</f>
        <v>0</v>
      </c>
      <c r="F8" s="413">
        <f>ESTADO_DE_RESULTADOS!F16</f>
        <v>0</v>
      </c>
    </row>
    <row r="9" spans="1:7" x14ac:dyDescent="0.25">
      <c r="A9" s="297" t="s">
        <v>220</v>
      </c>
      <c r="B9" s="413">
        <f>'CTOS_VS_ING_OPER-INV_INFRAEST'!G412</f>
        <v>0</v>
      </c>
      <c r="C9" s="413">
        <f>'CTOS_VS_ING_OPER-INV_INFRAEST'!H412</f>
        <v>0</v>
      </c>
      <c r="D9" s="413">
        <f>'CTOS_VS_ING_OPER-INV_INFRAEST'!I412</f>
        <v>0</v>
      </c>
      <c r="E9" s="413">
        <f>'CTOS_VS_ING_OPER-INV_INFRAEST'!J412</f>
        <v>0</v>
      </c>
      <c r="F9" s="413">
        <f>'CTOS_VS_ING_OPER-INV_INFRAEST'!K412</f>
        <v>0</v>
      </c>
      <c r="G9" s="403"/>
    </row>
    <row r="10" spans="1:7" x14ac:dyDescent="0.25">
      <c r="A10" s="297" t="s">
        <v>221</v>
      </c>
      <c r="B10" s="413">
        <f>'CTOS_VS_ING_OPER-INV_INFRAEST'!G413</f>
        <v>0</v>
      </c>
      <c r="C10" s="413">
        <f>'CTOS_VS_ING_OPER-INV_INFRAEST'!H413</f>
        <v>0</v>
      </c>
      <c r="D10" s="413">
        <f>'CTOS_VS_ING_OPER-INV_INFRAEST'!I413</f>
        <v>0</v>
      </c>
      <c r="E10" s="413">
        <f>'CTOS_VS_ING_OPER-INV_INFRAEST'!J413</f>
        <v>0</v>
      </c>
      <c r="F10" s="413">
        <f>'CTOS_VS_ING_OPER-INV_INFRAEST'!K413</f>
        <v>0</v>
      </c>
      <c r="G10" s="403"/>
    </row>
    <row r="11" spans="1:7" x14ac:dyDescent="0.25">
      <c r="A11" s="297" t="s">
        <v>201</v>
      </c>
      <c r="B11" s="413">
        <f>ESTADO_DE_RESULTADOS!B14</f>
        <v>0</v>
      </c>
      <c r="C11" s="413">
        <f>ESTADO_DE_RESULTADOS!C14</f>
        <v>0</v>
      </c>
      <c r="D11" s="413">
        <f>ESTADO_DE_RESULTADOS!D14</f>
        <v>0</v>
      </c>
      <c r="E11" s="413">
        <f>ESTADO_DE_RESULTADOS!E14</f>
        <v>0</v>
      </c>
      <c r="F11" s="413">
        <f>ESTADO_DE_RESULTADOS!F14</f>
        <v>0</v>
      </c>
    </row>
    <row r="12" spans="1:7" x14ac:dyDescent="0.25">
      <c r="A12" s="297" t="s">
        <v>222</v>
      </c>
      <c r="B12" s="413"/>
      <c r="C12" s="413">
        <f>ESTADO_DE_RESULTADOS!B28*-1</f>
        <v>0</v>
      </c>
      <c r="D12" s="413">
        <f>ESTADO_DE_RESULTADOS!C28*-1</f>
        <v>0</v>
      </c>
      <c r="E12" s="413">
        <f>ESTADO_DE_RESULTADOS!D28*-1</f>
        <v>0</v>
      </c>
      <c r="F12" s="413">
        <f>ESTADO_DE_RESULTADOS!E28*-1</f>
        <v>0</v>
      </c>
    </row>
    <row r="13" spans="1:7" ht="15.75" thickBot="1" x14ac:dyDescent="0.3">
      <c r="A13" s="298" t="s">
        <v>223</v>
      </c>
      <c r="B13" s="414">
        <f>SUM(B8:B12)</f>
        <v>0</v>
      </c>
      <c r="C13" s="414">
        <f>SUM(C8:C12)</f>
        <v>0</v>
      </c>
      <c r="D13" s="414">
        <f>SUM(D8:D12)</f>
        <v>0</v>
      </c>
      <c r="E13" s="414">
        <f>SUM(E8:E12)</f>
        <v>0</v>
      </c>
      <c r="F13" s="414">
        <f>SUM(F8:F12)</f>
        <v>0</v>
      </c>
    </row>
    <row r="14" spans="1:7" ht="15.75" thickBot="1" x14ac:dyDescent="0.3"/>
    <row r="15" spans="1:7" ht="18.75" x14ac:dyDescent="0.25">
      <c r="A15" s="704" t="s">
        <v>224</v>
      </c>
      <c r="B15" s="705"/>
      <c r="C15" s="705"/>
      <c r="D15" s="705"/>
      <c r="E15" s="705"/>
      <c r="F15" s="706"/>
    </row>
    <row r="16" spans="1:7" ht="18.75" x14ac:dyDescent="0.25">
      <c r="A16" s="302" t="s">
        <v>225</v>
      </c>
      <c r="B16" s="303">
        <f>B6</f>
        <v>2021</v>
      </c>
      <c r="C16" s="303">
        <f>C6</f>
        <v>2022</v>
      </c>
      <c r="D16" s="303">
        <f>D6</f>
        <v>2023</v>
      </c>
      <c r="E16" s="303">
        <f>E6</f>
        <v>2024</v>
      </c>
      <c r="F16" s="303">
        <f>F6</f>
        <v>2025</v>
      </c>
    </row>
    <row r="17" spans="1:7" x14ac:dyDescent="0.25">
      <c r="A17" s="299" t="s">
        <v>226</v>
      </c>
      <c r="B17" s="415">
        <f>BALANCE_GENERAL!D10</f>
        <v>0</v>
      </c>
      <c r="C17" s="415">
        <f>BALANCE_GENERAL!E10</f>
        <v>0</v>
      </c>
      <c r="D17" s="415">
        <f>BALANCE_GENERAL!F10</f>
        <v>0</v>
      </c>
      <c r="E17" s="415">
        <f>BALANCE_GENERAL!G10</f>
        <v>0</v>
      </c>
      <c r="F17" s="415">
        <f>BALANCE_GENERAL!H10</f>
        <v>0</v>
      </c>
    </row>
    <row r="18" spans="1:7" x14ac:dyDescent="0.25">
      <c r="A18" s="299" t="s">
        <v>227</v>
      </c>
      <c r="B18" s="415">
        <f>BALANCE_GENERAL!D13</f>
        <v>0</v>
      </c>
      <c r="C18" s="415">
        <f>BALANCE_GENERAL!E13</f>
        <v>0</v>
      </c>
      <c r="D18" s="415">
        <f>BALANCE_GENERAL!F13</f>
        <v>0</v>
      </c>
      <c r="E18" s="415">
        <f>BALANCE_GENERAL!G13</f>
        <v>0</v>
      </c>
      <c r="F18" s="415">
        <f>BALANCE_GENERAL!H13</f>
        <v>0</v>
      </c>
    </row>
    <row r="19" spans="1:7" x14ac:dyDescent="0.25">
      <c r="A19" s="299" t="s">
        <v>228</v>
      </c>
      <c r="B19" s="415">
        <f>BALANCE_GENERAL!D16</f>
        <v>0</v>
      </c>
      <c r="C19" s="415">
        <f>BALANCE_GENERAL!E16</f>
        <v>0</v>
      </c>
      <c r="D19" s="415">
        <f>BALANCE_GENERAL!F16</f>
        <v>0</v>
      </c>
      <c r="E19" s="415">
        <f>BALANCE_GENERAL!G16</f>
        <v>0</v>
      </c>
      <c r="F19" s="415">
        <f>BALANCE_GENERAL!H16</f>
        <v>0</v>
      </c>
    </row>
    <row r="20" spans="1:7" x14ac:dyDescent="0.25">
      <c r="A20" s="446" t="s">
        <v>229</v>
      </c>
      <c r="B20" s="447">
        <f>SUM(B17:B19)</f>
        <v>0</v>
      </c>
      <c r="C20" s="447">
        <f>SUM(C17:C19)</f>
        <v>0</v>
      </c>
      <c r="D20" s="447">
        <f>SUM(D17:D19)</f>
        <v>0</v>
      </c>
      <c r="E20" s="447">
        <f>SUM(E17:E19)</f>
        <v>0</v>
      </c>
      <c r="F20" s="447">
        <f>SUM(F17:F19)</f>
        <v>0</v>
      </c>
    </row>
    <row r="21" spans="1:7" x14ac:dyDescent="0.25">
      <c r="A21" s="299" t="s">
        <v>230</v>
      </c>
      <c r="B21" s="415">
        <f>'CTOS_VS_ING_OPER-INV_INFRAEST'!G36</f>
        <v>0</v>
      </c>
      <c r="C21" s="415">
        <f>'CTOS_VS_ING_OPER-INV_INFRAEST'!H36</f>
        <v>0</v>
      </c>
      <c r="D21" s="415">
        <f>'CTOS_VS_ING_OPER-INV_INFRAEST'!I36</f>
        <v>0</v>
      </c>
      <c r="E21" s="415">
        <f>'CTOS_VS_ING_OPER-INV_INFRAEST'!J36</f>
        <v>0</v>
      </c>
      <c r="F21" s="415">
        <f>'CTOS_VS_ING_OPER-INV_INFRAEST'!K36</f>
        <v>0</v>
      </c>
    </row>
    <row r="22" spans="1:7" x14ac:dyDescent="0.25">
      <c r="A22" s="299" t="s">
        <v>231</v>
      </c>
      <c r="B22" s="415">
        <f>'CTOS_VS_ING_OPER-INV_INFRAEST'!K48</f>
        <v>0</v>
      </c>
      <c r="C22" s="415">
        <f>'CTOS_VS_ING_OPER-INV_INFRAEST'!N48</f>
        <v>0</v>
      </c>
      <c r="D22" s="415">
        <f>'CTOS_VS_ING_OPER-INV_INFRAEST'!Q48</f>
        <v>0</v>
      </c>
      <c r="E22" s="415">
        <f>'CTOS_VS_ING_OPER-INV_INFRAEST'!T48</f>
        <v>0</v>
      </c>
      <c r="F22" s="415">
        <f>'CTOS_VS_ING_OPER-INV_INFRAEST'!W48</f>
        <v>0</v>
      </c>
      <c r="G22" s="257"/>
    </row>
    <row r="23" spans="1:7" x14ac:dyDescent="0.25">
      <c r="A23" s="299" t="s">
        <v>232</v>
      </c>
      <c r="B23" s="415">
        <f>'CTOS_VS_ING_OPER-INV_INFRAEST'!K91</f>
        <v>0</v>
      </c>
      <c r="C23" s="415">
        <f>'CTOS_VS_ING_OPER-INV_INFRAEST'!N91</f>
        <v>0</v>
      </c>
      <c r="D23" s="415">
        <f>'CTOS_VS_ING_OPER-INV_INFRAEST'!Q91</f>
        <v>0</v>
      </c>
      <c r="E23" s="415">
        <f>'CTOS_VS_ING_OPER-INV_INFRAEST'!T91</f>
        <v>0</v>
      </c>
      <c r="F23" s="415">
        <f>'CTOS_VS_ING_OPER-INV_INFRAEST'!W91</f>
        <v>0</v>
      </c>
      <c r="G23" s="257"/>
    </row>
    <row r="24" spans="1:7" x14ac:dyDescent="0.25">
      <c r="A24" s="299" t="s">
        <v>233</v>
      </c>
      <c r="B24" s="415">
        <f>'CTOS_VS_ING_OPER-INV_INFRAEST'!K144</f>
        <v>0</v>
      </c>
      <c r="C24" s="415">
        <f>'CTOS_VS_ING_OPER-INV_INFRAEST'!N144</f>
        <v>0</v>
      </c>
      <c r="D24" s="415">
        <f>'CTOS_VS_ING_OPER-INV_INFRAEST'!Q144</f>
        <v>0</v>
      </c>
      <c r="E24" s="415">
        <f>'CTOS_VS_ING_OPER-INV_INFRAEST'!T144</f>
        <v>0</v>
      </c>
      <c r="F24" s="415">
        <f>'CTOS_VS_ING_OPER-INV_INFRAEST'!W144</f>
        <v>0</v>
      </c>
      <c r="G24" s="257"/>
    </row>
    <row r="25" spans="1:7" x14ac:dyDescent="0.25">
      <c r="A25" s="299" t="s">
        <v>234</v>
      </c>
      <c r="B25" s="415">
        <f>'CTOS_VS_ING_OPER-INV_INFRAEST'!K154</f>
        <v>0</v>
      </c>
      <c r="C25" s="415">
        <f>'CTOS_VS_ING_OPER-INV_INFRAEST'!N154</f>
        <v>0</v>
      </c>
      <c r="D25" s="415">
        <f>'CTOS_VS_ING_OPER-INV_INFRAEST'!Q154</f>
        <v>0</v>
      </c>
      <c r="E25" s="415">
        <f>'CTOS_VS_ING_OPER-INV_INFRAEST'!T154</f>
        <v>0</v>
      </c>
      <c r="F25" s="415">
        <f>'CTOS_VS_ING_OPER-INV_INFRAEST'!W154</f>
        <v>0</v>
      </c>
      <c r="G25" s="257"/>
    </row>
    <row r="26" spans="1:7" x14ac:dyDescent="0.25">
      <c r="A26" s="299" t="s">
        <v>235</v>
      </c>
      <c r="B26" s="415">
        <f>'CTOS_VS_ING_OPER-INV_INFRAEST'!K182</f>
        <v>0</v>
      </c>
      <c r="C26" s="415">
        <f>'CTOS_VS_ING_OPER-INV_INFRAEST'!N182</f>
        <v>0</v>
      </c>
      <c r="D26" s="415">
        <f>'CTOS_VS_ING_OPER-INV_INFRAEST'!Q182</f>
        <v>0</v>
      </c>
      <c r="E26" s="415">
        <f>'CTOS_VS_ING_OPER-INV_INFRAEST'!T182</f>
        <v>0</v>
      </c>
      <c r="F26" s="415">
        <f>'CTOS_VS_ING_OPER-INV_INFRAEST'!W182</f>
        <v>0</v>
      </c>
      <c r="G26" s="257"/>
    </row>
    <row r="27" spans="1:7" x14ac:dyDescent="0.25">
      <c r="A27" s="299" t="s">
        <v>236</v>
      </c>
      <c r="B27" s="415">
        <f>'CTOS_VS_ING_OPER-INV_INFRAEST'!K212</f>
        <v>0</v>
      </c>
      <c r="C27" s="415">
        <f>'CTOS_VS_ING_OPER-INV_INFRAEST'!N212</f>
        <v>0</v>
      </c>
      <c r="D27" s="415">
        <f>'CTOS_VS_ING_OPER-INV_INFRAEST'!Q212</f>
        <v>0</v>
      </c>
      <c r="E27" s="415">
        <f>'CTOS_VS_ING_OPER-INV_INFRAEST'!T212</f>
        <v>0</v>
      </c>
      <c r="F27" s="415">
        <f>'CTOS_VS_ING_OPER-INV_INFRAEST'!W212</f>
        <v>0</v>
      </c>
      <c r="G27" s="257"/>
    </row>
    <row r="28" spans="1:7" x14ac:dyDescent="0.25">
      <c r="A28" s="299" t="s">
        <v>237</v>
      </c>
      <c r="B28" s="415">
        <f>'CTOS_VS_ING_OPER-INV_INFRAEST'!K231</f>
        <v>0</v>
      </c>
      <c r="C28" s="415">
        <f>'CTOS_VS_ING_OPER-INV_INFRAEST'!N231</f>
        <v>0</v>
      </c>
      <c r="D28" s="415">
        <f>'CTOS_VS_ING_OPER-INV_INFRAEST'!Q231</f>
        <v>0</v>
      </c>
      <c r="E28" s="415">
        <f>'CTOS_VS_ING_OPER-INV_INFRAEST'!T231</f>
        <v>0</v>
      </c>
      <c r="F28" s="415">
        <f>'CTOS_VS_ING_OPER-INV_INFRAEST'!W231</f>
        <v>0</v>
      </c>
      <c r="G28" s="257"/>
    </row>
    <row r="29" spans="1:7" x14ac:dyDescent="0.25">
      <c r="A29" s="299" t="s">
        <v>238</v>
      </c>
      <c r="B29" s="415">
        <f>'CTOS_VS_ING_OPER-INV_INFRAEST'!K249</f>
        <v>0</v>
      </c>
      <c r="C29" s="415">
        <f>'CTOS_VS_ING_OPER-INV_INFRAEST'!N249</f>
        <v>0</v>
      </c>
      <c r="D29" s="415">
        <f>'CTOS_VS_ING_OPER-INV_INFRAEST'!Q249</f>
        <v>0</v>
      </c>
      <c r="E29" s="415">
        <f>'CTOS_VS_ING_OPER-INV_INFRAEST'!T249</f>
        <v>0</v>
      </c>
      <c r="F29" s="415">
        <f>'CTOS_VS_ING_OPER-INV_INFRAEST'!W249</f>
        <v>0</v>
      </c>
      <c r="G29" s="257"/>
    </row>
    <row r="30" spans="1:7" x14ac:dyDescent="0.25">
      <c r="A30" s="446" t="s">
        <v>239</v>
      </c>
      <c r="B30" s="447">
        <f>SUM(B21:B29)*-1</f>
        <v>0</v>
      </c>
      <c r="C30" s="447">
        <f>SUM(C21:C29)*-1</f>
        <v>0</v>
      </c>
      <c r="D30" s="447">
        <f>SUM(D21:D29)*-1</f>
        <v>0</v>
      </c>
      <c r="E30" s="447">
        <f>SUM(E21:E29)*-1</f>
        <v>0</v>
      </c>
      <c r="F30" s="447">
        <f>SUM(F21:F29)*-1</f>
        <v>0</v>
      </c>
    </row>
    <row r="31" spans="1:7" ht="15.75" thickBot="1" x14ac:dyDescent="0.3">
      <c r="A31" s="301" t="s">
        <v>240</v>
      </c>
      <c r="B31" s="416">
        <f>B20+B30</f>
        <v>0</v>
      </c>
      <c r="C31" s="416">
        <f>C20+C30</f>
        <v>0</v>
      </c>
      <c r="D31" s="416">
        <f>D20+D30</f>
        <v>0</v>
      </c>
      <c r="E31" s="416">
        <f>E20+E30</f>
        <v>0</v>
      </c>
      <c r="F31" s="416">
        <f>F20+F30</f>
        <v>0</v>
      </c>
    </row>
    <row r="32" spans="1:7" ht="15.75" thickBot="1" x14ac:dyDescent="0.3"/>
    <row r="33" spans="1:6" ht="18.75" x14ac:dyDescent="0.25">
      <c r="A33" s="704" t="s">
        <v>241</v>
      </c>
      <c r="B33" s="705"/>
      <c r="C33" s="705"/>
      <c r="D33" s="705"/>
      <c r="E33" s="705"/>
      <c r="F33" s="706"/>
    </row>
    <row r="34" spans="1:6" ht="18.75" x14ac:dyDescent="0.25">
      <c r="A34" s="302" t="s">
        <v>242</v>
      </c>
      <c r="B34" s="303">
        <f>B6</f>
        <v>2021</v>
      </c>
      <c r="C34" s="303">
        <f>C6</f>
        <v>2022</v>
      </c>
      <c r="D34" s="303">
        <f>D6</f>
        <v>2023</v>
      </c>
      <c r="E34" s="303">
        <f>E6</f>
        <v>2024</v>
      </c>
      <c r="F34" s="303">
        <f>F6</f>
        <v>2025</v>
      </c>
    </row>
    <row r="35" spans="1:6" x14ac:dyDescent="0.25">
      <c r="A35" s="299" t="s">
        <v>243</v>
      </c>
      <c r="B35" s="417">
        <v>0</v>
      </c>
      <c r="C35" s="417">
        <v>0</v>
      </c>
      <c r="D35" s="417">
        <v>0</v>
      </c>
      <c r="E35" s="417">
        <v>0</v>
      </c>
      <c r="F35" s="417">
        <v>0</v>
      </c>
    </row>
    <row r="36" spans="1:6" x14ac:dyDescent="0.25">
      <c r="A36" s="299" t="s">
        <v>244</v>
      </c>
      <c r="B36" s="417">
        <f>NECESIDADES_DE_FINANCIACION!E28</f>
        <v>0</v>
      </c>
      <c r="C36" s="417">
        <f>NECESIDADES_DE_FINANCIACION!F28</f>
        <v>0</v>
      </c>
      <c r="D36" s="417">
        <f>NECESIDADES_DE_FINANCIACION!G28</f>
        <v>0</v>
      </c>
      <c r="E36" s="417">
        <f>NECESIDADES_DE_FINANCIACION!H28</f>
        <v>0</v>
      </c>
      <c r="F36" s="417">
        <f>NECESIDADES_DE_FINANCIACION!I28</f>
        <v>0</v>
      </c>
    </row>
    <row r="37" spans="1:6" x14ac:dyDescent="0.25">
      <c r="A37" s="299" t="s">
        <v>245</v>
      </c>
      <c r="B37" s="417">
        <f>NECESIDADES_DE_FINANCIACION!F28</f>
        <v>0</v>
      </c>
      <c r="C37" s="417">
        <f>NECESIDADES_DE_FINANCIACION!G28</f>
        <v>0</v>
      </c>
      <c r="D37" s="417">
        <f>NECESIDADES_DE_FINANCIACION!H28</f>
        <v>0</v>
      </c>
      <c r="E37" s="417">
        <f>NECESIDADES_DE_FINANCIACION!I28</f>
        <v>0</v>
      </c>
      <c r="F37" s="417">
        <f>NECESIDADES_DE_FINANCIACION!J28</f>
        <v>0</v>
      </c>
    </row>
    <row r="38" spans="1:6" x14ac:dyDescent="0.25">
      <c r="A38" s="299" t="s">
        <v>246</v>
      </c>
      <c r="B38" s="417">
        <f>ESTADO_DE_RESULTADOS!B36*-1</f>
        <v>0</v>
      </c>
      <c r="C38" s="417">
        <f>ESTADO_DE_RESULTADOS!C36*-1</f>
        <v>0</v>
      </c>
      <c r="D38" s="417">
        <f>ESTADO_DE_RESULTADOS!D36*-1</f>
        <v>0</v>
      </c>
      <c r="E38" s="417">
        <f>ESTADO_DE_RESULTADOS!E36*-1</f>
        <v>0</v>
      </c>
      <c r="F38" s="417">
        <f>ESTADO_DE_RESULTADOS!F36*-1</f>
        <v>0</v>
      </c>
    </row>
    <row r="39" spans="1:6" x14ac:dyDescent="0.25">
      <c r="A39" s="232" t="s">
        <v>247</v>
      </c>
      <c r="B39" s="418"/>
      <c r="C39" s="418"/>
      <c r="D39" s="418"/>
      <c r="E39" s="418"/>
      <c r="F39" s="418"/>
    </row>
    <row r="40" spans="1:6" ht="15.75" thickBot="1" x14ac:dyDescent="0.3">
      <c r="A40" s="448" t="s">
        <v>248</v>
      </c>
      <c r="B40" s="449">
        <f>SUM(B35:B39)</f>
        <v>0</v>
      </c>
      <c r="C40" s="449">
        <f>SUM(C35:C39)</f>
        <v>0</v>
      </c>
      <c r="D40" s="449">
        <f>SUM(D35:D39)</f>
        <v>0</v>
      </c>
      <c r="E40" s="449">
        <f>SUM(E35:E39)</f>
        <v>0</v>
      </c>
      <c r="F40" s="449">
        <f>SUM(F35:F39)</f>
        <v>0</v>
      </c>
    </row>
    <row r="41" spans="1:6" ht="15.75" thickBot="1" x14ac:dyDescent="0.3"/>
    <row r="42" spans="1:6" x14ac:dyDescent="0.25">
      <c r="A42" s="300" t="s">
        <v>320</v>
      </c>
      <c r="B42" s="419">
        <f>B13+B31+B40</f>
        <v>0</v>
      </c>
      <c r="C42" s="419">
        <f>C13+C31+C40</f>
        <v>0</v>
      </c>
      <c r="D42" s="419">
        <f>D13+D31+D40</f>
        <v>0</v>
      </c>
      <c r="E42" s="419">
        <f>E13+E31+E40</f>
        <v>0</v>
      </c>
      <c r="F42" s="419">
        <f>F13+F31+F40</f>
        <v>0</v>
      </c>
    </row>
    <row r="43" spans="1:6" x14ac:dyDescent="0.25">
      <c r="A43" s="299" t="s">
        <v>249</v>
      </c>
      <c r="B43" s="417">
        <f>BALANCE_GENERAL!B22</f>
        <v>0</v>
      </c>
      <c r="C43" s="417">
        <f>BALANCE_GENERAL!C22</f>
        <v>0</v>
      </c>
      <c r="D43" s="417">
        <f>BALANCE_GENERAL!D22</f>
        <v>0</v>
      </c>
      <c r="E43" s="417">
        <f>BALANCE_GENERAL!E22</f>
        <v>0</v>
      </c>
      <c r="F43" s="417">
        <f>BALANCE_GENERAL!F22</f>
        <v>0</v>
      </c>
    </row>
    <row r="44" spans="1:6" ht="15.75" thickBot="1" x14ac:dyDescent="0.3">
      <c r="A44" s="450" t="s">
        <v>250</v>
      </c>
      <c r="B44" s="451">
        <f>B42+B43</f>
        <v>0</v>
      </c>
      <c r="C44" s="451">
        <f>C42+C43</f>
        <v>0</v>
      </c>
      <c r="D44" s="451">
        <f>D42+D43</f>
        <v>0</v>
      </c>
      <c r="E44" s="451">
        <f>E42+E43</f>
        <v>0</v>
      </c>
      <c r="F44" s="451">
        <f>F42+F43</f>
        <v>0</v>
      </c>
    </row>
  </sheetData>
  <sheetProtection algorithmName="SHA-512" hashValue="1IgK1vvuJjgxvkPs5x3yRoslT5qhE7vymgREfz9BKLIuqOPNWIiTxMH8QkAGeVJc5HCwRemP8omMuddD2Y/kwA==" saltValue="O1LvQqa5zDqWBK6dx9udmQ==" spinCount="100000" sheet="1" objects="1" scenarios="1"/>
  <mergeCells count="3">
    <mergeCell ref="A7:F7"/>
    <mergeCell ref="A15:F15"/>
    <mergeCell ref="A33:F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Portada">
                <anchor moveWithCells="1" sizeWithCells="1">
                  <from>
                    <xdr:col>7</xdr:col>
                    <xdr:colOff>314325</xdr:colOff>
                    <xdr:row>7</xdr:row>
                    <xdr:rowOff>28575</xdr:rowOff>
                  </from>
                  <to>
                    <xdr:col>9</xdr:col>
                    <xdr:colOff>219075</xdr:colOff>
                    <xdr:row>9</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9FA0B-D35A-4E27-A78D-6679EA84D1B2}">
  <sheetPr codeName="Hoja14"/>
  <dimension ref="A4:N75"/>
  <sheetViews>
    <sheetView showGridLines="0" zoomScaleNormal="100" workbookViewId="0">
      <selection activeCell="E6" sqref="E6"/>
    </sheetView>
  </sheetViews>
  <sheetFormatPr baseColWidth="10" defaultRowHeight="15" x14ac:dyDescent="0.25"/>
  <cols>
    <col min="1" max="1" width="42" style="139" customWidth="1"/>
    <col min="2" max="2" width="19" style="139" customWidth="1"/>
    <col min="3" max="3" width="26.42578125" style="139" customWidth="1"/>
    <col min="4" max="4" width="20.140625" style="139" customWidth="1"/>
    <col min="5" max="5" width="29.28515625" style="139" customWidth="1"/>
    <col min="6" max="6" width="22.7109375" style="139" customWidth="1"/>
    <col min="7" max="7" width="23.5703125" style="139" customWidth="1"/>
    <col min="8" max="8" width="23" style="139" customWidth="1"/>
    <col min="9" max="16384" width="11.42578125" style="139"/>
  </cols>
  <sheetData>
    <row r="4" spans="1:8" x14ac:dyDescent="0.25">
      <c r="F4" s="306"/>
    </row>
    <row r="8" spans="1:8" ht="15.75" thickBot="1" x14ac:dyDescent="0.3"/>
    <row r="9" spans="1:8" ht="14.45" customHeight="1" x14ac:dyDescent="0.25">
      <c r="A9" s="713" t="s">
        <v>324</v>
      </c>
      <c r="B9" s="714"/>
      <c r="C9" s="714"/>
      <c r="D9" s="714"/>
      <c r="E9" s="714"/>
      <c r="F9" s="714"/>
      <c r="G9" s="714"/>
      <c r="H9" s="711">
        <f>BASES!H18</f>
        <v>0.38</v>
      </c>
    </row>
    <row r="10" spans="1:8" ht="15.75" thickBot="1" x14ac:dyDescent="0.3">
      <c r="A10" s="715"/>
      <c r="B10" s="716"/>
      <c r="C10" s="716"/>
      <c r="D10" s="716"/>
      <c r="E10" s="716"/>
      <c r="F10" s="716"/>
      <c r="G10" s="716"/>
      <c r="H10" s="712"/>
    </row>
    <row r="11" spans="1:8" ht="19.5" thickBot="1" x14ac:dyDescent="0.35">
      <c r="A11" s="717" t="s">
        <v>251</v>
      </c>
      <c r="B11" s="718"/>
      <c r="C11" s="718"/>
      <c r="D11" s="718"/>
      <c r="E11" s="718"/>
      <c r="F11" s="718"/>
      <c r="G11" s="718"/>
      <c r="H11" s="307">
        <f>NECESIDADES_DE_FINANCIACION!E19</f>
        <v>0</v>
      </c>
    </row>
    <row r="13" spans="1:8" ht="15.75" thickBot="1" x14ac:dyDescent="0.3"/>
    <row r="14" spans="1:8" ht="15.75" thickBot="1" x14ac:dyDescent="0.3">
      <c r="C14" s="719" t="s">
        <v>252</v>
      </c>
      <c r="D14" s="720"/>
      <c r="E14" s="720"/>
      <c r="F14" s="720"/>
      <c r="G14" s="720"/>
      <c r="H14" s="721"/>
    </row>
    <row r="15" spans="1:8" ht="15.75" thickBot="1" x14ac:dyDescent="0.3"/>
    <row r="16" spans="1:8" x14ac:dyDescent="0.25">
      <c r="A16" s="738" t="s">
        <v>242</v>
      </c>
      <c r="B16" s="739"/>
      <c r="C16" s="321" t="str">
        <f>BASES!C7</f>
        <v>AÑO 0</v>
      </c>
      <c r="D16" s="322">
        <f>BASES!D7</f>
        <v>2021</v>
      </c>
      <c r="E16" s="322">
        <f>BASES!E7</f>
        <v>2022</v>
      </c>
      <c r="F16" s="322">
        <f>BASES!F7</f>
        <v>2023</v>
      </c>
      <c r="G16" s="322">
        <f>BASES!G7</f>
        <v>2024</v>
      </c>
      <c r="H16" s="322">
        <f>BASES!H7</f>
        <v>2025</v>
      </c>
    </row>
    <row r="17" spans="1:10" ht="15.75" thickBot="1" x14ac:dyDescent="0.3">
      <c r="A17" s="742" t="s">
        <v>253</v>
      </c>
      <c r="B17" s="743"/>
      <c r="C17" s="308">
        <f>H11*-1</f>
        <v>0</v>
      </c>
      <c r="D17" s="308">
        <f>FLUJO_DE_CAJA!B44</f>
        <v>0</v>
      </c>
      <c r="E17" s="308">
        <f>FLUJO_DE_CAJA!C44</f>
        <v>0</v>
      </c>
      <c r="F17" s="308">
        <f>FLUJO_DE_CAJA!D44</f>
        <v>0</v>
      </c>
      <c r="G17" s="308">
        <f>FLUJO_DE_CAJA!E44</f>
        <v>0</v>
      </c>
      <c r="H17" s="308">
        <f>FLUJO_DE_CAJA!F44</f>
        <v>0</v>
      </c>
    </row>
    <row r="18" spans="1:10" ht="15.75" thickBot="1" x14ac:dyDescent="0.3"/>
    <row r="19" spans="1:10" x14ac:dyDescent="0.25">
      <c r="C19" s="722" t="s">
        <v>254</v>
      </c>
      <c r="D19" s="723"/>
      <c r="E19" s="309">
        <f>C17+NPV(H9,D17:H17)</f>
        <v>0</v>
      </c>
    </row>
    <row r="20" spans="1:10" ht="15.75" thickBot="1" x14ac:dyDescent="0.3">
      <c r="C20" s="724" t="s">
        <v>255</v>
      </c>
      <c r="D20" s="725"/>
      <c r="E20" s="310" t="e">
        <f>IRR(C17:H17)</f>
        <v>#NUM!</v>
      </c>
    </row>
    <row r="22" spans="1:10" ht="15.75" thickBot="1" x14ac:dyDescent="0.3"/>
    <row r="23" spans="1:10" x14ac:dyDescent="0.25">
      <c r="A23" s="726" t="s">
        <v>256</v>
      </c>
      <c r="B23" s="728" t="e">
        <f>E20</f>
        <v>#NUM!</v>
      </c>
      <c r="C23" s="730" t="s">
        <v>257</v>
      </c>
      <c r="D23" s="732">
        <f>H9</f>
        <v>0.38</v>
      </c>
      <c r="E23" s="734" t="s">
        <v>1200</v>
      </c>
      <c r="F23" s="734"/>
      <c r="G23" s="736" t="s">
        <v>262</v>
      </c>
      <c r="H23" s="707" t="s">
        <v>1186</v>
      </c>
    </row>
    <row r="24" spans="1:10" ht="15.75" thickBot="1" x14ac:dyDescent="0.3">
      <c r="A24" s="727"/>
      <c r="B24" s="729"/>
      <c r="C24" s="731"/>
      <c r="D24" s="733"/>
      <c r="E24" s="735"/>
      <c r="F24" s="735"/>
      <c r="G24" s="737"/>
      <c r="H24" s="708"/>
    </row>
    <row r="25" spans="1:10" ht="15.75" thickBot="1" x14ac:dyDescent="0.3">
      <c r="J25" s="311"/>
    </row>
    <row r="26" spans="1:10" x14ac:dyDescent="0.25">
      <c r="A26" s="740" t="s">
        <v>256</v>
      </c>
      <c r="B26" s="748" t="e">
        <f>E20</f>
        <v>#NUM!</v>
      </c>
      <c r="C26" s="754" t="s">
        <v>258</v>
      </c>
      <c r="D26" s="748">
        <f>H9</f>
        <v>0.38</v>
      </c>
      <c r="E26" s="734" t="s">
        <v>1185</v>
      </c>
      <c r="F26" s="734"/>
      <c r="G26" s="752" t="s">
        <v>261</v>
      </c>
      <c r="H26" s="707" t="s">
        <v>1187</v>
      </c>
    </row>
    <row r="27" spans="1:10" ht="15.75" thickBot="1" x14ac:dyDescent="0.3">
      <c r="A27" s="741"/>
      <c r="B27" s="749"/>
      <c r="C27" s="755"/>
      <c r="D27" s="749"/>
      <c r="E27" s="735"/>
      <c r="F27" s="735"/>
      <c r="G27" s="753"/>
      <c r="H27" s="708"/>
    </row>
    <row r="28" spans="1:10" ht="15.75" thickBot="1" x14ac:dyDescent="0.3"/>
    <row r="29" spans="1:10" x14ac:dyDescent="0.25">
      <c r="A29" s="740" t="s">
        <v>256</v>
      </c>
      <c r="B29" s="758" t="e">
        <f>E20</f>
        <v>#NUM!</v>
      </c>
      <c r="C29" s="754" t="s">
        <v>259</v>
      </c>
      <c r="D29" s="748">
        <f>H9</f>
        <v>0.38</v>
      </c>
      <c r="E29" s="734" t="s">
        <v>1200</v>
      </c>
      <c r="F29" s="734"/>
      <c r="G29" s="752" t="s">
        <v>260</v>
      </c>
      <c r="H29" s="709" t="s">
        <v>1188</v>
      </c>
    </row>
    <row r="30" spans="1:10" ht="15.75" thickBot="1" x14ac:dyDescent="0.3">
      <c r="A30" s="741"/>
      <c r="B30" s="749"/>
      <c r="C30" s="755"/>
      <c r="D30" s="749"/>
      <c r="E30" s="735"/>
      <c r="F30" s="735"/>
      <c r="G30" s="753"/>
      <c r="H30" s="710"/>
    </row>
    <row r="31" spans="1:10" ht="15.75" thickBot="1" x14ac:dyDescent="0.3"/>
    <row r="32" spans="1:10" x14ac:dyDescent="0.25">
      <c r="A32" s="765" t="s">
        <v>263</v>
      </c>
      <c r="B32" s="766"/>
      <c r="C32" s="312">
        <f>D16</f>
        <v>2021</v>
      </c>
      <c r="D32" s="312">
        <f>E16</f>
        <v>2022</v>
      </c>
      <c r="E32" s="312">
        <f>F16</f>
        <v>2023</v>
      </c>
      <c r="F32" s="312">
        <f>G16</f>
        <v>2024</v>
      </c>
      <c r="G32" s="312">
        <f>H16</f>
        <v>2025</v>
      </c>
    </row>
    <row r="33" spans="1:7" x14ac:dyDescent="0.25">
      <c r="A33" s="746" t="s">
        <v>264</v>
      </c>
      <c r="B33" s="747"/>
      <c r="C33" s="323">
        <f>IF(BALANCE_GENERAL!C63=0,0,BALANCE_GENERAL!C25/BALANCE_GENERAL!C63)</f>
        <v>0</v>
      </c>
      <c r="D33" s="323">
        <f>IF(BALANCE_GENERAL!D63=0,0,BALANCE_GENERAL!D25/BALANCE_GENERAL!D63)</f>
        <v>0</v>
      </c>
      <c r="E33" s="323">
        <f>IF(BALANCE_GENERAL!E63=0,0,BALANCE_GENERAL!E25/BALANCE_GENERAL!E63)</f>
        <v>0</v>
      </c>
      <c r="F33" s="323">
        <f>IF(BALANCE_GENERAL!F63=0,0,BALANCE_GENERAL!F25/BALANCE_GENERAL!F63)</f>
        <v>0</v>
      </c>
      <c r="G33" s="323">
        <f>IF(BALANCE_GENERAL!G63=0,0,BALANCE_GENERAL!G25/BALANCE_GENERAL!G63)</f>
        <v>0</v>
      </c>
    </row>
    <row r="34" spans="1:7" x14ac:dyDescent="0.25">
      <c r="A34" s="746" t="s">
        <v>321</v>
      </c>
      <c r="B34" s="747"/>
      <c r="C34" s="324">
        <f>IF(BALANCE_GENERAL!B57=0,0,BALANCE_GENERAL!B65/BALANCE_GENERAL!B57)</f>
        <v>0</v>
      </c>
      <c r="D34" s="324">
        <f>IF(BALANCE_GENERAL!C57=0,0,BALANCE_GENERAL!C65/BALANCE_GENERAL!C57)</f>
        <v>0</v>
      </c>
      <c r="E34" s="324">
        <f>IF(BALANCE_GENERAL!D57=0,0,BALANCE_GENERAL!D65/BALANCE_GENERAL!D57)</f>
        <v>0</v>
      </c>
      <c r="F34" s="324">
        <f>IF(BALANCE_GENERAL!E57=0,0,BALANCE_GENERAL!E65/BALANCE_GENERAL!E57)</f>
        <v>0</v>
      </c>
      <c r="G34" s="324">
        <f>IF(BALANCE_GENERAL!F57=0,0,BALANCE_GENERAL!F65/BALANCE_GENERAL!F57)</f>
        <v>0</v>
      </c>
    </row>
    <row r="35" spans="1:7" x14ac:dyDescent="0.25">
      <c r="A35" s="746" t="s">
        <v>265</v>
      </c>
      <c r="B35" s="747"/>
      <c r="C35" s="324">
        <f>IF(ESTADO_DE_RESULTADOS!B4=0,0,ESTADO_DE_RESULTADOS!B16/ESTADO_DE_RESULTADOS!B4)</f>
        <v>0</v>
      </c>
      <c r="D35" s="324">
        <f>IF(ESTADO_DE_RESULTADOS!C4=0,0,ESTADO_DE_RESULTADOS!C16/ESTADO_DE_RESULTADOS!C4)</f>
        <v>0</v>
      </c>
      <c r="E35" s="324">
        <f>IF(ESTADO_DE_RESULTADOS!D4=0,0,ESTADO_DE_RESULTADOS!D16/ESTADO_DE_RESULTADOS!D4)</f>
        <v>0</v>
      </c>
      <c r="F35" s="324">
        <f>IF(ESTADO_DE_RESULTADOS!E4=0,0,ESTADO_DE_RESULTADOS!E16/ESTADO_DE_RESULTADOS!E4)</f>
        <v>0</v>
      </c>
      <c r="G35" s="324">
        <f>IF(ESTADO_DE_RESULTADOS!F4=0,0,ESTADO_DE_RESULTADOS!F16/ESTADO_DE_RESULTADOS!F4)</f>
        <v>0</v>
      </c>
    </row>
    <row r="36" spans="1:7" x14ac:dyDescent="0.25">
      <c r="A36" s="746" t="s">
        <v>266</v>
      </c>
      <c r="B36" s="747"/>
      <c r="C36" s="324">
        <f>IF(ESTADO_DE_RESULTADOS!B4=0,0,ESTADO_DE_RESULTADOS!B31/ESTADO_DE_RESULTADOS!B4)</f>
        <v>0</v>
      </c>
      <c r="D36" s="324">
        <f>IF(ESTADO_DE_RESULTADOS!C4=0,0,ESTADO_DE_RESULTADOS!C31/ESTADO_DE_RESULTADOS!C4)</f>
        <v>0</v>
      </c>
      <c r="E36" s="324">
        <f>IF(ESTADO_DE_RESULTADOS!D4=0,0,ESTADO_DE_RESULTADOS!D31/ESTADO_DE_RESULTADOS!D4)</f>
        <v>0</v>
      </c>
      <c r="F36" s="324">
        <f>IF(ESTADO_DE_RESULTADOS!E4=0,0,ESTADO_DE_RESULTADOS!E31/ESTADO_DE_RESULTADOS!E4)</f>
        <v>0</v>
      </c>
      <c r="G36" s="324">
        <f>IF(ESTADO_DE_RESULTADOS!F4=0,0,ESTADO_DE_RESULTADOS!F31/ESTADO_DE_RESULTADOS!F4)</f>
        <v>0</v>
      </c>
    </row>
    <row r="37" spans="1:7" x14ac:dyDescent="0.25">
      <c r="A37" s="746" t="s">
        <v>267</v>
      </c>
      <c r="B37" s="747"/>
      <c r="C37" s="324">
        <f>IF(BALANCE_GENERAL!B72=0,0,BALANCE_GENERAL!B34/BALANCE_GENERAL!B72)</f>
        <v>0</v>
      </c>
      <c r="D37" s="324">
        <f>IF(BALANCE_GENERAL!C72=0,0,BALANCE_GENERAL!C34/BALANCE_GENERAL!C72)</f>
        <v>0</v>
      </c>
      <c r="E37" s="324">
        <f>IF(BALANCE_GENERAL!D72=0,0,BALANCE_GENERAL!D34/BALANCE_GENERAL!D72)</f>
        <v>0</v>
      </c>
      <c r="F37" s="324">
        <f>IF(BALANCE_GENERAL!E72=0,0,BALANCE_GENERAL!E34/BALANCE_GENERAL!E72)</f>
        <v>0</v>
      </c>
      <c r="G37" s="324">
        <f>IF(BALANCE_GENERAL!F72=0,0,BALANCE_GENERAL!F34/BALANCE_GENERAL!F72)</f>
        <v>0</v>
      </c>
    </row>
    <row r="38" spans="1:7" ht="15.75" thickBot="1" x14ac:dyDescent="0.3">
      <c r="A38" s="756" t="s">
        <v>268</v>
      </c>
      <c r="B38" s="757"/>
      <c r="C38" s="325">
        <f>IF(BALANCE_GENERAL!B57=0,0,BALANCE_GENERAL!B34/BALANCE_GENERAL!B57)</f>
        <v>0</v>
      </c>
      <c r="D38" s="325">
        <f>IF(BALANCE_GENERAL!C57=0,0,BALANCE_GENERAL!C34/BALANCE_GENERAL!C57)</f>
        <v>0</v>
      </c>
      <c r="E38" s="325">
        <f>IF(BALANCE_GENERAL!D57=0,0,BALANCE_GENERAL!D34/BALANCE_GENERAL!D57)</f>
        <v>0</v>
      </c>
      <c r="F38" s="325">
        <f>IF(BALANCE_GENERAL!E57=0,0,BALANCE_GENERAL!E34/BALANCE_GENERAL!E57)</f>
        <v>0</v>
      </c>
      <c r="G38" s="325">
        <f>IF(BALANCE_GENERAL!F57=0,0,BALANCE_GENERAL!F34/BALANCE_GENERAL!F57)</f>
        <v>0</v>
      </c>
    </row>
    <row r="39" spans="1:7" x14ac:dyDescent="0.25">
      <c r="A39" s="759" t="s">
        <v>269</v>
      </c>
      <c r="B39" s="760"/>
      <c r="C39" s="763" t="str">
        <f>IF(ISERROR(-C17/AVERAGE(D17:H17)),"N.A.",(-C17/AVERAGE(D17:H17)))</f>
        <v>N.A.</v>
      </c>
      <c r="D39" s="763"/>
      <c r="E39" s="750" t="s">
        <v>58</v>
      </c>
      <c r="F39" s="313"/>
      <c r="G39" s="313"/>
    </row>
    <row r="40" spans="1:7" ht="15.75" thickBot="1" x14ac:dyDescent="0.3">
      <c r="A40" s="761"/>
      <c r="B40" s="762"/>
      <c r="C40" s="764"/>
      <c r="D40" s="764"/>
      <c r="E40" s="751"/>
      <c r="F40" s="313"/>
      <c r="G40" s="313"/>
    </row>
    <row r="44" spans="1:7" ht="15.75" thickBot="1" x14ac:dyDescent="0.3"/>
    <row r="45" spans="1:7" ht="46.9" customHeight="1" thickBot="1" x14ac:dyDescent="0.3">
      <c r="A45" s="314" t="s">
        <v>270</v>
      </c>
      <c r="B45" s="315" t="s">
        <v>273</v>
      </c>
      <c r="C45" s="785">
        <f>C17*-1</f>
        <v>0</v>
      </c>
      <c r="D45" s="315" t="s">
        <v>274</v>
      </c>
      <c r="E45" s="316" t="s">
        <v>275</v>
      </c>
      <c r="F45" s="317" t="s">
        <v>211</v>
      </c>
    </row>
    <row r="46" spans="1:7" ht="35.450000000000003" customHeight="1" thickBot="1" x14ac:dyDescent="0.3">
      <c r="A46" s="744" t="s">
        <v>278</v>
      </c>
      <c r="B46" s="318" t="s">
        <v>276</v>
      </c>
      <c r="C46" s="778">
        <f>NECESIDADES_DE_FINANCIACION!E20</f>
        <v>0</v>
      </c>
      <c r="D46" s="779">
        <f>IF(C45=0,0,C46/C45)</f>
        <v>0</v>
      </c>
      <c r="E46" s="780">
        <f>H9</f>
        <v>0.38</v>
      </c>
      <c r="F46" s="781">
        <f>ESTADO_DE_RESULTADOS!I9</f>
        <v>0</v>
      </c>
    </row>
    <row r="47" spans="1:7" ht="45" customHeight="1" thickBot="1" x14ac:dyDescent="0.3">
      <c r="A47" s="745"/>
      <c r="B47" s="319" t="s">
        <v>277</v>
      </c>
      <c r="C47" s="786">
        <f>NECESIDADES_DE_FINANCIACION!E21</f>
        <v>0</v>
      </c>
      <c r="D47" s="782">
        <f>IF(C45=0,0,C47/C45)</f>
        <v>0</v>
      </c>
      <c r="E47" s="783">
        <f>NECESIDADES_DE_FINANCIACION!E24</f>
        <v>0</v>
      </c>
      <c r="F47" s="784"/>
    </row>
    <row r="49" spans="1:2" ht="15.75" thickBot="1" x14ac:dyDescent="0.3"/>
    <row r="50" spans="1:2" ht="15.75" thickBot="1" x14ac:dyDescent="0.3">
      <c r="A50" s="320" t="s">
        <v>279</v>
      </c>
      <c r="B50" s="326">
        <f>IF((D47*E47*(1-F46))+(D46*E46)&lt;0,"N.A.",(D47*E47*(1-F46))+(D46*E46))</f>
        <v>0</v>
      </c>
    </row>
    <row r="75" spans="14:14" x14ac:dyDescent="0.25">
      <c r="N75" s="139" t="s">
        <v>41</v>
      </c>
    </row>
  </sheetData>
  <sheetProtection sheet="1" objects="1" scenarios="1"/>
  <mergeCells count="40">
    <mergeCell ref="E39:E40"/>
    <mergeCell ref="G26:G27"/>
    <mergeCell ref="G29:G30"/>
    <mergeCell ref="C29:C30"/>
    <mergeCell ref="A38:B38"/>
    <mergeCell ref="A29:A30"/>
    <mergeCell ref="B26:B27"/>
    <mergeCell ref="B29:B30"/>
    <mergeCell ref="C26:C27"/>
    <mergeCell ref="A39:B40"/>
    <mergeCell ref="C39:D40"/>
    <mergeCell ref="E26:F27"/>
    <mergeCell ref="E29:F30"/>
    <mergeCell ref="A32:B32"/>
    <mergeCell ref="A33:B33"/>
    <mergeCell ref="A34:B34"/>
    <mergeCell ref="A26:A27"/>
    <mergeCell ref="A17:B17"/>
    <mergeCell ref="A46:A47"/>
    <mergeCell ref="A37:B37"/>
    <mergeCell ref="D26:D27"/>
    <mergeCell ref="D29:D30"/>
    <mergeCell ref="A35:B35"/>
    <mergeCell ref="A36:B36"/>
    <mergeCell ref="H23:H24"/>
    <mergeCell ref="H26:H27"/>
    <mergeCell ref="H29:H30"/>
    <mergeCell ref="H9:H10"/>
    <mergeCell ref="A9:G10"/>
    <mergeCell ref="A11:G11"/>
    <mergeCell ref="C14:H14"/>
    <mergeCell ref="C19:D19"/>
    <mergeCell ref="C20:D20"/>
    <mergeCell ref="A23:A24"/>
    <mergeCell ref="B23:B24"/>
    <mergeCell ref="C23:C24"/>
    <mergeCell ref="D23:D24"/>
    <mergeCell ref="E23:F24"/>
    <mergeCell ref="G23:G24"/>
    <mergeCell ref="A16:B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6" r:id="rId3" name="Button 6">
              <controlPr defaultSize="0" print="0" autoFill="0" autoPict="0" macro="[0]!Portada">
                <anchor moveWithCells="1" sizeWithCells="1">
                  <from>
                    <xdr:col>6</xdr:col>
                    <xdr:colOff>390525</xdr:colOff>
                    <xdr:row>3</xdr:row>
                    <xdr:rowOff>57150</xdr:rowOff>
                  </from>
                  <to>
                    <xdr:col>7</xdr:col>
                    <xdr:colOff>790575</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ED637-C8EB-4BDD-A5B1-5958A8482F7D}">
  <sheetPr codeName="Hoja4"/>
  <dimension ref="B1:Z82"/>
  <sheetViews>
    <sheetView showGridLines="0" zoomScaleNormal="100" workbookViewId="0"/>
  </sheetViews>
  <sheetFormatPr baseColWidth="10" defaultRowHeight="15.75" x14ac:dyDescent="0.25"/>
  <cols>
    <col min="1" max="1" width="11.42578125" style="63"/>
    <col min="2" max="2" width="57.5703125" style="63" bestFit="1" customWidth="1"/>
    <col min="3" max="10" width="11.42578125" style="63"/>
    <col min="11" max="11" width="25.42578125" style="63" bestFit="1" customWidth="1"/>
    <col min="12" max="12" width="24.7109375" style="63" customWidth="1"/>
    <col min="13" max="13" width="12.7109375" style="63" customWidth="1"/>
    <col min="14" max="14" width="25.5703125" style="63" bestFit="1" customWidth="1"/>
    <col min="15" max="15" width="16.42578125" style="63" customWidth="1"/>
    <col min="16" max="20" width="16.85546875" style="63" bestFit="1" customWidth="1"/>
    <col min="21" max="21" width="23.85546875" style="63" bestFit="1" customWidth="1"/>
    <col min="22" max="26" width="16.85546875" style="63" bestFit="1" customWidth="1"/>
    <col min="27" max="16384" width="11.42578125" style="63"/>
  </cols>
  <sheetData>
    <row r="1" spans="2:26" ht="16.5" thickBot="1" x14ac:dyDescent="0.3"/>
    <row r="2" spans="2:26" ht="16.5" thickBot="1" x14ac:dyDescent="0.3">
      <c r="B2" s="770" t="s">
        <v>1184</v>
      </c>
      <c r="C2" s="771"/>
      <c r="D2" s="771"/>
      <c r="E2" s="771"/>
      <c r="F2" s="771"/>
      <c r="G2" s="771"/>
      <c r="H2" s="771"/>
      <c r="I2" s="771"/>
      <c r="J2" s="771"/>
      <c r="K2" s="771"/>
      <c r="L2" s="771"/>
      <c r="M2" s="771"/>
      <c r="N2" s="771"/>
      <c r="O2" s="771"/>
      <c r="P2" s="771"/>
      <c r="Q2" s="771"/>
      <c r="R2" s="771"/>
      <c r="S2" s="771"/>
      <c r="T2" s="771"/>
      <c r="U2" s="771"/>
      <c r="V2" s="771"/>
      <c r="W2" s="771"/>
      <c r="X2" s="771"/>
      <c r="Y2" s="771"/>
      <c r="Z2" s="772"/>
    </row>
    <row r="3" spans="2:26" ht="16.5" thickBot="1" x14ac:dyDescent="0.3"/>
    <row r="4" spans="2:26" ht="16.5" thickBot="1" x14ac:dyDescent="0.3">
      <c r="P4" s="773" t="s">
        <v>1180</v>
      </c>
      <c r="Q4" s="774"/>
      <c r="R4" s="774"/>
      <c r="S4" s="774"/>
      <c r="T4" s="775"/>
      <c r="U4" s="470" t="s">
        <v>1183</v>
      </c>
      <c r="V4" s="774" t="s">
        <v>1181</v>
      </c>
      <c r="W4" s="774"/>
      <c r="X4" s="774"/>
      <c r="Y4" s="774"/>
      <c r="Z4" s="775"/>
    </row>
    <row r="5" spans="2:26" ht="32.25" customHeight="1" x14ac:dyDescent="0.25"/>
    <row r="6" spans="2:26" x14ac:dyDescent="0.25">
      <c r="N6" s="52"/>
      <c r="O6" s="52"/>
      <c r="P6" s="776" t="s">
        <v>1179</v>
      </c>
      <c r="Q6" s="776"/>
      <c r="R6" s="776"/>
      <c r="S6" s="776"/>
      <c r="T6" s="776"/>
      <c r="U6" s="776"/>
      <c r="V6" s="776"/>
      <c r="W6" s="776"/>
      <c r="X6" s="776"/>
      <c r="Y6" s="776"/>
      <c r="Z6" s="776"/>
    </row>
    <row r="7" spans="2:26" x14ac:dyDescent="0.25">
      <c r="B7" s="457" t="s">
        <v>1182</v>
      </c>
      <c r="C7" s="458">
        <v>0</v>
      </c>
      <c r="N7" s="52"/>
      <c r="O7" s="52"/>
      <c r="P7" s="777" t="s">
        <v>1195</v>
      </c>
      <c r="Q7" s="777"/>
      <c r="R7" s="777"/>
      <c r="S7" s="777"/>
      <c r="T7" s="777"/>
      <c r="U7" s="777"/>
      <c r="V7" s="777"/>
      <c r="W7" s="777"/>
      <c r="X7" s="777"/>
      <c r="Y7" s="777"/>
      <c r="Z7" s="777"/>
    </row>
    <row r="8" spans="2:26" x14ac:dyDescent="0.25">
      <c r="N8" s="463"/>
      <c r="O8" s="463"/>
      <c r="P8" s="464">
        <v>-0.1</v>
      </c>
      <c r="Q8" s="464">
        <v>-0.08</v>
      </c>
      <c r="R8" s="464">
        <v>-0.06</v>
      </c>
      <c r="S8" s="464">
        <v>-0.04</v>
      </c>
      <c r="T8" s="464">
        <v>-0.02</v>
      </c>
      <c r="U8" s="464">
        <v>0</v>
      </c>
      <c r="V8" s="464">
        <v>0.02</v>
      </c>
      <c r="W8" s="464">
        <v>0.04</v>
      </c>
      <c r="X8" s="464">
        <v>0.06</v>
      </c>
      <c r="Y8" s="464">
        <v>0.08</v>
      </c>
      <c r="Z8" s="464">
        <v>0.1</v>
      </c>
    </row>
    <row r="9" spans="2:26" ht="31.5" customHeight="1" x14ac:dyDescent="0.25">
      <c r="B9" s="474" t="s">
        <v>191</v>
      </c>
      <c r="C9" s="475">
        <f>ESTADO_DE_RESULTADOS!B3</f>
        <v>2021</v>
      </c>
      <c r="D9" s="475">
        <f>ESTADO_DE_RESULTADOS!C3</f>
        <v>2022</v>
      </c>
      <c r="E9" s="475">
        <f>ESTADO_DE_RESULTADOS!D3</f>
        <v>2023</v>
      </c>
      <c r="F9" s="475">
        <f>ESTADO_DE_RESULTADOS!E3</f>
        <v>2024</v>
      </c>
      <c r="G9" s="475">
        <f>ESTADO_DE_RESULTADOS!F3</f>
        <v>2025</v>
      </c>
      <c r="N9" s="465" t="s">
        <v>192</v>
      </c>
      <c r="O9" s="469">
        <f>C10</f>
        <v>0</v>
      </c>
      <c r="P9" s="471"/>
      <c r="Q9" s="471"/>
      <c r="R9" s="471"/>
      <c r="S9" s="471"/>
      <c r="T9" s="471"/>
      <c r="U9" s="469"/>
      <c r="V9" s="471"/>
      <c r="W9" s="471"/>
      <c r="X9" s="471"/>
      <c r="Y9" s="471"/>
      <c r="Z9" s="471"/>
    </row>
    <row r="10" spans="2:26" x14ac:dyDescent="0.25">
      <c r="B10" s="476" t="s">
        <v>192</v>
      </c>
      <c r="C10" s="466">
        <f>ESTADO_DE_RESULTADOS!B4*(1+$C$7)</f>
        <v>0</v>
      </c>
      <c r="D10" s="466">
        <f>ESTADO_DE_RESULTADOS!C4*(1+$C$7)</f>
        <v>0</v>
      </c>
      <c r="E10" s="466">
        <f>ESTADO_DE_RESULTADOS!D4*(1+$C$7)</f>
        <v>0</v>
      </c>
      <c r="F10" s="466">
        <f>ESTADO_DE_RESULTADOS!E4*(1+$C$7)</f>
        <v>0</v>
      </c>
      <c r="G10" s="466">
        <f>ESTADO_DE_RESULTADOS!F4*(1+$C$7)</f>
        <v>0</v>
      </c>
      <c r="N10" s="465" t="s">
        <v>196</v>
      </c>
      <c r="O10" s="469">
        <f>C15</f>
        <v>0</v>
      </c>
      <c r="P10" s="471"/>
      <c r="Q10" s="471"/>
      <c r="R10" s="471"/>
      <c r="S10" s="471"/>
      <c r="T10" s="471"/>
      <c r="U10" s="469"/>
      <c r="V10" s="471"/>
      <c r="W10" s="471"/>
      <c r="X10" s="471"/>
      <c r="Y10" s="471"/>
      <c r="Z10" s="471"/>
    </row>
    <row r="11" spans="2:26" x14ac:dyDescent="0.25">
      <c r="B11" s="476" t="s">
        <v>193</v>
      </c>
      <c r="C11" s="477">
        <f>ESTADO_DE_RESULTADOS!B5</f>
        <v>0</v>
      </c>
      <c r="D11" s="477">
        <f>ESTADO_DE_RESULTADOS!C5</f>
        <v>0</v>
      </c>
      <c r="E11" s="477">
        <f>ESTADO_DE_RESULTADOS!D5</f>
        <v>0</v>
      </c>
      <c r="F11" s="477">
        <f>ESTADO_DE_RESULTADOS!E5</f>
        <v>0</v>
      </c>
      <c r="G11" s="477">
        <f>ESTADO_DE_RESULTADOS!F5</f>
        <v>0</v>
      </c>
      <c r="N11" s="465" t="s">
        <v>1168</v>
      </c>
      <c r="O11" s="469">
        <f>C22</f>
        <v>0</v>
      </c>
      <c r="P11" s="471"/>
      <c r="Q11" s="471"/>
      <c r="R11" s="471"/>
      <c r="S11" s="471"/>
      <c r="T11" s="471"/>
      <c r="U11" s="469"/>
      <c r="V11" s="471"/>
      <c r="W11" s="471"/>
      <c r="X11" s="471"/>
      <c r="Y11" s="471"/>
      <c r="Z11" s="471"/>
    </row>
    <row r="12" spans="2:26" x14ac:dyDescent="0.25">
      <c r="B12" s="476" t="s">
        <v>194</v>
      </c>
      <c r="C12" s="466">
        <f>ESTADO_DE_RESULTADOS!B6</f>
        <v>0</v>
      </c>
      <c r="D12" s="466">
        <f>ESTADO_DE_RESULTADOS!C6</f>
        <v>0</v>
      </c>
      <c r="E12" s="466">
        <f>ESTADO_DE_RESULTADOS!D6</f>
        <v>0</v>
      </c>
      <c r="F12" s="466">
        <f>ESTADO_DE_RESULTADOS!E6</f>
        <v>0</v>
      </c>
      <c r="G12" s="466">
        <f>ESTADO_DE_RESULTADOS!F6</f>
        <v>0</v>
      </c>
      <c r="N12" s="465" t="s">
        <v>1169</v>
      </c>
      <c r="O12" s="469">
        <f>C33</f>
        <v>0</v>
      </c>
      <c r="P12" s="471"/>
      <c r="Q12" s="471"/>
      <c r="R12" s="471"/>
      <c r="S12" s="471"/>
      <c r="T12" s="471"/>
      <c r="U12" s="469"/>
      <c r="V12" s="471"/>
      <c r="W12" s="471"/>
      <c r="X12" s="471"/>
      <c r="Y12" s="471"/>
      <c r="Z12" s="471"/>
    </row>
    <row r="13" spans="2:26" x14ac:dyDescent="0.25">
      <c r="B13" s="476" t="s">
        <v>34</v>
      </c>
      <c r="C13" s="466">
        <f>ESTADO_DE_RESULTADOS!B7</f>
        <v>0</v>
      </c>
      <c r="D13" s="466">
        <f>ESTADO_DE_RESULTADOS!C7</f>
        <v>0</v>
      </c>
      <c r="E13" s="466">
        <f>ESTADO_DE_RESULTADOS!D7</f>
        <v>0</v>
      </c>
      <c r="F13" s="466">
        <f>ESTADO_DE_RESULTADOS!E7</f>
        <v>0</v>
      </c>
      <c r="G13" s="466">
        <f>ESTADO_DE_RESULTADOS!F7</f>
        <v>0</v>
      </c>
      <c r="N13" s="465" t="s">
        <v>1170</v>
      </c>
      <c r="O13" s="469">
        <f>C37</f>
        <v>0</v>
      </c>
      <c r="P13" s="471"/>
      <c r="Q13" s="471"/>
      <c r="R13" s="471"/>
      <c r="S13" s="471"/>
      <c r="T13" s="471"/>
      <c r="U13" s="469"/>
      <c r="V13" s="471"/>
      <c r="W13" s="471"/>
      <c r="X13" s="471"/>
      <c r="Y13" s="471"/>
      <c r="Z13" s="471"/>
    </row>
    <row r="14" spans="2:26" x14ac:dyDescent="0.25">
      <c r="B14" s="476" t="s">
        <v>195</v>
      </c>
      <c r="C14" s="466">
        <f>ESTADO_DE_RESULTADOS!B8</f>
        <v>0</v>
      </c>
      <c r="D14" s="466">
        <f>ESTADO_DE_RESULTADOS!C8</f>
        <v>0</v>
      </c>
      <c r="E14" s="466">
        <f>ESTADO_DE_RESULTADOS!D8</f>
        <v>0</v>
      </c>
      <c r="F14" s="466">
        <f>ESTADO_DE_RESULTADOS!E8</f>
        <v>0</v>
      </c>
      <c r="G14" s="466">
        <f>ESTADO_DE_RESULTADOS!F8</f>
        <v>0</v>
      </c>
      <c r="N14" s="465" t="s">
        <v>218</v>
      </c>
      <c r="O14" s="469">
        <f>C46</f>
        <v>0</v>
      </c>
      <c r="P14" s="471"/>
      <c r="Q14" s="471"/>
      <c r="R14" s="471"/>
      <c r="S14" s="471"/>
      <c r="T14" s="471"/>
      <c r="U14" s="469"/>
      <c r="V14" s="471"/>
      <c r="W14" s="471"/>
      <c r="X14" s="471"/>
      <c r="Y14" s="471"/>
      <c r="Z14" s="471"/>
    </row>
    <row r="15" spans="2:26" x14ac:dyDescent="0.25">
      <c r="B15" s="478" t="s">
        <v>196</v>
      </c>
      <c r="C15" s="479">
        <f>C10-C11-C12-C13-C14</f>
        <v>0</v>
      </c>
      <c r="D15" s="479">
        <f t="shared" ref="D15:G15" si="0">D10-D11-D12-D13-D14</f>
        <v>0</v>
      </c>
      <c r="E15" s="479">
        <f t="shared" si="0"/>
        <v>0</v>
      </c>
      <c r="F15" s="479">
        <f t="shared" si="0"/>
        <v>0</v>
      </c>
      <c r="G15" s="479">
        <f t="shared" si="0"/>
        <v>0</v>
      </c>
      <c r="N15" s="465" t="s">
        <v>253</v>
      </c>
      <c r="O15" s="469">
        <f>D77</f>
        <v>0</v>
      </c>
      <c r="P15" s="471"/>
      <c r="Q15" s="471"/>
      <c r="R15" s="471"/>
      <c r="S15" s="471"/>
      <c r="T15" s="471"/>
      <c r="U15" s="469"/>
      <c r="V15" s="471"/>
      <c r="W15" s="471"/>
      <c r="X15" s="471"/>
      <c r="Y15" s="471"/>
      <c r="Z15" s="471"/>
    </row>
    <row r="16" spans="2:26" x14ac:dyDescent="0.25">
      <c r="B16" s="476" t="s">
        <v>197</v>
      </c>
      <c r="C16" s="466">
        <f>ESTADO_DE_RESULTADOS!B10</f>
        <v>0</v>
      </c>
      <c r="D16" s="466">
        <f>ESTADO_DE_RESULTADOS!C10</f>
        <v>0</v>
      </c>
      <c r="E16" s="466">
        <f>ESTADO_DE_RESULTADOS!D10</f>
        <v>0</v>
      </c>
      <c r="F16" s="466">
        <f>ESTADO_DE_RESULTADOS!E10</f>
        <v>0</v>
      </c>
      <c r="G16" s="466">
        <f>ESTADO_DE_RESULTADOS!F10</f>
        <v>0</v>
      </c>
      <c r="N16" s="465" t="s">
        <v>1171</v>
      </c>
      <c r="O16" s="469">
        <f>C79</f>
        <v>0</v>
      </c>
      <c r="P16" s="471"/>
      <c r="Q16" s="471"/>
      <c r="R16" s="471"/>
      <c r="S16" s="471"/>
      <c r="T16" s="471"/>
      <c r="U16" s="469"/>
      <c r="V16" s="471"/>
      <c r="W16" s="471"/>
      <c r="X16" s="471"/>
      <c r="Y16" s="471"/>
      <c r="Z16" s="471"/>
    </row>
    <row r="17" spans="2:26" x14ac:dyDescent="0.25">
      <c r="B17" s="476" t="s">
        <v>198</v>
      </c>
      <c r="C17" s="466">
        <f>ESTADO_DE_RESULTADOS!B11</f>
        <v>0</v>
      </c>
      <c r="D17" s="466">
        <f>ESTADO_DE_RESULTADOS!C11</f>
        <v>0</v>
      </c>
      <c r="E17" s="466">
        <f>ESTADO_DE_RESULTADOS!D11</f>
        <v>0</v>
      </c>
      <c r="F17" s="466">
        <f>ESTADO_DE_RESULTADOS!E11</f>
        <v>0</v>
      </c>
      <c r="G17" s="466">
        <f>ESTADO_DE_RESULTADOS!F11</f>
        <v>0</v>
      </c>
    </row>
    <row r="18" spans="2:26" x14ac:dyDescent="0.25">
      <c r="B18" s="476" t="s">
        <v>199</v>
      </c>
      <c r="C18" s="466">
        <f>ESTADO_DE_RESULTADOS!B12</f>
        <v>0</v>
      </c>
      <c r="D18" s="466">
        <f>ESTADO_DE_RESULTADOS!C12</f>
        <v>0</v>
      </c>
      <c r="E18" s="466">
        <f>ESTADO_DE_RESULTADOS!D12</f>
        <v>0</v>
      </c>
      <c r="F18" s="466">
        <f>ESTADO_DE_RESULTADOS!E12</f>
        <v>0</v>
      </c>
      <c r="G18" s="466">
        <f>ESTADO_DE_RESULTADOS!F12</f>
        <v>0</v>
      </c>
    </row>
    <row r="19" spans="2:26" x14ac:dyDescent="0.25">
      <c r="B19" s="476" t="s">
        <v>200</v>
      </c>
      <c r="C19" s="466">
        <f>ESTADO_DE_RESULTADOS!B13</f>
        <v>0</v>
      </c>
      <c r="D19" s="466">
        <f>ESTADO_DE_RESULTADOS!C13</f>
        <v>0</v>
      </c>
      <c r="E19" s="466">
        <f>ESTADO_DE_RESULTADOS!D13</f>
        <v>0</v>
      </c>
      <c r="F19" s="466">
        <f>ESTADO_DE_RESULTADOS!E13</f>
        <v>0</v>
      </c>
      <c r="G19" s="466">
        <f>ESTADO_DE_RESULTADOS!F13</f>
        <v>0</v>
      </c>
      <c r="P19" s="776" t="s">
        <v>1196</v>
      </c>
      <c r="Q19" s="776"/>
      <c r="R19" s="776"/>
      <c r="S19" s="776"/>
      <c r="T19" s="776"/>
      <c r="U19" s="776"/>
      <c r="V19" s="776"/>
      <c r="W19" s="776"/>
      <c r="X19" s="776"/>
      <c r="Y19" s="776"/>
      <c r="Z19" s="776"/>
    </row>
    <row r="20" spans="2:26" x14ac:dyDescent="0.25">
      <c r="B20" s="476" t="s">
        <v>201</v>
      </c>
      <c r="C20" s="466">
        <f>ESTADO_DE_RESULTADOS!B14</f>
        <v>0</v>
      </c>
      <c r="D20" s="466">
        <f>ESTADO_DE_RESULTADOS!C14</f>
        <v>0</v>
      </c>
      <c r="E20" s="466">
        <f>ESTADO_DE_RESULTADOS!D14</f>
        <v>0</v>
      </c>
      <c r="F20" s="466">
        <f>ESTADO_DE_RESULTADOS!E14</f>
        <v>0</v>
      </c>
      <c r="G20" s="466">
        <f>ESTADO_DE_RESULTADOS!F14</f>
        <v>0</v>
      </c>
      <c r="P20" s="768" t="s">
        <v>1195</v>
      </c>
      <c r="Q20" s="768"/>
      <c r="R20" s="768"/>
      <c r="S20" s="768"/>
      <c r="T20" s="768"/>
      <c r="U20" s="768"/>
      <c r="V20" s="768"/>
      <c r="W20" s="768"/>
      <c r="X20" s="768"/>
      <c r="Y20" s="768"/>
      <c r="Z20" s="768"/>
    </row>
    <row r="21" spans="2:26" hidden="1" x14ac:dyDescent="0.25">
      <c r="B21" s="480" t="s">
        <v>312</v>
      </c>
      <c r="C21" s="79">
        <f>ESTADO_DE_RESULTADOS!B15</f>
        <v>0</v>
      </c>
      <c r="D21" s="79">
        <f>ESTADO_DE_RESULTADOS!C15</f>
        <v>0</v>
      </c>
      <c r="E21" s="79">
        <f>ESTADO_DE_RESULTADOS!D15</f>
        <v>0</v>
      </c>
      <c r="F21" s="79">
        <f>ESTADO_DE_RESULTADOS!E15</f>
        <v>0</v>
      </c>
      <c r="G21" s="79">
        <f>ESTADO_DE_RESULTADOS!F15</f>
        <v>0</v>
      </c>
    </row>
    <row r="22" spans="2:26" x14ac:dyDescent="0.25">
      <c r="B22" s="478" t="s">
        <v>202</v>
      </c>
      <c r="C22" s="479">
        <f>C15-SUM(C16:C21)</f>
        <v>0</v>
      </c>
      <c r="D22" s="479">
        <f t="shared" ref="D22:G22" si="1">D15-SUM(D16:D21)</f>
        <v>0</v>
      </c>
      <c r="E22" s="479">
        <f t="shared" si="1"/>
        <v>0</v>
      </c>
      <c r="F22" s="479">
        <f t="shared" si="1"/>
        <v>0</v>
      </c>
      <c r="G22" s="479">
        <f t="shared" si="1"/>
        <v>0</v>
      </c>
      <c r="N22" s="462"/>
      <c r="O22" s="462"/>
      <c r="P22" s="464">
        <v>-0.1</v>
      </c>
      <c r="Q22" s="464">
        <v>-0.08</v>
      </c>
      <c r="R22" s="464">
        <v>-0.06</v>
      </c>
      <c r="S22" s="464">
        <v>-0.04</v>
      </c>
      <c r="T22" s="464">
        <v>-0.02</v>
      </c>
      <c r="U22" s="464">
        <v>0</v>
      </c>
      <c r="V22" s="464">
        <v>0.02</v>
      </c>
      <c r="W22" s="464">
        <v>0.04</v>
      </c>
      <c r="X22" s="464">
        <v>0.06</v>
      </c>
      <c r="Y22" s="464">
        <v>0.08</v>
      </c>
      <c r="Z22" s="464">
        <v>0.1</v>
      </c>
    </row>
    <row r="23" spans="2:26" x14ac:dyDescent="0.25">
      <c r="B23" s="481" t="s">
        <v>313</v>
      </c>
      <c r="C23" s="466">
        <f>ESTADO_DE_RESULTADOS!B17</f>
        <v>0</v>
      </c>
      <c r="D23" s="466">
        <f>ESTADO_DE_RESULTADOS!C17</f>
        <v>0</v>
      </c>
      <c r="E23" s="466">
        <f>ESTADO_DE_RESULTADOS!D17</f>
        <v>0</v>
      </c>
      <c r="F23" s="466">
        <f>ESTADO_DE_RESULTADOS!E17</f>
        <v>0</v>
      </c>
      <c r="G23" s="466">
        <f>ESTADO_DE_RESULTADOS!F17</f>
        <v>0</v>
      </c>
      <c r="N23" s="465" t="s">
        <v>192</v>
      </c>
      <c r="O23" s="467">
        <f>D10</f>
        <v>0</v>
      </c>
      <c r="P23" s="468"/>
      <c r="Q23" s="468"/>
      <c r="R23" s="468"/>
      <c r="S23" s="468"/>
      <c r="T23" s="468"/>
      <c r="U23" s="482"/>
      <c r="V23" s="468"/>
      <c r="W23" s="468"/>
      <c r="X23" s="468"/>
      <c r="Y23" s="468"/>
      <c r="Z23" s="468"/>
    </row>
    <row r="24" spans="2:26" x14ac:dyDescent="0.25">
      <c r="B24" s="481" t="s">
        <v>203</v>
      </c>
      <c r="C24" s="466">
        <f>ESTADO_DE_RESULTADOS!B18</f>
        <v>0</v>
      </c>
      <c r="D24" s="466">
        <f>ESTADO_DE_RESULTADOS!C18</f>
        <v>0</v>
      </c>
      <c r="E24" s="466">
        <f>ESTADO_DE_RESULTADOS!D18</f>
        <v>0</v>
      </c>
      <c r="F24" s="466">
        <f>ESTADO_DE_RESULTADOS!E18</f>
        <v>0</v>
      </c>
      <c r="G24" s="466">
        <f>ESTADO_DE_RESULTADOS!F18</f>
        <v>0</v>
      </c>
      <c r="N24" s="465" t="s">
        <v>196</v>
      </c>
      <c r="O24" s="467">
        <f>D15</f>
        <v>0</v>
      </c>
      <c r="P24" s="468"/>
      <c r="Q24" s="468"/>
      <c r="R24" s="468"/>
      <c r="S24" s="468"/>
      <c r="T24" s="468"/>
      <c r="U24" s="482"/>
      <c r="V24" s="468"/>
      <c r="W24" s="468"/>
      <c r="X24" s="468"/>
      <c r="Y24" s="468"/>
      <c r="Z24" s="468"/>
    </row>
    <row r="25" spans="2:26" x14ac:dyDescent="0.25">
      <c r="B25" s="481" t="s">
        <v>204</v>
      </c>
      <c r="C25" s="466">
        <f>ESTADO_DE_RESULTADOS!B19</f>
        <v>0</v>
      </c>
      <c r="D25" s="466">
        <f>ESTADO_DE_RESULTADOS!C19</f>
        <v>0</v>
      </c>
      <c r="E25" s="466">
        <f>ESTADO_DE_RESULTADOS!D19</f>
        <v>0</v>
      </c>
      <c r="F25" s="466">
        <f>ESTADO_DE_RESULTADOS!E19</f>
        <v>0</v>
      </c>
      <c r="G25" s="466">
        <f>ESTADO_DE_RESULTADOS!F19</f>
        <v>0</v>
      </c>
      <c r="N25" s="465" t="s">
        <v>202</v>
      </c>
      <c r="O25" s="467">
        <f>D22</f>
        <v>0</v>
      </c>
      <c r="P25" s="468"/>
      <c r="Q25" s="468"/>
      <c r="R25" s="468"/>
      <c r="S25" s="468"/>
      <c r="T25" s="468"/>
      <c r="U25" s="482"/>
      <c r="V25" s="468"/>
      <c r="W25" s="468"/>
      <c r="X25" s="468"/>
      <c r="Y25" s="468"/>
      <c r="Z25" s="468"/>
    </row>
    <row r="26" spans="2:26" x14ac:dyDescent="0.25">
      <c r="B26" s="481" t="s">
        <v>205</v>
      </c>
      <c r="C26" s="466">
        <f>C23+C24+C25</f>
        <v>0</v>
      </c>
      <c r="D26" s="466">
        <f t="shared" ref="D26:G26" si="2">D23+D24+D25</f>
        <v>0</v>
      </c>
      <c r="E26" s="466">
        <f t="shared" si="2"/>
        <v>0</v>
      </c>
      <c r="F26" s="466">
        <f t="shared" si="2"/>
        <v>0</v>
      </c>
      <c r="G26" s="466">
        <f t="shared" si="2"/>
        <v>0</v>
      </c>
      <c r="N26" s="465" t="s">
        <v>1169</v>
      </c>
      <c r="O26" s="467">
        <f>D33</f>
        <v>0</v>
      </c>
      <c r="P26" s="468"/>
      <c r="Q26" s="468"/>
      <c r="R26" s="468"/>
      <c r="S26" s="468"/>
      <c r="T26" s="468"/>
      <c r="U26" s="482"/>
      <c r="V26" s="468"/>
      <c r="W26" s="468"/>
      <c r="X26" s="468"/>
      <c r="Y26" s="468"/>
      <c r="Z26" s="468"/>
    </row>
    <row r="27" spans="2:26" hidden="1" x14ac:dyDescent="0.25">
      <c r="B27" s="483" t="s">
        <v>314</v>
      </c>
      <c r="C27" s="79">
        <f>ESTADO_DE_RESULTADOS!B21</f>
        <v>0</v>
      </c>
      <c r="D27" s="79">
        <f>ESTADO_DE_RESULTADOS!C21</f>
        <v>0</v>
      </c>
      <c r="E27" s="79">
        <f>ESTADO_DE_RESULTADOS!D21</f>
        <v>0</v>
      </c>
      <c r="F27" s="79">
        <f>ESTADO_DE_RESULTADOS!E21</f>
        <v>0</v>
      </c>
      <c r="G27" s="79">
        <f>ESTADO_DE_RESULTADOS!F21</f>
        <v>0</v>
      </c>
      <c r="N27" s="461"/>
      <c r="O27" s="468"/>
      <c r="P27" s="468"/>
      <c r="Q27" s="468"/>
      <c r="R27" s="468"/>
      <c r="S27" s="468"/>
      <c r="T27" s="468"/>
      <c r="U27" s="482"/>
      <c r="V27" s="468"/>
      <c r="W27" s="468"/>
      <c r="X27" s="468"/>
      <c r="Y27" s="468"/>
      <c r="Z27" s="468"/>
    </row>
    <row r="28" spans="2:26" hidden="1" x14ac:dyDescent="0.25">
      <c r="B28" s="483" t="s">
        <v>315</v>
      </c>
      <c r="C28" s="79">
        <f>ESTADO_DE_RESULTADOS!B22</f>
        <v>0</v>
      </c>
      <c r="D28" s="79">
        <f>ESTADO_DE_RESULTADOS!C22</f>
        <v>0</v>
      </c>
      <c r="E28" s="79">
        <f>ESTADO_DE_RESULTADOS!D22</f>
        <v>0</v>
      </c>
      <c r="F28" s="79">
        <f>ESTADO_DE_RESULTADOS!E22</f>
        <v>0</v>
      </c>
      <c r="G28" s="79">
        <f>ESTADO_DE_RESULTADOS!F22</f>
        <v>0</v>
      </c>
      <c r="N28" s="461"/>
      <c r="O28" s="468"/>
      <c r="P28" s="468"/>
      <c r="Q28" s="468"/>
      <c r="R28" s="468"/>
      <c r="S28" s="468"/>
      <c r="T28" s="468"/>
      <c r="U28" s="482"/>
      <c r="V28" s="468"/>
      <c r="W28" s="468"/>
      <c r="X28" s="468"/>
      <c r="Y28" s="468"/>
      <c r="Z28" s="468"/>
    </row>
    <row r="29" spans="2:26" hidden="1" x14ac:dyDescent="0.25">
      <c r="B29" s="483" t="s">
        <v>316</v>
      </c>
      <c r="C29" s="79">
        <f>ESTADO_DE_RESULTADOS!B23</f>
        <v>0</v>
      </c>
      <c r="D29" s="79">
        <f>ESTADO_DE_RESULTADOS!C23</f>
        <v>0</v>
      </c>
      <c r="E29" s="79">
        <f>ESTADO_DE_RESULTADOS!D23</f>
        <v>0</v>
      </c>
      <c r="F29" s="79">
        <f>ESTADO_DE_RESULTADOS!E23</f>
        <v>0</v>
      </c>
      <c r="G29" s="79">
        <f>ESTADO_DE_RESULTADOS!F23</f>
        <v>0</v>
      </c>
      <c r="N29" s="461"/>
      <c r="O29" s="468"/>
      <c r="P29" s="468"/>
      <c r="Q29" s="468"/>
      <c r="R29" s="468"/>
      <c r="S29" s="468"/>
      <c r="T29" s="468"/>
      <c r="U29" s="482"/>
      <c r="V29" s="468"/>
      <c r="W29" s="468"/>
      <c r="X29" s="468"/>
      <c r="Y29" s="468"/>
      <c r="Z29" s="468"/>
    </row>
    <row r="30" spans="2:26" hidden="1" x14ac:dyDescent="0.25">
      <c r="B30" s="483" t="s">
        <v>317</v>
      </c>
      <c r="C30" s="79">
        <f>ESTADO_DE_RESULTADOS!B24</f>
        <v>0</v>
      </c>
      <c r="D30" s="79">
        <f>ESTADO_DE_RESULTADOS!C24</f>
        <v>0</v>
      </c>
      <c r="E30" s="79">
        <f>ESTADO_DE_RESULTADOS!D24</f>
        <v>0</v>
      </c>
      <c r="F30" s="79">
        <f>ESTADO_DE_RESULTADOS!E24</f>
        <v>0</v>
      </c>
      <c r="G30" s="79">
        <f>ESTADO_DE_RESULTADOS!F24</f>
        <v>0</v>
      </c>
      <c r="N30" s="461"/>
      <c r="O30" s="468"/>
      <c r="P30" s="468"/>
      <c r="Q30" s="468"/>
      <c r="R30" s="468"/>
      <c r="S30" s="468"/>
      <c r="T30" s="468"/>
      <c r="U30" s="482"/>
      <c r="V30" s="468"/>
      <c r="W30" s="468"/>
      <c r="X30" s="468"/>
      <c r="Y30" s="468"/>
      <c r="Z30" s="468"/>
    </row>
    <row r="31" spans="2:26" hidden="1" x14ac:dyDescent="0.25">
      <c r="B31" s="483" t="s">
        <v>318</v>
      </c>
      <c r="C31" s="79">
        <f>ESTADO_DE_RESULTADOS!B25</f>
        <v>0</v>
      </c>
      <c r="D31" s="79">
        <f>ESTADO_DE_RESULTADOS!C25</f>
        <v>0</v>
      </c>
      <c r="E31" s="79">
        <f>ESTADO_DE_RESULTADOS!D25</f>
        <v>0</v>
      </c>
      <c r="F31" s="79">
        <f>ESTADO_DE_RESULTADOS!E25</f>
        <v>0</v>
      </c>
      <c r="G31" s="79">
        <f>ESTADO_DE_RESULTADOS!F25</f>
        <v>0</v>
      </c>
      <c r="N31" s="461"/>
      <c r="O31" s="468"/>
      <c r="P31" s="468"/>
      <c r="Q31" s="468"/>
      <c r="R31" s="468"/>
      <c r="S31" s="468"/>
      <c r="T31" s="468"/>
      <c r="U31" s="482"/>
      <c r="V31" s="468"/>
      <c r="W31" s="468"/>
      <c r="X31" s="468"/>
      <c r="Y31" s="468"/>
      <c r="Z31" s="468"/>
    </row>
    <row r="32" spans="2:26" hidden="1" x14ac:dyDescent="0.25">
      <c r="B32" s="480" t="s">
        <v>319</v>
      </c>
      <c r="C32" s="79">
        <f>C27+C28+C29+C30+C31</f>
        <v>0</v>
      </c>
      <c r="D32" s="79">
        <f t="shared" ref="D32:G32" si="3">D27+D28+D29+D30+D31</f>
        <v>0</v>
      </c>
      <c r="E32" s="79">
        <f t="shared" si="3"/>
        <v>0</v>
      </c>
      <c r="F32" s="79">
        <f t="shared" si="3"/>
        <v>0</v>
      </c>
      <c r="G32" s="79">
        <f t="shared" si="3"/>
        <v>0</v>
      </c>
      <c r="N32" s="461"/>
      <c r="O32" s="468"/>
      <c r="P32" s="468"/>
      <c r="Q32" s="468"/>
      <c r="R32" s="468"/>
      <c r="S32" s="468"/>
      <c r="T32" s="468"/>
      <c r="U32" s="482"/>
      <c r="V32" s="468"/>
      <c r="W32" s="468"/>
      <c r="X32" s="468"/>
      <c r="Y32" s="468"/>
      <c r="Z32" s="468"/>
    </row>
    <row r="33" spans="2:26" x14ac:dyDescent="0.25">
      <c r="B33" s="478" t="s">
        <v>1169</v>
      </c>
      <c r="C33" s="479">
        <f>C22+C26+C32</f>
        <v>0</v>
      </c>
      <c r="D33" s="479">
        <f t="shared" ref="D33:G33" si="4">D22+D26+D32</f>
        <v>0</v>
      </c>
      <c r="E33" s="479">
        <f t="shared" si="4"/>
        <v>0</v>
      </c>
      <c r="F33" s="479">
        <f t="shared" si="4"/>
        <v>0</v>
      </c>
      <c r="G33" s="479">
        <f t="shared" si="4"/>
        <v>0</v>
      </c>
      <c r="N33" s="465" t="s">
        <v>1170</v>
      </c>
      <c r="O33" s="467">
        <f>D37</f>
        <v>0</v>
      </c>
      <c r="P33" s="468"/>
      <c r="Q33" s="468"/>
      <c r="R33" s="468"/>
      <c r="S33" s="468"/>
      <c r="T33" s="468"/>
      <c r="U33" s="482"/>
      <c r="V33" s="468"/>
      <c r="W33" s="468"/>
      <c r="X33" s="468"/>
      <c r="Y33" s="468"/>
      <c r="Z33" s="468"/>
    </row>
    <row r="34" spans="2:26" x14ac:dyDescent="0.25">
      <c r="B34" s="476" t="s">
        <v>207</v>
      </c>
      <c r="C34" s="466">
        <f>IF(C33*ESTADO_DE_RESULTADOS!$I$9&lt;0,0,ANALISIS_DE_SENSIBILIDAD!C33*ESTADO_DE_RESULTADOS!$I$9)</f>
        <v>0</v>
      </c>
      <c r="D34" s="466">
        <f>IF(D33*ESTADO_DE_RESULTADOS!$I$9&lt;0,0,ANALISIS_DE_SENSIBILIDAD!D33*ESTADO_DE_RESULTADOS!$I$9)</f>
        <v>0</v>
      </c>
      <c r="E34" s="466">
        <f>IF(E33*ESTADO_DE_RESULTADOS!$I$9&lt;0,0,ANALISIS_DE_SENSIBILIDAD!E33*ESTADO_DE_RESULTADOS!$I$9)</f>
        <v>0</v>
      </c>
      <c r="F34" s="466">
        <f>IF(F33*ESTADO_DE_RESULTADOS!$I$9&lt;0,0,ANALISIS_DE_SENSIBILIDAD!F33*ESTADO_DE_RESULTADOS!$I$9)</f>
        <v>0</v>
      </c>
      <c r="G34" s="466">
        <f>IF(G33*ESTADO_DE_RESULTADOS!$I$9&lt;0,0,ANALISIS_DE_SENSIBILIDAD!G33*ESTADO_DE_RESULTADOS!$I$9)</f>
        <v>0</v>
      </c>
      <c r="N34" s="465" t="s">
        <v>218</v>
      </c>
      <c r="O34" s="467">
        <f>D46</f>
        <v>0</v>
      </c>
      <c r="P34" s="468"/>
      <c r="Q34" s="468"/>
      <c r="R34" s="468"/>
      <c r="S34" s="468"/>
      <c r="T34" s="468"/>
      <c r="U34" s="482"/>
      <c r="V34" s="468"/>
      <c r="W34" s="468"/>
      <c r="X34" s="468"/>
      <c r="Y34" s="468"/>
      <c r="Z34" s="468"/>
    </row>
    <row r="35" spans="2:26" x14ac:dyDescent="0.25">
      <c r="B35" s="476" t="s">
        <v>208</v>
      </c>
      <c r="C35" s="466">
        <f>IF(C33*ESTADO_DE_RESULTADOS!$I$10=0,0,ANALISIS_DE_SENSIBILIDAD!C33*ESTADO_DE_RESULTADOS!$I$10)</f>
        <v>0</v>
      </c>
      <c r="D35" s="466">
        <f>IF(D33*ESTADO_DE_RESULTADOS!$I$10=0,0,ANALISIS_DE_SENSIBILIDAD!D33*ESTADO_DE_RESULTADOS!$I$10)</f>
        <v>0</v>
      </c>
      <c r="E35" s="466">
        <f>IF(E33*ESTADO_DE_RESULTADOS!$I$10=0,0,ANALISIS_DE_SENSIBILIDAD!E33*ESTADO_DE_RESULTADOS!$I$10)</f>
        <v>0</v>
      </c>
      <c r="F35" s="466">
        <f>IF(F33*ESTADO_DE_RESULTADOS!$I$10=0,0,ANALISIS_DE_SENSIBILIDAD!F33*ESTADO_DE_RESULTADOS!$I$10)</f>
        <v>0</v>
      </c>
      <c r="G35" s="466">
        <f>IF(G33*ESTADO_DE_RESULTADOS!$I$10=0,0,ANALISIS_DE_SENSIBILIDAD!G33*ESTADO_DE_RESULTADOS!$I$10)</f>
        <v>0</v>
      </c>
      <c r="N35" s="465" t="s">
        <v>253</v>
      </c>
      <c r="O35" s="467">
        <f>E77</f>
        <v>0</v>
      </c>
      <c r="P35" s="468"/>
      <c r="Q35" s="468"/>
      <c r="R35" s="468"/>
      <c r="S35" s="468"/>
      <c r="T35" s="468"/>
      <c r="U35" s="482"/>
      <c r="V35" s="468"/>
      <c r="W35" s="468"/>
      <c r="X35" s="468"/>
      <c r="Y35" s="468"/>
      <c r="Z35" s="468"/>
    </row>
    <row r="36" spans="2:26" x14ac:dyDescent="0.25">
      <c r="B36" s="476" t="s">
        <v>209</v>
      </c>
      <c r="C36" s="466">
        <f>IF(C33*ESTADO_DE_RESULTADOS!$I$11&lt;0,0,ANALISIS_DE_SENSIBILIDAD!C33*ESTADO_DE_RESULTADOS!$I$11)</f>
        <v>0</v>
      </c>
      <c r="D36" s="466">
        <f>IF(D33*ESTADO_DE_RESULTADOS!$I$11&lt;0,0,ANALISIS_DE_SENSIBILIDAD!D33*ESTADO_DE_RESULTADOS!$I$11)</f>
        <v>0</v>
      </c>
      <c r="E36" s="466">
        <f>IF(E33*ESTADO_DE_RESULTADOS!$I$11&lt;0,0,ANALISIS_DE_SENSIBILIDAD!E33*ESTADO_DE_RESULTADOS!$I$11)</f>
        <v>0</v>
      </c>
      <c r="F36" s="466">
        <f>IF(F33*ESTADO_DE_RESULTADOS!$I$11&lt;0,0,ANALISIS_DE_SENSIBILIDAD!F33*ESTADO_DE_RESULTADOS!$I$11)</f>
        <v>0</v>
      </c>
      <c r="G36" s="466">
        <f>IF(G33*ESTADO_DE_RESULTADOS!$I$11&lt;0,0,ANALISIS_DE_SENSIBILIDAD!G33*ESTADO_DE_RESULTADOS!$I$11)</f>
        <v>0</v>
      </c>
      <c r="N36" s="465" t="s">
        <v>1171</v>
      </c>
      <c r="O36" s="467">
        <f>C79</f>
        <v>0</v>
      </c>
      <c r="P36" s="468"/>
      <c r="Q36" s="468"/>
      <c r="R36" s="468"/>
      <c r="S36" s="468"/>
      <c r="T36" s="468"/>
      <c r="U36" s="482"/>
      <c r="V36" s="468"/>
      <c r="W36" s="468"/>
      <c r="X36" s="468"/>
      <c r="Y36" s="468"/>
      <c r="Z36" s="468"/>
    </row>
    <row r="37" spans="2:26" ht="16.5" thickBot="1" x14ac:dyDescent="0.3">
      <c r="B37" s="484" t="s">
        <v>210</v>
      </c>
      <c r="C37" s="479">
        <f>C33-C34-C35-C36</f>
        <v>0</v>
      </c>
      <c r="D37" s="479">
        <f t="shared" ref="D37:G37" si="5">D33-D34-D35-D36</f>
        <v>0</v>
      </c>
      <c r="E37" s="479">
        <f t="shared" si="5"/>
        <v>0</v>
      </c>
      <c r="F37" s="479">
        <f t="shared" si="5"/>
        <v>0</v>
      </c>
      <c r="G37" s="479">
        <f t="shared" si="5"/>
        <v>0</v>
      </c>
    </row>
    <row r="40" spans="2:26" ht="31.5" customHeight="1" x14ac:dyDescent="0.25">
      <c r="B40" s="485" t="s">
        <v>1172</v>
      </c>
      <c r="C40" s="486">
        <f>FLUJO_DE_CAJA!B6</f>
        <v>2021</v>
      </c>
      <c r="D40" s="486">
        <f>FLUJO_DE_CAJA!C6</f>
        <v>2022</v>
      </c>
      <c r="E40" s="486">
        <f>FLUJO_DE_CAJA!D6</f>
        <v>2023</v>
      </c>
      <c r="F40" s="486">
        <f>FLUJO_DE_CAJA!E6</f>
        <v>2024</v>
      </c>
      <c r="G40" s="486">
        <f>FLUJO_DE_CAJA!F6</f>
        <v>2025</v>
      </c>
      <c r="P40" s="769" t="s">
        <v>1197</v>
      </c>
      <c r="Q40" s="769"/>
      <c r="R40" s="769"/>
      <c r="S40" s="769"/>
      <c r="T40" s="769"/>
      <c r="U40" s="769"/>
      <c r="V40" s="769"/>
      <c r="W40" s="769"/>
      <c r="X40" s="769"/>
      <c r="Y40" s="769"/>
      <c r="Z40" s="769"/>
    </row>
    <row r="41" spans="2:26" x14ac:dyDescent="0.25">
      <c r="B41" s="487" t="s">
        <v>219</v>
      </c>
      <c r="C41" s="466">
        <f>C22</f>
        <v>0</v>
      </c>
      <c r="D41" s="466">
        <f>D22</f>
        <v>0</v>
      </c>
      <c r="E41" s="466">
        <f>E22</f>
        <v>0</v>
      </c>
      <c r="F41" s="466">
        <f>F22</f>
        <v>0</v>
      </c>
      <c r="G41" s="466">
        <f>G22</f>
        <v>0</v>
      </c>
      <c r="P41" s="767" t="s">
        <v>1195</v>
      </c>
      <c r="Q41" s="767"/>
      <c r="R41" s="767"/>
      <c r="S41" s="767"/>
      <c r="T41" s="767"/>
      <c r="U41" s="767"/>
      <c r="V41" s="767"/>
      <c r="W41" s="767"/>
      <c r="X41" s="767"/>
      <c r="Y41" s="767"/>
      <c r="Z41" s="767"/>
    </row>
    <row r="42" spans="2:26" x14ac:dyDescent="0.25">
      <c r="B42" s="487" t="s">
        <v>220</v>
      </c>
      <c r="C42" s="466">
        <f>FLUJO_DE_CAJA!B9</f>
        <v>0</v>
      </c>
      <c r="D42" s="466">
        <f>FLUJO_DE_CAJA!C9</f>
        <v>0</v>
      </c>
      <c r="E42" s="466">
        <f>FLUJO_DE_CAJA!D9</f>
        <v>0</v>
      </c>
      <c r="F42" s="466">
        <f>FLUJO_DE_CAJA!E9</f>
        <v>0</v>
      </c>
      <c r="G42" s="466">
        <f>FLUJO_DE_CAJA!F9</f>
        <v>0</v>
      </c>
      <c r="N42" s="463"/>
      <c r="O42" s="463"/>
      <c r="P42" s="453">
        <v>-0.1</v>
      </c>
      <c r="Q42" s="453">
        <v>-0.08</v>
      </c>
      <c r="R42" s="453">
        <v>-0.06</v>
      </c>
      <c r="S42" s="453">
        <v>-0.04</v>
      </c>
      <c r="T42" s="453">
        <v>-0.02</v>
      </c>
      <c r="U42" s="453">
        <v>0</v>
      </c>
      <c r="V42" s="453">
        <v>0.02</v>
      </c>
      <c r="W42" s="453">
        <v>0.04</v>
      </c>
      <c r="X42" s="453">
        <v>0.06</v>
      </c>
      <c r="Y42" s="453">
        <v>0.08</v>
      </c>
      <c r="Z42" s="453">
        <v>0.1</v>
      </c>
    </row>
    <row r="43" spans="2:26" x14ac:dyDescent="0.25">
      <c r="B43" s="487" t="s">
        <v>221</v>
      </c>
      <c r="C43" s="466">
        <f>FLUJO_DE_CAJA!B10</f>
        <v>0</v>
      </c>
      <c r="D43" s="466">
        <f>FLUJO_DE_CAJA!C10</f>
        <v>0</v>
      </c>
      <c r="E43" s="466">
        <f>FLUJO_DE_CAJA!D10</f>
        <v>0</v>
      </c>
      <c r="F43" s="466">
        <f>FLUJO_DE_CAJA!E10</f>
        <v>0</v>
      </c>
      <c r="G43" s="466">
        <f>FLUJO_DE_CAJA!F10</f>
        <v>0</v>
      </c>
      <c r="N43" s="459" t="s">
        <v>192</v>
      </c>
      <c r="O43" s="454">
        <f>E10</f>
        <v>0</v>
      </c>
      <c r="P43" s="473"/>
      <c r="Q43" s="473"/>
      <c r="R43" s="473"/>
      <c r="S43" s="473"/>
      <c r="T43" s="473"/>
      <c r="U43" s="454"/>
      <c r="V43" s="473"/>
      <c r="W43" s="473"/>
      <c r="X43" s="473"/>
      <c r="Y43" s="473"/>
      <c r="Z43" s="473"/>
    </row>
    <row r="44" spans="2:26" x14ac:dyDescent="0.25">
      <c r="B44" s="487" t="s">
        <v>201</v>
      </c>
      <c r="C44" s="466">
        <f>C20</f>
        <v>0</v>
      </c>
      <c r="D44" s="466">
        <f>D20</f>
        <v>0</v>
      </c>
      <c r="E44" s="466">
        <f>E20</f>
        <v>0</v>
      </c>
      <c r="F44" s="466">
        <f>F20</f>
        <v>0</v>
      </c>
      <c r="G44" s="466">
        <f>G20</f>
        <v>0</v>
      </c>
      <c r="N44" s="459" t="s">
        <v>196</v>
      </c>
      <c r="O44" s="454">
        <f>E15</f>
        <v>0</v>
      </c>
      <c r="P44" s="473"/>
      <c r="Q44" s="473"/>
      <c r="R44" s="473"/>
      <c r="S44" s="473"/>
      <c r="T44" s="473"/>
      <c r="U44" s="454"/>
      <c r="V44" s="473"/>
      <c r="W44" s="473"/>
      <c r="X44" s="473"/>
      <c r="Y44" s="473"/>
      <c r="Z44" s="473"/>
    </row>
    <row r="45" spans="2:26" x14ac:dyDescent="0.25">
      <c r="B45" s="487" t="s">
        <v>222</v>
      </c>
      <c r="C45" s="488"/>
      <c r="D45" s="466">
        <f>C34*-1</f>
        <v>0</v>
      </c>
      <c r="E45" s="466">
        <f>D34*-1</f>
        <v>0</v>
      </c>
      <c r="F45" s="466">
        <f>E34*-1</f>
        <v>0</v>
      </c>
      <c r="G45" s="466">
        <f>F34*-1</f>
        <v>0</v>
      </c>
      <c r="N45" s="459" t="s">
        <v>1168</v>
      </c>
      <c r="O45" s="454">
        <f>E22</f>
        <v>0</v>
      </c>
      <c r="P45" s="473"/>
      <c r="Q45" s="473"/>
      <c r="R45" s="473"/>
      <c r="S45" s="473"/>
      <c r="T45" s="473"/>
      <c r="U45" s="454"/>
      <c r="V45" s="473"/>
      <c r="W45" s="473"/>
      <c r="X45" s="473"/>
      <c r="Y45" s="473"/>
      <c r="Z45" s="473"/>
    </row>
    <row r="46" spans="2:26" ht="16.5" thickBot="1" x14ac:dyDescent="0.3">
      <c r="B46" s="489" t="s">
        <v>223</v>
      </c>
      <c r="C46" s="490">
        <f>SUM(C41:C45)</f>
        <v>0</v>
      </c>
      <c r="D46" s="490">
        <f t="shared" ref="D46:G46" si="6">SUM(D41:D45)</f>
        <v>0</v>
      </c>
      <c r="E46" s="490">
        <f t="shared" si="6"/>
        <v>0</v>
      </c>
      <c r="F46" s="490">
        <f t="shared" si="6"/>
        <v>0</v>
      </c>
      <c r="G46" s="490">
        <f t="shared" si="6"/>
        <v>0</v>
      </c>
      <c r="N46" s="459" t="s">
        <v>1169</v>
      </c>
      <c r="O46" s="454">
        <f>E33</f>
        <v>0</v>
      </c>
      <c r="P46" s="473"/>
      <c r="Q46" s="473"/>
      <c r="R46" s="473"/>
      <c r="S46" s="473"/>
      <c r="T46" s="473"/>
      <c r="U46" s="454"/>
      <c r="V46" s="473"/>
      <c r="W46" s="473"/>
      <c r="X46" s="473"/>
      <c r="Y46" s="473"/>
      <c r="Z46" s="473"/>
    </row>
    <row r="47" spans="2:26" x14ac:dyDescent="0.25">
      <c r="N47" s="459" t="s">
        <v>1170</v>
      </c>
      <c r="O47" s="454">
        <f>E37</f>
        <v>0</v>
      </c>
      <c r="P47" s="473"/>
      <c r="Q47" s="473"/>
      <c r="R47" s="473"/>
      <c r="S47" s="473"/>
      <c r="T47" s="473"/>
      <c r="U47" s="454"/>
      <c r="V47" s="473"/>
      <c r="W47" s="473"/>
      <c r="X47" s="473"/>
      <c r="Y47" s="473"/>
      <c r="Z47" s="473"/>
    </row>
    <row r="48" spans="2:26" x14ac:dyDescent="0.25">
      <c r="B48" s="491" t="s">
        <v>1175</v>
      </c>
      <c r="C48" s="492">
        <f>FLUJO_DE_CAJA!B16</f>
        <v>2021</v>
      </c>
      <c r="D48" s="492">
        <f>FLUJO_DE_CAJA!C16</f>
        <v>2022</v>
      </c>
      <c r="E48" s="492">
        <f>FLUJO_DE_CAJA!D16</f>
        <v>2023</v>
      </c>
      <c r="F48" s="493">
        <f>FLUJO_DE_CAJA!E16</f>
        <v>2024</v>
      </c>
      <c r="G48" s="493">
        <f>FLUJO_DE_CAJA!F16</f>
        <v>2025</v>
      </c>
      <c r="N48" s="459" t="s">
        <v>218</v>
      </c>
      <c r="O48" s="454">
        <f>E46</f>
        <v>0</v>
      </c>
      <c r="P48" s="473"/>
      <c r="Q48" s="473"/>
      <c r="R48" s="473"/>
      <c r="S48" s="473"/>
      <c r="T48" s="473"/>
      <c r="U48" s="454"/>
      <c r="V48" s="473"/>
      <c r="W48" s="473"/>
      <c r="X48" s="473"/>
      <c r="Y48" s="473"/>
      <c r="Z48" s="473"/>
    </row>
    <row r="49" spans="2:26" x14ac:dyDescent="0.25">
      <c r="B49" s="494" t="s">
        <v>226</v>
      </c>
      <c r="C49" s="466">
        <f>FLUJO_DE_CAJA!B17</f>
        <v>0</v>
      </c>
      <c r="D49" s="466">
        <f>FLUJO_DE_CAJA!C17</f>
        <v>0</v>
      </c>
      <c r="E49" s="466">
        <f>FLUJO_DE_CAJA!D17</f>
        <v>0</v>
      </c>
      <c r="F49" s="466">
        <f>FLUJO_DE_CAJA!E17</f>
        <v>0</v>
      </c>
      <c r="G49" s="466">
        <f>FLUJO_DE_CAJA!F17</f>
        <v>0</v>
      </c>
      <c r="N49" s="459" t="s">
        <v>253</v>
      </c>
      <c r="O49" s="454">
        <f>F77</f>
        <v>0</v>
      </c>
      <c r="P49" s="473"/>
      <c r="Q49" s="473"/>
      <c r="R49" s="473"/>
      <c r="S49" s="473"/>
      <c r="T49" s="473"/>
      <c r="U49" s="454"/>
      <c r="V49" s="473"/>
      <c r="W49" s="473"/>
      <c r="X49" s="473"/>
      <c r="Y49" s="473"/>
      <c r="Z49" s="473"/>
    </row>
    <row r="50" spans="2:26" x14ac:dyDescent="0.25">
      <c r="B50" s="494" t="s">
        <v>227</v>
      </c>
      <c r="C50" s="466">
        <f>FLUJO_DE_CAJA!B18</f>
        <v>0</v>
      </c>
      <c r="D50" s="466">
        <f>FLUJO_DE_CAJA!C18</f>
        <v>0</v>
      </c>
      <c r="E50" s="466">
        <f>FLUJO_DE_CAJA!D18</f>
        <v>0</v>
      </c>
      <c r="F50" s="466">
        <f>FLUJO_DE_CAJA!E18</f>
        <v>0</v>
      </c>
      <c r="G50" s="466">
        <f>FLUJO_DE_CAJA!F18</f>
        <v>0</v>
      </c>
      <c r="N50" s="459" t="s">
        <v>1171</v>
      </c>
      <c r="O50" s="454">
        <f>C79</f>
        <v>0</v>
      </c>
      <c r="P50" s="473"/>
      <c r="Q50" s="473"/>
      <c r="R50" s="473"/>
      <c r="S50" s="473"/>
      <c r="T50" s="473"/>
      <c r="U50" s="454"/>
      <c r="V50" s="473"/>
      <c r="W50" s="473"/>
      <c r="X50" s="473"/>
      <c r="Y50" s="473"/>
      <c r="Z50" s="473"/>
    </row>
    <row r="51" spans="2:26" x14ac:dyDescent="0.25">
      <c r="B51" s="494" t="s">
        <v>228</v>
      </c>
      <c r="C51" s="466">
        <f>FLUJO_DE_CAJA!B19</f>
        <v>0</v>
      </c>
      <c r="D51" s="466">
        <f>FLUJO_DE_CAJA!C19</f>
        <v>0</v>
      </c>
      <c r="E51" s="466">
        <f>FLUJO_DE_CAJA!D19</f>
        <v>0</v>
      </c>
      <c r="F51" s="466">
        <f>FLUJO_DE_CAJA!E19</f>
        <v>0</v>
      </c>
      <c r="G51" s="466">
        <f>FLUJO_DE_CAJA!F19</f>
        <v>0</v>
      </c>
    </row>
    <row r="52" spans="2:26" x14ac:dyDescent="0.25">
      <c r="B52" s="495" t="s">
        <v>1176</v>
      </c>
      <c r="C52" s="496">
        <f>SUM(C49:C51)</f>
        <v>0</v>
      </c>
      <c r="D52" s="496">
        <f t="shared" ref="D52:G52" si="7">SUM(D49:D51)</f>
        <v>0</v>
      </c>
      <c r="E52" s="496">
        <f t="shared" si="7"/>
        <v>0</v>
      </c>
      <c r="F52" s="496">
        <f t="shared" si="7"/>
        <v>0</v>
      </c>
      <c r="G52" s="496">
        <f t="shared" si="7"/>
        <v>0</v>
      </c>
    </row>
    <row r="53" spans="2:26" ht="15.75" customHeight="1" x14ac:dyDescent="0.25">
      <c r="B53" s="494" t="s">
        <v>230</v>
      </c>
      <c r="C53" s="466">
        <f>FLUJO_DE_CAJA!B21</f>
        <v>0</v>
      </c>
      <c r="D53" s="466">
        <f>FLUJO_DE_CAJA!C21</f>
        <v>0</v>
      </c>
      <c r="E53" s="466">
        <f>FLUJO_DE_CAJA!D21</f>
        <v>0</v>
      </c>
      <c r="F53" s="466">
        <f>FLUJO_DE_CAJA!E21</f>
        <v>0</v>
      </c>
      <c r="G53" s="466">
        <f>FLUJO_DE_CAJA!F21</f>
        <v>0</v>
      </c>
      <c r="P53" s="769" t="s">
        <v>1198</v>
      </c>
      <c r="Q53" s="769"/>
      <c r="R53" s="769"/>
      <c r="S53" s="769"/>
      <c r="T53" s="769"/>
      <c r="U53" s="769"/>
      <c r="V53" s="769"/>
      <c r="W53" s="769"/>
      <c r="X53" s="769"/>
      <c r="Y53" s="769"/>
      <c r="Z53" s="769"/>
    </row>
    <row r="54" spans="2:26" x14ac:dyDescent="0.25">
      <c r="B54" s="494" t="s">
        <v>231</v>
      </c>
      <c r="C54" s="466">
        <f>FLUJO_DE_CAJA!B22</f>
        <v>0</v>
      </c>
      <c r="D54" s="466">
        <f>FLUJO_DE_CAJA!C22</f>
        <v>0</v>
      </c>
      <c r="E54" s="466">
        <f>FLUJO_DE_CAJA!D22</f>
        <v>0</v>
      </c>
      <c r="F54" s="466">
        <f>FLUJO_DE_CAJA!E22</f>
        <v>0</v>
      </c>
      <c r="G54" s="466">
        <f>FLUJO_DE_CAJA!F22</f>
        <v>0</v>
      </c>
      <c r="P54" s="767" t="s">
        <v>1195</v>
      </c>
      <c r="Q54" s="767"/>
      <c r="R54" s="767"/>
      <c r="S54" s="767"/>
      <c r="T54" s="767"/>
      <c r="U54" s="767"/>
      <c r="V54" s="767"/>
      <c r="W54" s="767"/>
      <c r="X54" s="767"/>
      <c r="Y54" s="767"/>
      <c r="Z54" s="767"/>
    </row>
    <row r="55" spans="2:26" x14ac:dyDescent="0.25">
      <c r="B55" s="494" t="s">
        <v>232</v>
      </c>
      <c r="C55" s="466">
        <f>FLUJO_DE_CAJA!B23</f>
        <v>0</v>
      </c>
      <c r="D55" s="466">
        <f>FLUJO_DE_CAJA!C23</f>
        <v>0</v>
      </c>
      <c r="E55" s="466">
        <f>FLUJO_DE_CAJA!D23</f>
        <v>0</v>
      </c>
      <c r="F55" s="466">
        <f>FLUJO_DE_CAJA!E23</f>
        <v>0</v>
      </c>
      <c r="G55" s="466">
        <f>FLUJO_DE_CAJA!F23</f>
        <v>0</v>
      </c>
      <c r="N55" s="463"/>
      <c r="O55" s="463"/>
      <c r="P55" s="453">
        <v>-0.1</v>
      </c>
      <c r="Q55" s="453">
        <v>-0.08</v>
      </c>
      <c r="R55" s="453">
        <v>-0.06</v>
      </c>
      <c r="S55" s="453">
        <v>-0.04</v>
      </c>
      <c r="T55" s="453">
        <v>-0.02</v>
      </c>
      <c r="U55" s="453">
        <v>0</v>
      </c>
      <c r="V55" s="453">
        <v>0.02</v>
      </c>
      <c r="W55" s="453">
        <v>0.04</v>
      </c>
      <c r="X55" s="453">
        <v>0.06</v>
      </c>
      <c r="Y55" s="453">
        <v>0.08</v>
      </c>
      <c r="Z55" s="453">
        <v>0.1</v>
      </c>
    </row>
    <row r="56" spans="2:26" x14ac:dyDescent="0.25">
      <c r="B56" s="494" t="s">
        <v>233</v>
      </c>
      <c r="C56" s="466">
        <f>FLUJO_DE_CAJA!B24</f>
        <v>0</v>
      </c>
      <c r="D56" s="466">
        <f>FLUJO_DE_CAJA!C24</f>
        <v>0</v>
      </c>
      <c r="E56" s="466">
        <f>FLUJO_DE_CAJA!D24</f>
        <v>0</v>
      </c>
      <c r="F56" s="466">
        <f>FLUJO_DE_CAJA!E24</f>
        <v>0</v>
      </c>
      <c r="G56" s="466">
        <f>FLUJO_DE_CAJA!F24</f>
        <v>0</v>
      </c>
      <c r="N56" s="459" t="s">
        <v>192</v>
      </c>
      <c r="O56" s="460">
        <f>F10</f>
        <v>0</v>
      </c>
      <c r="P56" s="473"/>
      <c r="Q56" s="473"/>
      <c r="R56" s="473"/>
      <c r="S56" s="473"/>
      <c r="T56" s="473"/>
      <c r="U56" s="454"/>
      <c r="V56" s="473"/>
      <c r="W56" s="473"/>
      <c r="X56" s="473"/>
      <c r="Y56" s="473"/>
      <c r="Z56" s="473"/>
    </row>
    <row r="57" spans="2:26" x14ac:dyDescent="0.25">
      <c r="B57" s="494" t="s">
        <v>234</v>
      </c>
      <c r="C57" s="466">
        <f>FLUJO_DE_CAJA!B25</f>
        <v>0</v>
      </c>
      <c r="D57" s="466">
        <f>FLUJO_DE_CAJA!C25</f>
        <v>0</v>
      </c>
      <c r="E57" s="466">
        <f>FLUJO_DE_CAJA!D25</f>
        <v>0</v>
      </c>
      <c r="F57" s="466">
        <f>FLUJO_DE_CAJA!E25</f>
        <v>0</v>
      </c>
      <c r="G57" s="466">
        <f>FLUJO_DE_CAJA!F25</f>
        <v>0</v>
      </c>
      <c r="N57" s="459" t="s">
        <v>196</v>
      </c>
      <c r="O57" s="460">
        <f>F15</f>
        <v>0</v>
      </c>
      <c r="P57" s="473"/>
      <c r="Q57" s="473"/>
      <c r="R57" s="473"/>
      <c r="S57" s="473"/>
      <c r="T57" s="473"/>
      <c r="U57" s="454"/>
      <c r="V57" s="473"/>
      <c r="W57" s="473"/>
      <c r="X57" s="473"/>
      <c r="Y57" s="473"/>
      <c r="Z57" s="473"/>
    </row>
    <row r="58" spans="2:26" x14ac:dyDescent="0.25">
      <c r="B58" s="494" t="s">
        <v>235</v>
      </c>
      <c r="C58" s="466">
        <f>FLUJO_DE_CAJA!B26</f>
        <v>0</v>
      </c>
      <c r="D58" s="466">
        <f>FLUJO_DE_CAJA!C26</f>
        <v>0</v>
      </c>
      <c r="E58" s="466">
        <f>FLUJO_DE_CAJA!D26</f>
        <v>0</v>
      </c>
      <c r="F58" s="466">
        <f>FLUJO_DE_CAJA!E26</f>
        <v>0</v>
      </c>
      <c r="G58" s="466">
        <f>FLUJO_DE_CAJA!F26</f>
        <v>0</v>
      </c>
      <c r="N58" s="459" t="s">
        <v>1168</v>
      </c>
      <c r="O58" s="460">
        <f>F22</f>
        <v>0</v>
      </c>
      <c r="P58" s="473"/>
      <c r="Q58" s="473"/>
      <c r="R58" s="473"/>
      <c r="S58" s="473"/>
      <c r="T58" s="473"/>
      <c r="U58" s="454"/>
      <c r="V58" s="473"/>
      <c r="W58" s="473"/>
      <c r="X58" s="473"/>
      <c r="Y58" s="473"/>
      <c r="Z58" s="473"/>
    </row>
    <row r="59" spans="2:26" x14ac:dyDescent="0.25">
      <c r="B59" s="494" t="s">
        <v>236</v>
      </c>
      <c r="C59" s="466">
        <f>FLUJO_DE_CAJA!B27</f>
        <v>0</v>
      </c>
      <c r="D59" s="466">
        <f>FLUJO_DE_CAJA!C27</f>
        <v>0</v>
      </c>
      <c r="E59" s="466">
        <f>FLUJO_DE_CAJA!D27</f>
        <v>0</v>
      </c>
      <c r="F59" s="466">
        <f>FLUJO_DE_CAJA!E27</f>
        <v>0</v>
      </c>
      <c r="G59" s="466">
        <f>FLUJO_DE_CAJA!F27</f>
        <v>0</v>
      </c>
      <c r="N59" s="459" t="s">
        <v>1169</v>
      </c>
      <c r="O59" s="460">
        <f>F33</f>
        <v>0</v>
      </c>
      <c r="P59" s="473"/>
      <c r="Q59" s="473"/>
      <c r="R59" s="473"/>
      <c r="S59" s="473"/>
      <c r="T59" s="473"/>
      <c r="U59" s="454"/>
      <c r="V59" s="473"/>
      <c r="W59" s="473"/>
      <c r="X59" s="473"/>
      <c r="Y59" s="473"/>
      <c r="Z59" s="473"/>
    </row>
    <row r="60" spans="2:26" x14ac:dyDescent="0.25">
      <c r="B60" s="494" t="s">
        <v>237</v>
      </c>
      <c r="C60" s="466">
        <f>FLUJO_DE_CAJA!B28</f>
        <v>0</v>
      </c>
      <c r="D60" s="466">
        <f>FLUJO_DE_CAJA!C28</f>
        <v>0</v>
      </c>
      <c r="E60" s="466">
        <f>FLUJO_DE_CAJA!D28</f>
        <v>0</v>
      </c>
      <c r="F60" s="466">
        <f>FLUJO_DE_CAJA!E28</f>
        <v>0</v>
      </c>
      <c r="G60" s="466">
        <f>FLUJO_DE_CAJA!F28</f>
        <v>0</v>
      </c>
      <c r="N60" s="459" t="s">
        <v>1170</v>
      </c>
      <c r="O60" s="460">
        <f>F37</f>
        <v>0</v>
      </c>
      <c r="P60" s="473"/>
      <c r="Q60" s="473"/>
      <c r="R60" s="473"/>
      <c r="S60" s="473"/>
      <c r="T60" s="473"/>
      <c r="U60" s="454"/>
      <c r="V60" s="473"/>
      <c r="W60" s="473"/>
      <c r="X60" s="473"/>
      <c r="Y60" s="473"/>
      <c r="Z60" s="473"/>
    </row>
    <row r="61" spans="2:26" x14ac:dyDescent="0.25">
      <c r="B61" s="494" t="s">
        <v>238</v>
      </c>
      <c r="C61" s="466">
        <f>FLUJO_DE_CAJA!B29</f>
        <v>0</v>
      </c>
      <c r="D61" s="466">
        <f>FLUJO_DE_CAJA!C29</f>
        <v>0</v>
      </c>
      <c r="E61" s="466">
        <f>FLUJO_DE_CAJA!D29</f>
        <v>0</v>
      </c>
      <c r="F61" s="466">
        <f>FLUJO_DE_CAJA!E29</f>
        <v>0</v>
      </c>
      <c r="G61" s="466">
        <f>FLUJO_DE_CAJA!F29</f>
        <v>0</v>
      </c>
      <c r="N61" s="459" t="s">
        <v>218</v>
      </c>
      <c r="O61" s="460">
        <f>F46</f>
        <v>0</v>
      </c>
      <c r="P61" s="473"/>
      <c r="Q61" s="473"/>
      <c r="R61" s="473"/>
      <c r="S61" s="473"/>
      <c r="T61" s="473"/>
      <c r="U61" s="454"/>
      <c r="V61" s="473"/>
      <c r="W61" s="473"/>
      <c r="X61" s="473"/>
      <c r="Y61" s="473"/>
      <c r="Z61" s="473"/>
    </row>
    <row r="62" spans="2:26" x14ac:dyDescent="0.25">
      <c r="B62" s="495" t="s">
        <v>239</v>
      </c>
      <c r="C62" s="496">
        <f>SUM(C53:C61)*-1</f>
        <v>0</v>
      </c>
      <c r="D62" s="496">
        <f t="shared" ref="D62:G62" si="8">SUM(D53:D61)*-1</f>
        <v>0</v>
      </c>
      <c r="E62" s="496">
        <f t="shared" si="8"/>
        <v>0</v>
      </c>
      <c r="F62" s="496">
        <f t="shared" si="8"/>
        <v>0</v>
      </c>
      <c r="G62" s="496">
        <f t="shared" si="8"/>
        <v>0</v>
      </c>
      <c r="N62" s="459" t="s">
        <v>253</v>
      </c>
      <c r="O62" s="460">
        <f>G77</f>
        <v>0</v>
      </c>
      <c r="P62" s="473"/>
      <c r="Q62" s="473"/>
      <c r="R62" s="473"/>
      <c r="S62" s="473"/>
      <c r="T62" s="473"/>
      <c r="U62" s="454"/>
      <c r="V62" s="473"/>
      <c r="W62" s="473"/>
      <c r="X62" s="473"/>
      <c r="Y62" s="473"/>
      <c r="Z62" s="473"/>
    </row>
    <row r="63" spans="2:26" ht="16.5" thickBot="1" x14ac:dyDescent="0.3">
      <c r="B63" s="497" t="s">
        <v>240</v>
      </c>
      <c r="C63" s="498">
        <f>C52+C62</f>
        <v>0</v>
      </c>
      <c r="D63" s="498">
        <f t="shared" ref="D63:G63" si="9">D52+D62</f>
        <v>0</v>
      </c>
      <c r="E63" s="498">
        <f t="shared" si="9"/>
        <v>0</v>
      </c>
      <c r="F63" s="498">
        <f t="shared" si="9"/>
        <v>0</v>
      </c>
      <c r="G63" s="498">
        <f t="shared" si="9"/>
        <v>0</v>
      </c>
      <c r="N63" s="459" t="s">
        <v>1171</v>
      </c>
      <c r="O63" s="460">
        <f>C79</f>
        <v>0</v>
      </c>
      <c r="P63" s="473"/>
      <c r="Q63" s="473"/>
      <c r="R63" s="473"/>
      <c r="S63" s="473"/>
      <c r="T63" s="473"/>
      <c r="U63" s="454"/>
      <c r="V63" s="473"/>
      <c r="W63" s="473"/>
      <c r="X63" s="473"/>
      <c r="Y63" s="473"/>
      <c r="Z63" s="473"/>
    </row>
    <row r="65" spans="2:26" x14ac:dyDescent="0.25">
      <c r="B65" s="491" t="s">
        <v>1177</v>
      </c>
      <c r="C65" s="493">
        <f>FLUJO_DE_CAJA!B34</f>
        <v>2021</v>
      </c>
      <c r="D65" s="493">
        <f>FLUJO_DE_CAJA!C34</f>
        <v>2022</v>
      </c>
      <c r="E65" s="493">
        <f>FLUJO_DE_CAJA!D34</f>
        <v>2023</v>
      </c>
      <c r="F65" s="493">
        <f>FLUJO_DE_CAJA!E34</f>
        <v>2024</v>
      </c>
      <c r="G65" s="493">
        <f>FLUJO_DE_CAJA!F34</f>
        <v>2025</v>
      </c>
    </row>
    <row r="66" spans="2:26" x14ac:dyDescent="0.25">
      <c r="B66" s="499" t="s">
        <v>243</v>
      </c>
      <c r="C66" s="466">
        <f>FLUJO_DE_CAJA!B35</f>
        <v>0</v>
      </c>
      <c r="D66" s="466">
        <f>FLUJO_DE_CAJA!C35</f>
        <v>0</v>
      </c>
      <c r="E66" s="466">
        <f>FLUJO_DE_CAJA!D35</f>
        <v>0</v>
      </c>
      <c r="F66" s="466">
        <f>FLUJO_DE_CAJA!E35</f>
        <v>0</v>
      </c>
      <c r="G66" s="466">
        <f>FLUJO_DE_CAJA!F35</f>
        <v>0</v>
      </c>
      <c r="P66" s="769" t="s">
        <v>1199</v>
      </c>
      <c r="Q66" s="769"/>
      <c r="R66" s="769"/>
      <c r="S66" s="769"/>
      <c r="T66" s="769"/>
      <c r="U66" s="769"/>
      <c r="V66" s="769"/>
      <c r="W66" s="769"/>
      <c r="X66" s="769"/>
      <c r="Y66" s="769"/>
      <c r="Z66" s="769"/>
    </row>
    <row r="67" spans="2:26" x14ac:dyDescent="0.25">
      <c r="B67" s="499" t="s">
        <v>244</v>
      </c>
      <c r="C67" s="466">
        <f>FLUJO_DE_CAJA!B36</f>
        <v>0</v>
      </c>
      <c r="D67" s="466">
        <f>FLUJO_DE_CAJA!C36</f>
        <v>0</v>
      </c>
      <c r="E67" s="466">
        <f>FLUJO_DE_CAJA!D36</f>
        <v>0</v>
      </c>
      <c r="F67" s="466">
        <f>FLUJO_DE_CAJA!E36</f>
        <v>0</v>
      </c>
      <c r="G67" s="466">
        <f>FLUJO_DE_CAJA!F36</f>
        <v>0</v>
      </c>
      <c r="P67" s="767" t="s">
        <v>1195</v>
      </c>
      <c r="Q67" s="767"/>
      <c r="R67" s="767"/>
      <c r="S67" s="767"/>
      <c r="T67" s="767"/>
      <c r="U67" s="767"/>
      <c r="V67" s="767"/>
      <c r="W67" s="767"/>
      <c r="X67" s="767"/>
      <c r="Y67" s="767"/>
      <c r="Z67" s="767"/>
    </row>
    <row r="68" spans="2:26" x14ac:dyDescent="0.25">
      <c r="B68" s="499" t="s">
        <v>245</v>
      </c>
      <c r="C68" s="466">
        <f>FLUJO_DE_CAJA!B37</f>
        <v>0</v>
      </c>
      <c r="D68" s="466">
        <f>FLUJO_DE_CAJA!C37</f>
        <v>0</v>
      </c>
      <c r="E68" s="466">
        <f>FLUJO_DE_CAJA!D37</f>
        <v>0</v>
      </c>
      <c r="F68" s="466">
        <f>FLUJO_DE_CAJA!E37</f>
        <v>0</v>
      </c>
      <c r="G68" s="466">
        <f>FLUJO_DE_CAJA!F37</f>
        <v>0</v>
      </c>
      <c r="N68" s="463"/>
      <c r="O68" s="463"/>
      <c r="P68" s="453">
        <v>-0.1</v>
      </c>
      <c r="Q68" s="453">
        <v>-0.08</v>
      </c>
      <c r="R68" s="453">
        <v>-0.06</v>
      </c>
      <c r="S68" s="453">
        <v>-0.04</v>
      </c>
      <c r="T68" s="453">
        <v>-0.02</v>
      </c>
      <c r="U68" s="453">
        <v>0</v>
      </c>
      <c r="V68" s="453">
        <v>0.02</v>
      </c>
      <c r="W68" s="453">
        <v>0.04</v>
      </c>
      <c r="X68" s="453">
        <v>0.06</v>
      </c>
      <c r="Y68" s="453">
        <v>0.08</v>
      </c>
      <c r="Z68" s="453">
        <v>0.1</v>
      </c>
    </row>
    <row r="69" spans="2:26" x14ac:dyDescent="0.25">
      <c r="B69" s="499" t="s">
        <v>246</v>
      </c>
      <c r="C69" s="466">
        <f>ESTADO_DE_RESULTADOS!B36*-1</f>
        <v>0</v>
      </c>
      <c r="D69" s="466">
        <f>ESTADO_DE_RESULTADOS!C36*-1</f>
        <v>0</v>
      </c>
      <c r="E69" s="466">
        <f>ESTADO_DE_RESULTADOS!D36*-1</f>
        <v>0</v>
      </c>
      <c r="F69" s="466">
        <f>ESTADO_DE_RESULTADOS!E36*-1</f>
        <v>0</v>
      </c>
      <c r="G69" s="466">
        <f>ESTADO_DE_RESULTADOS!F36*-1</f>
        <v>0</v>
      </c>
      <c r="N69" s="459" t="s">
        <v>192</v>
      </c>
      <c r="O69" s="460">
        <f>G10</f>
        <v>0</v>
      </c>
      <c r="P69" s="473"/>
      <c r="Q69" s="473"/>
      <c r="R69" s="473"/>
      <c r="S69" s="473"/>
      <c r="T69" s="473"/>
      <c r="U69" s="454"/>
      <c r="V69" s="473"/>
      <c r="W69" s="473"/>
      <c r="X69" s="473"/>
      <c r="Y69" s="473"/>
      <c r="Z69" s="473"/>
    </row>
    <row r="70" spans="2:26" x14ac:dyDescent="0.25">
      <c r="B70" s="500" t="s">
        <v>247</v>
      </c>
      <c r="C70" s="466">
        <f>FLUJO_DE_CAJA!B39</f>
        <v>0</v>
      </c>
      <c r="D70" s="466">
        <f>FLUJO_DE_CAJA!C39</f>
        <v>0</v>
      </c>
      <c r="E70" s="466">
        <f>FLUJO_DE_CAJA!D39</f>
        <v>0</v>
      </c>
      <c r="F70" s="466">
        <f>FLUJO_DE_CAJA!E39</f>
        <v>0</v>
      </c>
      <c r="G70" s="466">
        <f>FLUJO_DE_CAJA!F39</f>
        <v>0</v>
      </c>
      <c r="N70" s="459" t="s">
        <v>196</v>
      </c>
      <c r="O70" s="460">
        <f>G15</f>
        <v>0</v>
      </c>
      <c r="P70" s="473"/>
      <c r="Q70" s="473"/>
      <c r="R70" s="473"/>
      <c r="S70" s="473"/>
      <c r="T70" s="473"/>
      <c r="U70" s="454"/>
      <c r="V70" s="473"/>
      <c r="W70" s="473"/>
      <c r="X70" s="473"/>
      <c r="Y70" s="473"/>
      <c r="Z70" s="473"/>
    </row>
    <row r="71" spans="2:26" x14ac:dyDescent="0.25">
      <c r="B71" s="501" t="s">
        <v>248</v>
      </c>
      <c r="C71" s="502">
        <f>SUM(C66:C70)</f>
        <v>0</v>
      </c>
      <c r="D71" s="502">
        <f t="shared" ref="D71:G71" si="10">SUM(D66:D70)</f>
        <v>0</v>
      </c>
      <c r="E71" s="502">
        <f t="shared" si="10"/>
        <v>0</v>
      </c>
      <c r="F71" s="502">
        <f t="shared" si="10"/>
        <v>0</v>
      </c>
      <c r="G71" s="502">
        <f t="shared" si="10"/>
        <v>0</v>
      </c>
      <c r="N71" s="459" t="s">
        <v>1168</v>
      </c>
      <c r="O71" s="460">
        <f>G22</f>
        <v>0</v>
      </c>
      <c r="P71" s="473"/>
      <c r="Q71" s="473"/>
      <c r="R71" s="473"/>
      <c r="S71" s="473"/>
      <c r="T71" s="473"/>
      <c r="U71" s="454"/>
      <c r="V71" s="473"/>
      <c r="W71" s="473"/>
      <c r="X71" s="473"/>
      <c r="Y71" s="473"/>
      <c r="Z71" s="473"/>
    </row>
    <row r="72" spans="2:26" x14ac:dyDescent="0.25">
      <c r="N72" s="459" t="s">
        <v>1169</v>
      </c>
      <c r="O72" s="460">
        <f>G33</f>
        <v>0</v>
      </c>
      <c r="P72" s="473"/>
      <c r="Q72" s="473"/>
      <c r="R72" s="473"/>
      <c r="S72" s="473"/>
      <c r="T72" s="473"/>
      <c r="U72" s="454"/>
      <c r="V72" s="473"/>
      <c r="W72" s="473"/>
      <c r="X72" s="473"/>
      <c r="Y72" s="473"/>
      <c r="Z72" s="473"/>
    </row>
    <row r="73" spans="2:26" x14ac:dyDescent="0.25">
      <c r="N73" s="459" t="s">
        <v>1170</v>
      </c>
      <c r="O73" s="460">
        <f>G37</f>
        <v>0</v>
      </c>
      <c r="P73" s="473"/>
      <c r="Q73" s="473"/>
      <c r="R73" s="473"/>
      <c r="S73" s="473"/>
      <c r="T73" s="473"/>
      <c r="U73" s="454"/>
      <c r="V73" s="473"/>
      <c r="W73" s="473"/>
      <c r="X73" s="473"/>
      <c r="Y73" s="473"/>
      <c r="Z73" s="473"/>
    </row>
    <row r="74" spans="2:26" x14ac:dyDescent="0.25">
      <c r="B74" s="503" t="s">
        <v>1173</v>
      </c>
      <c r="C74" s="504" t="str">
        <f>ANALISIS_DE_VPN_Y_TIR!C16</f>
        <v>AÑO 0</v>
      </c>
      <c r="D74" s="505">
        <f>ANALISIS_DE_VPN_Y_TIR!D16</f>
        <v>2021</v>
      </c>
      <c r="E74" s="504">
        <f>ANALISIS_DE_VPN_Y_TIR!E16</f>
        <v>2022</v>
      </c>
      <c r="F74" s="504">
        <f>ANALISIS_DE_VPN_Y_TIR!F16</f>
        <v>2023</v>
      </c>
      <c r="G74" s="504">
        <f>ANALISIS_DE_VPN_Y_TIR!G16</f>
        <v>2024</v>
      </c>
      <c r="H74" s="504">
        <f>ANALISIS_DE_VPN_Y_TIR!H16</f>
        <v>2025</v>
      </c>
      <c r="N74" s="459" t="s">
        <v>218</v>
      </c>
      <c r="O74" s="460">
        <f>G46</f>
        <v>0</v>
      </c>
      <c r="P74" s="473"/>
      <c r="Q74" s="473"/>
      <c r="R74" s="473"/>
      <c r="S74" s="473"/>
      <c r="T74" s="473"/>
      <c r="U74" s="454"/>
      <c r="V74" s="473"/>
      <c r="W74" s="473"/>
      <c r="X74" s="473"/>
      <c r="Y74" s="473"/>
      <c r="Z74" s="473"/>
    </row>
    <row r="75" spans="2:26" x14ac:dyDescent="0.25">
      <c r="B75" s="506" t="s">
        <v>320</v>
      </c>
      <c r="C75" s="507"/>
      <c r="D75" s="466">
        <f>C46+C63+C71</f>
        <v>0</v>
      </c>
      <c r="E75" s="466">
        <f t="shared" ref="E75:H75" si="11">D46+D63+D71</f>
        <v>0</v>
      </c>
      <c r="F75" s="466">
        <f t="shared" si="11"/>
        <v>0</v>
      </c>
      <c r="G75" s="466">
        <f t="shared" si="11"/>
        <v>0</v>
      </c>
      <c r="H75" s="466">
        <f t="shared" si="11"/>
        <v>0</v>
      </c>
      <c r="N75" s="459" t="s">
        <v>253</v>
      </c>
      <c r="O75" s="460">
        <f>H77</f>
        <v>0</v>
      </c>
      <c r="P75" s="473"/>
      <c r="Q75" s="473"/>
      <c r="R75" s="473"/>
      <c r="S75" s="473"/>
      <c r="T75" s="473"/>
      <c r="U75" s="454"/>
      <c r="V75" s="473"/>
      <c r="W75" s="473"/>
      <c r="X75" s="473"/>
      <c r="Y75" s="473"/>
      <c r="Z75" s="473"/>
    </row>
    <row r="76" spans="2:26" x14ac:dyDescent="0.25">
      <c r="B76" s="506" t="s">
        <v>249</v>
      </c>
      <c r="C76" s="488"/>
      <c r="D76" s="466">
        <f>FLUJO_DE_CAJA!B43</f>
        <v>0</v>
      </c>
      <c r="E76" s="466">
        <f>FLUJO_DE_CAJA!C43</f>
        <v>0</v>
      </c>
      <c r="F76" s="466">
        <f>FLUJO_DE_CAJA!D43</f>
        <v>0</v>
      </c>
      <c r="G76" s="466">
        <f>FLUJO_DE_CAJA!E43</f>
        <v>0</v>
      </c>
      <c r="H76" s="466">
        <f>FLUJO_DE_CAJA!F43</f>
        <v>0</v>
      </c>
      <c r="N76" s="459" t="s">
        <v>1171</v>
      </c>
      <c r="O76" s="460">
        <f>C79</f>
        <v>0</v>
      </c>
      <c r="P76" s="473"/>
      <c r="Q76" s="473"/>
      <c r="R76" s="473"/>
      <c r="S76" s="473"/>
      <c r="T76" s="473"/>
      <c r="U76" s="454"/>
      <c r="V76" s="473"/>
      <c r="W76" s="473"/>
      <c r="X76" s="473"/>
      <c r="Y76" s="473"/>
      <c r="Z76" s="473"/>
    </row>
    <row r="77" spans="2:26" x14ac:dyDescent="0.25">
      <c r="B77" s="508" t="s">
        <v>1174</v>
      </c>
      <c r="C77" s="509">
        <f>ANALISIS_DE_VPN_Y_TIR!H11*-1</f>
        <v>0</v>
      </c>
      <c r="D77" s="509">
        <f>SUM(D75:D76)</f>
        <v>0</v>
      </c>
      <c r="E77" s="509">
        <f t="shared" ref="E77:H77" si="12">SUM(E75:E76)</f>
        <v>0</v>
      </c>
      <c r="F77" s="509">
        <f t="shared" si="12"/>
        <v>0</v>
      </c>
      <c r="G77" s="509">
        <f t="shared" si="12"/>
        <v>0</v>
      </c>
      <c r="H77" s="509">
        <f t="shared" si="12"/>
        <v>0</v>
      </c>
    </row>
    <row r="78" spans="2:26" ht="16.5" thickBot="1" x14ac:dyDescent="0.3"/>
    <row r="79" spans="2:26" ht="16.5" thickBot="1" x14ac:dyDescent="0.3">
      <c r="B79" s="510" t="s">
        <v>1178</v>
      </c>
      <c r="C79" s="511">
        <f>C77+NPV(ANALISIS_DE_VPN_Y_TIR!H9,ANALISIS_DE_SENSIBILIDAD!D77:H77)</f>
        <v>0</v>
      </c>
    </row>
    <row r="82" spans="2:2" x14ac:dyDescent="0.25">
      <c r="B82" s="472"/>
    </row>
  </sheetData>
  <mergeCells count="13">
    <mergeCell ref="P19:Z19"/>
    <mergeCell ref="B2:Z2"/>
    <mergeCell ref="P4:T4"/>
    <mergeCell ref="V4:Z4"/>
    <mergeCell ref="P6:Z6"/>
    <mergeCell ref="P7:Z7"/>
    <mergeCell ref="P67:Z67"/>
    <mergeCell ref="P20:Z20"/>
    <mergeCell ref="P40:Z40"/>
    <mergeCell ref="P41:Z41"/>
    <mergeCell ref="P53:Z53"/>
    <mergeCell ref="P54:Z54"/>
    <mergeCell ref="P66:Z66"/>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6258" r:id="rId4" name="Button 2">
              <controlPr defaultSize="0" print="0" autoFill="0" autoPict="0" macro="[0]!Portada">
                <anchor moveWithCells="1" sizeWithCells="1">
                  <from>
                    <xdr:col>1</xdr:col>
                    <xdr:colOff>1228725</xdr:colOff>
                    <xdr:row>3</xdr:row>
                    <xdr:rowOff>200025</xdr:rowOff>
                  </from>
                  <to>
                    <xdr:col>1</xdr:col>
                    <xdr:colOff>2638425</xdr:colOff>
                    <xdr:row>5</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PORTADA</vt:lpstr>
      <vt:lpstr>INSTRUCCIONES</vt:lpstr>
      <vt:lpstr>BASES</vt:lpstr>
      <vt:lpstr>PRODUCTO_O_SERVICIO</vt:lpstr>
      <vt:lpstr>COSTOS_DE_PRODUCCION</vt:lpstr>
      <vt:lpstr>CTOS_VS_ING_OPER-INV_INFRAEST</vt:lpstr>
      <vt:lpstr>GTOS_ADTIVO_Y_VTAS-CTOS_FIJOS</vt:lpstr>
      <vt:lpstr>NECESIDADES_DE_FINANCIACION</vt:lpstr>
      <vt:lpstr>CUADRO_DE_COSTOS_Y_GASTOS_FIJOS</vt:lpstr>
      <vt:lpstr>PUNTO_DE_EQUILIBRIO</vt:lpstr>
      <vt:lpstr>BALANCE_GENERAL</vt:lpstr>
      <vt:lpstr>ESTADO_DE_RESULTADOS</vt:lpstr>
      <vt:lpstr>FLUJO_DE_CAJA</vt:lpstr>
      <vt:lpstr>ANALISIS_DE_VPN_Y_TIR</vt:lpstr>
      <vt:lpstr>ANALISIS_DE_SENSIBILIDAD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dw0001la CI5</dc:creator>
  <cp:lastModifiedBy>Usuario</cp:lastModifiedBy>
  <dcterms:created xsi:type="dcterms:W3CDTF">2021-01-02T21:03:45Z</dcterms:created>
  <dcterms:modified xsi:type="dcterms:W3CDTF">2021-09-14T16:29:30Z</dcterms:modified>
</cp:coreProperties>
</file>