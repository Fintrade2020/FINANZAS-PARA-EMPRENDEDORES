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
    </mc:Choice>
  </mc:AlternateContent>
  <xr:revisionPtr revIDLastSave="0" documentId="13_ncr:1_{FAA076EF-D9C0-47AA-8FA2-A6EC377D976E}" xr6:coauthVersionLast="47" xr6:coauthVersionMax="47" xr10:uidLastSave="{00000000-0000-0000-0000-000000000000}"/>
  <bookViews>
    <workbookView xWindow="-120" yWindow="-120" windowWidth="20730" windowHeight="11160" tabRatio="889"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ANALISIS_DE_SENSIBILIDAD" sheetId="39" r:id="rId15"/>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9" l="1"/>
  <c r="E17" i="19"/>
  <c r="E14" i="19"/>
  <c r="O71" i="39"/>
  <c r="O70" i="39"/>
  <c r="O69" i="39"/>
  <c r="O58" i="39"/>
  <c r="O57" i="39"/>
  <c r="O56" i="39"/>
  <c r="O45" i="39"/>
  <c r="O44" i="39"/>
  <c r="O43" i="39"/>
  <c r="O25" i="39"/>
  <c r="O24" i="39"/>
  <c r="O23" i="39"/>
  <c r="O14" i="39"/>
  <c r="O11" i="39"/>
  <c r="O10" i="39"/>
  <c r="O9" i="39"/>
  <c r="G10" i="39"/>
  <c r="F10" i="39"/>
  <c r="E10" i="39"/>
  <c r="D10" i="39"/>
  <c r="C10" i="39"/>
  <c r="GS107" i="38" l="1"/>
  <c r="GS108" i="38"/>
  <c r="GO107" i="38"/>
  <c r="GO108" i="38"/>
  <c r="GD104" i="38"/>
  <c r="FY107" i="38"/>
  <c r="FY108" i="38"/>
  <c r="FU107" i="38"/>
  <c r="FU108" i="38"/>
  <c r="FU55" i="38"/>
  <c r="FK107" i="38"/>
  <c r="FJ104" i="38"/>
  <c r="H21" i="37"/>
  <c r="H20" i="37"/>
  <c r="K9" i="37"/>
  <c r="H9" i="37"/>
  <c r="G9" i="37"/>
  <c r="G10" i="37"/>
  <c r="R24" i="36"/>
  <c r="R23" i="36"/>
  <c r="O24" i="36"/>
  <c r="O23" i="36"/>
  <c r="L24" i="36"/>
  <c r="L23" i="36"/>
  <c r="I24" i="36"/>
  <c r="I23" i="36"/>
  <c r="F24" i="36"/>
  <c r="F23" i="36"/>
  <c r="O9" i="36"/>
  <c r="M9" i="36"/>
  <c r="K9" i="36"/>
  <c r="I9" i="36"/>
  <c r="N9" i="36"/>
  <c r="L9" i="36"/>
  <c r="J9" i="36"/>
  <c r="H9" i="36"/>
  <c r="H10" i="36"/>
  <c r="F9" i="36"/>
  <c r="F10" i="36"/>
  <c r="G9" i="36" l="1"/>
  <c r="G10" i="36"/>
  <c r="F9" i="37"/>
  <c r="F10" i="37"/>
  <c r="H10" i="37"/>
  <c r="E23" i="36"/>
  <c r="E24" i="36"/>
  <c r="E9" i="36"/>
  <c r="E10" i="36"/>
  <c r="J10" i="36"/>
  <c r="K10" i="36" s="1"/>
  <c r="L10" i="36"/>
  <c r="M10" i="36" s="1"/>
  <c r="N10" i="36"/>
  <c r="O10" i="36" s="1"/>
  <c r="D193" i="38"/>
  <c r="G193" i="38"/>
  <c r="H193" i="38"/>
  <c r="I193" i="38"/>
  <c r="J193" i="38"/>
  <c r="K193" i="38"/>
  <c r="L193" i="38"/>
  <c r="M193" i="38"/>
  <c r="N193" i="38"/>
  <c r="O193" i="38"/>
  <c r="P193" i="38"/>
  <c r="Q193" i="38"/>
  <c r="R193" i="38"/>
  <c r="S193" i="38"/>
  <c r="T193" i="38"/>
  <c r="D192" i="38"/>
  <c r="D165" i="38"/>
  <c r="F165" i="38"/>
  <c r="G165" i="38" s="1"/>
  <c r="H165" i="38"/>
  <c r="J165" i="38"/>
  <c r="L165" i="38"/>
  <c r="N165" i="38"/>
  <c r="Q165" i="38"/>
  <c r="R165" i="38" s="1"/>
  <c r="S165" i="38" s="1"/>
  <c r="T165" i="38" s="1"/>
  <c r="Z165" i="38"/>
  <c r="AA165" i="38" s="1"/>
  <c r="AB165" i="38"/>
  <c r="AD165" i="38"/>
  <c r="AF165" i="38"/>
  <c r="AH165" i="38"/>
  <c r="AK165" i="38"/>
  <c r="AL165" i="38" s="1"/>
  <c r="AM165" i="38" s="1"/>
  <c r="AN165" i="38" s="1"/>
  <c r="AT165" i="38"/>
  <c r="AU165" i="38" s="1"/>
  <c r="AV165" i="38"/>
  <c r="AX165" i="38"/>
  <c r="AZ165" i="38"/>
  <c r="BB165" i="38"/>
  <c r="BE165" i="38"/>
  <c r="BF165" i="38" s="1"/>
  <c r="BG165" i="38" s="1"/>
  <c r="BH165" i="38" s="1"/>
  <c r="BN165" i="38"/>
  <c r="BO165" i="38" s="1"/>
  <c r="BP165" i="38"/>
  <c r="BR165" i="38"/>
  <c r="BT165" i="38"/>
  <c r="BV165" i="38"/>
  <c r="BY165" i="38"/>
  <c r="BZ165" i="38" s="1"/>
  <c r="CA165" i="38" s="1"/>
  <c r="CB165" i="38" s="1"/>
  <c r="CH165" i="38"/>
  <c r="CI165" i="38" s="1"/>
  <c r="CJ165" i="38"/>
  <c r="CL165" i="38"/>
  <c r="CN165" i="38"/>
  <c r="CP165" i="38"/>
  <c r="CS165" i="38"/>
  <c r="CT165" i="38" s="1"/>
  <c r="CU165" i="38" s="1"/>
  <c r="CV165" i="38" s="1"/>
  <c r="DB165" i="38"/>
  <c r="DC165" i="38" s="1"/>
  <c r="DD165" i="38"/>
  <c r="DF165" i="38"/>
  <c r="DH165" i="38"/>
  <c r="DJ165" i="38"/>
  <c r="DM165" i="38"/>
  <c r="DN165" i="38" s="1"/>
  <c r="DO165" i="38" s="1"/>
  <c r="DP165" i="38" s="1"/>
  <c r="DV165" i="38"/>
  <c r="DW165" i="38" s="1"/>
  <c r="DX165" i="38"/>
  <c r="DZ165" i="38"/>
  <c r="EB165" i="38"/>
  <c r="ED165" i="38"/>
  <c r="EG165" i="38"/>
  <c r="EH165" i="38" s="1"/>
  <c r="EI165" i="38" s="1"/>
  <c r="EJ165" i="38" s="1"/>
  <c r="EP165" i="38"/>
  <c r="EQ165" i="38" s="1"/>
  <c r="ER165" i="38"/>
  <c r="ET165" i="38"/>
  <c r="EV165" i="38"/>
  <c r="EX165" i="38"/>
  <c r="FA165" i="38"/>
  <c r="FB165" i="38" s="1"/>
  <c r="FC165" i="38" s="1"/>
  <c r="FD165" i="38" s="1"/>
  <c r="FJ165" i="38"/>
  <c r="FK165" i="38" s="1"/>
  <c r="FL165" i="38"/>
  <c r="FN165" i="38"/>
  <c r="FP165" i="38"/>
  <c r="FR165" i="38"/>
  <c r="FU165" i="38"/>
  <c r="FV165" i="38" s="1"/>
  <c r="FW165" i="38" s="1"/>
  <c r="FX165" i="38" s="1"/>
  <c r="GD165" i="38"/>
  <c r="GE165" i="38" s="1"/>
  <c r="GF165" i="38"/>
  <c r="GH165" i="38"/>
  <c r="GJ165" i="38"/>
  <c r="GL165" i="38"/>
  <c r="GO165" i="38"/>
  <c r="GP165" i="38" s="1"/>
  <c r="GQ165" i="38" s="1"/>
  <c r="GR165" i="38" s="1"/>
  <c r="D164" i="38"/>
  <c r="D145" i="38"/>
  <c r="D146" i="38"/>
  <c r="D107" i="38"/>
  <c r="D108" i="38"/>
  <c r="F108" i="38"/>
  <c r="G108" i="38" s="1"/>
  <c r="H108" i="38"/>
  <c r="J108" i="38"/>
  <c r="L108" i="38"/>
  <c r="N108" i="38"/>
  <c r="Q108" i="38"/>
  <c r="R108" i="38" s="1"/>
  <c r="S108" i="38" s="1"/>
  <c r="T108" i="38" s="1"/>
  <c r="Z108" i="38"/>
  <c r="AA108" i="38" s="1"/>
  <c r="AB108" i="38"/>
  <c r="AD108" i="38"/>
  <c r="AF108" i="38"/>
  <c r="AH108" i="38"/>
  <c r="AK108" i="38"/>
  <c r="AL108" i="38" s="1"/>
  <c r="AM108" i="38" s="1"/>
  <c r="AN108" i="38" s="1"/>
  <c r="AT108" i="38"/>
  <c r="AU108" i="38" s="1"/>
  <c r="AV108" i="38"/>
  <c r="AX108" i="38"/>
  <c r="AZ108" i="38"/>
  <c r="BB108" i="38"/>
  <c r="BE108" i="38"/>
  <c r="BF108" i="38" s="1"/>
  <c r="BG108" i="38" s="1"/>
  <c r="BH108" i="38" s="1"/>
  <c r="BN108" i="38"/>
  <c r="BO108" i="38" s="1"/>
  <c r="BP108" i="38"/>
  <c r="BR108" i="38"/>
  <c r="BT108" i="38"/>
  <c r="BV108" i="38"/>
  <c r="BY108" i="38"/>
  <c r="BZ108" i="38" s="1"/>
  <c r="CA108" i="38" s="1"/>
  <c r="CB108" i="38" s="1"/>
  <c r="CH108" i="38"/>
  <c r="CI108" i="38" s="1"/>
  <c r="CJ108" i="38"/>
  <c r="CL108" i="38"/>
  <c r="CN108" i="38"/>
  <c r="CP108" i="38"/>
  <c r="CS108" i="38"/>
  <c r="CT108" i="38" s="1"/>
  <c r="CU108" i="38" s="1"/>
  <c r="CV108" i="38" s="1"/>
  <c r="DB108" i="38"/>
  <c r="DC108" i="38" s="1"/>
  <c r="DD108" i="38"/>
  <c r="DF108" i="38"/>
  <c r="DH108" i="38"/>
  <c r="DJ108" i="38"/>
  <c r="DM108" i="38"/>
  <c r="DN108" i="38" s="1"/>
  <c r="DO108" i="38" s="1"/>
  <c r="DP108" i="38" s="1"/>
  <c r="DV108" i="38"/>
  <c r="DW108" i="38" s="1"/>
  <c r="DX108" i="38"/>
  <c r="DZ108" i="38"/>
  <c r="EB108" i="38"/>
  <c r="ED108" i="38"/>
  <c r="EG108" i="38"/>
  <c r="EH108" i="38" s="1"/>
  <c r="EI108" i="38" s="1"/>
  <c r="EJ108" i="38" s="1"/>
  <c r="EP108" i="38"/>
  <c r="EQ108" i="38" s="1"/>
  <c r="ER108" i="38"/>
  <c r="ET108" i="38"/>
  <c r="EV108" i="38"/>
  <c r="EX108" i="38"/>
  <c r="FA108" i="38"/>
  <c r="FB108" i="38" s="1"/>
  <c r="FC108" i="38" s="1"/>
  <c r="FD108" i="38" s="1"/>
  <c r="FJ108" i="38"/>
  <c r="FK108" i="38" s="1"/>
  <c r="FL108" i="38"/>
  <c r="FN108" i="38"/>
  <c r="FP108" i="38"/>
  <c r="FR108" i="38"/>
  <c r="FV108" i="38"/>
  <c r="FW108" i="38" s="1"/>
  <c r="FX108" i="38" s="1"/>
  <c r="GD108" i="38"/>
  <c r="GE108" i="38" s="1"/>
  <c r="GF108" i="38"/>
  <c r="GH108" i="38"/>
  <c r="GJ108" i="38"/>
  <c r="GL108" i="38"/>
  <c r="GP108" i="38"/>
  <c r="GQ108" i="38" s="1"/>
  <c r="GR108" i="38" s="1"/>
  <c r="D90" i="38"/>
  <c r="D91" i="38"/>
  <c r="D55" i="38"/>
  <c r="D56" i="38"/>
  <c r="F56" i="38"/>
  <c r="G56" i="38" s="1"/>
  <c r="H56" i="38"/>
  <c r="J56" i="38"/>
  <c r="L56" i="38"/>
  <c r="N56" i="38"/>
  <c r="Q56" i="38"/>
  <c r="R56" i="38" s="1"/>
  <c r="S56" i="38" s="1"/>
  <c r="T56" i="38" s="1"/>
  <c r="Z56" i="38"/>
  <c r="AA56" i="38" s="1"/>
  <c r="AB56" i="38"/>
  <c r="AD56" i="38"/>
  <c r="AF56" i="38"/>
  <c r="AH56" i="38"/>
  <c r="AK56" i="38"/>
  <c r="AL56" i="38" s="1"/>
  <c r="AM56" i="38" s="1"/>
  <c r="AN56" i="38" s="1"/>
  <c r="AT56" i="38"/>
  <c r="AU56" i="38" s="1"/>
  <c r="AV56" i="38"/>
  <c r="AX56" i="38"/>
  <c r="AZ56" i="38"/>
  <c r="BB56" i="38"/>
  <c r="BE56" i="38"/>
  <c r="BF56" i="38" s="1"/>
  <c r="BG56" i="38" s="1"/>
  <c r="BH56" i="38" s="1"/>
  <c r="BN56" i="38"/>
  <c r="BO56" i="38" s="1"/>
  <c r="BP56" i="38"/>
  <c r="BR56" i="38"/>
  <c r="BT56" i="38"/>
  <c r="BV56" i="38"/>
  <c r="BY56" i="38"/>
  <c r="BZ56" i="38" s="1"/>
  <c r="CA56" i="38" s="1"/>
  <c r="CB56" i="38" s="1"/>
  <c r="CH56" i="38"/>
  <c r="CI56" i="38" s="1"/>
  <c r="CJ56" i="38"/>
  <c r="CL56" i="38"/>
  <c r="CN56" i="38"/>
  <c r="CP56" i="38"/>
  <c r="CS56" i="38"/>
  <c r="CT56" i="38" s="1"/>
  <c r="CU56" i="38" s="1"/>
  <c r="CV56" i="38" s="1"/>
  <c r="DB56" i="38"/>
  <c r="DC56" i="38" s="1"/>
  <c r="DD56" i="38"/>
  <c r="DF56" i="38"/>
  <c r="DH56" i="38"/>
  <c r="DJ56" i="38"/>
  <c r="DM56" i="38"/>
  <c r="DN56" i="38" s="1"/>
  <c r="DO56" i="38" s="1"/>
  <c r="DP56" i="38" s="1"/>
  <c r="DV56" i="38"/>
  <c r="DW56" i="38" s="1"/>
  <c r="DX56" i="38"/>
  <c r="DZ56" i="38"/>
  <c r="EB56" i="38"/>
  <c r="ED56" i="38"/>
  <c r="EG56" i="38"/>
  <c r="EH56" i="38" s="1"/>
  <c r="EI56" i="38" s="1"/>
  <c r="EJ56" i="38" s="1"/>
  <c r="EP56" i="38"/>
  <c r="EQ56" i="38" s="1"/>
  <c r="ER56" i="38"/>
  <c r="ET56" i="38"/>
  <c r="EV56" i="38"/>
  <c r="EX56" i="38"/>
  <c r="FA56" i="38"/>
  <c r="FB56" i="38" s="1"/>
  <c r="FC56" i="38" s="1"/>
  <c r="FD56" i="38" s="1"/>
  <c r="FJ56" i="38"/>
  <c r="FK56" i="38" s="1"/>
  <c r="FL56" i="38"/>
  <c r="FN56" i="38"/>
  <c r="FP56" i="38"/>
  <c r="FR56" i="38"/>
  <c r="FU56" i="38"/>
  <c r="FV56" i="38" s="1"/>
  <c r="FW56" i="38" s="1"/>
  <c r="FX56" i="38" s="1"/>
  <c r="GD56" i="38"/>
  <c r="GE56" i="38" s="1"/>
  <c r="GF56" i="38"/>
  <c r="GH56" i="38"/>
  <c r="GJ56" i="38"/>
  <c r="GL56" i="38"/>
  <c r="GO56" i="38"/>
  <c r="GP56" i="38" s="1"/>
  <c r="GQ56" i="38" s="1"/>
  <c r="GR56" i="38" s="1"/>
  <c r="GX56" i="38"/>
  <c r="GY56" i="38" s="1"/>
  <c r="GZ56" i="38"/>
  <c r="HB56" i="38"/>
  <c r="HD56" i="38"/>
  <c r="HF56" i="38"/>
  <c r="HI56" i="38"/>
  <c r="HJ56" i="38" s="1"/>
  <c r="HK56" i="38" s="1"/>
  <c r="HL56" i="38" s="1"/>
  <c r="HR56" i="38"/>
  <c r="HS56" i="38" s="1"/>
  <c r="HT56" i="38"/>
  <c r="HV56" i="38"/>
  <c r="HX56" i="38"/>
  <c r="HZ56" i="38"/>
  <c r="IC56" i="38"/>
  <c r="ID56" i="38" s="1"/>
  <c r="IE56" i="38" s="1"/>
  <c r="IF56" i="38" s="1"/>
  <c r="IL56" i="38"/>
  <c r="IM56" i="38" s="1"/>
  <c r="IN56" i="38"/>
  <c r="IP56" i="38"/>
  <c r="IR56" i="38"/>
  <c r="IT56" i="38"/>
  <c r="IW56" i="38"/>
  <c r="IX56" i="38" s="1"/>
  <c r="IY56" i="38" s="1"/>
  <c r="IZ56" i="38" s="1"/>
  <c r="JF56" i="38"/>
  <c r="JG56" i="38" s="1"/>
  <c r="JH56" i="38"/>
  <c r="JJ56" i="38"/>
  <c r="JL56" i="38"/>
  <c r="JN56" i="38"/>
  <c r="JQ56" i="38"/>
  <c r="JR56" i="38" s="1"/>
  <c r="JS56" i="38" s="1"/>
  <c r="JT56" i="38" s="1"/>
  <c r="JZ56" i="38"/>
  <c r="KA56" i="38" s="1"/>
  <c r="KB56" i="38"/>
  <c r="KD56" i="38"/>
  <c r="KF56" i="38"/>
  <c r="KH56" i="38"/>
  <c r="KK56" i="38"/>
  <c r="KL56" i="38" s="1"/>
  <c r="KM56" i="38" s="1"/>
  <c r="KN56" i="38" s="1"/>
  <c r="KT56" i="38"/>
  <c r="KU56" i="38" s="1"/>
  <c r="KV56" i="38"/>
  <c r="KX56" i="38"/>
  <c r="KZ56" i="38"/>
  <c r="LB56" i="38"/>
  <c r="LE56" i="38"/>
  <c r="LF56" i="38" s="1"/>
  <c r="LG56" i="38" s="1"/>
  <c r="LH56" i="38" s="1"/>
  <c r="LN56" i="38"/>
  <c r="LO56" i="38" s="1"/>
  <c r="LP56" i="38"/>
  <c r="LR56" i="38"/>
  <c r="LT56" i="38"/>
  <c r="LV56" i="38"/>
  <c r="LY56" i="38"/>
  <c r="LZ56" i="38" s="1"/>
  <c r="MA56" i="38" s="1"/>
  <c r="MB56" i="38" s="1"/>
  <c r="MH56" i="38"/>
  <c r="MI56" i="38" s="1"/>
  <c r="MJ56" i="38"/>
  <c r="ML56" i="38"/>
  <c r="MN56" i="38"/>
  <c r="MP56" i="38"/>
  <c r="MS56" i="38"/>
  <c r="MT56" i="38" s="1"/>
  <c r="MU56" i="38" s="1"/>
  <c r="MV56" i="38" s="1"/>
  <c r="NB56" i="38"/>
  <c r="NC56" i="38" s="1"/>
  <c r="ND56" i="38"/>
  <c r="NF56" i="38"/>
  <c r="NH56" i="38"/>
  <c r="NJ56" i="38"/>
  <c r="NM56" i="38"/>
  <c r="NN56" i="38" s="1"/>
  <c r="NO56" i="38" s="1"/>
  <c r="NP56" i="38" s="1"/>
  <c r="NV56" i="38"/>
  <c r="NW56" i="38" s="1"/>
  <c r="NX56" i="38"/>
  <c r="NZ56" i="38"/>
  <c r="OB56" i="38"/>
  <c r="OD56" i="38"/>
  <c r="OG56" i="38"/>
  <c r="OH56" i="38" s="1"/>
  <c r="OI56" i="38" s="1"/>
  <c r="OJ56" i="38" s="1"/>
  <c r="D41" i="38"/>
  <c r="D40" i="38"/>
  <c r="D70" i="39"/>
  <c r="E70" i="39"/>
  <c r="F70" i="39"/>
  <c r="G70" i="39"/>
  <c r="C70" i="39"/>
  <c r="X193" i="38" l="1"/>
  <c r="I10" i="36"/>
  <c r="W193" i="38"/>
  <c r="GG108" i="38"/>
  <c r="GI108" i="38" s="1"/>
  <c r="GK108" i="38" s="1"/>
  <c r="GM108" i="38" s="1"/>
  <c r="Y193" i="38"/>
  <c r="V193" i="38"/>
  <c r="FM108" i="38"/>
  <c r="F193" i="38"/>
  <c r="U193" i="38" s="1"/>
  <c r="ES108" i="38"/>
  <c r="EU108" i="38" s="1"/>
  <c r="EW108" i="38" s="1"/>
  <c r="EY108" i="38" s="1"/>
  <c r="DY165" i="38"/>
  <c r="EA165" i="38" s="1"/>
  <c r="EC165" i="38" s="1"/>
  <c r="EE165" i="38" s="1"/>
  <c r="EF165" i="38"/>
  <c r="AW165" i="38"/>
  <c r="AY165" i="38" s="1"/>
  <c r="BA165" i="38" s="1"/>
  <c r="BC165" i="38" s="1"/>
  <c r="BD165" i="38"/>
  <c r="ES165" i="38"/>
  <c r="EU165" i="38" s="1"/>
  <c r="EW165" i="38" s="1"/>
  <c r="EY165" i="38" s="1"/>
  <c r="EZ165" i="38"/>
  <c r="BQ165" i="38"/>
  <c r="BS165" i="38" s="1"/>
  <c r="BU165" i="38" s="1"/>
  <c r="BW165" i="38" s="1"/>
  <c r="BX165" i="38"/>
  <c r="FM165" i="38"/>
  <c r="FO165" i="38" s="1"/>
  <c r="FQ165" i="38" s="1"/>
  <c r="FS165" i="38" s="1"/>
  <c r="FT165" i="38"/>
  <c r="CK165" i="38"/>
  <c r="CM165" i="38" s="1"/>
  <c r="CO165" i="38" s="1"/>
  <c r="CQ165" i="38" s="1"/>
  <c r="CR165" i="38"/>
  <c r="I165" i="38"/>
  <c r="K165" i="38" s="1"/>
  <c r="M165" i="38" s="1"/>
  <c r="O165" i="38" s="1"/>
  <c r="P165" i="38"/>
  <c r="GG165" i="38"/>
  <c r="GI165" i="38" s="1"/>
  <c r="GK165" i="38" s="1"/>
  <c r="GM165" i="38" s="1"/>
  <c r="GN165" i="38"/>
  <c r="DE165" i="38"/>
  <c r="DG165" i="38" s="1"/>
  <c r="DI165" i="38" s="1"/>
  <c r="DK165" i="38" s="1"/>
  <c r="DL165" i="38"/>
  <c r="AC165" i="38"/>
  <c r="AE165" i="38" s="1"/>
  <c r="AG165" i="38" s="1"/>
  <c r="AI165" i="38" s="1"/>
  <c r="AJ165" i="38"/>
  <c r="BQ108" i="38"/>
  <c r="BS108" i="38" s="1"/>
  <c r="BU108" i="38" s="1"/>
  <c r="BW108" i="38" s="1"/>
  <c r="FO108" i="38"/>
  <c r="FQ108" i="38" s="1"/>
  <c r="FS108" i="38" s="1"/>
  <c r="CK108" i="38"/>
  <c r="CM108" i="38" s="1"/>
  <c r="CO108" i="38" s="1"/>
  <c r="CQ108" i="38" s="1"/>
  <c r="AC108" i="38"/>
  <c r="AE108" i="38" s="1"/>
  <c r="AG108" i="38" s="1"/>
  <c r="AI108" i="38" s="1"/>
  <c r="DE108" i="38"/>
  <c r="DG108" i="38" s="1"/>
  <c r="DI108" i="38" s="1"/>
  <c r="DK108" i="38" s="1"/>
  <c r="DY108" i="38"/>
  <c r="EA108" i="38" s="1"/>
  <c r="EC108" i="38" s="1"/>
  <c r="EE108" i="38" s="1"/>
  <c r="AW108" i="38"/>
  <c r="AY108" i="38" s="1"/>
  <c r="BA108" i="38" s="1"/>
  <c r="BC108" i="38" s="1"/>
  <c r="I108" i="38"/>
  <c r="K108" i="38" s="1"/>
  <c r="M108" i="38" s="1"/>
  <c r="O108" i="38" s="1"/>
  <c r="GN108" i="38"/>
  <c r="FT108" i="38"/>
  <c r="EZ108" i="38"/>
  <c r="EF108" i="38"/>
  <c r="DL108" i="38"/>
  <c r="CR108" i="38"/>
  <c r="BX108" i="38"/>
  <c r="BD108" i="38"/>
  <c r="AJ108" i="38"/>
  <c r="P108" i="38"/>
  <c r="I56" i="38"/>
  <c r="K56" i="38" s="1"/>
  <c r="M56" i="38" s="1"/>
  <c r="O56" i="38" s="1"/>
  <c r="NY56" i="38"/>
  <c r="OA56" i="38" s="1"/>
  <c r="OC56" i="38" s="1"/>
  <c r="OE56" i="38" s="1"/>
  <c r="OF56" i="38"/>
  <c r="NE56" i="38"/>
  <c r="NG56" i="38" s="1"/>
  <c r="NI56" i="38" s="1"/>
  <c r="NK56" i="38" s="1"/>
  <c r="NL56" i="38"/>
  <c r="MK56" i="38"/>
  <c r="MM56" i="38" s="1"/>
  <c r="MO56" i="38" s="1"/>
  <c r="MQ56" i="38" s="1"/>
  <c r="MR56" i="38"/>
  <c r="LQ56" i="38"/>
  <c r="LS56" i="38" s="1"/>
  <c r="LU56" i="38" s="1"/>
  <c r="LW56" i="38" s="1"/>
  <c r="LX56" i="38"/>
  <c r="KW56" i="38"/>
  <c r="KY56" i="38" s="1"/>
  <c r="LA56" i="38" s="1"/>
  <c r="LC56" i="38" s="1"/>
  <c r="LD56" i="38"/>
  <c r="KC56" i="38"/>
  <c r="KE56" i="38" s="1"/>
  <c r="KG56" i="38" s="1"/>
  <c r="KI56" i="38" s="1"/>
  <c r="KJ56" i="38"/>
  <c r="JI56" i="38"/>
  <c r="JK56" i="38" s="1"/>
  <c r="JM56" i="38" s="1"/>
  <c r="JO56" i="38" s="1"/>
  <c r="JP56" i="38"/>
  <c r="IO56" i="38"/>
  <c r="IQ56" i="38" s="1"/>
  <c r="IS56" i="38" s="1"/>
  <c r="IU56" i="38" s="1"/>
  <c r="IV56" i="38"/>
  <c r="HU56" i="38"/>
  <c r="HW56" i="38" s="1"/>
  <c r="HY56" i="38" s="1"/>
  <c r="IA56" i="38" s="1"/>
  <c r="IB56" i="38"/>
  <c r="HA56" i="38"/>
  <c r="HC56" i="38" s="1"/>
  <c r="HE56" i="38" s="1"/>
  <c r="HG56" i="38" s="1"/>
  <c r="HH56" i="38"/>
  <c r="GG56" i="38"/>
  <c r="GI56" i="38" s="1"/>
  <c r="GK56" i="38" s="1"/>
  <c r="GM56" i="38" s="1"/>
  <c r="GN56" i="38"/>
  <c r="FM56" i="38"/>
  <c r="FO56" i="38" s="1"/>
  <c r="FQ56" i="38" s="1"/>
  <c r="FS56" i="38" s="1"/>
  <c r="FT56" i="38"/>
  <c r="ES56" i="38"/>
  <c r="EU56" i="38" s="1"/>
  <c r="EW56" i="38" s="1"/>
  <c r="EY56" i="38" s="1"/>
  <c r="EZ56" i="38"/>
  <c r="DY56" i="38"/>
  <c r="EA56" i="38" s="1"/>
  <c r="EC56" i="38" s="1"/>
  <c r="EE56" i="38" s="1"/>
  <c r="EF56" i="38"/>
  <c r="DE56" i="38"/>
  <c r="DG56" i="38" s="1"/>
  <c r="DI56" i="38" s="1"/>
  <c r="DK56" i="38" s="1"/>
  <c r="DL56" i="38"/>
  <c r="CK56" i="38"/>
  <c r="CM56" i="38" s="1"/>
  <c r="CO56" i="38" s="1"/>
  <c r="CQ56" i="38" s="1"/>
  <c r="CR56" i="38"/>
  <c r="BQ56" i="38"/>
  <c r="BS56" i="38" s="1"/>
  <c r="BU56" i="38" s="1"/>
  <c r="BW56" i="38" s="1"/>
  <c r="BX56" i="38"/>
  <c r="AW56" i="38"/>
  <c r="AY56" i="38" s="1"/>
  <c r="BA56" i="38" s="1"/>
  <c r="BC56" i="38" s="1"/>
  <c r="BD56" i="38"/>
  <c r="AC56" i="38"/>
  <c r="AE56" i="38" s="1"/>
  <c r="AG56" i="38" s="1"/>
  <c r="AI56" i="38" s="1"/>
  <c r="AJ56" i="38"/>
  <c r="P56" i="38"/>
  <c r="GS165" i="38" l="1"/>
  <c r="GW165" i="38"/>
  <c r="GT165" i="38"/>
  <c r="GU165" i="38"/>
  <c r="GV165" i="38"/>
  <c r="CC165" i="38"/>
  <c r="CG165" i="38"/>
  <c r="CD165" i="38"/>
  <c r="CE165" i="38"/>
  <c r="CF165" i="38"/>
  <c r="AO165" i="38"/>
  <c r="AS165" i="38"/>
  <c r="AP165" i="38"/>
  <c r="AQ165" i="38"/>
  <c r="AR165" i="38"/>
  <c r="CW165" i="38"/>
  <c r="DA165" i="38"/>
  <c r="CZ165" i="38"/>
  <c r="CX165" i="38"/>
  <c r="CY165" i="38"/>
  <c r="BI165" i="38"/>
  <c r="BM165" i="38"/>
  <c r="BJ165" i="38"/>
  <c r="BK165" i="38"/>
  <c r="BL165" i="38"/>
  <c r="DQ165" i="38"/>
  <c r="DU165" i="38"/>
  <c r="DR165" i="38"/>
  <c r="DS165" i="38"/>
  <c r="DT165" i="38"/>
  <c r="U165" i="38"/>
  <c r="Y165" i="38"/>
  <c r="V165" i="38"/>
  <c r="W165" i="38"/>
  <c r="X165" i="38"/>
  <c r="FY165" i="38"/>
  <c r="GC165" i="38"/>
  <c r="FZ165" i="38"/>
  <c r="GA165" i="38"/>
  <c r="GB165" i="38"/>
  <c r="FE165" i="38"/>
  <c r="FI165" i="38"/>
  <c r="FH165" i="38"/>
  <c r="FF165" i="38"/>
  <c r="FG165" i="38"/>
  <c r="EK165" i="38"/>
  <c r="EO165" i="38"/>
  <c r="EL165" i="38"/>
  <c r="EM165" i="38"/>
  <c r="EN165" i="38"/>
  <c r="EK108" i="38"/>
  <c r="EO108" i="38"/>
  <c r="EM108" i="38"/>
  <c r="EL108" i="38"/>
  <c r="EN108" i="38"/>
  <c r="CC108" i="38"/>
  <c r="CG108" i="38"/>
  <c r="CE108" i="38"/>
  <c r="CD108" i="38"/>
  <c r="CF108" i="38"/>
  <c r="FE108" i="38"/>
  <c r="FI108" i="38"/>
  <c r="FG108" i="38"/>
  <c r="FF108" i="38"/>
  <c r="FH108" i="38"/>
  <c r="BI108" i="38"/>
  <c r="BM108" i="38"/>
  <c r="BK108" i="38"/>
  <c r="BJ108" i="38"/>
  <c r="BL108" i="38"/>
  <c r="U108" i="38"/>
  <c r="Y108" i="38"/>
  <c r="V108" i="38"/>
  <c r="W108" i="38"/>
  <c r="X108" i="38"/>
  <c r="CW108" i="38"/>
  <c r="DA108" i="38"/>
  <c r="CX108" i="38"/>
  <c r="CZ108" i="38"/>
  <c r="CY108" i="38"/>
  <c r="GC108" i="38"/>
  <c r="GA108" i="38"/>
  <c r="FZ108" i="38"/>
  <c r="GB108" i="38"/>
  <c r="AO108" i="38"/>
  <c r="AS108" i="38"/>
  <c r="AQ108" i="38"/>
  <c r="AP108" i="38"/>
  <c r="AR108" i="38"/>
  <c r="DQ108" i="38"/>
  <c r="DU108" i="38"/>
  <c r="DS108" i="38"/>
  <c r="DR108" i="38"/>
  <c r="DT108" i="38"/>
  <c r="GW108" i="38"/>
  <c r="GT108" i="38"/>
  <c r="GV108" i="38"/>
  <c r="GU108" i="38"/>
  <c r="CW56" i="38"/>
  <c r="DA56" i="38"/>
  <c r="CX56" i="38"/>
  <c r="CZ56" i="38"/>
  <c r="CY56" i="38"/>
  <c r="FY56" i="38"/>
  <c r="GC56" i="38"/>
  <c r="FZ56" i="38"/>
  <c r="GB56" i="38"/>
  <c r="GA56" i="38"/>
  <c r="JA56" i="38"/>
  <c r="JE56" i="38"/>
  <c r="JB56" i="38"/>
  <c r="JD56" i="38"/>
  <c r="JC56" i="38"/>
  <c r="MC56" i="38"/>
  <c r="MG56" i="38"/>
  <c r="MF56" i="38"/>
  <c r="MD56" i="38"/>
  <c r="ME56" i="38"/>
  <c r="NQ56" i="38"/>
  <c r="NU56" i="38"/>
  <c r="NT56" i="38"/>
  <c r="NR56" i="38"/>
  <c r="NS56" i="38"/>
  <c r="U56" i="38"/>
  <c r="Y56" i="38"/>
  <c r="W56" i="38"/>
  <c r="V56" i="38"/>
  <c r="X56" i="38"/>
  <c r="BI56" i="38"/>
  <c r="BM56" i="38"/>
  <c r="BJ56" i="38"/>
  <c r="BL56" i="38"/>
  <c r="BK56" i="38"/>
  <c r="EK56" i="38"/>
  <c r="EO56" i="38"/>
  <c r="EL56" i="38"/>
  <c r="EN56" i="38"/>
  <c r="EM56" i="38"/>
  <c r="HM56" i="38"/>
  <c r="HQ56" i="38"/>
  <c r="HN56" i="38"/>
  <c r="HP56" i="38"/>
  <c r="HO56" i="38"/>
  <c r="KO56" i="38"/>
  <c r="KS56" i="38"/>
  <c r="KP56" i="38"/>
  <c r="KR56" i="38"/>
  <c r="KQ56" i="38"/>
  <c r="AO56" i="38"/>
  <c r="AS56" i="38"/>
  <c r="AP56" i="38"/>
  <c r="AR56" i="38"/>
  <c r="AQ56" i="38"/>
  <c r="CC56" i="38"/>
  <c r="CG56" i="38"/>
  <c r="CD56" i="38"/>
  <c r="CF56" i="38"/>
  <c r="CE56" i="38"/>
  <c r="DQ56" i="38"/>
  <c r="DU56" i="38"/>
  <c r="DR56" i="38"/>
  <c r="DT56" i="38"/>
  <c r="DS56" i="38"/>
  <c r="FE56" i="38"/>
  <c r="FI56" i="38"/>
  <c r="FF56" i="38"/>
  <c r="FH56" i="38"/>
  <c r="FG56" i="38"/>
  <c r="GS56" i="38"/>
  <c r="GW56" i="38"/>
  <c r="GT56" i="38"/>
  <c r="GV56" i="38"/>
  <c r="GU56" i="38"/>
  <c r="IG56" i="38"/>
  <c r="IK56" i="38"/>
  <c r="IH56" i="38"/>
  <c r="IJ56" i="38"/>
  <c r="II56" i="38"/>
  <c r="JU56" i="38"/>
  <c r="JY56" i="38"/>
  <c r="JV56" i="38"/>
  <c r="JX56" i="38"/>
  <c r="JW56" i="38"/>
  <c r="LI56" i="38"/>
  <c r="LM56" i="38"/>
  <c r="LL56" i="38"/>
  <c r="LJ56" i="38"/>
  <c r="LK56" i="38"/>
  <c r="MW56" i="38"/>
  <c r="NA56" i="38"/>
  <c r="MZ56" i="38"/>
  <c r="MX56" i="38"/>
  <c r="MY56" i="38"/>
  <c r="OK56" i="38"/>
  <c r="OO56" i="38"/>
  <c r="ON56" i="38"/>
  <c r="OL56" i="38"/>
  <c r="OM56" i="38"/>
  <c r="E68" i="39"/>
  <c r="F68" i="39"/>
  <c r="G68" i="39"/>
  <c r="F67" i="39"/>
  <c r="G67" i="39"/>
  <c r="D66" i="39"/>
  <c r="E66" i="39"/>
  <c r="F66" i="39"/>
  <c r="G66" i="39"/>
  <c r="C66" i="39"/>
  <c r="C74" i="39"/>
  <c r="B26" i="23"/>
  <c r="D31" i="39"/>
  <c r="E31" i="39"/>
  <c r="F31" i="39"/>
  <c r="G31" i="39"/>
  <c r="D30" i="39"/>
  <c r="E30" i="39"/>
  <c r="F30" i="39"/>
  <c r="G30" i="39"/>
  <c r="D28" i="39"/>
  <c r="E28" i="39"/>
  <c r="F28" i="39"/>
  <c r="G28" i="39"/>
  <c r="D29" i="39"/>
  <c r="E29" i="39"/>
  <c r="F29" i="39"/>
  <c r="G29" i="39"/>
  <c r="D27" i="39"/>
  <c r="D32" i="39" s="1"/>
  <c r="E27" i="39"/>
  <c r="E32" i="39" s="1"/>
  <c r="F27" i="39"/>
  <c r="F32" i="39" s="1"/>
  <c r="G27" i="39"/>
  <c r="G32" i="39" s="1"/>
  <c r="C27" i="39"/>
  <c r="C28" i="39"/>
  <c r="C29" i="39"/>
  <c r="C30" i="39"/>
  <c r="C31" i="39"/>
  <c r="D23" i="39"/>
  <c r="E23" i="39"/>
  <c r="F23" i="39"/>
  <c r="G23" i="39"/>
  <c r="C23" i="39"/>
  <c r="D21" i="39"/>
  <c r="E21" i="39"/>
  <c r="F21" i="39"/>
  <c r="G21" i="39"/>
  <c r="C17" i="39"/>
  <c r="C18" i="39"/>
  <c r="C21" i="39"/>
  <c r="C16" i="39"/>
  <c r="GZ165" i="38" l="1"/>
  <c r="GY165" i="38"/>
  <c r="GY108" i="38"/>
  <c r="HB165" i="38"/>
  <c r="HA165" i="38"/>
  <c r="GX165" i="38"/>
  <c r="HB108" i="38"/>
  <c r="OR56" i="38"/>
  <c r="GZ108" i="38"/>
  <c r="GX108" i="38"/>
  <c r="OP56" i="38"/>
  <c r="HA108" i="38"/>
  <c r="OQ56" i="38"/>
  <c r="OS56" i="38"/>
  <c r="OT56" i="38"/>
  <c r="C32" i="39"/>
  <c r="F23" i="33" l="1"/>
  <c r="V20" i="33"/>
  <c r="R20" i="33"/>
  <c r="N20" i="33"/>
  <c r="J20" i="33"/>
  <c r="F20" i="33"/>
  <c r="C28" i="19"/>
  <c r="C27" i="19"/>
  <c r="T192" i="38" l="1"/>
  <c r="S192" i="38"/>
  <c r="R192" i="38"/>
  <c r="Q192" i="38"/>
  <c r="P192" i="38"/>
  <c r="O192" i="38"/>
  <c r="N192" i="38"/>
  <c r="M192" i="38"/>
  <c r="L192" i="38"/>
  <c r="K192" i="38"/>
  <c r="J192" i="38"/>
  <c r="I192" i="38"/>
  <c r="H192" i="38"/>
  <c r="G192" i="38"/>
  <c r="GO164" i="38"/>
  <c r="GP164" i="38" s="1"/>
  <c r="GQ164" i="38" s="1"/>
  <c r="GR164" i="38" s="1"/>
  <c r="GL164" i="38"/>
  <c r="GJ164" i="38"/>
  <c r="GH164" i="38"/>
  <c r="GF164" i="38"/>
  <c r="GD164" i="38"/>
  <c r="GE164" i="38" s="1"/>
  <c r="GD161" i="38"/>
  <c r="FU164" i="38"/>
  <c r="FV164" i="38" s="1"/>
  <c r="FW164" i="38" s="1"/>
  <c r="FX164" i="38" s="1"/>
  <c r="FR164" i="38"/>
  <c r="FP164" i="38"/>
  <c r="FN164" i="38"/>
  <c r="FL164" i="38"/>
  <c r="FJ164" i="38"/>
  <c r="FK164" i="38" s="1"/>
  <c r="FJ161" i="38"/>
  <c r="FA164" i="38"/>
  <c r="FB164" i="38" s="1"/>
  <c r="FC164" i="38" s="1"/>
  <c r="FD164" i="38" s="1"/>
  <c r="EX164" i="38"/>
  <c r="EV164" i="38"/>
  <c r="ET164" i="38"/>
  <c r="ER164" i="38"/>
  <c r="EP164" i="38"/>
  <c r="EQ164" i="38" s="1"/>
  <c r="EP161" i="38"/>
  <c r="EG164" i="38"/>
  <c r="EH164" i="38" s="1"/>
  <c r="EI164" i="38" s="1"/>
  <c r="EJ164" i="38" s="1"/>
  <c r="ED164" i="38"/>
  <c r="EB164" i="38"/>
  <c r="DZ164" i="38"/>
  <c r="DX164" i="38"/>
  <c r="DV164" i="38"/>
  <c r="DW164" i="38" s="1"/>
  <c r="DV161" i="38"/>
  <c r="DM164" i="38"/>
  <c r="DN164" i="38" s="1"/>
  <c r="DO164" i="38" s="1"/>
  <c r="DP164" i="38" s="1"/>
  <c r="DJ164" i="38"/>
  <c r="DH164" i="38"/>
  <c r="DF164" i="38"/>
  <c r="DD164" i="38"/>
  <c r="DB164" i="38"/>
  <c r="DC164" i="38" s="1"/>
  <c r="DB161" i="38"/>
  <c r="CS164" i="38"/>
  <c r="CT164" i="38" s="1"/>
  <c r="CU164" i="38" s="1"/>
  <c r="CV164" i="38" s="1"/>
  <c r="CP164" i="38"/>
  <c r="CN164" i="38"/>
  <c r="CL164" i="38"/>
  <c r="CJ164" i="38"/>
  <c r="CH164" i="38"/>
  <c r="CI164" i="38" s="1"/>
  <c r="CH161" i="38"/>
  <c r="BY164" i="38"/>
  <c r="BZ164" i="38" s="1"/>
  <c r="CA164" i="38" s="1"/>
  <c r="CB164" i="38" s="1"/>
  <c r="BV164" i="38"/>
  <c r="BT164" i="38"/>
  <c r="BR164" i="38"/>
  <c r="BP164" i="38"/>
  <c r="BN164" i="38"/>
  <c r="BO164" i="38" s="1"/>
  <c r="BN161" i="38"/>
  <c r="BE164" i="38"/>
  <c r="BF164" i="38" s="1"/>
  <c r="BG164" i="38" s="1"/>
  <c r="BH164" i="38" s="1"/>
  <c r="BB164" i="38"/>
  <c r="AZ164" i="38"/>
  <c r="AX164" i="38"/>
  <c r="AV164" i="38"/>
  <c r="AT164" i="38"/>
  <c r="AU164" i="38" s="1"/>
  <c r="AT161" i="38"/>
  <c r="AK164" i="38"/>
  <c r="AL164" i="38" s="1"/>
  <c r="AM164" i="38" s="1"/>
  <c r="AN164" i="38" s="1"/>
  <c r="AH164" i="38"/>
  <c r="AF164" i="38"/>
  <c r="AD164" i="38"/>
  <c r="AB164" i="38"/>
  <c r="Z164" i="38"/>
  <c r="AA164" i="38" s="1"/>
  <c r="Z161" i="38"/>
  <c r="Q164" i="38"/>
  <c r="R164" i="38" s="1"/>
  <c r="S164" i="38" s="1"/>
  <c r="T164" i="38" s="1"/>
  <c r="N164" i="38"/>
  <c r="L164" i="38"/>
  <c r="J164" i="38"/>
  <c r="H164" i="38"/>
  <c r="F164" i="38"/>
  <c r="G164" i="38" s="1"/>
  <c r="F161" i="38"/>
  <c r="GP107" i="38"/>
  <c r="GQ107" i="38" s="1"/>
  <c r="GR107" i="38" s="1"/>
  <c r="GL107" i="38"/>
  <c r="GJ107" i="38"/>
  <c r="GH107" i="38"/>
  <c r="GF107" i="38"/>
  <c r="GD107" i="38"/>
  <c r="GE107" i="38" s="1"/>
  <c r="GN107" i="38" s="1"/>
  <c r="FV107" i="38"/>
  <c r="FW107" i="38" s="1"/>
  <c r="FX107" i="38" s="1"/>
  <c r="FR107" i="38"/>
  <c r="FP107" i="38"/>
  <c r="FN107" i="38"/>
  <c r="FL107" i="38"/>
  <c r="FJ107" i="38"/>
  <c r="FA107" i="38"/>
  <c r="FB107" i="38" s="1"/>
  <c r="FC107" i="38" s="1"/>
  <c r="FD107" i="38" s="1"/>
  <c r="EX107" i="38"/>
  <c r="EV107" i="38"/>
  <c r="ET107" i="38"/>
  <c r="ER107" i="38"/>
  <c r="EP104" i="38"/>
  <c r="EP107" i="38"/>
  <c r="EQ107" i="38" s="1"/>
  <c r="EG107" i="38"/>
  <c r="EH107" i="38" s="1"/>
  <c r="EI107" i="38" s="1"/>
  <c r="EJ107" i="38" s="1"/>
  <c r="ED107" i="38"/>
  <c r="EB107" i="38"/>
  <c r="DZ107" i="38"/>
  <c r="DX107" i="38"/>
  <c r="DV107" i="38"/>
  <c r="DW107" i="38" s="1"/>
  <c r="EF107" i="38" s="1"/>
  <c r="DV104" i="38"/>
  <c r="DM107" i="38"/>
  <c r="DN107" i="38" s="1"/>
  <c r="DO107" i="38" s="1"/>
  <c r="DP107" i="38" s="1"/>
  <c r="DJ107" i="38"/>
  <c r="DH107" i="38"/>
  <c r="DF107" i="38"/>
  <c r="DD107" i="38"/>
  <c r="DB107" i="38"/>
  <c r="DC107" i="38" s="1"/>
  <c r="DL107" i="38" s="1"/>
  <c r="DB104" i="38"/>
  <c r="CS107" i="38"/>
  <c r="CT107" i="38" s="1"/>
  <c r="CU107" i="38" s="1"/>
  <c r="CV107" i="38" s="1"/>
  <c r="CP107" i="38"/>
  <c r="CN107" i="38"/>
  <c r="CL107" i="38"/>
  <c r="CJ107" i="38"/>
  <c r="CH107" i="38"/>
  <c r="CI107" i="38" s="1"/>
  <c r="CH104" i="38"/>
  <c r="BY107" i="38"/>
  <c r="BZ107" i="38" s="1"/>
  <c r="CA107" i="38" s="1"/>
  <c r="CB107" i="38" s="1"/>
  <c r="BV107" i="38"/>
  <c r="BT107" i="38"/>
  <c r="BR107" i="38"/>
  <c r="BP107" i="38"/>
  <c r="BN107" i="38"/>
  <c r="BO107" i="38" s="1"/>
  <c r="BN104" i="38"/>
  <c r="AT104" i="38"/>
  <c r="BE107" i="38"/>
  <c r="BF107" i="38" s="1"/>
  <c r="BG107" i="38" s="1"/>
  <c r="BH107" i="38" s="1"/>
  <c r="BB107" i="38"/>
  <c r="AZ107" i="38"/>
  <c r="AX107" i="38"/>
  <c r="AV107" i="38"/>
  <c r="AT107" i="38"/>
  <c r="AU107" i="38" s="1"/>
  <c r="BD107" i="38" s="1"/>
  <c r="AK107" i="38"/>
  <c r="AL107" i="38" s="1"/>
  <c r="AM107" i="38" s="1"/>
  <c r="AN107" i="38" s="1"/>
  <c r="AH107" i="38"/>
  <c r="AF107" i="38"/>
  <c r="AD107" i="38"/>
  <c r="AB107" i="38"/>
  <c r="Z107" i="38"/>
  <c r="AA107" i="38" s="1"/>
  <c r="Z104" i="38"/>
  <c r="Q107" i="38"/>
  <c r="R107" i="38" s="1"/>
  <c r="S107" i="38" s="1"/>
  <c r="T107" i="38" s="1"/>
  <c r="N107" i="38"/>
  <c r="L107" i="38"/>
  <c r="J107" i="38"/>
  <c r="H107" i="38"/>
  <c r="F107" i="38"/>
  <c r="G107" i="38" s="1"/>
  <c r="F104" i="38"/>
  <c r="F144" i="38" a="1"/>
  <c r="F144" i="38" s="1"/>
  <c r="F89" i="38" a="1"/>
  <c r="F89" i="38" s="1"/>
  <c r="F39" i="38" a="1"/>
  <c r="F39" i="38" s="1"/>
  <c r="OG55" i="38"/>
  <c r="OH55" i="38" s="1"/>
  <c r="OI55" i="38" s="1"/>
  <c r="OJ55" i="38" s="1"/>
  <c r="OD55" i="38"/>
  <c r="OB55" i="38"/>
  <c r="NZ55" i="38"/>
  <c r="NX55" i="38"/>
  <c r="NV55" i="38"/>
  <c r="NW55" i="38" s="1"/>
  <c r="NV52" i="38"/>
  <c r="NM55" i="38"/>
  <c r="NN55" i="38" s="1"/>
  <c r="NO55" i="38" s="1"/>
  <c r="NP55" i="38" s="1"/>
  <c r="NJ55" i="38"/>
  <c r="NH55" i="38"/>
  <c r="NF55" i="38"/>
  <c r="ND55" i="38"/>
  <c r="NB55" i="38"/>
  <c r="NC55" i="38" s="1"/>
  <c r="NB52" i="38"/>
  <c r="MS55" i="38"/>
  <c r="MT55" i="38" s="1"/>
  <c r="MU55" i="38" s="1"/>
  <c r="MV55" i="38" s="1"/>
  <c r="MP55" i="38"/>
  <c r="MN55" i="38"/>
  <c r="ML55" i="38"/>
  <c r="MJ55" i="38"/>
  <c r="MH55" i="38"/>
  <c r="MI55" i="38" s="1"/>
  <c r="MH52" i="38"/>
  <c r="LY55" i="38"/>
  <c r="LZ55" i="38" s="1"/>
  <c r="MA55" i="38" s="1"/>
  <c r="MB55" i="38" s="1"/>
  <c r="LV55" i="38"/>
  <c r="LT55" i="38"/>
  <c r="LR55" i="38"/>
  <c r="LP55" i="38"/>
  <c r="LN55" i="38"/>
  <c r="LO55" i="38" s="1"/>
  <c r="LN52" i="38"/>
  <c r="LE55" i="38"/>
  <c r="LF55" i="38" s="1"/>
  <c r="LG55" i="38" s="1"/>
  <c r="LH55" i="38" s="1"/>
  <c r="LB55" i="38"/>
  <c r="KZ55" i="38"/>
  <c r="KX55" i="38"/>
  <c r="KV55" i="38"/>
  <c r="KT55" i="38"/>
  <c r="KU55" i="38" s="1"/>
  <c r="KT52" i="38"/>
  <c r="KK55" i="38"/>
  <c r="KL55" i="38" s="1"/>
  <c r="KM55" i="38" s="1"/>
  <c r="KN55" i="38" s="1"/>
  <c r="KH55" i="38"/>
  <c r="KF55" i="38"/>
  <c r="KD55" i="38"/>
  <c r="KB55" i="38"/>
  <c r="JZ55" i="38"/>
  <c r="KA55" i="38" s="1"/>
  <c r="JZ52" i="38"/>
  <c r="JQ55" i="38"/>
  <c r="JR55" i="38" s="1"/>
  <c r="JS55" i="38" s="1"/>
  <c r="JT55" i="38" s="1"/>
  <c r="JN55" i="38"/>
  <c r="JL55" i="38"/>
  <c r="JJ55" i="38"/>
  <c r="JH55" i="38"/>
  <c r="JF55" i="38"/>
  <c r="JG55" i="38" s="1"/>
  <c r="JF52" i="38"/>
  <c r="IW55" i="38"/>
  <c r="IX55" i="38" s="1"/>
  <c r="IY55" i="38" s="1"/>
  <c r="IZ55" i="38" s="1"/>
  <c r="IT55" i="38"/>
  <c r="IR55" i="38"/>
  <c r="IP55" i="38"/>
  <c r="IN55" i="38"/>
  <c r="IL55" i="38"/>
  <c r="IM55" i="38" s="1"/>
  <c r="IL52" i="38"/>
  <c r="IC55" i="38"/>
  <c r="ID55" i="38" s="1"/>
  <c r="IE55" i="38" s="1"/>
  <c r="IF55" i="38" s="1"/>
  <c r="HZ55" i="38"/>
  <c r="HX55" i="38"/>
  <c r="HV55" i="38"/>
  <c r="HT55" i="38"/>
  <c r="HR55" i="38"/>
  <c r="HS55" i="38" s="1"/>
  <c r="HR52" i="38"/>
  <c r="HI55" i="38"/>
  <c r="HJ55" i="38" s="1"/>
  <c r="HK55" i="38" s="1"/>
  <c r="HL55" i="38" s="1"/>
  <c r="HF55" i="38"/>
  <c r="HD55" i="38"/>
  <c r="HB55" i="38"/>
  <c r="GZ55" i="38"/>
  <c r="GX55" i="38"/>
  <c r="GY55" i="38" s="1"/>
  <c r="GX52" i="38"/>
  <c r="GO55" i="38"/>
  <c r="GP55" i="38" s="1"/>
  <c r="GQ55" i="38" s="1"/>
  <c r="GR55" i="38" s="1"/>
  <c r="GL55" i="38"/>
  <c r="GJ55" i="38"/>
  <c r="GH55" i="38"/>
  <c r="GF55" i="38"/>
  <c r="GD55" i="38"/>
  <c r="GE55" i="38" s="1"/>
  <c r="GD52" i="38"/>
  <c r="FV55" i="38"/>
  <c r="FW55" i="38" s="1"/>
  <c r="FX55" i="38" s="1"/>
  <c r="FR55" i="38"/>
  <c r="FP55" i="38"/>
  <c r="FN55" i="38"/>
  <c r="FL55" i="38"/>
  <c r="FJ55" i="38"/>
  <c r="FK55" i="38" s="1"/>
  <c r="FJ52" i="38"/>
  <c r="FA55" i="38"/>
  <c r="FB55" i="38" s="1"/>
  <c r="FC55" i="38" s="1"/>
  <c r="FD55" i="38" s="1"/>
  <c r="EG55" i="38"/>
  <c r="EH55" i="38" s="1"/>
  <c r="EI55" i="38" s="1"/>
  <c r="EJ55" i="38" s="1"/>
  <c r="EX55" i="38"/>
  <c r="EV55" i="38"/>
  <c r="ET55" i="38"/>
  <c r="ER55" i="38"/>
  <c r="EP55" i="38"/>
  <c r="EQ55" i="38" s="1"/>
  <c r="EP52" i="38"/>
  <c r="ED55" i="38"/>
  <c r="EB55" i="38"/>
  <c r="DZ55" i="38"/>
  <c r="DX55" i="38"/>
  <c r="DV55" i="38"/>
  <c r="DW55" i="38" s="1"/>
  <c r="DV52" i="38"/>
  <c r="DM55" i="38"/>
  <c r="DN55" i="38" s="1"/>
  <c r="DO55" i="38" s="1"/>
  <c r="DP55" i="38" s="1"/>
  <c r="DJ55" i="38"/>
  <c r="DH55" i="38"/>
  <c r="DF55" i="38"/>
  <c r="DD55" i="38"/>
  <c r="DB55" i="38"/>
  <c r="DC55" i="38" s="1"/>
  <c r="DB52" i="38"/>
  <c r="CS55" i="38"/>
  <c r="CT55" i="38" s="1"/>
  <c r="CU55" i="38" s="1"/>
  <c r="CV55" i="38" s="1"/>
  <c r="CP55" i="38"/>
  <c r="CN55" i="38"/>
  <c r="CL55" i="38"/>
  <c r="CJ55" i="38"/>
  <c r="CH55" i="38"/>
  <c r="CI55" i="38" s="1"/>
  <c r="CH52" i="38"/>
  <c r="BY55" i="38"/>
  <c r="BZ55" i="38" s="1"/>
  <c r="CA55" i="38" s="1"/>
  <c r="CB55" i="38" s="1"/>
  <c r="BV55" i="38"/>
  <c r="BT55" i="38"/>
  <c r="BR55" i="38"/>
  <c r="BP55" i="38"/>
  <c r="BN55" i="38"/>
  <c r="BO55" i="38" s="1"/>
  <c r="BN52" i="38"/>
  <c r="BE55" i="38"/>
  <c r="BF55" i="38" s="1"/>
  <c r="BG55" i="38" s="1"/>
  <c r="BH55" i="38" s="1"/>
  <c r="BB55" i="38"/>
  <c r="AZ55" i="38"/>
  <c r="AX55" i="38"/>
  <c r="AV55" i="38"/>
  <c r="AT55" i="38"/>
  <c r="AU55" i="38" s="1"/>
  <c r="AT52" i="38"/>
  <c r="AK55" i="38"/>
  <c r="AL55" i="38" s="1"/>
  <c r="AM55" i="38" s="1"/>
  <c r="AN55" i="38" s="1"/>
  <c r="AH55" i="38"/>
  <c r="AF55" i="38"/>
  <c r="AD55" i="38"/>
  <c r="AB55" i="38"/>
  <c r="Z55" i="38"/>
  <c r="AA55" i="38" s="1"/>
  <c r="Z52" i="38"/>
  <c r="Q55" i="38"/>
  <c r="R55" i="38" s="1"/>
  <c r="S55" i="38" s="1"/>
  <c r="T55" i="38" s="1"/>
  <c r="N55" i="38"/>
  <c r="L55" i="38"/>
  <c r="F52" i="38"/>
  <c r="I10" i="37" l="1"/>
  <c r="J10" i="37" s="1"/>
  <c r="I9" i="37"/>
  <c r="G24" i="36"/>
  <c r="V192" i="38"/>
  <c r="M23" i="36" s="1"/>
  <c r="N23" i="36" s="1"/>
  <c r="X192" i="38"/>
  <c r="S23" i="36" s="1"/>
  <c r="T23" i="36" s="1"/>
  <c r="W192" i="38"/>
  <c r="P23" i="36" s="1"/>
  <c r="Q23" i="36" s="1"/>
  <c r="Y192" i="38"/>
  <c r="G23" i="36"/>
  <c r="H23" i="36" s="1"/>
  <c r="ES107" i="38"/>
  <c r="EU107" i="38" s="1"/>
  <c r="EW107" i="38" s="1"/>
  <c r="EY107" i="38" s="1"/>
  <c r="EZ107" i="38"/>
  <c r="FI107" i="38" s="1"/>
  <c r="GV107" i="38"/>
  <c r="GT107" i="38"/>
  <c r="GW107" i="38"/>
  <c r="GU107" i="38"/>
  <c r="DT107" i="38"/>
  <c r="DR107" i="38"/>
  <c r="DU107" i="38"/>
  <c r="DS107" i="38"/>
  <c r="DQ107" i="38"/>
  <c r="FM107" i="38"/>
  <c r="FO107" i="38" s="1"/>
  <c r="FQ107" i="38" s="1"/>
  <c r="FS107" i="38" s="1"/>
  <c r="FT107" i="38"/>
  <c r="EN107" i="38"/>
  <c r="EL107" i="38"/>
  <c r="EO107" i="38"/>
  <c r="EM107" i="38"/>
  <c r="EK107" i="38"/>
  <c r="GG164" i="38"/>
  <c r="GI164" i="38" s="1"/>
  <c r="GK164" i="38" s="1"/>
  <c r="GM164" i="38" s="1"/>
  <c r="GN164" i="38"/>
  <c r="DE107" i="38"/>
  <c r="DG107" i="38" s="1"/>
  <c r="DI107" i="38" s="1"/>
  <c r="DK107" i="38" s="1"/>
  <c r="GG107" i="38"/>
  <c r="GI107" i="38" s="1"/>
  <c r="GK107" i="38" s="1"/>
  <c r="GM107" i="38" s="1"/>
  <c r="DY107" i="38"/>
  <c r="EA107" i="38" s="1"/>
  <c r="EC107" i="38" s="1"/>
  <c r="EE107" i="38" s="1"/>
  <c r="FM164" i="38"/>
  <c r="FO164" i="38" s="1"/>
  <c r="FQ164" i="38" s="1"/>
  <c r="FS164" i="38" s="1"/>
  <c r="FT164" i="38"/>
  <c r="ES164" i="38"/>
  <c r="EU164" i="38" s="1"/>
  <c r="EW164" i="38" s="1"/>
  <c r="EY164" i="38" s="1"/>
  <c r="EZ164" i="38"/>
  <c r="DY164" i="38"/>
  <c r="EA164" i="38" s="1"/>
  <c r="EC164" i="38" s="1"/>
  <c r="EE164" i="38" s="1"/>
  <c r="EF164" i="38"/>
  <c r="DE164" i="38"/>
  <c r="DG164" i="38" s="1"/>
  <c r="DI164" i="38" s="1"/>
  <c r="DK164" i="38" s="1"/>
  <c r="DL164" i="38"/>
  <c r="CK164" i="38"/>
  <c r="CM164" i="38" s="1"/>
  <c r="CO164" i="38" s="1"/>
  <c r="CQ164" i="38" s="1"/>
  <c r="CR164" i="38"/>
  <c r="BQ164" i="38"/>
  <c r="BS164" i="38" s="1"/>
  <c r="BU164" i="38" s="1"/>
  <c r="BW164" i="38" s="1"/>
  <c r="BX164" i="38"/>
  <c r="AW164" i="38"/>
  <c r="AY164" i="38" s="1"/>
  <c r="BA164" i="38" s="1"/>
  <c r="BC164" i="38" s="1"/>
  <c r="BD164" i="38"/>
  <c r="AC164" i="38"/>
  <c r="AE164" i="38" s="1"/>
  <c r="AG164" i="38" s="1"/>
  <c r="AI164" i="38" s="1"/>
  <c r="AJ164" i="38"/>
  <c r="I164" i="38"/>
  <c r="K164" i="38" s="1"/>
  <c r="M164" i="38" s="1"/>
  <c r="O164" i="38" s="1"/>
  <c r="P164" i="38"/>
  <c r="BL107" i="38"/>
  <c r="BJ107" i="38"/>
  <c r="BM107" i="38"/>
  <c r="BK107" i="38"/>
  <c r="BI107"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5" i="38"/>
  <c r="OA55" i="38" s="1"/>
  <c r="OC55" i="38" s="1"/>
  <c r="OE55" i="38" s="1"/>
  <c r="OF55" i="38"/>
  <c r="NE55" i="38"/>
  <c r="NG55" i="38" s="1"/>
  <c r="NI55" i="38" s="1"/>
  <c r="NK55" i="38" s="1"/>
  <c r="NL55" i="38"/>
  <c r="MK55" i="38"/>
  <c r="MM55" i="38" s="1"/>
  <c r="MO55" i="38" s="1"/>
  <c r="MQ55" i="38" s="1"/>
  <c r="MR55" i="38"/>
  <c r="AC55" i="38"/>
  <c r="AE55" i="38" s="1"/>
  <c r="AG55" i="38" s="1"/>
  <c r="AI55" i="38" s="1"/>
  <c r="LQ55" i="38"/>
  <c r="LS55" i="38" s="1"/>
  <c r="LU55" i="38" s="1"/>
  <c r="LW55" i="38" s="1"/>
  <c r="LX55" i="38"/>
  <c r="KW55" i="38"/>
  <c r="KY55" i="38" s="1"/>
  <c r="LA55" i="38" s="1"/>
  <c r="LC55" i="38" s="1"/>
  <c r="LD55" i="38"/>
  <c r="LM55" i="38" s="1"/>
  <c r="KC55" i="38"/>
  <c r="KE55" i="38" s="1"/>
  <c r="KG55" i="38" s="1"/>
  <c r="KI55" i="38" s="1"/>
  <c r="KJ55" i="38"/>
  <c r="JI55" i="38"/>
  <c r="JK55" i="38" s="1"/>
  <c r="JM55" i="38" s="1"/>
  <c r="JO55" i="38" s="1"/>
  <c r="JP55" i="38"/>
  <c r="IV55" i="38"/>
  <c r="IO55" i="38"/>
  <c r="IQ55" i="38" s="1"/>
  <c r="IS55" i="38" s="1"/>
  <c r="IU55" i="38" s="1"/>
  <c r="IB55" i="38"/>
  <c r="IK55" i="38" s="1"/>
  <c r="HU55" i="38"/>
  <c r="HW55" i="38" s="1"/>
  <c r="HY55" i="38" s="1"/>
  <c r="IA55" i="38" s="1"/>
  <c r="HA55" i="38"/>
  <c r="HC55" i="38" s="1"/>
  <c r="HE55" i="38" s="1"/>
  <c r="HG55" i="38" s="1"/>
  <c r="HH55" i="38"/>
  <c r="GG55" i="38"/>
  <c r="GI55" i="38" s="1"/>
  <c r="GK55" i="38" s="1"/>
  <c r="GM55" i="38" s="1"/>
  <c r="GN55" i="38"/>
  <c r="FM55" i="38"/>
  <c r="FO55" i="38" s="1"/>
  <c r="FQ55" i="38" s="1"/>
  <c r="FS55" i="38" s="1"/>
  <c r="FT55" i="38"/>
  <c r="EZ55" i="38"/>
  <c r="ES55" i="38"/>
  <c r="EU55" i="38" s="1"/>
  <c r="EW55" i="38" s="1"/>
  <c r="EY55" i="38" s="1"/>
  <c r="DY55" i="38"/>
  <c r="EA55" i="38" s="1"/>
  <c r="EC55" i="38" s="1"/>
  <c r="EE55" i="38" s="1"/>
  <c r="EF55" i="38"/>
  <c r="DE55" i="38"/>
  <c r="DG55" i="38" s="1"/>
  <c r="DI55" i="38" s="1"/>
  <c r="DK55" i="38" s="1"/>
  <c r="DL55" i="38"/>
  <c r="CK55" i="38"/>
  <c r="CM55" i="38" s="1"/>
  <c r="CO55" i="38" s="1"/>
  <c r="CQ55" i="38" s="1"/>
  <c r="CR55" i="38"/>
  <c r="BQ55" i="38"/>
  <c r="BS55" i="38" s="1"/>
  <c r="BU55" i="38" s="1"/>
  <c r="BW55" i="38" s="1"/>
  <c r="BX55" i="38"/>
  <c r="AW55" i="38"/>
  <c r="AY55" i="38" s="1"/>
  <c r="BA55" i="38" s="1"/>
  <c r="BC55" i="38" s="1"/>
  <c r="BD55" i="38"/>
  <c r="AJ55" i="38"/>
  <c r="J9" i="37" l="1"/>
  <c r="M24" i="36"/>
  <c r="S24" i="36"/>
  <c r="FG107" i="38"/>
  <c r="FG119" i="38" s="1"/>
  <c r="EM119" i="38"/>
  <c r="P24" i="36"/>
  <c r="FE107" i="38"/>
  <c r="FE119" i="38" s="1"/>
  <c r="EO119" i="38"/>
  <c r="FH107" i="38"/>
  <c r="FH119" i="38" s="1"/>
  <c r="EL119" i="38"/>
  <c r="FI119" i="38"/>
  <c r="FF107" i="38"/>
  <c r="FF119" i="38" s="1"/>
  <c r="EK119" i="38"/>
  <c r="EN119" i="38"/>
  <c r="GW164" i="38"/>
  <c r="GU164" i="38"/>
  <c r="GS164" i="38"/>
  <c r="GV164" i="38"/>
  <c r="GT164" i="38"/>
  <c r="GC107" i="38"/>
  <c r="GA107" i="38"/>
  <c r="GB107" i="38"/>
  <c r="FZ107" i="38"/>
  <c r="DU119" i="38"/>
  <c r="DS119" i="38"/>
  <c r="DQ119" i="38"/>
  <c r="DT119" i="38"/>
  <c r="DR119" i="38"/>
  <c r="GC164" i="38"/>
  <c r="GA164" i="38"/>
  <c r="FY164" i="38"/>
  <c r="GB164" i="38"/>
  <c r="FZ164" i="38"/>
  <c r="FI164" i="38"/>
  <c r="FG164" i="38"/>
  <c r="FE164" i="38"/>
  <c r="FH164" i="38"/>
  <c r="FF164" i="38"/>
  <c r="EO164" i="38"/>
  <c r="EM164" i="38"/>
  <c r="EK164" i="38"/>
  <c r="EN164" i="38"/>
  <c r="EL164" i="38"/>
  <c r="DU164" i="38"/>
  <c r="DS164" i="38"/>
  <c r="DQ164" i="38"/>
  <c r="DT164" i="38"/>
  <c r="DR164" i="38"/>
  <c r="DA164" i="38"/>
  <c r="CY164" i="38"/>
  <c r="CW164" i="38"/>
  <c r="CZ164" i="38"/>
  <c r="CX164" i="38"/>
  <c r="CG164" i="38"/>
  <c r="CE164" i="38"/>
  <c r="CC164" i="38"/>
  <c r="CF164" i="38"/>
  <c r="CD164" i="38"/>
  <c r="BM164" i="38"/>
  <c r="BK164" i="38"/>
  <c r="BI164" i="38"/>
  <c r="BL164" i="38"/>
  <c r="BJ164" i="38"/>
  <c r="AS164" i="38"/>
  <c r="AQ164" i="38"/>
  <c r="AO164" i="38"/>
  <c r="AR164" i="38"/>
  <c r="AP164" i="38"/>
  <c r="Y164" i="38"/>
  <c r="W164" i="38"/>
  <c r="U164" i="38"/>
  <c r="X164" i="38"/>
  <c r="V164" i="38"/>
  <c r="BM119" i="38"/>
  <c r="BK119" i="38"/>
  <c r="BI119" i="38"/>
  <c r="BL119" i="38"/>
  <c r="BJ119" i="38"/>
  <c r="CG107" i="38"/>
  <c r="CG119" i="38" s="1"/>
  <c r="CE107" i="38"/>
  <c r="CE119" i="38" s="1"/>
  <c r="CC107" i="38"/>
  <c r="CC119" i="38" s="1"/>
  <c r="CF107" i="38"/>
  <c r="CF119" i="38" s="1"/>
  <c r="CD107" i="38"/>
  <c r="CD119" i="38" s="1"/>
  <c r="DA107" i="38"/>
  <c r="CY107" i="38"/>
  <c r="CW107" i="38"/>
  <c r="CZ107" i="38"/>
  <c r="CX107" i="38"/>
  <c r="AS107" i="38"/>
  <c r="AQ107" i="38"/>
  <c r="AO107" i="38"/>
  <c r="AR107" i="38"/>
  <c r="AP107" i="38"/>
  <c r="Y107" i="38"/>
  <c r="W107" i="38"/>
  <c r="U107" i="38"/>
  <c r="V107" i="38"/>
  <c r="X107" i="38"/>
  <c r="OO55" i="38"/>
  <c r="OK55" i="38"/>
  <c r="OL55" i="38"/>
  <c r="OM55" i="38"/>
  <c r="ON55" i="38"/>
  <c r="NU55" i="38"/>
  <c r="NQ55" i="38"/>
  <c r="NR55" i="38"/>
  <c r="NS55" i="38"/>
  <c r="NT55" i="38"/>
  <c r="NA55" i="38"/>
  <c r="MW55" i="38"/>
  <c r="MX55" i="38"/>
  <c r="MY55" i="38"/>
  <c r="MY67" i="38" s="1"/>
  <c r="MZ55" i="38"/>
  <c r="MZ67" i="38" s="1"/>
  <c r="LI55" i="38"/>
  <c r="LJ55" i="38"/>
  <c r="LL55" i="38"/>
  <c r="MG55" i="38"/>
  <c r="MC55" i="38"/>
  <c r="MD55" i="38"/>
  <c r="MF55" i="38"/>
  <c r="ME55" i="38"/>
  <c r="LK55" i="38"/>
  <c r="LM67" i="38"/>
  <c r="KS55" i="38"/>
  <c r="KO55" i="38"/>
  <c r="KP55" i="38"/>
  <c r="KQ55" i="38"/>
  <c r="KR55" i="38"/>
  <c r="JY55" i="38"/>
  <c r="JU55" i="38"/>
  <c r="JV55" i="38"/>
  <c r="JW55" i="38"/>
  <c r="JX55" i="38"/>
  <c r="JX67" i="38" s="1"/>
  <c r="II55" i="38"/>
  <c r="IG55" i="38"/>
  <c r="IH55" i="38"/>
  <c r="IJ55" i="38"/>
  <c r="JE55" i="38"/>
  <c r="JA55" i="38"/>
  <c r="JB55" i="38"/>
  <c r="JC55" i="38"/>
  <c r="JD55" i="38"/>
  <c r="IK67" i="38"/>
  <c r="HQ55" i="38"/>
  <c r="HM55" i="38"/>
  <c r="HN55" i="38"/>
  <c r="HO55" i="38"/>
  <c r="HP55" i="38"/>
  <c r="GW55" i="38"/>
  <c r="GS55" i="38"/>
  <c r="GT55" i="38"/>
  <c r="GU55" i="38"/>
  <c r="GV55" i="38"/>
  <c r="GV67" i="38" s="1"/>
  <c r="GC55" i="38"/>
  <c r="FY55" i="38"/>
  <c r="FZ55" i="38"/>
  <c r="GA55" i="38"/>
  <c r="GB55" i="38"/>
  <c r="FI55" i="38"/>
  <c r="FE55" i="38"/>
  <c r="FF55" i="38"/>
  <c r="FG55" i="38"/>
  <c r="FG67" i="38" s="1"/>
  <c r="FH55" i="38"/>
  <c r="EO55" i="38"/>
  <c r="EK55" i="38"/>
  <c r="EL55" i="38"/>
  <c r="EM55" i="38"/>
  <c r="EN55" i="38"/>
  <c r="EN67" i="38" s="1"/>
  <c r="DU55" i="38"/>
  <c r="DQ55" i="38"/>
  <c r="DR55" i="38"/>
  <c r="DS55" i="38"/>
  <c r="DT55" i="38"/>
  <c r="DA55" i="38"/>
  <c r="DA67" i="38" s="1"/>
  <c r="CX55" i="38"/>
  <c r="CY55" i="38"/>
  <c r="CW55" i="38"/>
  <c r="CZ55" i="38"/>
  <c r="CG55" i="38"/>
  <c r="CC55" i="38"/>
  <c r="CD55" i="38"/>
  <c r="CE55" i="38"/>
  <c r="CF55" i="38"/>
  <c r="BM55" i="38"/>
  <c r="BI55" i="38"/>
  <c r="BJ55" i="38"/>
  <c r="BK55" i="38"/>
  <c r="BL55" i="38"/>
  <c r="AS55" i="38"/>
  <c r="AO55" i="38"/>
  <c r="AP55" i="38"/>
  <c r="AQ55" i="38"/>
  <c r="AR55" i="38"/>
  <c r="G20" i="37" l="1"/>
  <c r="I20" i="37" s="1"/>
  <c r="G21" i="37"/>
  <c r="CW67" i="38"/>
  <c r="FH67" i="38"/>
  <c r="GU67" i="38"/>
  <c r="CX67" i="38"/>
  <c r="EM67" i="38"/>
  <c r="JW67" i="38"/>
  <c r="GZ107" i="38"/>
  <c r="FY119" i="38"/>
  <c r="CZ67" i="38"/>
  <c r="GX107" i="38"/>
  <c r="GY107" i="38"/>
  <c r="HB107" i="38"/>
  <c r="GS119" i="38"/>
  <c r="GV175" i="38"/>
  <c r="HA164" i="38"/>
  <c r="HA107" i="38"/>
  <c r="GU119" i="38"/>
  <c r="GS175" i="38"/>
  <c r="GX164" i="38"/>
  <c r="OM67" i="38"/>
  <c r="GT119" i="38"/>
  <c r="GW119" i="38"/>
  <c r="GU175" i="38"/>
  <c r="GZ164" i="38"/>
  <c r="ON67" i="38"/>
  <c r="GV119" i="38"/>
  <c r="GT175" i="38"/>
  <c r="GY164" i="38"/>
  <c r="GW175" i="38"/>
  <c r="HB164" i="38"/>
  <c r="CY175" i="38"/>
  <c r="DT175" i="38"/>
  <c r="FH175" i="38"/>
  <c r="W175" i="38"/>
  <c r="EM175" i="38"/>
  <c r="AO175" i="38"/>
  <c r="BJ175" i="38"/>
  <c r="BM175" i="38"/>
  <c r="CC175" i="38"/>
  <c r="GA175" i="38"/>
  <c r="AP175" i="38"/>
  <c r="AS175" i="38"/>
  <c r="BI175" i="38"/>
  <c r="CD175" i="38"/>
  <c r="CG175" i="38"/>
  <c r="DS175" i="38"/>
  <c r="EN175" i="38"/>
  <c r="FG175" i="38"/>
  <c r="V175" i="38"/>
  <c r="Y175" i="38"/>
  <c r="AQ175" i="38"/>
  <c r="BL175" i="38"/>
  <c r="CE175" i="38"/>
  <c r="CX175" i="38"/>
  <c r="DA175" i="38"/>
  <c r="DQ175" i="38"/>
  <c r="EL175" i="38"/>
  <c r="EO175" i="38"/>
  <c r="FE175" i="38"/>
  <c r="FZ175" i="38"/>
  <c r="GC175" i="38"/>
  <c r="X175" i="38"/>
  <c r="CZ175" i="38"/>
  <c r="GB175" i="38"/>
  <c r="CY67" i="38"/>
  <c r="U119" i="38"/>
  <c r="AR119" i="38"/>
  <c r="U175" i="38"/>
  <c r="AR175" i="38"/>
  <c r="BK175" i="38"/>
  <c r="CF175" i="38"/>
  <c r="CW175" i="38"/>
  <c r="DR175" i="38"/>
  <c r="DU175" i="38"/>
  <c r="EK175" i="38"/>
  <c r="FF175" i="38"/>
  <c r="FI175" i="38"/>
  <c r="FY175" i="38"/>
  <c r="FZ119" i="38"/>
  <c r="GC119" i="38"/>
  <c r="AO119" i="38"/>
  <c r="GB119" i="38"/>
  <c r="V119" i="38"/>
  <c r="CZ119" i="38"/>
  <c r="CW119" i="38"/>
  <c r="MX67" i="38"/>
  <c r="OL67" i="38"/>
  <c r="W119" i="38"/>
  <c r="CY119" i="38"/>
  <c r="AO67" i="38"/>
  <c r="KO67" i="38"/>
  <c r="NU67" i="38"/>
  <c r="X119" i="38"/>
  <c r="Y119" i="38"/>
  <c r="AQ119" i="38"/>
  <c r="CX119" i="38"/>
  <c r="DA119" i="38"/>
  <c r="AP119" i="38"/>
  <c r="AS119" i="38"/>
  <c r="GA119" i="38"/>
  <c r="FF67" i="38"/>
  <c r="JV67" i="38"/>
  <c r="LK67" i="38"/>
  <c r="BL67" i="38"/>
  <c r="BM67" i="38"/>
  <c r="CE67" i="38"/>
  <c r="DS67" i="38"/>
  <c r="EL67" i="38"/>
  <c r="FE67" i="38"/>
  <c r="GB67" i="38"/>
  <c r="GC67" i="38"/>
  <c r="GT67" i="38"/>
  <c r="HM67" i="38"/>
  <c r="JD67" i="38"/>
  <c r="II67" i="38"/>
  <c r="JU67" i="38"/>
  <c r="LI67" i="38"/>
  <c r="MW67" i="38"/>
  <c r="NT67" i="38"/>
  <c r="OK67" i="38"/>
  <c r="AR67" i="38"/>
  <c r="AS67" i="38"/>
  <c r="BK67" i="38"/>
  <c r="CD67" i="38"/>
  <c r="DR67" i="38"/>
  <c r="GA67" i="38"/>
  <c r="HP67" i="38"/>
  <c r="HQ67" i="38"/>
  <c r="JC67" i="38"/>
  <c r="IJ67" i="38"/>
  <c r="KR67" i="38"/>
  <c r="KS67" i="38"/>
  <c r="NS67" i="38"/>
  <c r="JE67" i="38"/>
  <c r="MC67" i="38"/>
  <c r="FI67" i="38"/>
  <c r="GS67" i="38"/>
  <c r="MG67" i="38"/>
  <c r="NA67" i="38"/>
  <c r="AQ67" i="38"/>
  <c r="BJ67" i="38"/>
  <c r="CC67" i="38"/>
  <c r="DQ67" i="38"/>
  <c r="EO67" i="38"/>
  <c r="FZ67" i="38"/>
  <c r="GW67" i="38"/>
  <c r="HO67" i="38"/>
  <c r="JB67" i="38"/>
  <c r="IH67" i="38"/>
  <c r="KQ67" i="38"/>
  <c r="MF67" i="38"/>
  <c r="LL67" i="38"/>
  <c r="NR67" i="38"/>
  <c r="EK67" i="38"/>
  <c r="JY67" i="38"/>
  <c r="ME67" i="38"/>
  <c r="OO67" i="38"/>
  <c r="AP67" i="38"/>
  <c r="BI67" i="38"/>
  <c r="CF67" i="38"/>
  <c r="CG67" i="38"/>
  <c r="DT67" i="38"/>
  <c r="DU67" i="38"/>
  <c r="FY67" i="38"/>
  <c r="HN67" i="38"/>
  <c r="JA67" i="38"/>
  <c r="IG67" i="38"/>
  <c r="KP67" i="38"/>
  <c r="MD67" i="38"/>
  <c r="LJ67" i="38"/>
  <c r="NQ67" i="38"/>
  <c r="J55" i="38"/>
  <c r="H55" i="38"/>
  <c r="F55" i="38"/>
  <c r="D16" i="25"/>
  <c r="D74" i="39" s="1"/>
  <c r="C16" i="25"/>
  <c r="B6" i="24"/>
  <c r="C40" i="39" s="1"/>
  <c r="B3" i="23"/>
  <c r="C9" i="39" s="1"/>
  <c r="C7" i="22"/>
  <c r="B16" i="24" l="1"/>
  <c r="C48" i="39" s="1"/>
  <c r="G55" i="38"/>
  <c r="I55" i="38" s="1"/>
  <c r="K55" i="38" s="1"/>
  <c r="M55" i="38" s="1"/>
  <c r="O55" i="38" s="1"/>
  <c r="F192" i="38"/>
  <c r="U192" i="38" s="1"/>
  <c r="J23" i="36" s="1"/>
  <c r="K23" i="36" s="1"/>
  <c r="D180" i="38"/>
  <c r="C11" i="19" s="1"/>
  <c r="G181" i="38"/>
  <c r="H181" i="38"/>
  <c r="E180" i="38"/>
  <c r="I181" i="38"/>
  <c r="F181" i="38"/>
  <c r="E181" i="38"/>
  <c r="D181" i="38"/>
  <c r="C17" i="19" s="1"/>
  <c r="H180" i="38"/>
  <c r="G180" i="38"/>
  <c r="F180" i="38"/>
  <c r="I180" i="38"/>
  <c r="C3" i="38"/>
  <c r="B55" i="22"/>
  <c r="C3" i="20"/>
  <c r="D7" i="22"/>
  <c r="C20" i="22" s="1"/>
  <c r="B20" i="22"/>
  <c r="F416" i="36"/>
  <c r="G416" i="36" s="1"/>
  <c r="C21" i="24"/>
  <c r="D53" i="39" s="1"/>
  <c r="D21" i="24"/>
  <c r="E53" i="39" s="1"/>
  <c r="E21" i="24"/>
  <c r="F53" i="39" s="1"/>
  <c r="F21" i="24"/>
  <c r="G53" i="39" s="1"/>
  <c r="B21" i="24"/>
  <c r="F371" i="36"/>
  <c r="F376" i="36" s="1"/>
  <c r="F381" i="36" s="1"/>
  <c r="F386" i="36" s="1"/>
  <c r="F391" i="36" s="1"/>
  <c r="F396" i="36" s="1"/>
  <c r="F401" i="36" s="1"/>
  <c r="F406" i="36" s="1"/>
  <c r="F415" i="36" s="1"/>
  <c r="G366" i="36"/>
  <c r="G371" i="36" s="1"/>
  <c r="G376" i="36" s="1"/>
  <c r="G381" i="36" s="1"/>
  <c r="G386" i="36" s="1"/>
  <c r="G391" i="36" s="1"/>
  <c r="G396" i="36" s="1"/>
  <c r="G401" i="36" s="1"/>
  <c r="G406" i="36" s="1"/>
  <c r="F279" i="36"/>
  <c r="H257" i="36"/>
  <c r="F42" i="37"/>
  <c r="F41" i="37"/>
  <c r="F21" i="37"/>
  <c r="F20" i="37"/>
  <c r="W247" i="36"/>
  <c r="W248" i="36"/>
  <c r="W246" i="36"/>
  <c r="T247" i="36"/>
  <c r="T248" i="36"/>
  <c r="T246" i="36"/>
  <c r="Q247" i="36"/>
  <c r="Q248" i="36"/>
  <c r="Q246" i="36"/>
  <c r="N247" i="36"/>
  <c r="N248" i="36"/>
  <c r="N246" i="36"/>
  <c r="K247" i="36"/>
  <c r="K248" i="36"/>
  <c r="K246" i="36"/>
  <c r="H247" i="36"/>
  <c r="H248" i="36"/>
  <c r="H246" i="36"/>
  <c r="X234" i="36"/>
  <c r="G338" i="36" s="1"/>
  <c r="W235" i="36"/>
  <c r="W236" i="36"/>
  <c r="W237" i="36"/>
  <c r="W238" i="36"/>
  <c r="W239" i="36"/>
  <c r="W240" i="36"/>
  <c r="W234" i="36"/>
  <c r="T235" i="36"/>
  <c r="T236" i="36"/>
  <c r="T237" i="36"/>
  <c r="T238" i="36"/>
  <c r="T239" i="36"/>
  <c r="T240" i="36"/>
  <c r="T234" i="36"/>
  <c r="Q235" i="36"/>
  <c r="Q236" i="36"/>
  <c r="Q237" i="36"/>
  <c r="Q238" i="36"/>
  <c r="Q239" i="36"/>
  <c r="Q240" i="36"/>
  <c r="Q234" i="36"/>
  <c r="N235" i="36"/>
  <c r="N236" i="36"/>
  <c r="N237" i="36"/>
  <c r="N238" i="36"/>
  <c r="N239" i="36"/>
  <c r="N240" i="36"/>
  <c r="N234" i="36"/>
  <c r="K235" i="36"/>
  <c r="K236" i="36"/>
  <c r="K237" i="36"/>
  <c r="K238" i="36"/>
  <c r="K239" i="36"/>
  <c r="K240" i="36"/>
  <c r="K234" i="36"/>
  <c r="H235" i="36"/>
  <c r="H236" i="36"/>
  <c r="H237" i="36"/>
  <c r="H238" i="36"/>
  <c r="H239" i="36"/>
  <c r="H240" i="36"/>
  <c r="H234" i="36"/>
  <c r="X215" i="36"/>
  <c r="W216" i="36"/>
  <c r="W217" i="36"/>
  <c r="W218" i="36"/>
  <c r="W219" i="36"/>
  <c r="W220" i="36"/>
  <c r="W221" i="36"/>
  <c r="W222" i="36"/>
  <c r="W223" i="36"/>
  <c r="W224" i="36"/>
  <c r="W225" i="36"/>
  <c r="W226" i="36"/>
  <c r="W227" i="36"/>
  <c r="W228" i="36"/>
  <c r="W229" i="36"/>
  <c r="W230" i="36"/>
  <c r="W215" i="36"/>
  <c r="T216" i="36"/>
  <c r="T217" i="36"/>
  <c r="T218" i="36"/>
  <c r="T219" i="36"/>
  <c r="T220" i="36"/>
  <c r="T221" i="36"/>
  <c r="T222" i="36"/>
  <c r="T223" i="36"/>
  <c r="T224" i="36"/>
  <c r="T225" i="36"/>
  <c r="T226" i="36"/>
  <c r="T227" i="36"/>
  <c r="T228" i="36"/>
  <c r="T229" i="36"/>
  <c r="T230" i="36"/>
  <c r="T215" i="36"/>
  <c r="Q216" i="36"/>
  <c r="Q217" i="36"/>
  <c r="Q218" i="36"/>
  <c r="Q219" i="36"/>
  <c r="Q220" i="36"/>
  <c r="Q221" i="36"/>
  <c r="Q222" i="36"/>
  <c r="Q223" i="36"/>
  <c r="Q224" i="36"/>
  <c r="Q225" i="36"/>
  <c r="Q226" i="36"/>
  <c r="Q227" i="36"/>
  <c r="Q228" i="36"/>
  <c r="Q229" i="36"/>
  <c r="Q230" i="36"/>
  <c r="Q215" i="36"/>
  <c r="N216" i="36"/>
  <c r="N217" i="36"/>
  <c r="N218" i="36"/>
  <c r="N219" i="36"/>
  <c r="N220" i="36"/>
  <c r="N221" i="36"/>
  <c r="N222" i="36"/>
  <c r="N223" i="36"/>
  <c r="N224" i="36"/>
  <c r="N225" i="36"/>
  <c r="N226" i="36"/>
  <c r="N227" i="36"/>
  <c r="N228" i="36"/>
  <c r="N229" i="36"/>
  <c r="N230" i="36"/>
  <c r="N215" i="36"/>
  <c r="K216" i="36"/>
  <c r="K217" i="36"/>
  <c r="K218" i="36"/>
  <c r="K219" i="36"/>
  <c r="K220" i="36"/>
  <c r="K221" i="36"/>
  <c r="K222" i="36"/>
  <c r="K223" i="36"/>
  <c r="K224" i="36"/>
  <c r="K225" i="36"/>
  <c r="K226" i="36"/>
  <c r="K227" i="36"/>
  <c r="K228" i="36"/>
  <c r="K229" i="36"/>
  <c r="K230" i="36"/>
  <c r="K215" i="36"/>
  <c r="H216" i="36"/>
  <c r="H217" i="36"/>
  <c r="H218" i="36"/>
  <c r="H219" i="36"/>
  <c r="H220" i="36"/>
  <c r="H221" i="36"/>
  <c r="H222" i="36"/>
  <c r="H223" i="36"/>
  <c r="H224" i="36"/>
  <c r="H225" i="36"/>
  <c r="H226" i="36"/>
  <c r="H227" i="36"/>
  <c r="H228" i="36"/>
  <c r="H229" i="36"/>
  <c r="H230" i="36"/>
  <c r="H215" i="36"/>
  <c r="X196" i="36"/>
  <c r="G313" i="36" s="1"/>
  <c r="W197" i="36"/>
  <c r="W198" i="36"/>
  <c r="W199" i="36"/>
  <c r="W200" i="36"/>
  <c r="W201" i="36"/>
  <c r="W202" i="36"/>
  <c r="W203" i="36"/>
  <c r="W204" i="36"/>
  <c r="W205" i="36"/>
  <c r="W206" i="36"/>
  <c r="W207" i="36"/>
  <c r="W208" i="36"/>
  <c r="W209" i="36"/>
  <c r="W210" i="36"/>
  <c r="W211" i="36"/>
  <c r="W196" i="36"/>
  <c r="T197" i="36"/>
  <c r="T198" i="36"/>
  <c r="T199" i="36"/>
  <c r="T200" i="36"/>
  <c r="T201" i="36"/>
  <c r="T202" i="36"/>
  <c r="T203" i="36"/>
  <c r="T204" i="36"/>
  <c r="T205" i="36"/>
  <c r="T206" i="36"/>
  <c r="T207" i="36"/>
  <c r="T208" i="36"/>
  <c r="T209" i="36"/>
  <c r="T210" i="36"/>
  <c r="T211" i="36"/>
  <c r="T196" i="36"/>
  <c r="Q197" i="36"/>
  <c r="Q198" i="36"/>
  <c r="Q199" i="36"/>
  <c r="Q200" i="36"/>
  <c r="Q201" i="36"/>
  <c r="Q202" i="36"/>
  <c r="Q203" i="36"/>
  <c r="Q204" i="36"/>
  <c r="Q205" i="36"/>
  <c r="Q206" i="36"/>
  <c r="Q207" i="36"/>
  <c r="Q208" i="36"/>
  <c r="Q209" i="36"/>
  <c r="Q210" i="36"/>
  <c r="Q211" i="36"/>
  <c r="Q196" i="36"/>
  <c r="N197" i="36"/>
  <c r="N198" i="36"/>
  <c r="N199" i="36"/>
  <c r="N200" i="36"/>
  <c r="N201" i="36"/>
  <c r="N202" i="36"/>
  <c r="N203" i="36"/>
  <c r="N204" i="36"/>
  <c r="N205" i="36"/>
  <c r="N206" i="36"/>
  <c r="N207" i="36"/>
  <c r="N208" i="36"/>
  <c r="N209" i="36"/>
  <c r="N210" i="36"/>
  <c r="N211" i="36"/>
  <c r="N196" i="36"/>
  <c r="K197" i="36"/>
  <c r="K198" i="36"/>
  <c r="K199" i="36"/>
  <c r="K200" i="36"/>
  <c r="K201" i="36"/>
  <c r="K202" i="36"/>
  <c r="K203" i="36"/>
  <c r="K204" i="36"/>
  <c r="K205" i="36"/>
  <c r="K206" i="36"/>
  <c r="K207" i="36"/>
  <c r="K208" i="36"/>
  <c r="K209" i="36"/>
  <c r="K210" i="36"/>
  <c r="K211" i="36"/>
  <c r="K196" i="36"/>
  <c r="H197" i="36"/>
  <c r="H198" i="36"/>
  <c r="H199" i="36"/>
  <c r="H200" i="36"/>
  <c r="H201" i="36"/>
  <c r="H202" i="36"/>
  <c r="H203" i="36"/>
  <c r="H204" i="36"/>
  <c r="H205" i="36"/>
  <c r="H206" i="36"/>
  <c r="H207" i="36"/>
  <c r="H208" i="36"/>
  <c r="H209" i="36"/>
  <c r="H210" i="36"/>
  <c r="H211" i="36"/>
  <c r="H196" i="36"/>
  <c r="X157" i="36"/>
  <c r="G354" i="36" s="1"/>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57" i="36"/>
  <c r="T158" i="36"/>
  <c r="T159" i="36"/>
  <c r="T160" i="36"/>
  <c r="T161" i="36"/>
  <c r="T162" i="36"/>
  <c r="T163" i="36"/>
  <c r="T164" i="36"/>
  <c r="T165" i="36"/>
  <c r="T166" i="36"/>
  <c r="T167" i="36"/>
  <c r="T168" i="36"/>
  <c r="T169" i="36"/>
  <c r="T170" i="36"/>
  <c r="T171" i="36"/>
  <c r="T172" i="36"/>
  <c r="T173" i="36"/>
  <c r="T174" i="36"/>
  <c r="T175" i="36"/>
  <c r="T176" i="36"/>
  <c r="T177" i="36"/>
  <c r="T178" i="36"/>
  <c r="T179" i="36"/>
  <c r="T180" i="36"/>
  <c r="T181" i="36"/>
  <c r="T157" i="36"/>
  <c r="Q158" i="36"/>
  <c r="Q159" i="36"/>
  <c r="Q160" i="36"/>
  <c r="Q161" i="36"/>
  <c r="Q162" i="36"/>
  <c r="Q163" i="36"/>
  <c r="Q164" i="36"/>
  <c r="Q165" i="36"/>
  <c r="Q166" i="36"/>
  <c r="Q167" i="36"/>
  <c r="Q168" i="36"/>
  <c r="Q169" i="36"/>
  <c r="Q170" i="36"/>
  <c r="Q171" i="36"/>
  <c r="Q172" i="36"/>
  <c r="Q173" i="36"/>
  <c r="Q174" i="36"/>
  <c r="Q175" i="36"/>
  <c r="Q176" i="36"/>
  <c r="Q177" i="36"/>
  <c r="Q178" i="36"/>
  <c r="Q179" i="36"/>
  <c r="Q180" i="36"/>
  <c r="Q181" i="36"/>
  <c r="Q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57" i="36"/>
  <c r="X147" i="36"/>
  <c r="G308" i="36" s="1"/>
  <c r="W148" i="36"/>
  <c r="W149" i="36"/>
  <c r="W150" i="36"/>
  <c r="W151" i="36"/>
  <c r="W152" i="36"/>
  <c r="W153" i="36"/>
  <c r="W147" i="36"/>
  <c r="T148" i="36"/>
  <c r="T149" i="36"/>
  <c r="T150" i="36"/>
  <c r="T151" i="36"/>
  <c r="T152" i="36"/>
  <c r="T153" i="36"/>
  <c r="T147" i="36"/>
  <c r="Q148" i="36"/>
  <c r="Q149" i="36"/>
  <c r="Q150" i="36"/>
  <c r="Q151" i="36"/>
  <c r="Q152" i="36"/>
  <c r="Q153" i="36"/>
  <c r="Q147" i="36"/>
  <c r="N148" i="36"/>
  <c r="N149" i="36"/>
  <c r="N150" i="36"/>
  <c r="N151" i="36"/>
  <c r="N152" i="36"/>
  <c r="N153" i="36"/>
  <c r="N147" i="36"/>
  <c r="K148" i="36"/>
  <c r="K149" i="36"/>
  <c r="K150" i="36"/>
  <c r="K151" i="36"/>
  <c r="K152" i="36"/>
  <c r="K153" i="36"/>
  <c r="K147" i="36"/>
  <c r="H148" i="36"/>
  <c r="H149" i="36"/>
  <c r="H150" i="36"/>
  <c r="H151" i="36"/>
  <c r="H152" i="36"/>
  <c r="H153" i="36"/>
  <c r="H147" i="36"/>
  <c r="X94" i="36"/>
  <c r="G328" i="36" s="1"/>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94" i="36"/>
  <c r="X51" i="36"/>
  <c r="X41" i="36"/>
  <c r="G258" i="36" s="1"/>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51" i="36"/>
  <c r="W42" i="36"/>
  <c r="W43" i="36"/>
  <c r="W44" i="36"/>
  <c r="W45" i="36"/>
  <c r="W46" i="36"/>
  <c r="W47" i="36"/>
  <c r="W41" i="36"/>
  <c r="T42" i="36"/>
  <c r="T43" i="36"/>
  <c r="T44" i="36"/>
  <c r="T45" i="36"/>
  <c r="T46" i="36"/>
  <c r="T47" i="36"/>
  <c r="T41" i="36"/>
  <c r="Q42" i="36"/>
  <c r="Q43" i="36"/>
  <c r="Q44" i="36"/>
  <c r="Q45" i="36"/>
  <c r="Q46" i="36"/>
  <c r="Q47" i="36"/>
  <c r="Q41" i="36"/>
  <c r="N42" i="36"/>
  <c r="N43" i="36"/>
  <c r="N44" i="36"/>
  <c r="N45" i="36"/>
  <c r="N46" i="36"/>
  <c r="N47" i="36"/>
  <c r="N41" i="36"/>
  <c r="K42" i="36"/>
  <c r="K43" i="36"/>
  <c r="K44" i="36"/>
  <c r="K45" i="36"/>
  <c r="K46" i="36"/>
  <c r="K47" i="36"/>
  <c r="K41" i="36"/>
  <c r="H42" i="36"/>
  <c r="H43" i="36"/>
  <c r="H44" i="36"/>
  <c r="H45" i="36"/>
  <c r="H46" i="36"/>
  <c r="H47" i="36"/>
  <c r="H41" i="36"/>
  <c r="I39" i="36"/>
  <c r="G35" i="36"/>
  <c r="F21" i="36"/>
  <c r="F7" i="36"/>
  <c r="P55" i="38" l="1"/>
  <c r="Y55" i="38" s="1"/>
  <c r="OT55" i="38" s="1"/>
  <c r="C53" i="39"/>
  <c r="J24" i="36"/>
  <c r="V55" i="38"/>
  <c r="W55" i="38"/>
  <c r="U55" i="38"/>
  <c r="X55" i="38"/>
  <c r="Q249" i="36"/>
  <c r="F340" i="36" s="1"/>
  <c r="W91" i="36"/>
  <c r="F23" i="24" s="1"/>
  <c r="G55" i="39" s="1"/>
  <c r="K144" i="36"/>
  <c r="B24" i="24" s="1"/>
  <c r="C56" i="39" s="1"/>
  <c r="Q144" i="36"/>
  <c r="F328" i="36" s="1"/>
  <c r="W144" i="36"/>
  <c r="F24" i="24" s="1"/>
  <c r="G56" i="39" s="1"/>
  <c r="X95" i="36"/>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H231" i="36"/>
  <c r="F270" i="36" s="1"/>
  <c r="F397" i="36" s="1"/>
  <c r="B49" i="22" s="1"/>
  <c r="B51" i="22" s="1"/>
  <c r="N231" i="36"/>
  <c r="C28" i="24" s="1"/>
  <c r="D60" i="39" s="1"/>
  <c r="T231" i="36"/>
  <c r="E28" i="24" s="1"/>
  <c r="F60" i="39" s="1"/>
  <c r="W231" i="36"/>
  <c r="F28" i="24" s="1"/>
  <c r="G60" i="39" s="1"/>
  <c r="K241" i="36"/>
  <c r="T91" i="36"/>
  <c r="E23" i="24" s="1"/>
  <c r="F55" i="39" s="1"/>
  <c r="K154" i="36"/>
  <c r="B25" i="24" s="1"/>
  <c r="C57" i="39" s="1"/>
  <c r="W154" i="36"/>
  <c r="F25" i="24" s="1"/>
  <c r="G57" i="39" s="1"/>
  <c r="Q182" i="36"/>
  <c r="D26" i="24" s="1"/>
  <c r="E58" i="39" s="1"/>
  <c r="K212" i="36"/>
  <c r="B27" i="24" s="1"/>
  <c r="C59" i="39" s="1"/>
  <c r="Q212" i="36"/>
  <c r="D27" i="24" s="1"/>
  <c r="E59" i="39" s="1"/>
  <c r="W212" i="36"/>
  <c r="F27" i="24" s="1"/>
  <c r="G59" i="39" s="1"/>
  <c r="N241" i="36"/>
  <c r="F316" i="36" s="1"/>
  <c r="H144" i="36"/>
  <c r="F262" i="36" s="1"/>
  <c r="F377" i="36" s="1"/>
  <c r="B37" i="22" s="1"/>
  <c r="K182" i="36"/>
  <c r="B26" i="24" s="1"/>
  <c r="C58" i="39" s="1"/>
  <c r="N182" i="36"/>
  <c r="C26" i="24" s="1"/>
  <c r="D58" i="39" s="1"/>
  <c r="Q48" i="36"/>
  <c r="D22" i="24" s="1"/>
  <c r="E54" i="39" s="1"/>
  <c r="W182" i="36"/>
  <c r="F26" i="24" s="1"/>
  <c r="G58" i="39" s="1"/>
  <c r="K91" i="36"/>
  <c r="B23" i="24" s="1"/>
  <c r="C55" i="39" s="1"/>
  <c r="Q91" i="36"/>
  <c r="F326" i="36" s="1"/>
  <c r="N154" i="36"/>
  <c r="F308" i="36" s="1"/>
  <c r="H182" i="36"/>
  <c r="F266" i="36" s="1"/>
  <c r="F387" i="36" s="1"/>
  <c r="B43" i="22" s="1"/>
  <c r="T182" i="36"/>
  <c r="F354" i="36" s="1"/>
  <c r="H354" i="36" s="1"/>
  <c r="H355" i="36" s="1"/>
  <c r="X158" i="36"/>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X178" i="36" s="1"/>
  <c r="X179" i="36" s="1"/>
  <c r="X180" i="36" s="1"/>
  <c r="X181" i="36" s="1"/>
  <c r="N249" i="36"/>
  <c r="F318" i="36" s="1"/>
  <c r="G348" i="36"/>
  <c r="X52" i="36"/>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T144" i="36"/>
  <c r="G336" i="36"/>
  <c r="X216" i="36"/>
  <c r="X217" i="36" s="1"/>
  <c r="X218" i="36" s="1"/>
  <c r="X219" i="36" s="1"/>
  <c r="X220" i="36" s="1"/>
  <c r="X221" i="36" s="1"/>
  <c r="X222" i="36" s="1"/>
  <c r="X223" i="36" s="1"/>
  <c r="X224" i="36" s="1"/>
  <c r="X225" i="36" s="1"/>
  <c r="X226" i="36" s="1"/>
  <c r="X227" i="36" s="1"/>
  <c r="X228" i="36" s="1"/>
  <c r="X229" i="36" s="1"/>
  <c r="X230" i="36" s="1"/>
  <c r="H91" i="36"/>
  <c r="F260" i="36" s="1"/>
  <c r="F372" i="36" s="1"/>
  <c r="H154" i="36"/>
  <c r="F264" i="36" s="1"/>
  <c r="F382" i="36" s="1"/>
  <c r="B40" i="22" s="1"/>
  <c r="T154" i="36"/>
  <c r="H212" i="36"/>
  <c r="H241" i="36"/>
  <c r="W241" i="36"/>
  <c r="K249" i="36"/>
  <c r="W249" i="36"/>
  <c r="N144" i="36"/>
  <c r="K48" i="36"/>
  <c r="W48" i="36"/>
  <c r="N91" i="36"/>
  <c r="Q154" i="36"/>
  <c r="N212" i="36"/>
  <c r="K231" i="36"/>
  <c r="Q241" i="36"/>
  <c r="F338" i="36" s="1"/>
  <c r="H338" i="36" s="1"/>
  <c r="H249" i="36"/>
  <c r="H251" i="36" s="1"/>
  <c r="F274" i="36" s="1"/>
  <c r="F407" i="36" s="1"/>
  <c r="T249" i="36"/>
  <c r="T212" i="36"/>
  <c r="Q231" i="36"/>
  <c r="D29" i="24"/>
  <c r="E61" i="39" s="1"/>
  <c r="H416" i="36"/>
  <c r="I416" i="36" s="1"/>
  <c r="C30" i="22"/>
  <c r="B30" i="22"/>
  <c r="H48" i="36"/>
  <c r="N48" i="36"/>
  <c r="T48" i="36"/>
  <c r="G12" i="36"/>
  <c r="X42" i="36"/>
  <c r="X43" i="36" s="1"/>
  <c r="X44" i="36" s="1"/>
  <c r="X45" i="36" s="1"/>
  <c r="X46" i="36" s="1"/>
  <c r="X47" i="36" s="1"/>
  <c r="X197" i="36"/>
  <c r="X198" i="36" s="1"/>
  <c r="X199" i="36" s="1"/>
  <c r="X200" i="36" s="1"/>
  <c r="X201" i="36" s="1"/>
  <c r="X202" i="36" s="1"/>
  <c r="X203" i="36" s="1"/>
  <c r="X204" i="36" s="1"/>
  <c r="X205" i="36" s="1"/>
  <c r="X206" i="36" s="1"/>
  <c r="X207" i="36" s="1"/>
  <c r="X208" i="36" s="1"/>
  <c r="X209" i="36" s="1"/>
  <c r="X210" i="36" s="1"/>
  <c r="X211" i="36" s="1"/>
  <c r="G262" i="36"/>
  <c r="G270" i="36"/>
  <c r="G280" i="36"/>
  <c r="G288" i="36"/>
  <c r="G330" i="36"/>
  <c r="G350" i="36"/>
  <c r="G352" i="36"/>
  <c r="G260" i="36"/>
  <c r="G269" i="36"/>
  <c r="G282" i="36"/>
  <c r="G291" i="36"/>
  <c r="G302" i="36"/>
  <c r="G306" i="36"/>
  <c r="G310" i="36"/>
  <c r="G314" i="36"/>
  <c r="G324" i="36"/>
  <c r="G326" i="36"/>
  <c r="G332" i="36"/>
  <c r="G346" i="36"/>
  <c r="G357" i="36"/>
  <c r="G358" i="36"/>
  <c r="G272" i="36"/>
  <c r="G284" i="36"/>
  <c r="G292" i="36"/>
  <c r="G335" i="36"/>
  <c r="G360" i="36"/>
  <c r="X148" i="36"/>
  <c r="X149" i="36" s="1"/>
  <c r="X150" i="36" s="1"/>
  <c r="X151" i="36" s="1"/>
  <c r="X152" i="36" s="1"/>
  <c r="X153" i="36" s="1"/>
  <c r="X235" i="36"/>
  <c r="X236" i="36" s="1"/>
  <c r="X237" i="36" s="1"/>
  <c r="X238" i="36" s="1"/>
  <c r="X239" i="36" s="1"/>
  <c r="X240" i="36" s="1"/>
  <c r="X246" i="36" s="1"/>
  <c r="G12" i="37"/>
  <c r="K10" i="37" s="1"/>
  <c r="G264" i="36"/>
  <c r="G266" i="36"/>
  <c r="G286" i="36"/>
  <c r="G294" i="36"/>
  <c r="G304" i="36"/>
  <c r="G316" i="36"/>
  <c r="G415" i="36"/>
  <c r="G411" i="36"/>
  <c r="T241" i="36"/>
  <c r="F360" i="36" s="1"/>
  <c r="H24" i="36"/>
  <c r="Y67" i="38" l="1"/>
  <c r="I179" i="38" s="1"/>
  <c r="I182" i="38" s="1"/>
  <c r="X67" i="38"/>
  <c r="H179" i="38" s="1"/>
  <c r="OS55" i="38"/>
  <c r="U67" i="38"/>
  <c r="D179" i="38" s="1"/>
  <c r="C14" i="19" s="1"/>
  <c r="OP55" i="38"/>
  <c r="W67" i="38"/>
  <c r="G179" i="38" s="1"/>
  <c r="OR55" i="38"/>
  <c r="V67" i="38"/>
  <c r="E179" i="38" s="1"/>
  <c r="E182" i="38" s="1"/>
  <c r="OQ55" i="38"/>
  <c r="I21" i="37"/>
  <c r="I29" i="37" s="1"/>
  <c r="G33" i="37" s="1"/>
  <c r="F284" i="36"/>
  <c r="I284" i="36" s="1"/>
  <c r="E26" i="24"/>
  <c r="F58" i="39" s="1"/>
  <c r="F288" i="36"/>
  <c r="I288" i="36" s="1"/>
  <c r="W243" i="36"/>
  <c r="Q251" i="36"/>
  <c r="F335" i="36"/>
  <c r="I335" i="36" s="1"/>
  <c r="F324" i="36"/>
  <c r="I324" i="36" s="1"/>
  <c r="C29" i="24"/>
  <c r="D61" i="39" s="1"/>
  <c r="F332" i="36"/>
  <c r="I332" i="36" s="1"/>
  <c r="H328" i="36"/>
  <c r="I328" i="36"/>
  <c r="D24" i="24"/>
  <c r="E56" i="39" s="1"/>
  <c r="F314" i="36"/>
  <c r="J314" i="36" s="1"/>
  <c r="F348" i="36"/>
  <c r="H348" i="36" s="1"/>
  <c r="H349" i="36" s="1"/>
  <c r="D30" i="22"/>
  <c r="F291" i="36"/>
  <c r="K291" i="36" s="1"/>
  <c r="I338" i="36"/>
  <c r="J338" i="36" s="1"/>
  <c r="F310" i="36"/>
  <c r="J310" i="36" s="1"/>
  <c r="Q243" i="36"/>
  <c r="F286" i="36"/>
  <c r="G382" i="36" s="1"/>
  <c r="H382" i="36" s="1"/>
  <c r="F358" i="36"/>
  <c r="H358" i="36" s="1"/>
  <c r="H359" i="36" s="1"/>
  <c r="D23" i="24"/>
  <c r="E55" i="39" s="1"/>
  <c r="F282" i="36"/>
  <c r="I282" i="36" s="1"/>
  <c r="J308" i="36"/>
  <c r="I308" i="36"/>
  <c r="N251" i="36"/>
  <c r="C25" i="24"/>
  <c r="D57" i="39" s="1"/>
  <c r="Q184" i="36"/>
  <c r="H308" i="36"/>
  <c r="H309" i="36" s="1"/>
  <c r="C22" i="24"/>
  <c r="D54" i="39" s="1"/>
  <c r="N184" i="36"/>
  <c r="F302" i="36"/>
  <c r="J302" i="36" s="1"/>
  <c r="F357" i="36"/>
  <c r="H357" i="36" s="1"/>
  <c r="I357" i="36" s="1"/>
  <c r="E27" i="24"/>
  <c r="F59" i="39" s="1"/>
  <c r="T243" i="36"/>
  <c r="F304" i="36"/>
  <c r="J304" i="36" s="1"/>
  <c r="C23" i="24"/>
  <c r="D55" i="39" s="1"/>
  <c r="F29" i="24"/>
  <c r="G61" i="39" s="1"/>
  <c r="W251" i="36"/>
  <c r="F269" i="36"/>
  <c r="F392" i="36" s="1"/>
  <c r="H243" i="36"/>
  <c r="E24" i="24"/>
  <c r="F56" i="39" s="1"/>
  <c r="F350" i="36"/>
  <c r="H350" i="36" s="1"/>
  <c r="H351" i="36" s="1"/>
  <c r="B54" i="22"/>
  <c r="B56" i="22" s="1"/>
  <c r="B34" i="22"/>
  <c r="B36" i="22" s="1"/>
  <c r="F258" i="36"/>
  <c r="H184" i="36"/>
  <c r="B28" i="24"/>
  <c r="C60" i="39" s="1"/>
  <c r="F292" i="36"/>
  <c r="G397" i="36" s="1"/>
  <c r="C49" i="22" s="1"/>
  <c r="F22" i="24"/>
  <c r="G54" i="39" s="1"/>
  <c r="G62" i="39" s="1"/>
  <c r="W184" i="36"/>
  <c r="C24" i="24"/>
  <c r="D56" i="39" s="1"/>
  <c r="F306" i="36"/>
  <c r="I306" i="36" s="1"/>
  <c r="B29" i="24"/>
  <c r="C61" i="39" s="1"/>
  <c r="K251" i="36"/>
  <c r="F296" i="36"/>
  <c r="G407" i="36" s="1"/>
  <c r="E25" i="24"/>
  <c r="F57" i="39" s="1"/>
  <c r="F352" i="36"/>
  <c r="H352" i="36" s="1"/>
  <c r="E22" i="24"/>
  <c r="F54" i="39" s="1"/>
  <c r="F346" i="36"/>
  <c r="T184" i="36"/>
  <c r="D28" i="24"/>
  <c r="E60" i="39" s="1"/>
  <c r="F336" i="36"/>
  <c r="D25" i="24"/>
  <c r="E57" i="39" s="1"/>
  <c r="F330" i="36"/>
  <c r="D8" i="19"/>
  <c r="F272" i="36"/>
  <c r="F402" i="36" s="1"/>
  <c r="H360" i="36"/>
  <c r="H361" i="36" s="1"/>
  <c r="I354" i="36"/>
  <c r="E29" i="24"/>
  <c r="F61" i="39" s="1"/>
  <c r="F362" i="36"/>
  <c r="T251" i="36"/>
  <c r="F313" i="36"/>
  <c r="C27" i="24"/>
  <c r="D59" i="39" s="1"/>
  <c r="N243" i="36"/>
  <c r="B22" i="24"/>
  <c r="F280" i="36"/>
  <c r="K280" i="36" s="1"/>
  <c r="K184" i="36"/>
  <c r="K243" i="36"/>
  <c r="F294" i="36" s="1"/>
  <c r="K294" i="36" s="1"/>
  <c r="B4" i="23"/>
  <c r="I326" i="36"/>
  <c r="H326" i="36"/>
  <c r="H339" i="36"/>
  <c r="K286" i="36"/>
  <c r="G362" i="36"/>
  <c r="G340" i="36"/>
  <c r="G318" i="36"/>
  <c r="G274" i="36"/>
  <c r="G296" i="36"/>
  <c r="X247" i="36"/>
  <c r="X248" i="36" s="1"/>
  <c r="L260" i="36"/>
  <c r="I260" i="36"/>
  <c r="H260" i="36"/>
  <c r="J260" i="36"/>
  <c r="K260" i="36"/>
  <c r="I316" i="36"/>
  <c r="J316" i="36"/>
  <c r="H316" i="36"/>
  <c r="H317" i="36" s="1"/>
  <c r="J266" i="36"/>
  <c r="K266" i="36"/>
  <c r="L266" i="36"/>
  <c r="I266" i="36"/>
  <c r="H266" i="36"/>
  <c r="K262" i="36"/>
  <c r="L262" i="36"/>
  <c r="I262" i="36"/>
  <c r="H262" i="36"/>
  <c r="J262" i="36"/>
  <c r="J264" i="36"/>
  <c r="K264" i="36"/>
  <c r="L264" i="36"/>
  <c r="I264" i="36"/>
  <c r="H264" i="36"/>
  <c r="K270" i="36"/>
  <c r="L270" i="36"/>
  <c r="I270" i="36"/>
  <c r="H270" i="36"/>
  <c r="J270" i="36"/>
  <c r="E30" i="22"/>
  <c r="J416" i="36"/>
  <c r="G42" i="37" l="1"/>
  <c r="G41" i="37"/>
  <c r="E62" i="39"/>
  <c r="C54" i="39"/>
  <c r="C62" i="39" s="1"/>
  <c r="B30" i="24"/>
  <c r="F62" i="39"/>
  <c r="D62" i="39"/>
  <c r="H9" i="22"/>
  <c r="H15" i="22"/>
  <c r="B5" i="23"/>
  <c r="C11" i="39" s="1"/>
  <c r="F179" i="38"/>
  <c r="F182" i="38" s="1"/>
  <c r="G182" i="38"/>
  <c r="F9" i="22"/>
  <c r="F15" i="22"/>
  <c r="H182" i="38"/>
  <c r="G15" i="22"/>
  <c r="G9" i="22"/>
  <c r="D182" i="38"/>
  <c r="D9" i="22"/>
  <c r="D15" i="22"/>
  <c r="O13" i="36"/>
  <c r="F6" i="23"/>
  <c r="G12" i="39" s="1"/>
  <c r="H284" i="36"/>
  <c r="H379" i="36" s="1"/>
  <c r="J284" i="36"/>
  <c r="J379" i="36" s="1"/>
  <c r="G377" i="36"/>
  <c r="C37" i="22" s="1"/>
  <c r="K284" i="36"/>
  <c r="C40" i="22"/>
  <c r="H335" i="36"/>
  <c r="J335" i="36" s="1"/>
  <c r="H288" i="36"/>
  <c r="H389" i="36" s="1"/>
  <c r="K288" i="36"/>
  <c r="K389" i="36" s="1"/>
  <c r="J288" i="36"/>
  <c r="H310" i="36"/>
  <c r="G387" i="36"/>
  <c r="C43" i="22" s="1"/>
  <c r="J291" i="36"/>
  <c r="G372" i="36"/>
  <c r="C34" i="22" s="1"/>
  <c r="J328" i="36"/>
  <c r="I310" i="36"/>
  <c r="H324" i="36"/>
  <c r="J324" i="36" s="1"/>
  <c r="H304" i="36"/>
  <c r="H305" i="36" s="1"/>
  <c r="I286" i="36"/>
  <c r="I384" i="36" s="1"/>
  <c r="H329" i="36"/>
  <c r="I329" i="36" s="1"/>
  <c r="L272" i="36"/>
  <c r="K404" i="36" s="1"/>
  <c r="J286" i="36"/>
  <c r="K272" i="36"/>
  <c r="I304" i="36"/>
  <c r="H302" i="36"/>
  <c r="H303" i="36" s="1"/>
  <c r="K292" i="36"/>
  <c r="H286" i="36"/>
  <c r="H287" i="36" s="1"/>
  <c r="I339" i="36"/>
  <c r="I348" i="36"/>
  <c r="H269" i="36"/>
  <c r="I302" i="36"/>
  <c r="I291" i="36"/>
  <c r="H332" i="36"/>
  <c r="H333" i="36" s="1"/>
  <c r="I333" i="36" s="1"/>
  <c r="I272" i="36"/>
  <c r="H282" i="36"/>
  <c r="I314" i="36"/>
  <c r="F334" i="36"/>
  <c r="K282" i="36"/>
  <c r="K374" i="36" s="1"/>
  <c r="H314" i="36"/>
  <c r="J282" i="36"/>
  <c r="J272" i="36"/>
  <c r="H291" i="36"/>
  <c r="J294" i="36"/>
  <c r="F290" i="36"/>
  <c r="Q253" i="36"/>
  <c r="I360" i="36"/>
  <c r="H272" i="36"/>
  <c r="H273" i="36" s="1"/>
  <c r="G403" i="36" s="1"/>
  <c r="C27" i="22" s="1"/>
  <c r="I350" i="36"/>
  <c r="H397" i="36"/>
  <c r="D49" i="22" s="1"/>
  <c r="J292" i="36"/>
  <c r="I330" i="36"/>
  <c r="K384" i="36" s="1"/>
  <c r="I309" i="36"/>
  <c r="J309" i="36" s="1"/>
  <c r="I292" i="36"/>
  <c r="H306" i="36"/>
  <c r="H307" i="36" s="1"/>
  <c r="I307" i="36" s="1"/>
  <c r="I358" i="36"/>
  <c r="W253" i="36"/>
  <c r="K308" i="36"/>
  <c r="H292" i="36"/>
  <c r="H399" i="36" s="1"/>
  <c r="J280" i="36"/>
  <c r="I280" i="36"/>
  <c r="I317" i="36"/>
  <c r="J317" i="36" s="1"/>
  <c r="J306" i="36"/>
  <c r="F356" i="36"/>
  <c r="H280" i="36"/>
  <c r="H281" i="36" s="1"/>
  <c r="H330" i="36"/>
  <c r="H253" i="36"/>
  <c r="D7" i="19" s="1"/>
  <c r="C54" i="22"/>
  <c r="H407" i="36"/>
  <c r="I352" i="36"/>
  <c r="H353" i="36"/>
  <c r="H346" i="36"/>
  <c r="I346" i="36" s="1"/>
  <c r="N253" i="36"/>
  <c r="I294" i="36"/>
  <c r="K253" i="36"/>
  <c r="B26" i="22"/>
  <c r="G402" i="36"/>
  <c r="H336" i="36"/>
  <c r="I336" i="36"/>
  <c r="H294" i="36"/>
  <c r="H295" i="36" s="1"/>
  <c r="I313" i="36"/>
  <c r="J313" i="36"/>
  <c r="K394" i="36" s="1"/>
  <c r="H313" i="36"/>
  <c r="F268" i="36"/>
  <c r="F367" i="36"/>
  <c r="J258" i="36"/>
  <c r="J268" i="36" s="1"/>
  <c r="K258" i="36"/>
  <c r="K268" i="36" s="1"/>
  <c r="H258" i="36"/>
  <c r="H268" i="36" s="1"/>
  <c r="I258" i="36"/>
  <c r="L258" i="36"/>
  <c r="B46" i="22"/>
  <c r="B48" i="22" s="1"/>
  <c r="G392" i="36"/>
  <c r="H362" i="36"/>
  <c r="H363" i="36" s="1"/>
  <c r="T253" i="36"/>
  <c r="F312" i="36"/>
  <c r="I318" i="36"/>
  <c r="J318" i="36"/>
  <c r="H318" i="36"/>
  <c r="H327" i="36"/>
  <c r="I327" i="36" s="1"/>
  <c r="J326" i="36"/>
  <c r="G374" i="36"/>
  <c r="M260" i="36"/>
  <c r="H261" i="36"/>
  <c r="I340" i="36"/>
  <c r="H340" i="36"/>
  <c r="M270" i="36"/>
  <c r="H271" i="36"/>
  <c r="G399" i="36"/>
  <c r="G393" i="36"/>
  <c r="C47" i="22" s="1"/>
  <c r="G389" i="36"/>
  <c r="M266" i="36"/>
  <c r="H267" i="36"/>
  <c r="G388" i="36" s="1"/>
  <c r="C44" i="22" s="1"/>
  <c r="G384" i="36"/>
  <c r="H265" i="36"/>
  <c r="G383" i="36" s="1"/>
  <c r="C41" i="22" s="1"/>
  <c r="M264" i="36"/>
  <c r="I296" i="36"/>
  <c r="J296" i="36"/>
  <c r="K296" i="36"/>
  <c r="H296" i="36"/>
  <c r="G379" i="36"/>
  <c r="M262" i="36"/>
  <c r="H263" i="36"/>
  <c r="K316" i="36"/>
  <c r="L274" i="36"/>
  <c r="I274" i="36"/>
  <c r="H274" i="36"/>
  <c r="J274" i="36"/>
  <c r="K274" i="36"/>
  <c r="K416" i="36"/>
  <c r="G30" i="22" s="1"/>
  <c r="F30" i="22"/>
  <c r="D40" i="22"/>
  <c r="I382" i="36"/>
  <c r="D17" i="33"/>
  <c r="P25" i="37" l="1"/>
  <c r="G45" i="37"/>
  <c r="P24" i="37" s="1"/>
  <c r="P27" i="37"/>
  <c r="Q24" i="37"/>
  <c r="E9" i="22"/>
  <c r="E15" i="22"/>
  <c r="K13" i="36"/>
  <c r="D6" i="23"/>
  <c r="E12" i="39" s="1"/>
  <c r="M13" i="36"/>
  <c r="E6" i="23"/>
  <c r="F12" i="39" s="1"/>
  <c r="G13" i="36"/>
  <c r="G14" i="36" s="1"/>
  <c r="C4" i="20" s="1"/>
  <c r="B6" i="23"/>
  <c r="C12" i="39" s="1"/>
  <c r="I13" i="36"/>
  <c r="C6" i="23"/>
  <c r="D12" i="39" s="1"/>
  <c r="H285" i="36"/>
  <c r="I285" i="36" s="1"/>
  <c r="J285" i="36" s="1"/>
  <c r="K285" i="36" s="1"/>
  <c r="L284" i="36"/>
  <c r="H377" i="36"/>
  <c r="I377" i="36" s="1"/>
  <c r="J377" i="36" s="1"/>
  <c r="H325" i="36"/>
  <c r="I325" i="36" s="1"/>
  <c r="K379" i="36"/>
  <c r="L288" i="36"/>
  <c r="J394" i="36"/>
  <c r="K310" i="36"/>
  <c r="H289" i="36"/>
  <c r="I289" i="36" s="1"/>
  <c r="J289" i="36" s="1"/>
  <c r="K289" i="36" s="1"/>
  <c r="I389" i="36"/>
  <c r="H387" i="36"/>
  <c r="I387" i="36" s="1"/>
  <c r="J387" i="36" s="1"/>
  <c r="H311" i="36"/>
  <c r="I311" i="36" s="1"/>
  <c r="J311" i="36" s="1"/>
  <c r="H372" i="36"/>
  <c r="I372" i="36" s="1"/>
  <c r="J290" i="36"/>
  <c r="I374" i="36"/>
  <c r="K304" i="36"/>
  <c r="I287" i="36"/>
  <c r="J287" i="36" s="1"/>
  <c r="K287" i="36" s="1"/>
  <c r="K290" i="36"/>
  <c r="I290" i="36"/>
  <c r="I379" i="36"/>
  <c r="I305" i="36"/>
  <c r="J305" i="36" s="1"/>
  <c r="I295" i="36"/>
  <c r="J295" i="36" s="1"/>
  <c r="K295" i="36" s="1"/>
  <c r="I312" i="36"/>
  <c r="J374" i="36"/>
  <c r="H404" i="36"/>
  <c r="I397" i="36"/>
  <c r="E49" i="22" s="1"/>
  <c r="K369" i="36"/>
  <c r="K399" i="36"/>
  <c r="I303" i="36"/>
  <c r="J303" i="36" s="1"/>
  <c r="J384" i="36"/>
  <c r="J399" i="36"/>
  <c r="J389" i="36"/>
  <c r="K302" i="36"/>
  <c r="M269" i="36"/>
  <c r="G394" i="36"/>
  <c r="J332" i="36"/>
  <c r="L286" i="36"/>
  <c r="I404" i="36"/>
  <c r="J404" i="36"/>
  <c r="K314" i="36"/>
  <c r="H290" i="36"/>
  <c r="H334" i="36"/>
  <c r="H384" i="36"/>
  <c r="I394" i="36"/>
  <c r="L291" i="36"/>
  <c r="J312" i="36"/>
  <c r="J307" i="36"/>
  <c r="K306" i="36"/>
  <c r="J330" i="36"/>
  <c r="H293" i="36"/>
  <c r="I293" i="36" s="1"/>
  <c r="J293" i="36" s="1"/>
  <c r="K293" i="36" s="1"/>
  <c r="H374" i="36"/>
  <c r="K393" i="36"/>
  <c r="G47" i="22" s="1"/>
  <c r="H312" i="36"/>
  <c r="H394" i="36"/>
  <c r="M272" i="36"/>
  <c r="L292" i="36"/>
  <c r="H283" i="36"/>
  <c r="I283" i="36" s="1"/>
  <c r="J283" i="36" s="1"/>
  <c r="K283" i="36" s="1"/>
  <c r="H393" i="36"/>
  <c r="D47" i="22" s="1"/>
  <c r="I356" i="36"/>
  <c r="I334" i="36"/>
  <c r="J369" i="36"/>
  <c r="I393" i="36"/>
  <c r="E47" i="22" s="1"/>
  <c r="H315" i="36"/>
  <c r="I315" i="36" s="1"/>
  <c r="J315" i="36" s="1"/>
  <c r="L282" i="36"/>
  <c r="I399" i="36"/>
  <c r="G404" i="36"/>
  <c r="H331" i="36"/>
  <c r="I331" i="36" s="1"/>
  <c r="I409" i="36"/>
  <c r="E55" i="22" s="1"/>
  <c r="L280" i="36"/>
  <c r="L268" i="36"/>
  <c r="I281" i="36"/>
  <c r="J281" i="36" s="1"/>
  <c r="K281" i="36" s="1"/>
  <c r="I265" i="36"/>
  <c r="H383" i="36" s="1"/>
  <c r="D41" i="22" s="1"/>
  <c r="I273" i="36"/>
  <c r="J273" i="36" s="1"/>
  <c r="H337" i="36"/>
  <c r="I337" i="36" s="1"/>
  <c r="J336" i="36"/>
  <c r="L294" i="36"/>
  <c r="I369" i="36"/>
  <c r="J393" i="36"/>
  <c r="F47" i="22" s="1"/>
  <c r="I268" i="36"/>
  <c r="C46" i="22"/>
  <c r="H392" i="36"/>
  <c r="M258" i="36"/>
  <c r="M268" i="36" s="1"/>
  <c r="G367" i="36"/>
  <c r="B31" i="22"/>
  <c r="H402" i="36"/>
  <c r="C26" i="22"/>
  <c r="H356" i="36"/>
  <c r="H347" i="36"/>
  <c r="I362" i="36"/>
  <c r="G369" i="36"/>
  <c r="G412" i="36" s="1"/>
  <c r="H259" i="36"/>
  <c r="G368" i="36" s="1"/>
  <c r="C32" i="22" s="1"/>
  <c r="D54" i="22"/>
  <c r="I407" i="36"/>
  <c r="K409" i="36"/>
  <c r="G55" i="22" s="1"/>
  <c r="H369" i="36"/>
  <c r="K313" i="36"/>
  <c r="M274" i="36"/>
  <c r="H275" i="36"/>
  <c r="G408" i="36" s="1"/>
  <c r="G409" i="36"/>
  <c r="C55" i="22" s="1"/>
  <c r="H409" i="36"/>
  <c r="D55" i="22" s="1"/>
  <c r="I263" i="36"/>
  <c r="G378" i="36"/>
  <c r="C38" i="22" s="1"/>
  <c r="L296" i="36"/>
  <c r="H297" i="36"/>
  <c r="I297" i="36" s="1"/>
  <c r="J297" i="36" s="1"/>
  <c r="K297" i="36" s="1"/>
  <c r="H341" i="36"/>
  <c r="I341" i="36" s="1"/>
  <c r="J340" i="36"/>
  <c r="J409" i="36"/>
  <c r="F55" i="22" s="1"/>
  <c r="I267" i="36"/>
  <c r="G398" i="36"/>
  <c r="C50" i="22" s="1"/>
  <c r="I271" i="36"/>
  <c r="G373" i="36"/>
  <c r="C35" i="22" s="1"/>
  <c r="I261" i="36"/>
  <c r="H319" i="36"/>
  <c r="I319" i="36" s="1"/>
  <c r="J319" i="36" s="1"/>
  <c r="K318" i="36"/>
  <c r="J382" i="36"/>
  <c r="E40" i="22"/>
  <c r="H42" i="37" l="1"/>
  <c r="H41" i="37"/>
  <c r="B7" i="23"/>
  <c r="C13" i="39" s="1"/>
  <c r="B9" i="24"/>
  <c r="C42" i="39" s="1"/>
  <c r="E37" i="22"/>
  <c r="K412" i="36"/>
  <c r="D37" i="22"/>
  <c r="E43" i="22"/>
  <c r="D34" i="22"/>
  <c r="D43" i="22"/>
  <c r="I412" i="36"/>
  <c r="H403" i="36"/>
  <c r="D27" i="22" s="1"/>
  <c r="J397" i="36"/>
  <c r="F49" i="22" s="1"/>
  <c r="J265" i="36"/>
  <c r="K265" i="36" s="1"/>
  <c r="I413" i="36"/>
  <c r="J334" i="36"/>
  <c r="J412" i="36"/>
  <c r="K312" i="36"/>
  <c r="L290" i="36"/>
  <c r="H412" i="36"/>
  <c r="H413" i="36"/>
  <c r="K413" i="36"/>
  <c r="I392" i="36"/>
  <c r="D46" i="22"/>
  <c r="J407" i="36"/>
  <c r="E54" i="22"/>
  <c r="J372" i="36"/>
  <c r="E34" i="22"/>
  <c r="D26" i="22"/>
  <c r="I402" i="36"/>
  <c r="I275" i="36"/>
  <c r="J275" i="36" s="1"/>
  <c r="J413" i="36"/>
  <c r="G413" i="36"/>
  <c r="H367" i="36"/>
  <c r="C31" i="22"/>
  <c r="I259" i="36"/>
  <c r="H398" i="36"/>
  <c r="D50" i="22" s="1"/>
  <c r="J271" i="36"/>
  <c r="K273" i="36"/>
  <c r="I403" i="36"/>
  <c r="E27" i="22" s="1"/>
  <c r="H378" i="36"/>
  <c r="D38" i="22" s="1"/>
  <c r="J263" i="36"/>
  <c r="H373" i="36"/>
  <c r="D35" i="22" s="1"/>
  <c r="J261" i="36"/>
  <c r="H388" i="36"/>
  <c r="D44" i="22" s="1"/>
  <c r="J267" i="36"/>
  <c r="F37" i="22"/>
  <c r="K377" i="36"/>
  <c r="G37" i="22" s="1"/>
  <c r="F43" i="22"/>
  <c r="K387" i="36"/>
  <c r="G43" i="22" s="1"/>
  <c r="F40" i="22"/>
  <c r="K382" i="36"/>
  <c r="G40" i="22" s="1"/>
  <c r="G11" i="33"/>
  <c r="G10" i="33"/>
  <c r="G9" i="33"/>
  <c r="G8" i="33"/>
  <c r="H20" i="33" s="1"/>
  <c r="F7" i="33"/>
  <c r="H45" i="37" l="1"/>
  <c r="Q25" i="37"/>
  <c r="Q27" i="37"/>
  <c r="D7" i="23"/>
  <c r="E13" i="39" s="1"/>
  <c r="D9" i="24"/>
  <c r="E42" i="39" s="1"/>
  <c r="F8" i="23"/>
  <c r="G14" i="39" s="1"/>
  <c r="F10" i="24"/>
  <c r="G43" i="39" s="1"/>
  <c r="F7" i="23"/>
  <c r="G13" i="39" s="1"/>
  <c r="F9" i="24"/>
  <c r="G42" i="39" s="1"/>
  <c r="B8" i="23"/>
  <c r="B10" i="24"/>
  <c r="C43" i="39" s="1"/>
  <c r="C8" i="23"/>
  <c r="D14" i="39" s="1"/>
  <c r="C10" i="24"/>
  <c r="D43" i="39" s="1"/>
  <c r="E7" i="23"/>
  <c r="F13" i="39" s="1"/>
  <c r="E9" i="24"/>
  <c r="F42" i="39" s="1"/>
  <c r="E8" i="23"/>
  <c r="F14" i="39" s="1"/>
  <c r="E10" i="24"/>
  <c r="F43" i="39" s="1"/>
  <c r="C7" i="23"/>
  <c r="D13" i="39" s="1"/>
  <c r="C9" i="24"/>
  <c r="D42" i="39" s="1"/>
  <c r="D8" i="23"/>
  <c r="E14" i="39" s="1"/>
  <c r="D10" i="24"/>
  <c r="E43" i="39" s="1"/>
  <c r="L20" i="33"/>
  <c r="I20" i="33"/>
  <c r="K397" i="36"/>
  <c r="G49" i="22" s="1"/>
  <c r="I383" i="36"/>
  <c r="E41" i="22" s="1"/>
  <c r="H408" i="36"/>
  <c r="J402" i="36"/>
  <c r="E26" i="22"/>
  <c r="F54" i="22"/>
  <c r="K407" i="36"/>
  <c r="G54" i="22" s="1"/>
  <c r="H368" i="36"/>
  <c r="D32" i="22" s="1"/>
  <c r="J259" i="36"/>
  <c r="I367" i="36"/>
  <c r="D31" i="22"/>
  <c r="F34" i="22"/>
  <c r="K372" i="36"/>
  <c r="G34" i="22" s="1"/>
  <c r="E46" i="22"/>
  <c r="J392" i="36"/>
  <c r="K275" i="36"/>
  <c r="I408" i="36"/>
  <c r="J403" i="36"/>
  <c r="F27" i="22" s="1"/>
  <c r="L273" i="36"/>
  <c r="K403" i="36" s="1"/>
  <c r="G27" i="22" s="1"/>
  <c r="L265" i="36"/>
  <c r="K383" i="36" s="1"/>
  <c r="G41" i="22" s="1"/>
  <c r="J383" i="36"/>
  <c r="F41" i="22" s="1"/>
  <c r="K267" i="36"/>
  <c r="I388" i="36"/>
  <c r="E44" i="22" s="1"/>
  <c r="I378" i="36"/>
  <c r="E38" i="22" s="1"/>
  <c r="K263" i="36"/>
  <c r="K271" i="36"/>
  <c r="I398" i="36"/>
  <c r="E50" i="22" s="1"/>
  <c r="I373" i="36"/>
  <c r="E35" i="22" s="1"/>
  <c r="K261" i="36"/>
  <c r="F24" i="33"/>
  <c r="F25" i="33" s="1"/>
  <c r="C7" i="33"/>
  <c r="C14" i="39" l="1"/>
  <c r="C15" i="39" s="1"/>
  <c r="B9" i="23"/>
  <c r="M20" i="33"/>
  <c r="P20" i="33"/>
  <c r="F46" i="22"/>
  <c r="K392" i="36"/>
  <c r="G46" i="22" s="1"/>
  <c r="I368" i="36"/>
  <c r="E32" i="22" s="1"/>
  <c r="K259" i="36"/>
  <c r="E31" i="22"/>
  <c r="J367" i="36"/>
  <c r="F26" i="22"/>
  <c r="K402" i="36"/>
  <c r="G26" i="22" s="1"/>
  <c r="L275" i="36"/>
  <c r="K408" i="36" s="1"/>
  <c r="J408" i="36"/>
  <c r="L271" i="36"/>
  <c r="K398" i="36" s="1"/>
  <c r="G50" i="22" s="1"/>
  <c r="J398" i="36"/>
  <c r="F50" i="22" s="1"/>
  <c r="L267" i="36"/>
  <c r="K388" i="36" s="1"/>
  <c r="G44" i="22" s="1"/>
  <c r="J388" i="36"/>
  <c r="F44" i="22" s="1"/>
  <c r="J373" i="36"/>
  <c r="F35" i="22" s="1"/>
  <c r="L261" i="36"/>
  <c r="K373" i="36" s="1"/>
  <c r="G35" i="22" s="1"/>
  <c r="L263" i="36"/>
  <c r="K378" i="36" s="1"/>
  <c r="G38" i="22" s="1"/>
  <c r="J378" i="36"/>
  <c r="F38" i="22" s="1"/>
  <c r="C2" i="33"/>
  <c r="Q20" i="33" l="1"/>
  <c r="T20" i="33"/>
  <c r="U20" i="33" s="1"/>
  <c r="K367" i="36"/>
  <c r="G31" i="22" s="1"/>
  <c r="F31" i="22"/>
  <c r="J368" i="36"/>
  <c r="F32" i="22" s="1"/>
  <c r="L259" i="36"/>
  <c r="K368" i="36" s="1"/>
  <c r="G32" i="22" s="1"/>
  <c r="I12" i="36"/>
  <c r="K24" i="36"/>
  <c r="I23" i="33"/>
  <c r="I24" i="33" s="1"/>
  <c r="I25" i="33" s="1"/>
  <c r="C25" i="2"/>
  <c r="C20" i="2"/>
  <c r="K12" i="36" l="1"/>
  <c r="N24" i="36"/>
  <c r="I14" i="36"/>
  <c r="D4" i="20" s="1"/>
  <c r="C4" i="23"/>
  <c r="M23" i="33"/>
  <c r="M12" i="36" l="1"/>
  <c r="Q24" i="36"/>
  <c r="K14" i="36"/>
  <c r="E4" i="20" s="1"/>
  <c r="D4" i="23"/>
  <c r="M24" i="33"/>
  <c r="M25" i="33" s="1"/>
  <c r="Q23" i="33"/>
  <c r="F46" i="25"/>
  <c r="C46" i="25"/>
  <c r="H9" i="25"/>
  <c r="E46" i="25" s="1"/>
  <c r="D37" i="24"/>
  <c r="E37" i="24"/>
  <c r="F37" i="24"/>
  <c r="E36" i="24"/>
  <c r="F36" i="24"/>
  <c r="U23" i="33" l="1"/>
  <c r="U24" i="33" s="1"/>
  <c r="U25" i="33" s="1"/>
  <c r="T24" i="36"/>
  <c r="M14" i="36"/>
  <c r="F4" i="20" s="1"/>
  <c r="E4" i="23"/>
  <c r="Q24" i="33"/>
  <c r="Q25" i="33" s="1"/>
  <c r="D29" i="25"/>
  <c r="D26" i="25"/>
  <c r="D30" i="24"/>
  <c r="C30" i="24"/>
  <c r="F30" i="24"/>
  <c r="O12" i="36" l="1"/>
  <c r="O14" i="36" s="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G64" i="18" l="1"/>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37" i="25"/>
  <c r="G9" i="20"/>
  <c r="C28" i="22"/>
  <c r="C11" i="20"/>
  <c r="B33" i="22"/>
  <c r="B52" i="22" s="1"/>
  <c r="C42" i="22"/>
  <c r="C36" i="22"/>
  <c r="D42" i="22"/>
  <c r="C45" i="22"/>
  <c r="C39" i="22"/>
  <c r="D28" i="22"/>
  <c r="G118" i="18"/>
  <c r="G119" i="18" s="1"/>
  <c r="O108" i="18"/>
  <c r="P60" i="18"/>
  <c r="P70" i="18" s="1"/>
  <c r="O70" i="18"/>
  <c r="O71" i="18" s="1"/>
  <c r="C6" i="20" s="1"/>
  <c r="D12" i="20" l="1"/>
  <c r="E5" i="20"/>
  <c r="C11" i="23"/>
  <c r="D17" i="39" s="1"/>
  <c r="G11" i="20"/>
  <c r="E11" i="20"/>
  <c r="D6" i="20"/>
  <c r="B10" i="23"/>
  <c r="C51" i="22"/>
  <c r="C12" i="20"/>
  <c r="E42" i="22"/>
  <c r="C33" i="22"/>
  <c r="C48" i="22"/>
  <c r="D39" i="22"/>
  <c r="C56" i="22"/>
  <c r="D45" i="22"/>
  <c r="E45" i="22"/>
  <c r="E28" i="22"/>
  <c r="P108" i="18"/>
  <c r="P118" i="18" s="1"/>
  <c r="O118" i="18"/>
  <c r="O119" i="18" s="1"/>
  <c r="C7" i="20" s="1"/>
  <c r="F5" i="20" l="1"/>
  <c r="D11" i="23"/>
  <c r="E17" i="39" s="1"/>
  <c r="B12" i="23"/>
  <c r="D7" i="20"/>
  <c r="F11" i="20"/>
  <c r="D11" i="20"/>
  <c r="C52" i="22"/>
  <c r="E6" i="20"/>
  <c r="C10" i="23"/>
  <c r="D16" i="39" s="1"/>
  <c r="D36" i="22"/>
  <c r="D51" i="22"/>
  <c r="D33" i="22"/>
  <c r="G12" i="20"/>
  <c r="F12" i="20"/>
  <c r="F42" i="22"/>
  <c r="G42" i="22"/>
  <c r="D48" i="22"/>
  <c r="E12" i="20"/>
  <c r="E36" i="22"/>
  <c r="D56" i="22"/>
  <c r="G45" i="22"/>
  <c r="F45" i="22"/>
  <c r="E39" i="22"/>
  <c r="F28" i="22"/>
  <c r="G28" i="22"/>
  <c r="G5" i="20" l="1"/>
  <c r="F11" i="23" s="1"/>
  <c r="G17" i="39" s="1"/>
  <c r="E11" i="23"/>
  <c r="F17" i="39" s="1"/>
  <c r="E7" i="20"/>
  <c r="C12" i="23"/>
  <c r="D18" i="39" s="1"/>
  <c r="D52" i="22"/>
  <c r="F6" i="20"/>
  <c r="D10" i="23"/>
  <c r="E16" i="39" s="1"/>
  <c r="E51" i="22"/>
  <c r="E33" i="22"/>
  <c r="E48" i="22"/>
  <c r="G36" i="22"/>
  <c r="F36" i="22"/>
  <c r="E56" i="22"/>
  <c r="G39" i="22"/>
  <c r="F39" i="22"/>
  <c r="F7" i="20" l="1"/>
  <c r="D12" i="23"/>
  <c r="E18" i="39" s="1"/>
  <c r="G6" i="20"/>
  <c r="F10" i="23" s="1"/>
  <c r="G16" i="39" s="1"/>
  <c r="E10" i="23"/>
  <c r="F16" i="39" s="1"/>
  <c r="E52" i="22"/>
  <c r="G48" i="22"/>
  <c r="F48" i="22"/>
  <c r="G33" i="22"/>
  <c r="F33" i="22"/>
  <c r="G51" i="22"/>
  <c r="F51" i="22"/>
  <c r="G56" i="22"/>
  <c r="F56" i="22"/>
  <c r="G52" i="22" l="1"/>
  <c r="E12" i="23"/>
  <c r="F18" i="39" s="1"/>
  <c r="G7" i="20"/>
  <c r="F12" i="23" s="1"/>
  <c r="G18" i="39" s="1"/>
  <c r="F52" i="22"/>
  <c r="E7" i="2" l="1"/>
  <c r="C29" i="19" l="1"/>
  <c r="C6" i="24"/>
  <c r="D40" i="39" s="1"/>
  <c r="C3" i="23"/>
  <c r="D9" i="39" s="1"/>
  <c r="E16" i="25"/>
  <c r="E74" i="39" s="1"/>
  <c r="H279" i="36"/>
  <c r="D3" i="20"/>
  <c r="L39" i="36"/>
  <c r="H7" i="36"/>
  <c r="E7" i="22"/>
  <c r="D20" i="22" s="1"/>
  <c r="I257" i="36"/>
  <c r="H366" i="36"/>
  <c r="H371" i="36" s="1"/>
  <c r="H376" i="36" s="1"/>
  <c r="H381" i="36" s="1"/>
  <c r="H386" i="36" s="1"/>
  <c r="H391" i="36" s="1"/>
  <c r="H396" i="36" s="1"/>
  <c r="H401" i="36" s="1"/>
  <c r="H406" i="36" s="1"/>
  <c r="F301" i="36"/>
  <c r="I21" i="36"/>
  <c r="H35" i="36"/>
  <c r="G17" i="33"/>
  <c r="F8" i="33"/>
  <c r="C8" i="33"/>
  <c r="I146" i="18"/>
  <c r="F7" i="2"/>
  <c r="D23" i="25"/>
  <c r="C30" i="19" l="1"/>
  <c r="F16" i="25"/>
  <c r="F74" i="39" s="1"/>
  <c r="D3" i="23"/>
  <c r="E9" i="39" s="1"/>
  <c r="D6" i="24"/>
  <c r="E40" i="39" s="1"/>
  <c r="E3" i="20"/>
  <c r="O39" i="36"/>
  <c r="J7" i="36"/>
  <c r="F7" i="22"/>
  <c r="E20" i="22" s="1"/>
  <c r="J257" i="36"/>
  <c r="I35" i="36"/>
  <c r="I366" i="36"/>
  <c r="I371" i="36" s="1"/>
  <c r="I376" i="36" s="1"/>
  <c r="I381" i="36" s="1"/>
  <c r="I386" i="36" s="1"/>
  <c r="I391" i="36" s="1"/>
  <c r="I396" i="36" s="1"/>
  <c r="I401" i="36" s="1"/>
  <c r="I406" i="36" s="1"/>
  <c r="F323" i="36"/>
  <c r="H301" i="36"/>
  <c r="I279" i="36"/>
  <c r="L21" i="36"/>
  <c r="K17" i="33"/>
  <c r="F9" i="33"/>
  <c r="C9" i="33"/>
  <c r="H415" i="36"/>
  <c r="H411" i="36"/>
  <c r="J146" i="18"/>
  <c r="G7" i="2"/>
  <c r="C31" i="19" l="1"/>
  <c r="G16" i="25"/>
  <c r="G74" i="39" s="1"/>
  <c r="E3" i="23"/>
  <c r="F9" i="39" s="1"/>
  <c r="E6" i="24"/>
  <c r="F40" i="39" s="1"/>
  <c r="I411" i="36"/>
  <c r="I415" i="36"/>
  <c r="H7" i="2"/>
  <c r="G7" i="22"/>
  <c r="F20" i="22" s="1"/>
  <c r="K257" i="36"/>
  <c r="J35" i="36"/>
  <c r="L7" i="36"/>
  <c r="J366" i="36"/>
  <c r="J371" i="36" s="1"/>
  <c r="J376" i="36" s="1"/>
  <c r="J381" i="36" s="1"/>
  <c r="J386" i="36" s="1"/>
  <c r="J391" i="36" s="1"/>
  <c r="J396" i="36" s="1"/>
  <c r="J401" i="36" s="1"/>
  <c r="J406" i="36" s="1"/>
  <c r="H323" i="36"/>
  <c r="I301" i="36"/>
  <c r="O21" i="36"/>
  <c r="J279" i="36"/>
  <c r="F3" i="20"/>
  <c r="R39" i="36"/>
  <c r="O17" i="33"/>
  <c r="F10" i="33"/>
  <c r="C10" i="33"/>
  <c r="K146" i="18"/>
  <c r="L146" i="18" l="1"/>
  <c r="C32" i="19"/>
  <c r="F6" i="24"/>
  <c r="G40" i="39" s="1"/>
  <c r="H16" i="25"/>
  <c r="H74" i="39" s="1"/>
  <c r="F3" i="23"/>
  <c r="G9" i="39" s="1"/>
  <c r="K366" i="36"/>
  <c r="K371" i="36" s="1"/>
  <c r="K376" i="36" s="1"/>
  <c r="K381" i="36" s="1"/>
  <c r="K386" i="36" s="1"/>
  <c r="K391" i="36" s="1"/>
  <c r="K396" i="36" s="1"/>
  <c r="K401" i="36" s="1"/>
  <c r="K406" i="36" s="1"/>
  <c r="I323" i="36"/>
  <c r="J301" i="36"/>
  <c r="R21" i="36"/>
  <c r="K279" i="36"/>
  <c r="U39" i="36"/>
  <c r="G3" i="20"/>
  <c r="H7" i="22"/>
  <c r="G20" i="22" s="1"/>
  <c r="L257" i="36"/>
  <c r="K35" i="36"/>
  <c r="N7" i="36"/>
  <c r="S17" i="33"/>
  <c r="F11" i="33"/>
  <c r="C11" i="33"/>
  <c r="J415" i="36"/>
  <c r="J411" i="36"/>
  <c r="C32" i="25"/>
  <c r="B34" i="24"/>
  <c r="C65" i="39" s="1"/>
  <c r="K415" i="36" l="1"/>
  <c r="K411" i="36"/>
  <c r="D32" i="25"/>
  <c r="C34" i="24"/>
  <c r="D65" i="39" s="1"/>
  <c r="C16" i="24"/>
  <c r="D48" i="39" s="1"/>
  <c r="D34" i="24" l="1"/>
  <c r="E65" i="39" s="1"/>
  <c r="E32" i="25"/>
  <c r="D16" i="24"/>
  <c r="E48" i="39" s="1"/>
  <c r="C30" i="2"/>
  <c r="F12" i="22" l="1"/>
  <c r="E24" i="22" s="1"/>
  <c r="D5" i="23"/>
  <c r="E11" i="39" s="1"/>
  <c r="E15" i="39" s="1"/>
  <c r="D14" i="23"/>
  <c r="D13" i="23"/>
  <c r="E19" i="39" s="1"/>
  <c r="E16" i="24"/>
  <c r="F48" i="39" s="1"/>
  <c r="F32" i="25"/>
  <c r="E34" i="24"/>
  <c r="F65" i="39" s="1"/>
  <c r="C31" i="2"/>
  <c r="D11" i="24" l="1"/>
  <c r="E20" i="39"/>
  <c r="E44" i="39" s="1"/>
  <c r="G12" i="22"/>
  <c r="F24" i="22" s="1"/>
  <c r="E5" i="23"/>
  <c r="F11" i="39" s="1"/>
  <c r="F15" i="39" s="1"/>
  <c r="E13" i="23"/>
  <c r="F19" i="39" s="1"/>
  <c r="E14" i="23"/>
  <c r="C14" i="23"/>
  <c r="E12" i="22"/>
  <c r="C5" i="23"/>
  <c r="D11" i="39" s="1"/>
  <c r="D15" i="39" s="1"/>
  <c r="C13" i="23"/>
  <c r="D19" i="39" s="1"/>
  <c r="F16" i="24"/>
  <c r="G48" i="39" s="1"/>
  <c r="G32" i="25"/>
  <c r="F34" i="24"/>
  <c r="G65" i="39" s="1"/>
  <c r="D12" i="22"/>
  <c r="B13" i="23"/>
  <c r="C19" i="39" s="1"/>
  <c r="B14" i="23"/>
  <c r="C11" i="24" l="1"/>
  <c r="D20" i="39"/>
  <c r="D44" i="39" s="1"/>
  <c r="E11" i="24"/>
  <c r="F20" i="39"/>
  <c r="F44" i="39" s="1"/>
  <c r="B11" i="24"/>
  <c r="C20" i="39"/>
  <c r="B16" i="23"/>
  <c r="E22" i="39"/>
  <c r="G13" i="22"/>
  <c r="E18" i="24" s="1"/>
  <c r="F50" i="39" s="1"/>
  <c r="G23" i="22"/>
  <c r="F13" i="22"/>
  <c r="D18" i="24" s="1"/>
  <c r="E50" i="39" s="1"/>
  <c r="D24" i="22"/>
  <c r="C24" i="22"/>
  <c r="D13" i="22"/>
  <c r="B18" i="24" s="1"/>
  <c r="E13" i="22"/>
  <c r="C18" i="24" s="1"/>
  <c r="D50" i="39" s="1"/>
  <c r="F22" i="39" l="1"/>
  <c r="D22" i="39"/>
  <c r="C44" i="39"/>
  <c r="C22" i="39"/>
  <c r="E41" i="39"/>
  <c r="C50" i="39"/>
  <c r="F16" i="22"/>
  <c r="D19" i="24" s="1"/>
  <c r="E51" i="39" s="1"/>
  <c r="H12" i="22"/>
  <c r="F5" i="23"/>
  <c r="G11" i="39" s="1"/>
  <c r="G15" i="39" s="1"/>
  <c r="F13" i="23"/>
  <c r="G19" i="39" s="1"/>
  <c r="F14" i="23"/>
  <c r="E19" i="19"/>
  <c r="E21" i="19" s="1"/>
  <c r="C47" i="25" s="1"/>
  <c r="D16" i="22"/>
  <c r="B19" i="24" s="1"/>
  <c r="C51" i="39" s="1"/>
  <c r="C9" i="22"/>
  <c r="B23" i="22" s="1"/>
  <c r="D9" i="23"/>
  <c r="D16" i="23" s="1"/>
  <c r="E35" i="25" s="1"/>
  <c r="C9" i="23"/>
  <c r="C16" i="23" s="1"/>
  <c r="D35" i="25" s="1"/>
  <c r="G61" i="22"/>
  <c r="G63" i="22" s="1"/>
  <c r="G33" i="25" s="1"/>
  <c r="F61" i="22"/>
  <c r="H10" i="22"/>
  <c r="F17" i="24" s="1"/>
  <c r="G49" i="39" s="1"/>
  <c r="F23" i="22"/>
  <c r="E61" i="22"/>
  <c r="C23" i="22"/>
  <c r="E10" i="22"/>
  <c r="C17" i="24" s="1"/>
  <c r="D49" i="39" s="1"/>
  <c r="D23" i="22"/>
  <c r="F10" i="22"/>
  <c r="D17" i="24" s="1"/>
  <c r="E49" i="39" s="1"/>
  <c r="E23" i="22"/>
  <c r="G10" i="22"/>
  <c r="E17" i="24" s="1"/>
  <c r="F49" i="39" s="1"/>
  <c r="D61" i="22"/>
  <c r="E52" i="39" l="1"/>
  <c r="E63" i="39" s="1"/>
  <c r="F41" i="39"/>
  <c r="D41" i="39"/>
  <c r="F11" i="24"/>
  <c r="G20" i="39"/>
  <c r="G44" i="39" s="1"/>
  <c r="C41" i="39"/>
  <c r="C46" i="39" s="1"/>
  <c r="C35" i="25"/>
  <c r="G24" i="22"/>
  <c r="H13" i="22"/>
  <c r="F18" i="24" s="1"/>
  <c r="G50" i="39" s="1"/>
  <c r="C61" i="22"/>
  <c r="E16" i="22"/>
  <c r="C19" i="24" s="1"/>
  <c r="D10" i="22"/>
  <c r="B17" i="24" s="1"/>
  <c r="F9" i="23"/>
  <c r="F16" i="23" s="1"/>
  <c r="G35" i="25" s="1"/>
  <c r="E9" i="23"/>
  <c r="E16" i="23" s="1"/>
  <c r="F35" i="25" s="1"/>
  <c r="G16" i="22"/>
  <c r="E19" i="24" s="1"/>
  <c r="H11" i="25"/>
  <c r="H16" i="22"/>
  <c r="F19" i="24" s="1"/>
  <c r="G51" i="39" s="1"/>
  <c r="C8" i="24"/>
  <c r="D20" i="24"/>
  <c r="D31" i="24" s="1"/>
  <c r="G27" i="19"/>
  <c r="B64" i="22"/>
  <c r="D8" i="24"/>
  <c r="G52" i="39" l="1"/>
  <c r="G63" i="39" s="1"/>
  <c r="E20" i="24"/>
  <c r="E31" i="24" s="1"/>
  <c r="F51" i="39"/>
  <c r="F52" i="39" s="1"/>
  <c r="F63" i="39" s="1"/>
  <c r="C20" i="24"/>
  <c r="C31" i="24" s="1"/>
  <c r="D51" i="39"/>
  <c r="D52" i="39" s="1"/>
  <c r="D63" i="39" s="1"/>
  <c r="C17" i="25"/>
  <c r="C45" i="25" s="1"/>
  <c r="C77" i="39"/>
  <c r="C49" i="39"/>
  <c r="C52" i="39" s="1"/>
  <c r="C63" i="39" s="1"/>
  <c r="B20" i="24"/>
  <c r="B31" i="24" s="1"/>
  <c r="G22" i="39"/>
  <c r="F20" i="24"/>
  <c r="F31" i="24" s="1"/>
  <c r="B8" i="24"/>
  <c r="B13" i="24" s="1"/>
  <c r="F8" i="24"/>
  <c r="E8" i="24"/>
  <c r="E29" i="19"/>
  <c r="F28" i="19"/>
  <c r="E30" i="19"/>
  <c r="E28" i="19"/>
  <c r="G28" i="19" s="1"/>
  <c r="E31" i="19"/>
  <c r="E32" i="19"/>
  <c r="G41" i="39" l="1"/>
  <c r="D47" i="25"/>
  <c r="D46" i="25"/>
  <c r="D36" i="24"/>
  <c r="E67" i="39" s="1"/>
  <c r="C37" i="24"/>
  <c r="D68" i="39" s="1"/>
  <c r="F29" i="19"/>
  <c r="C18" i="23" s="1"/>
  <c r="D24" i="39" s="1"/>
  <c r="G29" i="19"/>
  <c r="C64" i="22"/>
  <c r="D28" i="19"/>
  <c r="C10" i="20" s="1"/>
  <c r="C13" i="20" s="1"/>
  <c r="G31" i="37" s="1"/>
  <c r="O26" i="37" s="1"/>
  <c r="B37" i="24"/>
  <c r="C68" i="39" s="1"/>
  <c r="C36" i="24"/>
  <c r="D67" i="39" s="1"/>
  <c r="B18" i="23"/>
  <c r="B36" i="24"/>
  <c r="C67" i="39" s="1"/>
  <c r="B19" i="23"/>
  <c r="C19" i="23" l="1"/>
  <c r="C25" i="39"/>
  <c r="B20" i="23"/>
  <c r="B27" i="23" s="1"/>
  <c r="C24" i="39"/>
  <c r="O28" i="37"/>
  <c r="O29" i="37" s="1"/>
  <c r="P26" i="37"/>
  <c r="B50" i="25"/>
  <c r="C14" i="20"/>
  <c r="D29" i="19"/>
  <c r="D10" i="20" s="1"/>
  <c r="D13" i="20" s="1"/>
  <c r="D14" i="20" s="1"/>
  <c r="F30" i="19"/>
  <c r="D64" i="22"/>
  <c r="G30" i="19"/>
  <c r="C20" i="23"/>
  <c r="C27" i="23" s="1"/>
  <c r="C29" i="23" s="1"/>
  <c r="B28" i="23" l="1"/>
  <c r="B29" i="23"/>
  <c r="B30" i="23"/>
  <c r="C26" i="39"/>
  <c r="C33" i="39" s="1"/>
  <c r="O12" i="39" s="1"/>
  <c r="D19" i="23"/>
  <c r="D25" i="39"/>
  <c r="D26" i="39" s="1"/>
  <c r="D33" i="39" s="1"/>
  <c r="O26" i="39" s="1"/>
  <c r="Q26" i="37"/>
  <c r="Q28" i="37" s="1"/>
  <c r="Q29" i="37" s="1"/>
  <c r="P28" i="37"/>
  <c r="P29" i="37" s="1"/>
  <c r="E64" i="22"/>
  <c r="G31" i="19"/>
  <c r="G32" i="19" s="1"/>
  <c r="F31" i="19"/>
  <c r="C30" i="23"/>
  <c r="C28" i="23"/>
  <c r="D30" i="19"/>
  <c r="E10" i="20" s="1"/>
  <c r="E13" i="20" s="1"/>
  <c r="E14" i="20" s="1"/>
  <c r="D18" i="23"/>
  <c r="B31" i="23" l="1"/>
  <c r="B36" i="23" s="1"/>
  <c r="C69" i="39" s="1"/>
  <c r="C71" i="39" s="1"/>
  <c r="D75" i="39" s="1"/>
  <c r="D34" i="39"/>
  <c r="E45" i="39" s="1"/>
  <c r="E46" i="39" s="1"/>
  <c r="O48" i="39" s="1"/>
  <c r="D35" i="39"/>
  <c r="D36" i="39"/>
  <c r="E19" i="23"/>
  <c r="E25" i="39"/>
  <c r="D20" i="23"/>
  <c r="D27" i="23" s="1"/>
  <c r="D29" i="23" s="1"/>
  <c r="E24" i="39"/>
  <c r="C36" i="39"/>
  <c r="C35" i="39"/>
  <c r="C34" i="39"/>
  <c r="D45" i="39" s="1"/>
  <c r="D46" i="39" s="1"/>
  <c r="O34" i="39" s="1"/>
  <c r="C68" i="22"/>
  <c r="D68" i="22"/>
  <c r="B62" i="22"/>
  <c r="B63" i="22" s="1"/>
  <c r="B65" i="22" s="1"/>
  <c r="B74" i="22" s="1"/>
  <c r="C12" i="24"/>
  <c r="C13" i="24" s="1"/>
  <c r="C62" i="22"/>
  <c r="C63" i="22" s="1"/>
  <c r="D12" i="24"/>
  <c r="D13" i="24" s="1"/>
  <c r="D31" i="19"/>
  <c r="F10" i="20" s="1"/>
  <c r="F13" i="20" s="1"/>
  <c r="F14" i="20" s="1"/>
  <c r="E18" i="23"/>
  <c r="F64" i="22"/>
  <c r="G64" i="22"/>
  <c r="G65" i="22" s="1"/>
  <c r="F32" i="19"/>
  <c r="C37" i="39" l="1"/>
  <c r="O13" i="39" s="1"/>
  <c r="E20" i="23"/>
  <c r="E27" i="23" s="1"/>
  <c r="E29" i="23" s="1"/>
  <c r="F24" i="39"/>
  <c r="F19" i="23"/>
  <c r="G25" i="39" s="1"/>
  <c r="F25" i="39"/>
  <c r="D28" i="23"/>
  <c r="E68" i="22" s="1"/>
  <c r="D30" i="23"/>
  <c r="E26" i="39"/>
  <c r="E33" i="39" s="1"/>
  <c r="O46" i="39" s="1"/>
  <c r="D37" i="39"/>
  <c r="O33" i="39" s="1"/>
  <c r="B22" i="22"/>
  <c r="B25" i="22" s="1"/>
  <c r="B57" i="22" s="1"/>
  <c r="C65" i="22"/>
  <c r="C31" i="23"/>
  <c r="D32" i="19"/>
  <c r="G10" i="20" s="1"/>
  <c r="G13" i="20" s="1"/>
  <c r="G14" i="20" s="1"/>
  <c r="F18" i="23"/>
  <c r="E30" i="23" l="1"/>
  <c r="D62" i="22"/>
  <c r="D63" i="22" s="1"/>
  <c r="D65" i="22" s="1"/>
  <c r="E28" i="23"/>
  <c r="F68" i="22" s="1"/>
  <c r="E12" i="24"/>
  <c r="E13" i="24" s="1"/>
  <c r="D31" i="23"/>
  <c r="E70" i="22" s="1"/>
  <c r="F20" i="23"/>
  <c r="F27" i="23" s="1"/>
  <c r="F29" i="23" s="1"/>
  <c r="G24" i="39"/>
  <c r="G26" i="39" s="1"/>
  <c r="G33" i="39" s="1"/>
  <c r="O72" i="39" s="1"/>
  <c r="E34" i="39"/>
  <c r="F45" i="39" s="1"/>
  <c r="F46" i="39" s="1"/>
  <c r="O61" i="39" s="1"/>
  <c r="E35" i="39"/>
  <c r="E36" i="39"/>
  <c r="F26" i="39"/>
  <c r="F33" i="39" s="1"/>
  <c r="O59" i="39" s="1"/>
  <c r="B43" i="24"/>
  <c r="D76" i="39" s="1"/>
  <c r="D77" i="39" s="1"/>
  <c r="O15" i="39" s="1"/>
  <c r="C38" i="25"/>
  <c r="B76" i="22"/>
  <c r="C34" i="25"/>
  <c r="C70" i="22"/>
  <c r="C72" i="22" s="1"/>
  <c r="C36" i="25"/>
  <c r="E36" i="25"/>
  <c r="C36" i="23"/>
  <c r="D36" i="25"/>
  <c r="C35" i="23"/>
  <c r="D69" i="22" s="1"/>
  <c r="D70" i="22"/>
  <c r="E31" i="23" l="1"/>
  <c r="E36" i="23" s="1"/>
  <c r="F28" i="23"/>
  <c r="F62" i="22" s="1"/>
  <c r="F63" i="22" s="1"/>
  <c r="F65" i="22" s="1"/>
  <c r="F12" i="24"/>
  <c r="F13" i="24" s="1"/>
  <c r="E62" i="22"/>
  <c r="E63" i="22" s="1"/>
  <c r="E65" i="22" s="1"/>
  <c r="D36" i="23"/>
  <c r="E69" i="39" s="1"/>
  <c r="E71" i="39" s="1"/>
  <c r="F75" i="39" s="1"/>
  <c r="F30" i="23"/>
  <c r="F35" i="39"/>
  <c r="F34" i="39"/>
  <c r="G45" i="39" s="1"/>
  <c r="G46" i="39" s="1"/>
  <c r="O74" i="39" s="1"/>
  <c r="F36" i="39"/>
  <c r="E37" i="39"/>
  <c r="O47" i="39" s="1"/>
  <c r="G35" i="39"/>
  <c r="G36" i="39"/>
  <c r="G34" i="39"/>
  <c r="D35" i="23"/>
  <c r="E69" i="22" s="1"/>
  <c r="E72" i="22" s="1"/>
  <c r="D69" i="39"/>
  <c r="D71" i="39" s="1"/>
  <c r="E75" i="39" s="1"/>
  <c r="G68" i="22"/>
  <c r="C38" i="24"/>
  <c r="C40" i="24" s="1"/>
  <c r="C42" i="24" s="1"/>
  <c r="C74" i="22"/>
  <c r="C22" i="22" s="1"/>
  <c r="D37" i="25"/>
  <c r="F36" i="25"/>
  <c r="B38" i="24"/>
  <c r="B40" i="24" s="1"/>
  <c r="B42" i="24" s="1"/>
  <c r="B44" i="24" s="1"/>
  <c r="D72" i="22"/>
  <c r="E35" i="23" l="1"/>
  <c r="F69" i="22" s="1"/>
  <c r="F70" i="22"/>
  <c r="D38" i="24"/>
  <c r="D40" i="24" s="1"/>
  <c r="D42" i="24" s="1"/>
  <c r="G37" i="39"/>
  <c r="O73" i="39" s="1"/>
  <c r="F37" i="39"/>
  <c r="O60" i="39" s="1"/>
  <c r="F35" i="23"/>
  <c r="G69" i="22" s="1"/>
  <c r="F69" i="39"/>
  <c r="F71" i="39" s="1"/>
  <c r="G75" i="39" s="1"/>
  <c r="F31" i="23"/>
  <c r="F36" i="23" s="1"/>
  <c r="D17" i="25"/>
  <c r="C25" i="22"/>
  <c r="C43" i="24"/>
  <c r="G36" i="25"/>
  <c r="D74" i="22"/>
  <c r="D22" i="22" s="1"/>
  <c r="D25" i="22" s="1"/>
  <c r="E37" i="25"/>
  <c r="E74" i="22"/>
  <c r="E22" i="22" s="1"/>
  <c r="E25" i="22" s="1"/>
  <c r="F37" i="25"/>
  <c r="E38" i="24"/>
  <c r="E40" i="24" s="1"/>
  <c r="E42" i="24" s="1"/>
  <c r="F72" i="22" l="1"/>
  <c r="G37" i="25" s="1"/>
  <c r="G70" i="22"/>
  <c r="G72" i="22" s="1"/>
  <c r="G74" i="22" s="1"/>
  <c r="G22" i="22" s="1"/>
  <c r="G25" i="22" s="1"/>
  <c r="G57" i="22" s="1"/>
  <c r="G76" i="22" s="1"/>
  <c r="F38" i="24"/>
  <c r="F40" i="24" s="1"/>
  <c r="F42" i="24" s="1"/>
  <c r="G69" i="39"/>
  <c r="G71" i="39" s="1"/>
  <c r="H75" i="39" s="1"/>
  <c r="C44" i="24"/>
  <c r="E17" i="25" s="1"/>
  <c r="E76" i="39"/>
  <c r="E77" i="39" s="1"/>
  <c r="O35" i="39" s="1"/>
  <c r="C57" i="22"/>
  <c r="C33" i="25"/>
  <c r="D43" i="24"/>
  <c r="E57" i="22"/>
  <c r="E33" i="25"/>
  <c r="E43" i="24"/>
  <c r="D57" i="22"/>
  <c r="D33" i="25"/>
  <c r="F74" i="22" l="1"/>
  <c r="F22" i="22" s="1"/>
  <c r="F43" i="24" s="1"/>
  <c r="H76" i="39" s="1"/>
  <c r="H77" i="39" s="1"/>
  <c r="O75" i="39" s="1"/>
  <c r="D44" i="24"/>
  <c r="F17" i="25" s="1"/>
  <c r="F76" i="39"/>
  <c r="F77" i="39" s="1"/>
  <c r="O49" i="39" s="1"/>
  <c r="E44" i="24"/>
  <c r="G17" i="25" s="1"/>
  <c r="G76" i="39"/>
  <c r="G77" i="39" s="1"/>
  <c r="O62" i="39" s="1"/>
  <c r="F33" i="25"/>
  <c r="C76" i="22"/>
  <c r="D34" i="25"/>
  <c r="D38" i="25"/>
  <c r="D76" i="22"/>
  <c r="E38" i="25"/>
  <c r="E34" i="25"/>
  <c r="E76" i="22"/>
  <c r="F34" i="25"/>
  <c r="F38" i="25"/>
  <c r="F44" i="24" l="1"/>
  <c r="H17" i="25" s="1"/>
  <c r="F25" i="22"/>
  <c r="F57" i="22" s="1"/>
  <c r="G34" i="25" s="1"/>
  <c r="E20" i="25"/>
  <c r="B23" i="25" s="1"/>
  <c r="C39" i="25"/>
  <c r="E19" i="25"/>
  <c r="C79" i="39"/>
  <c r="F76" i="22" l="1"/>
  <c r="G38" i="25"/>
  <c r="O50" i="39"/>
  <c r="O16" i="39"/>
  <c r="O76" i="39"/>
  <c r="O63" i="39"/>
  <c r="O36" i="39"/>
  <c r="B29" i="25"/>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2"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C1DF0528-F0AE-4DEC-9BE6-1BFF789C0D6D}">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204DF2B3-90FC-46F4-8121-BDF20D38435A}">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24B95EDF-EE7E-47E5-AFA2-9B93FB7AA874}">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3E5AEF38-98FC-48F9-969C-A90889E8888E}">
      <text>
        <r>
          <rPr>
            <b/>
            <sz val="9"/>
            <color indexed="81"/>
            <rFont val="Tahoma"/>
            <family val="2"/>
          </rPr>
          <t>Usuario:</t>
        </r>
        <r>
          <rPr>
            <sz val="9"/>
            <color indexed="81"/>
            <rFont val="Tahoma"/>
            <family val="2"/>
          </rPr>
          <t xml:space="preserve">
</t>
        </r>
        <r>
          <rPr>
            <b/>
            <sz val="9"/>
            <color indexed="81"/>
            <rFont val="Tahoma"/>
            <family val="2"/>
          </rPr>
          <t>Este dato se puede modificar una vez se realicen las tablas del análisis de sensibilidad por cada año.</t>
        </r>
        <r>
          <rPr>
            <sz val="9"/>
            <color indexed="81"/>
            <rFont val="Tahoma"/>
            <family val="2"/>
          </rPr>
          <t xml:space="preserve">
Si se modifica es para la comprobación de datos en las tablas respectivas colocando el mismo porcentaje (variación) que tienen las tablas.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<sst xmlns="http://schemas.openxmlformats.org/spreadsheetml/2006/main" count="1914" uniqueCount="1201">
  <si>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</si>
  <si>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</si>
  <si>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</si>
  <si>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</si>
  <si>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</si>
  <si>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</si>
  <si>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</si>
  <si>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</si>
  <si>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</si>
  <si>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</si>
  <si>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</si>
  <si>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</si>
  <si>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</si>
  <si>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</si>
  <si>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</si>
  <si>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</si>
  <si>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</si>
  <si>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</si>
  <si>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</si>
  <si>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</si>
  <si>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</si>
  <si>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</si>
  <si>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</si>
  <si>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</si>
  <si>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</si>
  <si>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</si>
  <si>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</si>
  <si>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</si>
  <si>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</si>
  <si>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</si>
  <si>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</si>
  <si>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</si>
  <si>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</si>
  <si>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</si>
  <si>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</si>
  <si>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</si>
  <si>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</si>
  <si>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</si>
  <si>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</si>
  <si>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</si>
  <si>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</si>
  <si>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</si>
  <si>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</si>
  <si>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</si>
  <si>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</si>
  <si>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</si>
  <si>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</si>
  <si>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</si>
  <si>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</si>
  <si>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</si>
  <si>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</si>
  <si>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</si>
  <si>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</si>
  <si>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</si>
  <si>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</si>
  <si>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</si>
  <si>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</si>
  <si>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</si>
  <si>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</si>
  <si>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</si>
  <si>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</si>
  <si>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</si>
  <si>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</si>
  <si>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</si>
  <si>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</si>
  <si>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</si>
  <si>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</si>
  <si>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</si>
  <si>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</si>
  <si>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</si>
  <si>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</si>
  <si>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</si>
  <si>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</si>
  <si>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</si>
  <si>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</si>
  <si>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</si>
  <si>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</si>
  <si>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</si>
  <si>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</si>
  <si>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</si>
  <si>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</si>
  <si>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</si>
  <si>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</si>
  <si>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</si>
  <si>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</si>
  <si>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</si>
  <si>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</si>
  <si>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</si>
  <si>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</si>
  <si>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</si>
  <si>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</si>
  <si>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</si>
  <si>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</si>
  <si>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</si>
  <si>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</si>
  <si>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</si>
  <si>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</si>
  <si>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</si>
  <si>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</si>
  <si>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</si>
  <si>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</si>
  <si>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</si>
  <si>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</si>
  <si>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</si>
  <si>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</si>
  <si>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</si>
  <si>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</si>
  <si>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</si>
  <si>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</si>
  <si>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</si>
  <si>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</si>
  <si>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</si>
  <si>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</si>
  <si>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</si>
  <si>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</si>
  <si>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</si>
  <si>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</si>
  <si>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</si>
  <si>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</si>
  <si>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</si>
  <si>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</si>
  <si>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</si>
  <si>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</si>
  <si>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</si>
  <si>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</si>
  <si>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</si>
  <si>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</si>
  <si>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</si>
  <si>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</si>
  <si>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</si>
  <si>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</si>
  <si>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</si>
  <si>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</si>
  <si>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</si>
  <si>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</si>
  <si>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</si>
  <si>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</si>
  <si>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</si>
  <si>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</si>
  <si>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</si>
  <si>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</si>
  <si>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</si>
  <si>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</si>
  <si>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</si>
  <si>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</si>
  <si>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</si>
  <si>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</si>
  <si>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</si>
  <si>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</si>
  <si>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</si>
  <si>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</si>
  <si>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</si>
  <si>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</si>
  <si>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</si>
  <si>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</si>
  <si>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</si>
  <si>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</si>
  <si>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</si>
  <si>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</si>
  <si>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</si>
  <si>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</si>
  <si>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</si>
  <si>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</si>
  <si>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</si>
  <si>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</si>
  <si>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</si>
  <si>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</si>
  <si>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</si>
  <si>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</si>
  <si>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</si>
  <si>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</si>
  <si>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</si>
  <si>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</si>
  <si>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</si>
  <si>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</si>
  <si>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</si>
  <si>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</si>
  <si>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</si>
  <si>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</si>
  <si>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</si>
  <si>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</si>
  <si>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</si>
  <si>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</si>
  <si>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</si>
  <si>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</si>
  <si>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</si>
  <si>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</si>
  <si>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</si>
  <si>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</si>
  <si>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</si>
  <si>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</si>
  <si>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</si>
  <si>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</si>
  <si>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</si>
  <si>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</si>
  <si>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</si>
  <si>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</si>
  <si>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</si>
  <si>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</si>
  <si>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</si>
  <si>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</si>
  <si>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</si>
  <si>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</si>
  <si>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</si>
  <si>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</si>
  <si>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</si>
  <si>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</si>
  <si>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</si>
  <si>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</si>
  <si>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</si>
  <si>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</si>
  <si>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</si>
  <si>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</si>
  <si>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</si>
  <si>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</si>
  <si>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</si>
  <si>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</si>
  <si>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</si>
  <si>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</si>
  <si>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</si>
  <si>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</si>
  <si>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</si>
  <si>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</si>
  <si>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</si>
  <si>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</si>
  <si>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</si>
  <si>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</si>
  <si>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</si>
  <si>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</si>
  <si>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</si>
  <si>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</si>
  <si>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</si>
  <si>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</si>
  <si>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</si>
  <si>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</si>
  <si>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</si>
  <si>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</si>
  <si>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</si>
  <si>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</si>
  <si>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</si>
  <si>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</si>
  <si>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</si>
  <si>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</si>
  <si>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</si>
  <si>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</si>
  <si>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</si>
  <si>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</si>
  <si>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</si>
  <si>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</si>
  <si>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</si>
  <si>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</si>
  <si>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</si>
  <si>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</si>
  <si>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</si>
  <si>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</si>
  <si>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</si>
  <si>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</si>
  <si>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</si>
  <si>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</si>
  <si>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</si>
  <si>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</si>
  <si>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</si>
  <si>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</si>
  <si>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</si>
  <si>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</si>
  <si>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</si>
  <si>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</si>
  <si>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</si>
  <si>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</si>
  <si>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</si>
  <si>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</si>
  <si>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</si>
  <si>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</si>
  <si>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</si>
  <si>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</si>
  <si>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</si>
  <si>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</si>
  <si>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</si>
  <si>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</si>
  <si>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</si>
  <si>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</si>
  <si>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</si>
  <si>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</si>
  <si>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</si>
  <si>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</si>
  <si>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</si>
  <si>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</si>
  <si>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</si>
  <si>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</si>
  <si>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</si>
  <si>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</si>
  <si>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</si>
  <si>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</si>
  <si>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</si>
  <si>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</si>
  <si>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</si>
  <si>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</si>
  <si>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</si>
  <si>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</si>
  <si>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</si>
  <si>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</si>
  <si>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</si>
  <si>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</si>
  <si>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</si>
  <si>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</si>
  <si>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</si>
  <si>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</si>
  <si>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</si>
  <si>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</si>
  <si>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</si>
  <si>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</si>
  <si>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</si>
  <si>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</si>
  <si>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</si>
  <si>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</si>
  <si>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</si>
  <si>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</si>
  <si>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</si>
  <si>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</si>
  <si>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</si>
  <si>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</si>
  <si>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</si>
  <si>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</si>
  <si>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</si>
  <si>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</si>
  <si>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</si>
  <si>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Digite el nombre de su emprendimiento</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</si>
  <si>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</si>
  <si>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</si>
  <si>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</si>
  <si>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</si>
  <si>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</si>
  <si>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</si>
  <si>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</si>
  <si>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</si>
  <si>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</si>
  <si>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</si>
  <si>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</si>
  <si>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</si>
  <si>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</si>
  <si>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</si>
  <si>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</si>
  <si>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</si>
  <si>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</si>
  <si>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</si>
  <si>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</si>
  <si>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</si>
  <si>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</si>
  <si>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</si>
  <si>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</si>
  <si>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</si>
  <si>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</si>
  <si>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</si>
  <si>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</si>
  <si>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</si>
  <si>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</si>
  <si>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</si>
  <si>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</si>
  <si>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 xml:space="preserve">Producto y/o servicio </t>
  </si>
  <si>
    <t>Ingresos totales año 1</t>
  </si>
  <si>
    <t xml:space="preserve">Ingresos totales año 2 </t>
  </si>
  <si>
    <t xml:space="preserve">Ingresos totales año 3 </t>
  </si>
  <si>
    <t>Ingresos totales año 4</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</si>
  <si>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</si>
  <si>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</si>
  <si>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</si>
  <si>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</si>
  <si>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</si>
  <si>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</si>
  <si>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</si>
  <si>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</si>
  <si>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</si>
  <si>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</si>
  <si>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</si>
  <si>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</si>
  <si>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</si>
  <si>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</si>
  <si>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</si>
  <si>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</si>
  <si>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</si>
  <si>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</si>
  <si>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</si>
  <si>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</si>
  <si>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</si>
  <si>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</si>
  <si>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</si>
  <si>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</si>
  <si>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</si>
  <si>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</si>
  <si>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</si>
  <si>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</si>
  <si>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</si>
  <si>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</si>
  <si>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</si>
  <si>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</si>
  <si>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</si>
  <si>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</si>
  <si>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</si>
  <si>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</si>
  <si>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</si>
  <si>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</si>
  <si>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</si>
  <si>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</si>
  <si>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</si>
  <si>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</si>
  <si>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</si>
  <si>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</si>
  <si>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</si>
  <si>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</si>
  <si>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</si>
  <si>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</si>
  <si>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</si>
  <si>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</si>
  <si>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</si>
  <si>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</si>
  <si>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</si>
  <si>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</si>
  <si>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</si>
  <si>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</si>
  <si>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</si>
  <si>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</si>
  <si>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</si>
  <si>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</si>
  <si>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</si>
  <si>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</si>
  <si>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</si>
  <si>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</si>
  <si>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</si>
  <si>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</si>
  <si>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</si>
  <si>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</si>
  <si>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</si>
  <si>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</si>
  <si>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</si>
  <si>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</si>
  <si>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</si>
  <si>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</si>
  <si>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</si>
  <si>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</si>
  <si>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</si>
  <si>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</si>
  <si>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</si>
  <si>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</si>
  <si>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</si>
  <si>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</si>
  <si>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</si>
  <si>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</si>
  <si>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</si>
  <si>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</si>
  <si>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</si>
  <si>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</si>
  <si>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</si>
  <si>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</si>
  <si>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</si>
  <si>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</si>
  <si>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</si>
  <si>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</si>
  <si>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</si>
  <si>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</si>
  <si>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</si>
  <si>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</si>
  <si>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</si>
  <si>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</si>
  <si>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</si>
  <si>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</si>
  <si>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</si>
  <si>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</si>
  <si>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</si>
  <si>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</si>
  <si>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</si>
  <si>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</si>
  <si>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</si>
  <si>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</si>
  <si>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</si>
  <si>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</si>
  <si>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</si>
  <si>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</si>
  <si>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</si>
  <si>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</si>
  <si>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</si>
  <si>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</si>
  <si>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</si>
  <si>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</si>
  <si>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</si>
  <si>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</si>
  <si>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</si>
  <si>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</si>
  <si>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</si>
  <si>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</si>
  <si>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</si>
  <si>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</si>
  <si>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</si>
  <si>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</si>
  <si>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</si>
  <si>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</si>
  <si>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</si>
  <si>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</si>
  <si>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</si>
  <si>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</si>
  <si>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</si>
  <si>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</si>
  <si>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</si>
  <si>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</si>
  <si>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</si>
  <si>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</si>
  <si>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</si>
  <si>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</si>
  <si>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</si>
  <si>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</si>
  <si>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</si>
  <si>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</si>
  <si>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</si>
  <si>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</si>
  <si>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</si>
  <si>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</si>
  <si>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</si>
  <si>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</si>
  <si>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</si>
  <si>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</si>
  <si>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</si>
  <si>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</si>
  <si>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</si>
  <si>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</si>
  <si>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</si>
  <si>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</si>
  <si>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</si>
  <si>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</si>
  <si>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</si>
  <si>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</si>
  <si>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</si>
  <si>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</si>
  <si>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</si>
  <si>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</si>
  <si>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</si>
  <si>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</si>
  <si>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</si>
  <si>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</si>
  <si>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</si>
  <si>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</si>
  <si>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</si>
  <si>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</si>
  <si>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</si>
  <si>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</si>
  <si>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</si>
  <si>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</si>
  <si>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</si>
  <si>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</si>
  <si>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</si>
  <si>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</si>
  <si>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</si>
  <si>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</si>
  <si>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</si>
  <si>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</si>
  <si>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</si>
  <si>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</si>
  <si>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</si>
  <si>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</si>
  <si>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</si>
  <si>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</si>
  <si>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</si>
  <si>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</si>
  <si>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</si>
  <si>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</si>
  <si>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</si>
  <si>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</si>
  <si>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</si>
  <si>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</si>
  <si>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</si>
  <si>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</si>
  <si>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</si>
  <si>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</si>
  <si>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</si>
  <si>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</si>
  <si>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</si>
  <si>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</si>
  <si>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</si>
  <si>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</si>
  <si>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</si>
  <si>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</si>
  <si>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</si>
  <si>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</si>
  <si>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</si>
  <si>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</si>
  <si>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</si>
  <si>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</si>
  <si>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</si>
  <si>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</si>
  <si>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</si>
  <si>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</si>
  <si>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</si>
  <si>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</si>
  <si>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</si>
  <si>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</si>
  <si>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</si>
  <si>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</si>
  <si>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</si>
  <si>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</si>
  <si>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</si>
  <si>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</si>
  <si>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</si>
  <si>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</si>
  <si>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</si>
  <si>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</si>
  <si>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</si>
  <si>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</si>
  <si>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</si>
  <si>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</si>
  <si>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</si>
  <si>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</si>
  <si>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</si>
  <si>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</si>
  <si>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</si>
  <si>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</si>
  <si>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</si>
  <si>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</si>
  <si>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</si>
  <si>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</si>
  <si>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</si>
  <si>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</si>
  <si>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</si>
  <si>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</si>
  <si>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</si>
  <si>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</si>
  <si>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</si>
  <si>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</si>
  <si>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</si>
  <si>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</si>
  <si>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</si>
  <si>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</si>
  <si>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</si>
  <si>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</si>
  <si>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</si>
  <si>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</si>
  <si>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</si>
  <si>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</si>
  <si>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</si>
  <si>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</si>
  <si>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</si>
  <si>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</si>
  <si>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</si>
  <si>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</si>
  <si>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</si>
  <si>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</si>
  <si>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</si>
  <si>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</si>
  <si>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</si>
  <si>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</si>
  <si>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</si>
  <si>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</si>
  <si>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</si>
  <si>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</si>
  <si>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</si>
  <si>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</si>
  <si>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</si>
  <si>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</si>
  <si>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</si>
  <si>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</si>
  <si>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</si>
  <si>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</si>
  <si>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</si>
  <si>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</si>
  <si>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</si>
  <si>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</si>
  <si>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</si>
  <si>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</si>
  <si>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</si>
  <si>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</si>
  <si>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</si>
  <si>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</si>
  <si>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</si>
  <si>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</si>
  <si>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</si>
  <si>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</si>
  <si>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</si>
  <si>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</si>
  <si>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</si>
  <si>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</si>
  <si>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</si>
  <si>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</si>
  <si>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</si>
  <si>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</si>
  <si>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</si>
  <si>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</si>
  <si>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</si>
  <si>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</si>
  <si>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</si>
  <si>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</si>
  <si>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</si>
  <si>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</si>
  <si>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</si>
  <si>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</si>
  <si>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</si>
  <si>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</si>
  <si>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</si>
  <si>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</si>
  <si>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</si>
  <si>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</si>
  <si>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</si>
  <si>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</si>
  <si>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</si>
  <si>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</si>
  <si>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</si>
  <si>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</si>
  <si>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</si>
  <si>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</si>
  <si>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</si>
  <si>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</si>
  <si>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</si>
  <si>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</si>
  <si>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</si>
  <si>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</si>
  <si>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</si>
  <si>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</si>
  <si>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</si>
  <si>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</si>
  <si>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</si>
  <si>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</si>
  <si>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</si>
  <si>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</si>
  <si>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</si>
  <si>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</si>
  <si>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</si>
  <si>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</si>
  <si>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</si>
  <si>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</si>
  <si>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</si>
  <si>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</si>
  <si>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</si>
  <si>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</si>
  <si>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</si>
  <si>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</si>
  <si>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</si>
  <si>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</si>
  <si>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</si>
  <si>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</si>
  <si>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</si>
  <si>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</si>
  <si>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</si>
  <si>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</si>
  <si>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</si>
  <si>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</si>
  <si>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</si>
  <si>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</si>
  <si>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</si>
  <si>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</si>
  <si>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</si>
  <si>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</si>
  <si>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</si>
  <si>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</si>
  <si>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</si>
  <si>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</si>
  <si>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</si>
  <si>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</si>
  <si>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</si>
  <si>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</si>
  <si>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</si>
  <si>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</si>
  <si>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</si>
  <si>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</si>
  <si>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</si>
  <si>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</si>
  <si>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</si>
  <si>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</si>
  <si>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</si>
  <si>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</si>
  <si>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</si>
  <si>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</si>
  <si>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</si>
  <si>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</si>
  <si>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</si>
  <si>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</si>
  <si>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</si>
  <si>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</si>
  <si>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</si>
  <si>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</si>
  <si>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</si>
  <si>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</si>
  <si>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</si>
  <si>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</si>
  <si>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</si>
  <si>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</si>
  <si>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</si>
  <si>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</si>
  <si>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</si>
  <si>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</si>
  <si>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</si>
  <si>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</si>
  <si>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</si>
  <si>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</si>
  <si>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</si>
  <si>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</si>
  <si>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</si>
  <si>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</si>
  <si>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</si>
  <si>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</si>
  <si>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</si>
  <si>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</si>
  <si>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</si>
  <si>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</si>
  <si>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</si>
  <si>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</si>
  <si>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</si>
  <si>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</si>
  <si>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</si>
  <si>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</si>
  <si>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</si>
  <si>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</si>
  <si>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</si>
  <si>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</si>
  <si>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</si>
  <si>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</si>
  <si>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</si>
  <si>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</si>
  <si>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</si>
  <si>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</si>
  <si>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</si>
  <si>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</si>
  <si>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</si>
  <si>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</si>
  <si>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</si>
  <si>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</si>
  <si>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</si>
  <si>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</si>
  <si>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</si>
  <si>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</si>
  <si>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</si>
  <si>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</si>
  <si>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</si>
  <si>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</si>
  <si>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</si>
  <si>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</si>
  <si>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</si>
  <si>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</si>
  <si>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</si>
  <si>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</si>
  <si>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</si>
  <si>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</si>
  <si>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</si>
  <si>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</si>
  <si>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</si>
  <si>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</si>
  <si>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</si>
  <si>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</si>
  <si>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</si>
  <si>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</si>
  <si>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</si>
  <si>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</si>
  <si>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</si>
  <si>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</si>
  <si>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</si>
  <si>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</si>
  <si>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</si>
  <si>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</si>
  <si>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</si>
  <si>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</si>
  <si>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</si>
  <si>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</si>
  <si>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</si>
  <si>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</si>
  <si>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</si>
  <si>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</si>
  <si>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</si>
  <si>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</si>
  <si>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</si>
  <si>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</si>
  <si>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</si>
  <si>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</si>
  <si>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</si>
  <si>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</si>
  <si>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</si>
  <si>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</si>
  <si>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</si>
  <si>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</si>
  <si>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</si>
  <si>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</si>
  <si>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</si>
  <si>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</si>
  <si>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</si>
  <si>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</si>
  <si>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</si>
  <si>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</si>
  <si>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</si>
  <si>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</si>
  <si>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</si>
  <si>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</si>
  <si>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</si>
  <si>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</si>
  <si>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</si>
  <si>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</si>
  <si>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</si>
  <si>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</si>
  <si>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</si>
  <si>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</si>
  <si>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</si>
  <si>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</si>
  <si>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</si>
  <si>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</si>
  <si>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</si>
  <si>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</si>
  <si>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</si>
  <si>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</si>
  <si>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</si>
  <si>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</si>
  <si>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</si>
  <si>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</si>
  <si>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</si>
  <si>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</si>
  <si>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</si>
  <si>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</si>
  <si>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</si>
  <si>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</si>
  <si>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</si>
  <si>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</si>
  <si>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</si>
  <si>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</si>
  <si>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</si>
  <si>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</si>
  <si>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</si>
  <si>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</si>
  <si>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</si>
  <si>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</si>
  <si>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</si>
  <si>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</si>
  <si>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</si>
  <si>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</si>
  <si>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</si>
  <si>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</si>
  <si>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</si>
  <si>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</si>
  <si>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</si>
  <si>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</si>
  <si>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</si>
  <si>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</si>
  <si>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</si>
  <si>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</si>
  <si>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</si>
  <si>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</si>
  <si>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</si>
  <si>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</si>
  <si>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</si>
  <si>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</si>
  <si>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</si>
  <si>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</si>
  <si>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</si>
  <si>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</si>
  <si>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</si>
  <si>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</si>
  <si>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</si>
  <si>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</si>
  <si>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</si>
  <si>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</si>
  <si>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</si>
  <si>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</si>
  <si>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</si>
  <si>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</si>
  <si>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</si>
  <si>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</si>
  <si>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</si>
  <si>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</si>
  <si>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</si>
  <si>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</si>
  <si>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</si>
  <si>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</si>
  <si>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</si>
  <si>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</si>
  <si>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</si>
  <si>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</si>
  <si>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</si>
  <si>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</si>
  <si>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</si>
  <si>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</si>
  <si>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</si>
  <si>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</si>
  <si>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</si>
  <si>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</si>
  <si>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</si>
  <si>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</si>
  <si>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</si>
  <si>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</si>
  <si>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</si>
  <si>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</si>
  <si>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</si>
  <si>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</si>
  <si>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</si>
  <si>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</si>
  <si>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</si>
  <si>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</si>
  <si>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</si>
  <si>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</si>
  <si>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</si>
  <si>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</si>
  <si>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</si>
  <si>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</si>
  <si>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</si>
  <si>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</si>
  <si>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</si>
  <si>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</si>
  <si>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</si>
  <si>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</si>
  <si>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</si>
  <si>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</si>
  <si>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</si>
  <si>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</si>
  <si>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</si>
  <si>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</si>
  <si>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</si>
  <si>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</si>
  <si>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</si>
  <si>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</si>
  <si>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</si>
  <si>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</si>
  <si>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</si>
  <si>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</si>
  <si>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</si>
  <si>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</si>
  <si>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</si>
  <si>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</si>
  <si>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</si>
  <si>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</si>
  <si>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</si>
  <si>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</si>
  <si>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</si>
  <si>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</si>
  <si>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</si>
  <si>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</si>
  <si>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</si>
  <si>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</si>
  <si>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</si>
  <si>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</si>
  <si>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</si>
  <si>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</si>
  <si>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</si>
  <si>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</si>
  <si>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</si>
  <si>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</si>
  <si>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</si>
  <si>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</si>
  <si>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</si>
  <si>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</si>
  <si>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</si>
  <si>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</si>
  <si>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</si>
  <si>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</si>
  <si>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</si>
  <si>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</si>
  <si>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</si>
  <si>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</si>
  <si>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</si>
  <si>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</si>
  <si>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</si>
  <si>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</si>
  <si>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</si>
  <si>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</si>
  <si>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</si>
  <si>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</si>
  <si>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</si>
  <si>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</si>
  <si>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</si>
  <si>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</si>
  <si>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</si>
  <si>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</si>
  <si>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</si>
  <si>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</si>
  <si>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</si>
  <si>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</si>
  <si>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</si>
  <si>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</si>
  <si>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</si>
  <si>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</si>
  <si>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</si>
  <si>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</si>
  <si>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</si>
  <si>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</si>
  <si>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</si>
  <si>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</si>
  <si>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</si>
  <si>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</si>
  <si>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</si>
  <si>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</si>
  <si>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</si>
  <si>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</si>
  <si>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</si>
  <si>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</si>
  <si>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</si>
  <si>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</si>
  <si>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</si>
  <si>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</si>
  <si>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</si>
  <si>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</si>
  <si>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</si>
  <si>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</si>
  <si>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</si>
  <si>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</si>
  <si>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</si>
  <si>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</si>
  <si>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</si>
  <si>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</si>
  <si>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</si>
  <si>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</si>
  <si>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</si>
  <si>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</si>
  <si>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</si>
  <si>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</si>
  <si>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</si>
  <si>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</si>
  <si>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</si>
  <si>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</si>
  <si>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</si>
  <si>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</si>
  <si>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</si>
  <si>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</si>
  <si>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</si>
  <si>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</si>
  <si>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</si>
  <si>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</si>
  <si>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</si>
  <si>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</si>
  <si>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</si>
  <si>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</si>
  <si>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</si>
  <si>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</si>
  <si>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</si>
  <si>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</si>
  <si>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</si>
  <si>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</si>
  <si>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</si>
  <si>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</si>
  <si>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</si>
  <si>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</si>
  <si>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</si>
  <si>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</si>
  <si>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</si>
  <si>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</si>
  <si>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</si>
  <si>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</si>
  <si>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</si>
  <si>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</si>
  <si>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</si>
  <si>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</si>
  <si>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</si>
  <si>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</si>
  <si>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</si>
  <si>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</si>
  <si>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</si>
  <si>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</si>
  <si>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</si>
  <si>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</si>
  <si>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</si>
  <si>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</si>
  <si>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</si>
  <si>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</si>
  <si>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</si>
  <si>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</si>
  <si>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</si>
  <si>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</si>
  <si>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</si>
  <si>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</si>
  <si>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</si>
  <si>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</si>
  <si>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</si>
  <si>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</si>
  <si>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</si>
  <si>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</si>
  <si>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</si>
  <si>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</si>
  <si>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</si>
  <si>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</si>
  <si>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</si>
  <si>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</si>
  <si>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</si>
  <si>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</si>
  <si>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</si>
  <si>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</si>
  <si>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</si>
  <si>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</si>
  <si>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</si>
  <si>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</si>
  <si>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</si>
  <si>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</si>
  <si>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</si>
  <si>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</si>
  <si>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</si>
  <si>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Variación del incremento de ventas </t>
  </si>
  <si>
    <t xml:space="preserve">ESCENARIO ACTUAL </t>
  </si>
  <si>
    <t>ANÁLISIS DE SENSIBILIDAD</t>
  </si>
  <si>
    <t xml:space="preserve">TASA DE EMPRENDIMIENTO ESPERADA POR LOS EMPRENDEDORES </t>
  </si>
  <si>
    <t>VIABLE</t>
  </si>
  <si>
    <t>INVIABLE</t>
  </si>
  <si>
    <t>INDIFERENCIA FINANCIERA</t>
  </si>
  <si>
    <t xml:space="preserve">Precio de venta año 1 </t>
  </si>
  <si>
    <t xml:space="preserve">Precio de venta año 2 </t>
  </si>
  <si>
    <t xml:space="preserve">Precio de venta año 3 </t>
  </si>
  <si>
    <t xml:space="preserve">Precio de venta año 4 </t>
  </si>
  <si>
    <t>Precio de venta año 5</t>
  </si>
  <si>
    <t>INGRESOS TOTALES</t>
  </si>
  <si>
    <t xml:space="preserve">Variación en el incremento de ventas </t>
  </si>
  <si>
    <t>ANÁLISIS DE SENSIBILIDAD AÑO 2</t>
  </si>
  <si>
    <t>ANÁLISIS DE SENSIBILIDAD AÑO 3</t>
  </si>
  <si>
    <t>ANÁLISIS DE SENSIBILIDAD AÑO 4</t>
  </si>
  <si>
    <t>ANÁLISIS DE SENSIBILIDAD AÑO 5</t>
  </si>
  <si>
    <t>TASA DE EMPRENDIMIENTO ESPERADA POR LOS EMPRENDEDORES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</si>
</sst>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65"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12"/>
      <color rgb="FF002060"/>
      <name val="Times New Roman"/>
      <family val="1"/>
    </font>
    <font>
      <u/>
      <sz val="12"/>
      <color theme="10"/>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87">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30" fillId="8" borderId="4" xfId="0" applyNumberFormat="1"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30" fillId="8" borderId="3" xfId="0" applyNumberFormat="1"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9"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0" fontId="28" fillId="21" borderId="8" xfId="0" applyFont="1" applyFill="1" applyBorder="1"/>
    <xf numFmtId="0" fontId="28" fillId="21" borderId="12" xfId="0"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8" fontId="33" fillId="28" borderId="3" xfId="4" applyNumberFormat="1" applyFont="1" applyFill="1" applyBorder="1" applyProtection="1">
      <protection hidden="1"/>
    </xf>
    <xf numFmtId="10" fontId="33" fillId="28" borderId="3" xfId="4" applyNumberFormat="1" applyFont="1" applyFill="1" applyBorder="1" applyProtection="1">
      <protection hidden="1"/>
    </xf>
    <xf numFmtId="10" fontId="33" fillId="28" borderId="15" xfId="4"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9"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6" borderId="0" xfId="0" applyNumberFormat="1" applyFont="1" applyFill="1" applyAlignment="1" applyProtection="1">
      <alignment horizontal="center" vertical="center"/>
      <protection hidden="1"/>
    </xf>
    <xf numFmtId="9" fontId="28" fillId="32" borderId="3" xfId="0" applyNumberFormat="1" applyFont="1" applyFill="1" applyBorder="1" applyAlignment="1" applyProtection="1">
      <alignment horizontal="center"/>
      <protection locked="0"/>
    </xf>
    <xf numFmtId="8" fontId="28" fillId="26" borderId="3" xfId="0" applyNumberFormat="1" applyFont="1" applyFill="1" applyBorder="1" applyAlignment="1" applyProtection="1">
      <alignment horizontal="center"/>
      <protection locked="0"/>
    </xf>
    <xf numFmtId="0" fontId="20" fillId="5" borderId="3" xfId="0" applyFont="1" applyFill="1" applyBorder="1" applyAlignment="1" applyProtection="1">
      <alignment horizontal="center"/>
      <protection hidden="1"/>
    </xf>
    <xf numFmtId="6" fontId="34" fillId="18" borderId="3" xfId="0" applyNumberFormat="1" applyFont="1" applyFill="1" applyBorder="1" applyAlignment="1" applyProtection="1">
      <alignment horizontal="center" wrapText="1"/>
      <protection hidden="1"/>
    </xf>
    <xf numFmtId="0" fontId="12" fillId="0" borderId="3" xfId="0" applyFont="1" applyFill="1" applyBorder="1" applyAlignment="1" applyProtection="1">
      <alignment horizontal="center"/>
      <protection locked="0"/>
    </xf>
    <xf numFmtId="9" fontId="12" fillId="0" borderId="3" xfId="0" applyNumberFormat="1" applyFont="1" applyFill="1" applyBorder="1" applyAlignment="1" applyProtection="1">
      <alignment horizontal="center"/>
      <protection locked="0"/>
    </xf>
    <xf numFmtId="0" fontId="28" fillId="26" borderId="3" xfId="0" applyFont="1" applyFill="1" applyBorder="1" applyAlignment="1" applyProtection="1">
      <alignment horizontal="center"/>
      <protection locked="0"/>
    </xf>
    <xf numFmtId="8" fontId="28" fillId="26" borderId="3" xfId="5" applyNumberFormat="1" applyFont="1" applyFill="1" applyBorder="1" applyAlignment="1" applyProtection="1">
      <alignment horizontal="center"/>
      <protection locked="0"/>
    </xf>
    <xf numFmtId="0" fontId="12" fillId="0" borderId="3" xfId="0" applyFont="1" applyBorder="1" applyProtection="1">
      <protection locked="0"/>
    </xf>
    <xf numFmtId="0" fontId="12" fillId="32" borderId="3" xfId="0" applyFont="1" applyFill="1" applyBorder="1" applyProtection="1">
      <protection locked="0"/>
    </xf>
    <xf numFmtId="0" fontId="12" fillId="32" borderId="3" xfId="0" applyFont="1" applyFill="1" applyBorder="1" applyAlignment="1" applyProtection="1">
      <alignment horizontal="center"/>
      <protection locked="0"/>
    </xf>
    <xf numFmtId="9" fontId="12" fillId="32" borderId="3" xfId="0" applyNumberFormat="1" applyFont="1" applyFill="1" applyBorder="1" applyAlignment="1" applyProtection="1">
      <alignment horizontal="center"/>
      <protection locked="0"/>
    </xf>
    <xf numFmtId="0" fontId="12" fillId="26" borderId="3" xfId="0" applyFont="1" applyFill="1" applyBorder="1" applyAlignment="1" applyProtection="1">
      <alignment horizontal="center"/>
      <protection locked="0"/>
    </xf>
    <xf numFmtId="6" fontId="12" fillId="26" borderId="3" xfId="0" applyNumberFormat="1" applyFont="1" applyFill="1" applyBorder="1" applyAlignment="1" applyProtection="1">
      <alignment horizontal="center"/>
      <protection locked="0"/>
    </xf>
    <xf numFmtId="8" fontId="12" fillId="26" borderId="3" xfId="0" applyNumberFormat="1" applyFont="1" applyFill="1" applyBorder="1" applyAlignment="1" applyProtection="1">
      <alignment horizontal="center"/>
      <protection locked="0"/>
    </xf>
    <xf numFmtId="8" fontId="12" fillId="0" borderId="3" xfId="0" applyNumberFormat="1" applyFont="1" applyBorder="1" applyProtection="1">
      <protection locked="0"/>
    </xf>
    <xf numFmtId="8" fontId="12" fillId="26" borderId="3" xfId="5" applyNumberFormat="1" applyFont="1" applyFill="1" applyBorder="1" applyAlignment="1" applyProtection="1">
      <alignment horizontal="center"/>
      <protection locked="0"/>
    </xf>
    <xf numFmtId="0" fontId="12" fillId="7" borderId="29" xfId="0" applyFont="1" applyFill="1" applyBorder="1" applyAlignment="1" applyProtection="1">
      <alignment horizontal="center"/>
      <protection locked="0"/>
    </xf>
    <xf numFmtId="8" fontId="12" fillId="0" borderId="3" xfId="5" applyNumberFormat="1" applyFont="1" applyBorder="1" applyAlignment="1" applyProtection="1">
      <alignment horizontal="center"/>
      <protection locked="0"/>
    </xf>
    <xf numFmtId="0" fontId="64" fillId="0" borderId="0" xfId="6" applyFont="1" applyProtection="1">
      <protection locked="0"/>
    </xf>
    <xf numFmtId="8" fontId="28" fillId="0" borderId="3" xfId="0" applyNumberFormat="1" applyFont="1" applyBorder="1" applyAlignment="1" applyProtection="1">
      <alignment horizontal="center"/>
      <protection locked="0"/>
    </xf>
    <xf numFmtId="0" fontId="13" fillId="23" borderId="3" xfId="6" applyFont="1" applyFill="1" applyBorder="1" applyAlignment="1" applyProtection="1">
      <alignment horizontal="center" vertical="center" wrapText="1"/>
      <protection locked="0"/>
    </xf>
    <xf numFmtId="12" fontId="20" fillId="25" borderId="3" xfId="0" applyNumberFormat="1" applyFont="1" applyFill="1" applyBorder="1" applyAlignment="1" applyProtection="1">
      <alignment vertical="center"/>
      <protection locked="0"/>
    </xf>
    <xf numFmtId="0" fontId="11" fillId="26" borderId="10" xfId="0" applyFont="1" applyFill="1" applyBorder="1" applyProtection="1">
      <protection locked="0"/>
    </xf>
    <xf numFmtId="3" fontId="12" fillId="26" borderId="3" xfId="0" applyNumberFormat="1" applyFont="1" applyFill="1" applyBorder="1" applyAlignment="1" applyProtection="1">
      <alignment horizontal="center"/>
      <protection locked="0"/>
    </xf>
    <xf numFmtId="0" fontId="11" fillId="19" borderId="10" xfId="0" applyFont="1" applyFill="1" applyBorder="1" applyProtection="1">
      <protection locked="0"/>
    </xf>
    <xf numFmtId="6" fontId="11" fillId="19" borderId="3" xfId="0" applyNumberFormat="1" applyFont="1" applyFill="1" applyBorder="1" applyAlignment="1" applyProtection="1">
      <alignment horizontal="center"/>
      <protection locked="0"/>
    </xf>
    <xf numFmtId="0" fontId="63" fillId="10" borderId="10" xfId="0" applyFont="1" applyFill="1" applyBorder="1" applyProtection="1">
      <protection locked="0"/>
    </xf>
    <xf numFmtId="0" fontId="12" fillId="26" borderId="10" xfId="0" applyFont="1" applyFill="1" applyBorder="1" applyProtection="1">
      <protection locked="0"/>
    </xf>
    <xf numFmtId="8" fontId="12" fillId="26" borderId="3" xfId="0" applyNumberFormat="1" applyFont="1" applyFill="1" applyBorder="1" applyProtection="1">
      <protection locked="0"/>
    </xf>
    <xf numFmtId="0" fontId="63" fillId="10" borderId="10" xfId="0" applyFont="1" applyFill="1" applyBorder="1" applyAlignment="1" applyProtection="1">
      <alignment horizontal="left" indent="1"/>
      <protection locked="0"/>
    </xf>
    <xf numFmtId="0" fontId="11" fillId="19" borderId="12" xfId="0" applyFont="1" applyFill="1" applyBorder="1" applyAlignment="1" applyProtection="1">
      <alignment horizontal="center"/>
      <protection locked="0"/>
    </xf>
    <xf numFmtId="0" fontId="13" fillId="23" borderId="3" xfId="0" applyFont="1" applyFill="1" applyBorder="1" applyAlignment="1" applyProtection="1">
      <alignment horizontal="center" vertical="center" wrapText="1"/>
      <protection locked="0"/>
    </xf>
    <xf numFmtId="12" fontId="20" fillId="25" borderId="3" xfId="0" applyNumberFormat="1" applyFont="1" applyFill="1" applyBorder="1" applyAlignment="1" applyProtection="1">
      <alignment horizontal="right" vertical="center"/>
      <protection locked="0"/>
    </xf>
    <xf numFmtId="0" fontId="11" fillId="26" borderId="10" xfId="0" applyFont="1" applyFill="1" applyBorder="1" applyAlignment="1" applyProtection="1">
      <alignment horizontal="left" indent="1"/>
      <protection locked="0"/>
    </xf>
    <xf numFmtId="0" fontId="12" fillId="26" borderId="3" xfId="0" applyFont="1" applyFill="1" applyBorder="1" applyProtection="1">
      <protection locked="0"/>
    </xf>
    <xf numFmtId="0" fontId="11" fillId="18" borderId="12" xfId="0" applyFont="1" applyFill="1" applyBorder="1" applyProtection="1">
      <protection locked="0"/>
    </xf>
    <xf numFmtId="6" fontId="12" fillId="18" borderId="3" xfId="0" applyNumberFormat="1" applyFont="1" applyFill="1" applyBorder="1" applyAlignment="1" applyProtection="1">
      <alignment horizontal="center"/>
      <protection locked="0"/>
    </xf>
    <xf numFmtId="0" fontId="20" fillId="23" borderId="3" xfId="0" applyFont="1" applyFill="1" applyBorder="1" applyAlignment="1" applyProtection="1">
      <alignment horizontal="center"/>
      <protection locked="0"/>
    </xf>
    <xf numFmtId="12" fontId="20" fillId="25" borderId="6" xfId="0" applyNumberFormat="1" applyFont="1" applyFill="1" applyBorder="1" applyAlignment="1" applyProtection="1">
      <alignment horizontal="right"/>
      <protection locked="0"/>
    </xf>
    <xf numFmtId="12" fontId="20" fillId="25" borderId="3" xfId="0" applyNumberFormat="1" applyFont="1" applyFill="1" applyBorder="1" applyAlignment="1" applyProtection="1">
      <alignment horizontal="right"/>
      <protection locked="0"/>
    </xf>
    <xf numFmtId="0" fontId="12" fillId="26" borderId="58" xfId="0" applyFont="1" applyFill="1" applyBorder="1" applyAlignment="1" applyProtection="1">
      <alignment horizontal="left" indent="1"/>
      <protection locked="0"/>
    </xf>
    <xf numFmtId="0" fontId="12" fillId="16" borderId="58" xfId="0" applyFont="1" applyFill="1" applyBorder="1" applyProtection="1">
      <protection locked="0"/>
    </xf>
    <xf numFmtId="6" fontId="12" fillId="16" borderId="3" xfId="0" applyNumberFormat="1" applyFont="1" applyFill="1" applyBorder="1" applyAlignment="1" applyProtection="1">
      <alignment horizontal="center"/>
      <protection locked="0"/>
    </xf>
    <xf numFmtId="0" fontId="12" fillId="18" borderId="12" xfId="0" applyFont="1" applyFill="1" applyBorder="1" applyProtection="1">
      <protection locked="0"/>
    </xf>
    <xf numFmtId="6" fontId="12" fillId="18" borderId="59" xfId="0" applyNumberFormat="1" applyFont="1" applyFill="1" applyBorder="1" applyAlignment="1" applyProtection="1">
      <alignment horizontal="center"/>
      <protection locked="0"/>
    </xf>
    <xf numFmtId="0" fontId="12" fillId="26" borderId="3" xfId="0" applyFont="1" applyFill="1" applyBorder="1" applyAlignment="1" applyProtection="1">
      <alignment horizontal="left"/>
      <protection locked="0"/>
    </xf>
    <xf numFmtId="0" fontId="11" fillId="26" borderId="3" xfId="0" applyFont="1" applyFill="1" applyBorder="1" applyAlignment="1" applyProtection="1">
      <alignment horizontal="left"/>
      <protection locked="0"/>
    </xf>
    <xf numFmtId="0" fontId="22" fillId="19" borderId="3" xfId="0" applyFont="1" applyFill="1" applyBorder="1" applyAlignment="1" applyProtection="1">
      <alignment horizontal="left"/>
      <protection locked="0"/>
    </xf>
    <xf numFmtId="6" fontId="22" fillId="19" borderId="3" xfId="0" applyNumberFormat="1" applyFont="1" applyFill="1" applyBorder="1" applyAlignment="1" applyProtection="1">
      <alignment horizontal="center"/>
      <protection locked="0"/>
    </xf>
    <xf numFmtId="0" fontId="13" fillId="23" borderId="6" xfId="0" applyFont="1" applyFill="1" applyBorder="1" applyAlignment="1" applyProtection="1">
      <alignment horizontal="center" vertical="center"/>
      <protection locked="0"/>
    </xf>
    <xf numFmtId="0" fontId="20" fillId="25" borderId="6" xfId="0" applyFont="1" applyFill="1" applyBorder="1" applyAlignment="1" applyProtection="1">
      <alignment horizontal="center" vertical="center"/>
      <protection locked="0"/>
    </xf>
    <xf numFmtId="12" fontId="20" fillId="25" borderId="6" xfId="0" applyNumberFormat="1" applyFont="1" applyFill="1" applyBorder="1" applyAlignment="1" applyProtection="1">
      <alignment horizontal="right" vertical="center"/>
      <protection locked="0"/>
    </xf>
    <xf numFmtId="0" fontId="12" fillId="26" borderId="3" xfId="0" applyFont="1" applyFill="1" applyBorder="1" applyAlignment="1" applyProtection="1">
      <alignment horizontal="left" indent="1"/>
      <protection locked="0"/>
    </xf>
    <xf numFmtId="6" fontId="12" fillId="26" borderId="3" xfId="0" applyNumberFormat="1" applyFont="1" applyFill="1" applyBorder="1" applyProtection="1">
      <protection locked="0"/>
    </xf>
    <xf numFmtId="0" fontId="12" fillId="19" borderId="3" xfId="0" applyFont="1" applyFill="1" applyBorder="1" applyProtection="1">
      <protection locked="0"/>
    </xf>
    <xf numFmtId="6" fontId="12" fillId="19" borderId="3" xfId="0" applyNumberFormat="1" applyFont="1" applyFill="1" applyBorder="1" applyAlignment="1" applyProtection="1">
      <alignment horizontal="center"/>
      <protection locked="0"/>
    </xf>
    <xf numFmtId="0" fontId="12" fillId="16" borderId="29" xfId="0" applyFont="1" applyFill="1" applyBorder="1" applyAlignment="1" applyProtection="1">
      <alignment horizontal="center"/>
      <protection locked="0"/>
    </xf>
    <xf numFmtId="8" fontId="12" fillId="16" borderId="29" xfId="0" applyNumberFormat="1" applyFont="1" applyFill="1" applyBorder="1" applyAlignment="1" applyProtection="1">
      <alignment horizontal="center"/>
      <protection locked="0"/>
    </xf>
    <xf numFmtId="6" fontId="30" fillId="28" borderId="3" xfId="0" applyNumberFormat="1" applyFont="1" applyFill="1" applyBorder="1" applyAlignment="1" applyProtection="1">
      <alignment horizontal="center"/>
      <protection hidden="1"/>
    </xf>
    <xf numFmtId="10" fontId="30" fillId="28" borderId="3" xfId="0" applyNumberFormat="1" applyFont="1" applyFill="1" applyBorder="1" applyAlignment="1" applyProtection="1">
      <alignment horizontal="center"/>
      <protection hidden="1"/>
    </xf>
    <xf numFmtId="10" fontId="30" fillId="28" borderId="11" xfId="0" applyNumberFormat="1" applyFont="1" applyFill="1" applyBorder="1" applyAlignment="1" applyProtection="1">
      <alignment horizontal="center"/>
      <protection hidden="1"/>
    </xf>
    <xf numFmtId="9" fontId="30" fillId="28" borderId="29" xfId="0" applyNumberFormat="1" applyFont="1" applyFill="1" applyBorder="1" applyAlignment="1" applyProtection="1">
      <alignment horizontal="center"/>
      <protection hidden="1"/>
    </xf>
    <xf numFmtId="10" fontId="30" fillId="28" borderId="15" xfId="0" applyNumberFormat="1" applyFont="1" applyFill="1" applyBorder="1" applyAlignment="1" applyProtection="1">
      <alignment horizontal="center"/>
      <protection hidden="1"/>
    </xf>
    <xf numFmtId="0" fontId="30" fillId="28" borderId="13" xfId="0" applyFont="1" applyFill="1" applyBorder="1" applyAlignment="1" applyProtection="1">
      <alignment horizontal="center"/>
      <protection hidden="1"/>
    </xf>
    <xf numFmtId="0" fontId="28" fillId="0" borderId="0" xfId="0" applyFont="1" applyAlignment="1" applyProtection="1">
      <alignment horizontal="center"/>
      <protection hidden="1"/>
    </xf>
    <xf numFmtId="6" fontId="30" fillId="28" borderId="14" xfId="0" applyNumberFormat="1" applyFont="1" applyFill="1" applyBorder="1" applyAlignment="1" applyProtection="1">
      <alignment horizontal="center"/>
      <protection hidden="1"/>
    </xf>
    <xf numFmtId="6" fontId="30" fillId="28" borderId="15" xfId="0" applyNumberFormat="1" applyFont="1" applyFill="1" applyBorder="1" applyAlignment="1" applyProtection="1">
      <alignment horizontal="center"/>
      <protection hidden="1"/>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13" fillId="5" borderId="3" xfId="0" applyFont="1" applyFill="1" applyBorder="1" applyAlignment="1" applyProtection="1">
      <alignment horizontal="center"/>
    </xf>
    <xf numFmtId="0" fontId="16" fillId="17" borderId="23"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6" fillId="9" borderId="23"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53" fillId="9" borderId="4" xfId="0" applyFont="1" applyFill="1" applyBorder="1" applyAlignment="1" applyProtection="1">
      <alignment horizontal="center"/>
    </xf>
    <xf numFmtId="0" fontId="20" fillId="5" borderId="3"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xf numFmtId="0" fontId="13" fillId="5" borderId="0" xfId="0" applyFont="1" applyFill="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23"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53" fillId="9" borderId="0" xfId="0" applyFont="1" applyFill="1" applyAlignment="1" applyProtection="1">
      <alignment horizontal="center"/>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48" xfId="0" applyFont="1" applyFill="1" applyBorder="1" applyAlignment="1" applyProtection="1">
      <alignment horizontal="center"/>
      <protection hidden="1"/>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25" fillId="0" borderId="3" xfId="0" applyFont="1" applyBorder="1" applyAlignment="1" applyProtection="1">
      <alignment horizontal="center"/>
      <protection hidden="1"/>
    </xf>
    <xf numFmtId="0" fontId="12" fillId="26" borderId="3" xfId="0" applyFont="1" applyFill="1" applyBorder="1" applyAlignment="1" applyProtection="1">
      <alignment horizontal="center" vertical="center"/>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12" fillId="26" borderId="3" xfId="0" applyFont="1" applyFill="1" applyBorder="1" applyAlignment="1" applyProtection="1">
      <alignment horizontal="center"/>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70" fontId="44" fillId="28" borderId="14" xfId="0" applyNumberFormat="1" applyFont="1" applyFill="1" applyBorder="1" applyAlignment="1" applyProtection="1">
      <alignment horizontal="center"/>
      <protection hidden="1"/>
    </xf>
    <xf numFmtId="170" fontId="44" fillId="28" borderId="15" xfId="0"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30" fillId="0" borderId="8" xfId="0" applyFont="1" applyBorder="1" applyAlignment="1">
      <alignment horizontal="center"/>
    </xf>
    <xf numFmtId="0" fontId="30" fillId="0" borderId="14" xfId="0" applyFont="1" applyBorder="1" applyAlignment="1">
      <alignment horizontal="center"/>
    </xf>
    <xf numFmtId="0" fontId="30" fillId="0" borderId="10" xfId="0" applyFont="1" applyBorder="1" applyAlignment="1">
      <alignment horizontal="left" indent="1"/>
    </xf>
    <xf numFmtId="0" fontId="30" fillId="0" borderId="3" xfId="0" applyFont="1" applyBorder="1" applyAlignment="1">
      <alignment horizontal="left" inden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vertical="center" wrapText="1"/>
    </xf>
    <xf numFmtId="0" fontId="28" fillId="0" borderId="38" xfId="0" applyFont="1" applyBorder="1" applyAlignment="1">
      <alignment horizontal="center" vertic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11" fillId="17" borderId="3" xfId="0" applyFont="1" applyFill="1" applyBorder="1" applyAlignment="1" applyProtection="1">
      <alignment horizontal="center" vertical="center"/>
      <protection locked="0"/>
    </xf>
    <xf numFmtId="0" fontId="12" fillId="0" borderId="16" xfId="0" applyFont="1" applyBorder="1" applyAlignment="1" applyProtection="1">
      <alignment horizontal="center"/>
      <protection locked="0"/>
    </xf>
    <xf numFmtId="0" fontId="12" fillId="0" borderId="17" xfId="0" applyFont="1" applyBorder="1" applyAlignment="1" applyProtection="1">
      <alignment horizontal="center"/>
      <protection locked="0"/>
    </xf>
    <xf numFmtId="0" fontId="12" fillId="0" borderId="18" xfId="0" applyFont="1" applyBorder="1" applyAlignment="1" applyProtection="1">
      <alignment horizontal="center"/>
      <protection locked="0"/>
    </xf>
    <xf numFmtId="0" fontId="12" fillId="33" borderId="16" xfId="0" applyFont="1" applyFill="1" applyBorder="1" applyAlignment="1" applyProtection="1">
      <alignment horizontal="center"/>
      <protection locked="0"/>
    </xf>
    <xf numFmtId="0" fontId="12" fillId="33" borderId="17" xfId="0" applyFont="1" applyFill="1" applyBorder="1" applyAlignment="1" applyProtection="1">
      <alignment horizontal="center"/>
      <protection locked="0"/>
    </xf>
    <xf numFmtId="0" fontId="12" fillId="33" borderId="18" xfId="0" applyFont="1" applyFill="1" applyBorder="1" applyAlignment="1" applyProtection="1">
      <alignment horizontal="center"/>
      <protection locked="0"/>
    </xf>
    <xf numFmtId="0" fontId="12" fillId="17" borderId="6" xfId="0" applyFont="1" applyFill="1" applyBorder="1" applyAlignment="1" applyProtection="1">
      <alignment horizontal="center"/>
      <protection locked="0"/>
    </xf>
    <xf numFmtId="0" fontId="28" fillId="17" borderId="3" xfId="0" applyFont="1" applyFill="1" applyBorder="1" applyAlignment="1" applyProtection="1">
      <alignment horizontal="center" vertical="center"/>
      <protection locked="0"/>
    </xf>
    <xf numFmtId="0" fontId="12" fillId="17" borderId="3" xfId="0" applyFont="1" applyFill="1" applyBorder="1" applyAlignment="1" applyProtection="1">
      <alignment horizontal="center"/>
      <protection locked="0"/>
    </xf>
    <xf numFmtId="0" fontId="11" fillId="17" borderId="3" xfId="0" applyFont="1" applyFill="1" applyBorder="1" applyAlignment="1" applyProtection="1">
      <alignment horizontal="center"/>
      <protection locked="0"/>
    </xf>
    <xf numFmtId="0" fontId="28" fillId="0" borderId="45" xfId="0" applyNumberFormat="1" applyFont="1" applyBorder="1" applyProtection="1">
      <protection hidden="1"/>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PUNTO_DE_EQUILIBRIO!$N$25</c:f>
              <c:strCache>
                <c:ptCount val="1"/>
                <c:pt idx="0">
                  <c:v>Ingresos totales </c:v>
                </c:pt>
              </c:strCache>
            </c:strRef>
          </c:tx>
          <c:spPr>
            <a:ln w="28575" cap="rnd">
              <a:solidFill>
                <a:schemeClr val="accent4"/>
              </a:solidFill>
              <a:round/>
            </a:ln>
            <a:effectLst/>
          </c:spPr>
          <c:marker>
            <c:symbol val="none"/>
          </c:marker>
          <c:cat>
            <c:numRef>
              <c:f>PUNTO_DE_EQUILIBRIO!$O$24:$Q$24</c:f>
              <c:numCache>
                <c:formatCode>#,##0</c:formatCode>
                <c:ptCount val="3"/>
                <c:pt idx="0">
                  <c:v>0</c:v>
                </c:pt>
                <c:pt idx="1">
                  <c:v>0</c:v>
                </c:pt>
                <c:pt idx="2">
                  <c:v>0</c:v>
                </c:pt>
              </c:numCache>
            </c:numRef>
          </c:cat>
          <c:val>
            <c:numRef>
              <c:f>PUNTO_DE_EQUILIBRIO!$O$25:$Q$25</c:f>
              <c:numCache>
                <c:formatCode>"$"#,##0_);[Red]\("$"#,##0\)</c:formatCode>
                <c:ptCount val="3"/>
                <c:pt idx="0">
                  <c:v>0</c:v>
                </c:pt>
                <c:pt idx="1">
                  <c:v>0</c:v>
                </c:pt>
                <c:pt idx="2">
                  <c:v>0</c:v>
                </c:pt>
              </c:numCache>
            </c:numRef>
          </c:val>
          <c:smooth val="0"/>
          <c:extLst>
            <c:ext xmlns:c16="http://schemas.microsoft.com/office/drawing/2014/chart" uri="{C3380CC4-5D6E-409C-BE32-E72D297353CC}">
              <c16:uniqueId val="{00000004-4F24-4A81-93F7-ADAF29F06A96}"/>
            </c:ext>
          </c:extLst>
        </c:ser>
        <c:ser>
          <c:idx val="0"/>
          <c:order val="1"/>
          <c:tx>
            <c:strRef>
              <c:f>PUNTO_DE_EQUILIBRIO!$N$28</c:f>
              <c:strCache>
                <c:ptCount val="1"/>
                <c:pt idx="0">
                  <c:v>Costo total </c:v>
                </c:pt>
              </c:strCache>
            </c:strRef>
          </c:tx>
          <c:spPr>
            <a:ln w="28575" cap="rnd">
              <a:solidFill>
                <a:schemeClr val="accent1"/>
              </a:solidFill>
              <a:round/>
            </a:ln>
            <a:effectLst/>
          </c:spPr>
          <c:marker>
            <c:symbol val="none"/>
          </c:marker>
          <c:cat>
            <c:numRef>
              <c:f>PUNTO_DE_EQUILIBRIO!$O$24:$Q$24</c:f>
              <c:numCache>
                <c:formatCode>#,##0</c:formatCode>
                <c:ptCount val="3"/>
                <c:pt idx="0">
                  <c:v>0</c:v>
                </c:pt>
                <c:pt idx="1">
                  <c:v>0</c:v>
                </c:pt>
                <c:pt idx="2">
                  <c:v>0</c:v>
                </c:pt>
              </c:numCache>
            </c:numRef>
          </c:cat>
          <c:val>
            <c:numRef>
              <c:f>PUNTO_DE_EQUILIBRIO!$O$28:$Q$28</c:f>
              <c:numCache>
                <c:formatCode>"$"#,##0_);[Red]\("$"#,##0\)</c:formatCode>
                <c:ptCount val="3"/>
                <c:pt idx="0">
                  <c:v>0</c:v>
                </c:pt>
                <c:pt idx="1">
                  <c:v>0</c:v>
                </c:pt>
                <c:pt idx="2">
                  <c:v>0</c:v>
                </c:pt>
              </c:numCache>
            </c:numRef>
          </c:val>
          <c:smooth val="0"/>
          <c:extLst>
            <c:ext xmlns:c16="http://schemas.microsoft.com/office/drawing/2014/chart" uri="{C3380CC4-5D6E-409C-BE32-E72D297353CC}">
              <c16:uniqueId val="{00000005-4F24-4A81-93F7-ADAF29F06A96}"/>
            </c:ext>
          </c:extLst>
        </c:ser>
        <c:ser>
          <c:idx val="1"/>
          <c:order val="2"/>
          <c:tx>
            <c:strRef>
              <c:f>PUNTO_DE_EQUILIBRIO!$N$26</c:f>
              <c:strCache>
                <c:ptCount val="1"/>
                <c:pt idx="0">
                  <c:v>Costos fijos totales</c:v>
                </c:pt>
              </c:strCache>
            </c:strRef>
          </c:tx>
          <c:spPr>
            <a:ln w="28575" cap="rnd">
              <a:solidFill>
                <a:schemeClr val="accent2"/>
              </a:solidFill>
              <a:round/>
            </a:ln>
            <a:effectLst/>
          </c:spPr>
          <c:marker>
            <c:symbol val="none"/>
          </c:marker>
          <c:cat>
            <c:numRef>
              <c:f>PUNTO_DE_EQUILIBRIO!$O$24:$Q$24</c:f>
              <c:numCache>
                <c:formatCode>#,##0</c:formatCode>
                <c:ptCount val="3"/>
                <c:pt idx="0">
                  <c:v>0</c:v>
                </c:pt>
                <c:pt idx="1">
                  <c:v>0</c:v>
                </c:pt>
                <c:pt idx="2">
                  <c:v>0</c:v>
                </c:pt>
              </c:numCache>
            </c:numRef>
          </c:cat>
          <c:val>
            <c:numRef>
              <c:f>PUNTO_DE_EQUILIBRIO!$O$26:$Q$26</c:f>
              <c:numCache>
                <c:formatCode>"$"#,##0_);[Red]\("$"#,##0\)</c:formatCode>
                <c:ptCount val="3"/>
                <c:pt idx="0">
                  <c:v>0</c:v>
                </c:pt>
                <c:pt idx="1">
                  <c:v>0</c:v>
                </c:pt>
                <c:pt idx="2">
                  <c:v>0</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8</xdr:row>
          <xdr:rowOff>114300</xdr:rowOff>
        </xdr:from>
        <xdr:to>
          <xdr:col>17</xdr:col>
          <xdr:colOff>352425</xdr:colOff>
          <xdr:row>58</xdr:row>
          <xdr:rowOff>76200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18</xdr:row>
      <xdr:rowOff>47626</xdr:rowOff>
    </xdr:from>
    <xdr:to>
      <xdr:col>7</xdr:col>
      <xdr:colOff>762000</xdr:colOff>
      <xdr:row>23</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37</xdr:row>
          <xdr:rowOff>180975</xdr:rowOff>
        </xdr:from>
        <xdr:to>
          <xdr:col>1</xdr:col>
          <xdr:colOff>2066925</xdr:colOff>
          <xdr:row>39</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37</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6</xdr:row>
      <xdr:rowOff>133351</xdr:rowOff>
    </xdr:from>
    <xdr:to>
      <xdr:col>3</xdr:col>
      <xdr:colOff>3371851</xdr:colOff>
      <xdr:row>9</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37</xdr:row>
      <xdr:rowOff>0</xdr:rowOff>
    </xdr:from>
    <xdr:to>
      <xdr:col>2</xdr:col>
      <xdr:colOff>1657350</xdr:colOff>
      <xdr:row>37</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50</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65</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563225"/>
          <a:ext cx="2324100" cy="19716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2</xdr:row>
      <xdr:rowOff>9526</xdr:rowOff>
    </xdr:from>
    <xdr:to>
      <xdr:col>6</xdr:col>
      <xdr:colOff>1943099</xdr:colOff>
      <xdr:row>4</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67</xdr:row>
      <xdr:rowOff>19050</xdr:rowOff>
    </xdr:from>
    <xdr:to>
      <xdr:col>3</xdr:col>
      <xdr:colOff>3267075</xdr:colOff>
      <xdr:row>69</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73</xdr:row>
      <xdr:rowOff>190500</xdr:rowOff>
    </xdr:from>
    <xdr:to>
      <xdr:col>5</xdr:col>
      <xdr:colOff>1181100</xdr:colOff>
      <xdr:row>79</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82</xdr:row>
      <xdr:rowOff>171450</xdr:rowOff>
    </xdr:from>
    <xdr:to>
      <xdr:col>3</xdr:col>
      <xdr:colOff>3438525</xdr:colOff>
      <xdr:row>85</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85</xdr:row>
      <xdr:rowOff>180975</xdr:rowOff>
    </xdr:from>
    <xdr:to>
      <xdr:col>2</xdr:col>
      <xdr:colOff>1743075</xdr:colOff>
      <xdr:row>87</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91</xdr:row>
      <xdr:rowOff>0</xdr:rowOff>
    </xdr:from>
    <xdr:to>
      <xdr:col>1</xdr:col>
      <xdr:colOff>2505075</xdr:colOff>
      <xdr:row>100</xdr:row>
      <xdr:rowOff>152399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942975" y="177545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88</xdr:row>
          <xdr:rowOff>0</xdr:rowOff>
        </xdr:from>
        <xdr:to>
          <xdr:col>1</xdr:col>
          <xdr:colOff>2095500</xdr:colOff>
          <xdr:row>89</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101</xdr:row>
      <xdr:rowOff>9525</xdr:rowOff>
    </xdr:from>
    <xdr:to>
      <xdr:col>3</xdr:col>
      <xdr:colOff>3438525</xdr:colOff>
      <xdr:row>103</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104</xdr:row>
      <xdr:rowOff>9525</xdr:rowOff>
    </xdr:from>
    <xdr:to>
      <xdr:col>2</xdr:col>
      <xdr:colOff>1762125</xdr:colOff>
      <xdr:row>105</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106</xdr:row>
      <xdr:rowOff>76200</xdr:rowOff>
    </xdr:from>
    <xdr:to>
      <xdr:col>1</xdr:col>
      <xdr:colOff>2447925</xdr:colOff>
      <xdr:row>116</xdr:row>
      <xdr:rowOff>180975</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0964525"/>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105</xdr:row>
          <xdr:rowOff>28575</xdr:rowOff>
        </xdr:from>
        <xdr:to>
          <xdr:col>1</xdr:col>
          <xdr:colOff>2085975</xdr:colOff>
          <xdr:row>105</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122</xdr:row>
      <xdr:rowOff>0</xdr:rowOff>
    </xdr:from>
    <xdr:to>
      <xdr:col>3</xdr:col>
      <xdr:colOff>3200400</xdr:colOff>
      <xdr:row>124</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129</xdr:row>
      <xdr:rowOff>47625</xdr:rowOff>
    </xdr:from>
    <xdr:to>
      <xdr:col>5</xdr:col>
      <xdr:colOff>1085850</xdr:colOff>
      <xdr:row>134</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139</xdr:row>
      <xdr:rowOff>9525</xdr:rowOff>
    </xdr:from>
    <xdr:to>
      <xdr:col>3</xdr:col>
      <xdr:colOff>3438525</xdr:colOff>
      <xdr:row>142</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142</xdr:row>
      <xdr:rowOff>19050</xdr:rowOff>
    </xdr:from>
    <xdr:to>
      <xdr:col>2</xdr:col>
      <xdr:colOff>1752600</xdr:colOff>
      <xdr:row>143</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133350</xdr:colOff>
      <xdr:row>146</xdr:row>
      <xdr:rowOff>0</xdr:rowOff>
    </xdr:from>
    <xdr:to>
      <xdr:col>1</xdr:col>
      <xdr:colOff>2457450</xdr:colOff>
      <xdr:row>156</xdr:row>
      <xdr:rowOff>133350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895350" y="284797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142</xdr:row>
          <xdr:rowOff>171450</xdr:rowOff>
        </xdr:from>
        <xdr:to>
          <xdr:col>1</xdr:col>
          <xdr:colOff>2114550</xdr:colOff>
          <xdr:row>144</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158</xdr:row>
      <xdr:rowOff>0</xdr:rowOff>
    </xdr:from>
    <xdr:to>
      <xdr:col>3</xdr:col>
      <xdr:colOff>3438525</xdr:colOff>
      <xdr:row>160</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161</xdr:row>
      <xdr:rowOff>0</xdr:rowOff>
    </xdr:from>
    <xdr:to>
      <xdr:col>2</xdr:col>
      <xdr:colOff>1714500</xdr:colOff>
      <xdr:row>162</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163</xdr:row>
      <xdr:rowOff>76200</xdr:rowOff>
    </xdr:from>
    <xdr:to>
      <xdr:col>1</xdr:col>
      <xdr:colOff>2428875</xdr:colOff>
      <xdr:row>173</xdr:row>
      <xdr:rowOff>152400</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2061150"/>
          <a:ext cx="2324100" cy="20002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162</xdr:row>
          <xdr:rowOff>66675</xdr:rowOff>
        </xdr:from>
        <xdr:to>
          <xdr:col>1</xdr:col>
          <xdr:colOff>1981200</xdr:colOff>
          <xdr:row>162</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184</xdr:row>
      <xdr:rowOff>0</xdr:rowOff>
    </xdr:from>
    <xdr:to>
      <xdr:col>3</xdr:col>
      <xdr:colOff>3448050</xdr:colOff>
      <xdr:row>187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187</xdr:row>
      <xdr:rowOff>9525</xdr:rowOff>
    </xdr:from>
    <xdr:to>
      <xdr:col>2</xdr:col>
      <xdr:colOff>1647825</xdr:colOff>
      <xdr:row>190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193</xdr:row>
      <xdr:rowOff>0</xdr:rowOff>
    </xdr:from>
    <xdr:to>
      <xdr:col>1</xdr:col>
      <xdr:colOff>2438400</xdr:colOff>
      <xdr:row>203</xdr:row>
      <xdr:rowOff>123824</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76300" y="37442774"/>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189</xdr:row>
          <xdr:rowOff>114300</xdr:rowOff>
        </xdr:from>
        <xdr:to>
          <xdr:col>1</xdr:col>
          <xdr:colOff>2000250</xdr:colOff>
          <xdr:row>191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3</xdr:row>
          <xdr:rowOff>19050</xdr:rowOff>
        </xdr:from>
        <xdr:to>
          <xdr:col>7</xdr:col>
          <xdr:colOff>1866900</xdr:colOff>
          <xdr:row>5</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26</xdr:col>
      <xdr:colOff>819150</xdr:colOff>
      <xdr:row>38</xdr:row>
      <xdr:rowOff>66675</xdr:rowOff>
    </xdr:from>
    <xdr:to>
      <xdr:col>30</xdr:col>
      <xdr:colOff>1104900</xdr:colOff>
      <xdr:row>40</xdr:row>
      <xdr:rowOff>85725</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47291625" y="75438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26</xdr:col>
      <xdr:colOff>66675</xdr:colOff>
      <xdr:row>39</xdr:row>
      <xdr:rowOff>104775</xdr:rowOff>
    </xdr:from>
    <xdr:to>
      <xdr:col>26</xdr:col>
      <xdr:colOff>733425</xdr:colOff>
      <xdr:row>39</xdr:row>
      <xdr:rowOff>104775</xdr:rowOff>
    </xdr:to>
    <xdr:cxnSp macro="">
      <xdr:nvCxnSpPr>
        <xdr:cNvPr id="28" name="Conector recto de flecha 27">
          <a:extLst>
            <a:ext uri="{FF2B5EF4-FFF2-40B4-BE49-F238E27FC236}">
              <a16:creationId xmlns:a16="http://schemas.microsoft.com/office/drawing/2014/main" id="{00000000-0008-0000-0400-00001C000000}"/>
            </a:ext>
          </a:extLst>
        </xdr:cNvPr>
        <xdr:cNvCxnSpPr/>
      </xdr:nvCxnSpPr>
      <xdr:spPr>
        <a:xfrm flipH="1">
          <a:off x="46539150" y="7781925"/>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28575</xdr:colOff>
      <xdr:row>89</xdr:row>
      <xdr:rowOff>95250</xdr:rowOff>
    </xdr:from>
    <xdr:to>
      <xdr:col>15</xdr:col>
      <xdr:colOff>695325</xdr:colOff>
      <xdr:row>89</xdr:row>
      <xdr:rowOff>95250</xdr:rowOff>
    </xdr:to>
    <xdr:cxnSp macro="">
      <xdr:nvCxnSpPr>
        <xdr:cNvPr id="43" name="Conector recto de flecha 42">
          <a:extLst>
            <a:ext uri="{FF2B5EF4-FFF2-40B4-BE49-F238E27FC236}">
              <a16:creationId xmlns:a16="http://schemas.microsoft.com/office/drawing/2014/main" id="{00000000-0008-0000-0400-00002B000000}"/>
            </a:ext>
          </a:extLst>
        </xdr:cNvPr>
        <xdr:cNvCxnSpPr/>
      </xdr:nvCxnSpPr>
      <xdr:spPr>
        <a:xfrm flipH="1">
          <a:off x="32204025" y="1769745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66675</xdr:colOff>
      <xdr:row>144</xdr:row>
      <xdr:rowOff>123825</xdr:rowOff>
    </xdr:from>
    <xdr:to>
      <xdr:col>15</xdr:col>
      <xdr:colOff>733425</xdr:colOff>
      <xdr:row>144</xdr:row>
      <xdr:rowOff>123825</xdr:rowOff>
    </xdr:to>
    <xdr:cxnSp macro="">
      <xdr:nvCxnSpPr>
        <xdr:cNvPr id="44" name="Conector recto de flecha 43">
          <a:extLst>
            <a:ext uri="{FF2B5EF4-FFF2-40B4-BE49-F238E27FC236}">
              <a16:creationId xmlns:a16="http://schemas.microsoft.com/office/drawing/2014/main" id="{00000000-0008-0000-0400-00002C000000}"/>
            </a:ext>
          </a:extLst>
        </xdr:cNvPr>
        <xdr:cNvCxnSpPr/>
      </xdr:nvCxnSpPr>
      <xdr:spPr>
        <a:xfrm flipH="1">
          <a:off x="32242125" y="2861310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781050</xdr:colOff>
      <xdr:row>88</xdr:row>
      <xdr:rowOff>76200</xdr:rowOff>
    </xdr:from>
    <xdr:to>
      <xdr:col>17</xdr:col>
      <xdr:colOff>1485900</xdr:colOff>
      <xdr:row>90</xdr:row>
      <xdr:rowOff>95250</xdr:rowOff>
    </xdr:to>
    <xdr:sp macro="" textlink="">
      <xdr:nvSpPr>
        <xdr:cNvPr id="45" name="CuadroTexto 44">
          <a:extLst>
            <a:ext uri="{FF2B5EF4-FFF2-40B4-BE49-F238E27FC236}">
              <a16:creationId xmlns:a16="http://schemas.microsoft.com/office/drawing/2014/main" id="{00000000-0008-0000-0400-00002D000000}"/>
            </a:ext>
          </a:extLst>
        </xdr:cNvPr>
        <xdr:cNvSpPr txBox="1"/>
      </xdr:nvSpPr>
      <xdr:spPr>
        <a:xfrm>
          <a:off x="32956500" y="17478375"/>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15</xdr:col>
      <xdr:colOff>809625</xdr:colOff>
      <xdr:row>143</xdr:row>
      <xdr:rowOff>95250</xdr:rowOff>
    </xdr:from>
    <xdr:to>
      <xdr:col>17</xdr:col>
      <xdr:colOff>1514475</xdr:colOff>
      <xdr:row>145</xdr:row>
      <xdr:rowOff>114300</xdr:rowOff>
    </xdr:to>
    <xdr:sp macro="" textlink="">
      <xdr:nvSpPr>
        <xdr:cNvPr id="46" name="CuadroTexto 45">
          <a:extLst>
            <a:ext uri="{FF2B5EF4-FFF2-40B4-BE49-F238E27FC236}">
              <a16:creationId xmlns:a16="http://schemas.microsoft.com/office/drawing/2014/main" id="{00000000-0008-0000-0400-00002E000000}"/>
            </a:ext>
          </a:extLst>
        </xdr:cNvPr>
        <xdr:cNvSpPr txBox="1"/>
      </xdr:nvSpPr>
      <xdr:spPr>
        <a:xfrm>
          <a:off x="32985075" y="283845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15</xdr:row>
      <xdr:rowOff>76200</xdr:rowOff>
    </xdr:from>
    <xdr:to>
      <xdr:col>5</xdr:col>
      <xdr:colOff>2307167</xdr:colOff>
      <xdr:row>17</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28</xdr:row>
      <xdr:rowOff>190499</xdr:rowOff>
    </xdr:from>
    <xdr:to>
      <xdr:col>7</xdr:col>
      <xdr:colOff>2714624</xdr:colOff>
      <xdr:row>33</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17</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17</xdr:row>
      <xdr:rowOff>152400</xdr:rowOff>
    </xdr:from>
    <xdr:to>
      <xdr:col>3</xdr:col>
      <xdr:colOff>514350</xdr:colOff>
      <xdr:row>20</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20</xdr:row>
          <xdr:rowOff>123825</xdr:rowOff>
        </xdr:from>
        <xdr:to>
          <xdr:col>2</xdr:col>
          <xdr:colOff>400050</xdr:colOff>
          <xdr:row>22</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19</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22</xdr:row>
      <xdr:rowOff>198966</xdr:rowOff>
    </xdr:from>
    <xdr:to>
      <xdr:col>2</xdr:col>
      <xdr:colOff>595842</xdr:colOff>
      <xdr:row>35</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11</xdr:row>
      <xdr:rowOff>14287</xdr:rowOff>
    </xdr:from>
    <xdr:to>
      <xdr:col>11</xdr:col>
      <xdr:colOff>752475</xdr:colOff>
      <xdr:row>37</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17</xdr:row>
          <xdr:rowOff>85725</xdr:rowOff>
        </xdr:from>
        <xdr:to>
          <xdr:col>2</xdr:col>
          <xdr:colOff>676275</xdr:colOff>
          <xdr:row>19</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16</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19</xdr:row>
      <xdr:rowOff>114299</xdr:rowOff>
    </xdr:from>
    <xdr:to>
      <xdr:col>3</xdr:col>
      <xdr:colOff>600075</xdr:colOff>
      <xdr:row>28</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13</xdr:row>
      <xdr:rowOff>47626</xdr:rowOff>
    </xdr:from>
    <xdr:to>
      <xdr:col>7</xdr:col>
      <xdr:colOff>209550</xdr:colOff>
      <xdr:row>15</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15</xdr:row>
      <xdr:rowOff>142875</xdr:rowOff>
    </xdr:from>
    <xdr:to>
      <xdr:col>4</xdr:col>
      <xdr:colOff>542925</xdr:colOff>
      <xdr:row>17</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38</xdr:row>
          <xdr:rowOff>28575</xdr:rowOff>
        </xdr:from>
        <xdr:to>
          <xdr:col>2</xdr:col>
          <xdr:colOff>685800</xdr:colOff>
          <xdr:row>39</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40</xdr:row>
      <xdr:rowOff>57149</xdr:rowOff>
    </xdr:from>
    <xdr:to>
      <xdr:col>3</xdr:col>
      <xdr:colOff>609600</xdr:colOff>
      <xdr:row>48</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34</xdr:row>
      <xdr:rowOff>47626</xdr:rowOff>
    </xdr:from>
    <xdr:to>
      <xdr:col>7</xdr:col>
      <xdr:colOff>219075</xdr:colOff>
      <xdr:row>36</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36</xdr:row>
      <xdr:rowOff>161925</xdr:rowOff>
    </xdr:from>
    <xdr:to>
      <xdr:col>4</xdr:col>
      <xdr:colOff>523875</xdr:colOff>
      <xdr:row>38</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3</xdr:row>
          <xdr:rowOff>200025</xdr:rowOff>
        </xdr:from>
        <xdr:to>
          <xdr:col>1</xdr:col>
          <xdr:colOff>2638425</xdr:colOff>
          <xdr:row>5</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3</xdr:col>
      <xdr:colOff>304800</xdr:colOff>
      <xdr:row>3</xdr:row>
      <xdr:rowOff>0</xdr:rowOff>
    </xdr:from>
    <xdr:to>
      <xdr:col>10</xdr:col>
      <xdr:colOff>561975</xdr:colOff>
      <xdr:row>6</xdr:row>
      <xdr:rowOff>104774</xdr:rowOff>
    </xdr:to>
    <xdr:sp macro="" textlink="">
      <xdr:nvSpPr>
        <xdr:cNvPr id="4" name="CuadroTexto 3">
          <a:extLst>
            <a:ext uri="{FF2B5EF4-FFF2-40B4-BE49-F238E27FC236}">
              <a16:creationId xmlns:a16="http://schemas.microsoft.com/office/drawing/2014/main" id="{00000000-0008-0000-0E00-000004000000}"/>
            </a:ext>
          </a:extLst>
        </xdr:cNvPr>
        <xdr:cNvSpPr txBox="1"/>
      </xdr:nvSpPr>
      <xdr:spPr>
        <a:xfrm>
          <a:off x="5667375" y="752475"/>
          <a:ext cx="5591175" cy="91439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2000" b="1">
              <a:latin typeface="Times New Roman" panose="02020603050405020304" pitchFamily="18" charset="0"/>
              <a:cs typeface="Times New Roman" panose="02020603050405020304" pitchFamily="18" charset="0"/>
            </a:rPr>
            <a:t>TENER EN CUENTA</a:t>
          </a:r>
          <a:r>
            <a:rPr lang="es-CO" sz="2000">
              <a:latin typeface="Times New Roman" panose="02020603050405020304" pitchFamily="18" charset="0"/>
              <a:cs typeface="Times New Roman" panose="02020603050405020304" pitchFamily="18" charset="0"/>
            </a:rPr>
            <a:t> que la</a:t>
          </a:r>
          <a:r>
            <a:rPr lang="es-CO" sz="2000" baseline="0">
              <a:latin typeface="Times New Roman" panose="02020603050405020304" pitchFamily="18" charset="0"/>
              <a:cs typeface="Times New Roman" panose="02020603050405020304" pitchFamily="18" charset="0"/>
            </a:rPr>
            <a:t> hoja no está protegida así que no realizar ningún cambio si no se indica.</a:t>
          </a:r>
        </a:p>
      </xdr:txBody>
    </xdr:sp>
    <xdr:clientData/>
  </xdr:twoCellAnchor>
  <xdr:twoCellAnchor>
    <xdr:from>
      <xdr:col>8</xdr:col>
      <xdr:colOff>609600</xdr:colOff>
      <xdr:row>8</xdr:row>
      <xdr:rowOff>38100</xdr:rowOff>
    </xdr:from>
    <xdr:to>
      <xdr:col>11</xdr:col>
      <xdr:colOff>1564482</xdr:colOff>
      <xdr:row>15</xdr:row>
      <xdr:rowOff>19050</xdr:rowOff>
    </xdr:to>
    <xdr:sp macro="" textlink="">
      <xdr:nvSpPr>
        <xdr:cNvPr id="5" name="CuadroTexto 4">
          <a:extLst>
            <a:ext uri="{FF2B5EF4-FFF2-40B4-BE49-F238E27FC236}">
              <a16:creationId xmlns:a16="http://schemas.microsoft.com/office/drawing/2014/main" id="{00000000-0008-0000-0E00-000005000000}"/>
            </a:ext>
          </a:extLst>
        </xdr:cNvPr>
        <xdr:cNvSpPr txBox="1"/>
      </xdr:nvSpPr>
      <xdr:spPr>
        <a:xfrm>
          <a:off x="9782175" y="2019300"/>
          <a:ext cx="4174332"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O8 hasta Z16.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209550</xdr:colOff>
      <xdr:row>11</xdr:row>
      <xdr:rowOff>85725</xdr:rowOff>
    </xdr:from>
    <xdr:to>
      <xdr:col>12</xdr:col>
      <xdr:colOff>504825</xdr:colOff>
      <xdr:row>11</xdr:row>
      <xdr:rowOff>85725</xdr:rowOff>
    </xdr:to>
    <xdr:cxnSp macro="">
      <xdr:nvCxnSpPr>
        <xdr:cNvPr id="6" name="Conector recto de flecha 5">
          <a:extLst>
            <a:ext uri="{FF2B5EF4-FFF2-40B4-BE49-F238E27FC236}">
              <a16:creationId xmlns:a16="http://schemas.microsoft.com/office/drawing/2014/main" id="{00000000-0008-0000-0E00-000006000000}"/>
            </a:ext>
          </a:extLst>
        </xdr:cNvPr>
        <xdr:cNvCxnSpPr/>
      </xdr:nvCxnSpPr>
      <xdr:spPr>
        <a:xfrm>
          <a:off x="14249400" y="28670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628650</xdr:colOff>
      <xdr:row>21</xdr:row>
      <xdr:rowOff>171450</xdr:rowOff>
    </xdr:from>
    <xdr:to>
      <xdr:col>11</xdr:col>
      <xdr:colOff>1578769</xdr:colOff>
      <xdr:row>35</xdr:row>
      <xdr:rowOff>133350</xdr:rowOff>
    </xdr:to>
    <xdr:sp macro="" textlink="">
      <xdr:nvSpPr>
        <xdr:cNvPr id="7" name="CuadroTexto 6">
          <a:extLst>
            <a:ext uri="{FF2B5EF4-FFF2-40B4-BE49-F238E27FC236}">
              <a16:creationId xmlns:a16="http://schemas.microsoft.com/office/drawing/2014/main" id="{00000000-0008-0000-0E00-000007000000}"/>
            </a:ext>
          </a:extLst>
        </xdr:cNvPr>
        <xdr:cNvSpPr txBox="1"/>
      </xdr:nvSpPr>
      <xdr:spPr>
        <a:xfrm>
          <a:off x="9801225" y="4619625"/>
          <a:ext cx="4169569"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O22 hasta Z36.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247650</xdr:colOff>
      <xdr:row>25</xdr:row>
      <xdr:rowOff>123825</xdr:rowOff>
    </xdr:from>
    <xdr:to>
      <xdr:col>12</xdr:col>
      <xdr:colOff>542925</xdr:colOff>
      <xdr:row>25</xdr:row>
      <xdr:rowOff>123825</xdr:rowOff>
    </xdr:to>
    <xdr:cxnSp macro="">
      <xdr:nvCxnSpPr>
        <xdr:cNvPr id="8" name="Conector recto de flecha 7">
          <a:extLst>
            <a:ext uri="{FF2B5EF4-FFF2-40B4-BE49-F238E27FC236}">
              <a16:creationId xmlns:a16="http://schemas.microsoft.com/office/drawing/2014/main" id="{00000000-0008-0000-0E00-000008000000}"/>
            </a:ext>
          </a:extLst>
        </xdr:cNvPr>
        <xdr:cNvCxnSpPr/>
      </xdr:nvCxnSpPr>
      <xdr:spPr>
        <a:xfrm>
          <a:off x="14287500" y="537210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552450</xdr:colOff>
      <xdr:row>41</xdr:row>
      <xdr:rowOff>171450</xdr:rowOff>
    </xdr:from>
    <xdr:to>
      <xdr:col>12</xdr:col>
      <xdr:colOff>57150</xdr:colOff>
      <xdr:row>49</xdr:row>
      <xdr:rowOff>123825</xdr:rowOff>
    </xdr:to>
    <xdr:sp macro="" textlink="">
      <xdr:nvSpPr>
        <xdr:cNvPr id="9" name="CuadroTexto 8">
          <a:extLst>
            <a:ext uri="{FF2B5EF4-FFF2-40B4-BE49-F238E27FC236}">
              <a16:creationId xmlns:a16="http://schemas.microsoft.com/office/drawing/2014/main" id="{00000000-0008-0000-0E00-000009000000}"/>
            </a:ext>
          </a:extLst>
        </xdr:cNvPr>
        <xdr:cNvSpPr txBox="1"/>
      </xdr:nvSpPr>
      <xdr:spPr>
        <a:xfrm>
          <a:off x="9725025" y="7629525"/>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O42 hasta Z50.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45</xdr:row>
      <xdr:rowOff>133350</xdr:rowOff>
    </xdr:from>
    <xdr:to>
      <xdr:col>12</xdr:col>
      <xdr:colOff>619125</xdr:colOff>
      <xdr:row>45</xdr:row>
      <xdr:rowOff>133350</xdr:rowOff>
    </xdr:to>
    <xdr:cxnSp macro="">
      <xdr:nvCxnSpPr>
        <xdr:cNvPr id="10" name="Conector recto de flecha 9">
          <a:extLst>
            <a:ext uri="{FF2B5EF4-FFF2-40B4-BE49-F238E27FC236}">
              <a16:creationId xmlns:a16="http://schemas.microsoft.com/office/drawing/2014/main" id="{00000000-0008-0000-0E00-00000A000000}"/>
            </a:ext>
          </a:extLst>
        </xdr:cNvPr>
        <xdr:cNvCxnSpPr/>
      </xdr:nvCxnSpPr>
      <xdr:spPr>
        <a:xfrm>
          <a:off x="14363700" y="83915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561975</xdr:colOff>
      <xdr:row>55</xdr:row>
      <xdr:rowOff>0</xdr:rowOff>
    </xdr:from>
    <xdr:to>
      <xdr:col>12</xdr:col>
      <xdr:colOff>66675</xdr:colOff>
      <xdr:row>62</xdr:row>
      <xdr:rowOff>161925</xdr:rowOff>
    </xdr:to>
    <xdr:sp macro="" textlink="">
      <xdr:nvSpPr>
        <xdr:cNvPr id="11" name="CuadroTexto 10">
          <a:extLst>
            <a:ext uri="{FF2B5EF4-FFF2-40B4-BE49-F238E27FC236}">
              <a16:creationId xmlns:a16="http://schemas.microsoft.com/office/drawing/2014/main" id="{00000000-0008-0000-0E00-00000B000000}"/>
            </a:ext>
          </a:extLst>
        </xdr:cNvPr>
        <xdr:cNvSpPr txBox="1"/>
      </xdr:nvSpPr>
      <xdr:spPr>
        <a:xfrm>
          <a:off x="9734550" y="102679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O55 hasta Z63.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59</xdr:row>
      <xdr:rowOff>114300</xdr:rowOff>
    </xdr:from>
    <xdr:to>
      <xdr:col>12</xdr:col>
      <xdr:colOff>628650</xdr:colOff>
      <xdr:row>59</xdr:row>
      <xdr:rowOff>114300</xdr:rowOff>
    </xdr:to>
    <xdr:cxnSp macro="">
      <xdr:nvCxnSpPr>
        <xdr:cNvPr id="12" name="Conector recto de flecha 11">
          <a:extLst>
            <a:ext uri="{FF2B5EF4-FFF2-40B4-BE49-F238E27FC236}">
              <a16:creationId xmlns:a16="http://schemas.microsoft.com/office/drawing/2014/main" id="{00000000-0008-0000-0E00-00000C000000}"/>
            </a:ext>
          </a:extLst>
        </xdr:cNvPr>
        <xdr:cNvCxnSpPr/>
      </xdr:nvCxnSpPr>
      <xdr:spPr>
        <a:xfrm>
          <a:off x="14373225" y="1118235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619125</xdr:colOff>
      <xdr:row>67</xdr:row>
      <xdr:rowOff>180975</xdr:rowOff>
    </xdr:from>
    <xdr:to>
      <xdr:col>12</xdr:col>
      <xdr:colOff>123825</xdr:colOff>
      <xdr:row>75</xdr:row>
      <xdr:rowOff>142875</xdr:rowOff>
    </xdr:to>
    <xdr:sp macro="" textlink="">
      <xdr:nvSpPr>
        <xdr:cNvPr id="13" name="CuadroTexto 12">
          <a:extLst>
            <a:ext uri="{FF2B5EF4-FFF2-40B4-BE49-F238E27FC236}">
              <a16:creationId xmlns:a16="http://schemas.microsoft.com/office/drawing/2014/main" id="{00000000-0008-0000-0E00-00000D000000}"/>
            </a:ext>
          </a:extLst>
        </xdr:cNvPr>
        <xdr:cNvSpPr txBox="1"/>
      </xdr:nvSpPr>
      <xdr:spPr>
        <a:xfrm>
          <a:off x="9791700" y="128587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 es decir, desde la celda O67 hasta Z75.</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C4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72</xdr:row>
      <xdr:rowOff>28575</xdr:rowOff>
    </xdr:from>
    <xdr:to>
      <xdr:col>12</xdr:col>
      <xdr:colOff>638175</xdr:colOff>
      <xdr:row>72</xdr:row>
      <xdr:rowOff>28575</xdr:rowOff>
    </xdr:to>
    <xdr:cxnSp macro="">
      <xdr:nvCxnSpPr>
        <xdr:cNvPr id="14" name="Conector recto de flecha 13">
          <a:extLst>
            <a:ext uri="{FF2B5EF4-FFF2-40B4-BE49-F238E27FC236}">
              <a16:creationId xmlns:a16="http://schemas.microsoft.com/office/drawing/2014/main" id="{00000000-0008-0000-0E00-00000E000000}"/>
            </a:ext>
          </a:extLst>
        </xdr:cNvPr>
        <xdr:cNvCxnSpPr/>
      </xdr:nvCxnSpPr>
      <xdr:spPr>
        <a:xfrm>
          <a:off x="14382750" y="1370647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342900</xdr:colOff>
      <xdr:row>6</xdr:row>
      <xdr:rowOff>114300</xdr:rowOff>
    </xdr:from>
    <xdr:to>
      <xdr:col>34</xdr:col>
      <xdr:colOff>295275</xdr:colOff>
      <xdr:row>8</xdr:row>
      <xdr:rowOff>323850</xdr:rowOff>
    </xdr:to>
    <xdr:sp macro="" textlink="">
      <xdr:nvSpPr>
        <xdr:cNvPr id="15" name="CuadroTexto 14">
          <a:extLst>
            <a:ext uri="{FF2B5EF4-FFF2-40B4-BE49-F238E27FC236}">
              <a16:creationId xmlns:a16="http://schemas.microsoft.com/office/drawing/2014/main" id="{00000000-0008-0000-0E00-00000F000000}"/>
            </a:ext>
          </a:extLst>
        </xdr:cNvPr>
        <xdr:cNvSpPr txBox="1"/>
      </xdr:nvSpPr>
      <xdr:spPr>
        <a:xfrm>
          <a:off x="30861000" y="15621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57150</xdr:colOff>
      <xdr:row>7</xdr:row>
      <xdr:rowOff>85725</xdr:rowOff>
    </xdr:from>
    <xdr:to>
      <xdr:col>26</xdr:col>
      <xdr:colOff>238125</xdr:colOff>
      <xdr:row>7</xdr:row>
      <xdr:rowOff>85725</xdr:rowOff>
    </xdr:to>
    <xdr:cxnSp macro="">
      <xdr:nvCxnSpPr>
        <xdr:cNvPr id="16" name="Conector recto de flecha 15">
          <a:extLst>
            <a:ext uri="{FF2B5EF4-FFF2-40B4-BE49-F238E27FC236}">
              <a16:creationId xmlns:a16="http://schemas.microsoft.com/office/drawing/2014/main" id="{00000000-0008-0000-0E00-000010000000}"/>
            </a:ext>
          </a:extLst>
        </xdr:cNvPr>
        <xdr:cNvCxnSpPr/>
      </xdr:nvCxnSpPr>
      <xdr:spPr>
        <a:xfrm flipH="1">
          <a:off x="30575250" y="17335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47625</xdr:colOff>
      <xdr:row>21</xdr:row>
      <xdr:rowOff>104775</xdr:rowOff>
    </xdr:from>
    <xdr:to>
      <xdr:col>26</xdr:col>
      <xdr:colOff>228600</xdr:colOff>
      <xdr:row>21</xdr:row>
      <xdr:rowOff>104775</xdr:rowOff>
    </xdr:to>
    <xdr:cxnSp macro="">
      <xdr:nvCxnSpPr>
        <xdr:cNvPr id="18" name="Conector recto de flecha 17">
          <a:extLst>
            <a:ext uri="{FF2B5EF4-FFF2-40B4-BE49-F238E27FC236}">
              <a16:creationId xmlns:a16="http://schemas.microsoft.com/office/drawing/2014/main" id="{00000000-0008-0000-0E00-000012000000}"/>
            </a:ext>
          </a:extLst>
        </xdr:cNvPr>
        <xdr:cNvCxnSpPr/>
      </xdr:nvCxnSpPr>
      <xdr:spPr>
        <a:xfrm flipH="1">
          <a:off x="30565725" y="45529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41</xdr:row>
      <xdr:rowOff>85725</xdr:rowOff>
    </xdr:from>
    <xdr:to>
      <xdr:col>26</xdr:col>
      <xdr:colOff>238125</xdr:colOff>
      <xdr:row>41</xdr:row>
      <xdr:rowOff>85725</xdr:rowOff>
    </xdr:to>
    <xdr:cxnSp macro="">
      <xdr:nvCxnSpPr>
        <xdr:cNvPr id="19" name="Conector recto de flecha 18">
          <a:extLst>
            <a:ext uri="{FF2B5EF4-FFF2-40B4-BE49-F238E27FC236}">
              <a16:creationId xmlns:a16="http://schemas.microsoft.com/office/drawing/2014/main" id="{00000000-0008-0000-0E00-000013000000}"/>
            </a:ext>
          </a:extLst>
        </xdr:cNvPr>
        <xdr:cNvCxnSpPr/>
      </xdr:nvCxnSpPr>
      <xdr:spPr>
        <a:xfrm flipH="1">
          <a:off x="30575250" y="75438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54</xdr:row>
      <xdr:rowOff>104775</xdr:rowOff>
    </xdr:from>
    <xdr:to>
      <xdr:col>26</xdr:col>
      <xdr:colOff>238125</xdr:colOff>
      <xdr:row>54</xdr:row>
      <xdr:rowOff>104775</xdr:rowOff>
    </xdr:to>
    <xdr:cxnSp macro="">
      <xdr:nvCxnSpPr>
        <xdr:cNvPr id="20" name="Conector recto de flecha 19">
          <a:extLst>
            <a:ext uri="{FF2B5EF4-FFF2-40B4-BE49-F238E27FC236}">
              <a16:creationId xmlns:a16="http://schemas.microsoft.com/office/drawing/2014/main" id="{00000000-0008-0000-0E00-000014000000}"/>
            </a:ext>
          </a:extLst>
        </xdr:cNvPr>
        <xdr:cNvCxnSpPr/>
      </xdr:nvCxnSpPr>
      <xdr:spPr>
        <a:xfrm flipH="1">
          <a:off x="30575250" y="101727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66675</xdr:colOff>
      <xdr:row>67</xdr:row>
      <xdr:rowOff>114300</xdr:rowOff>
    </xdr:from>
    <xdr:to>
      <xdr:col>26</xdr:col>
      <xdr:colOff>247650</xdr:colOff>
      <xdr:row>67</xdr:row>
      <xdr:rowOff>114300</xdr:rowOff>
    </xdr:to>
    <xdr:cxnSp macro="">
      <xdr:nvCxnSpPr>
        <xdr:cNvPr id="21" name="Conector recto de flecha 20">
          <a:extLst>
            <a:ext uri="{FF2B5EF4-FFF2-40B4-BE49-F238E27FC236}">
              <a16:creationId xmlns:a16="http://schemas.microsoft.com/office/drawing/2014/main" id="{00000000-0008-0000-0E00-000015000000}"/>
            </a:ext>
          </a:extLst>
        </xdr:cNvPr>
        <xdr:cNvCxnSpPr/>
      </xdr:nvCxnSpPr>
      <xdr:spPr>
        <a:xfrm flipH="1">
          <a:off x="30584775" y="12792075"/>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323850</xdr:colOff>
      <xdr:row>19</xdr:row>
      <xdr:rowOff>28575</xdr:rowOff>
    </xdr:from>
    <xdr:to>
      <xdr:col>34</xdr:col>
      <xdr:colOff>276225</xdr:colOff>
      <xdr:row>23</xdr:row>
      <xdr:rowOff>38100</xdr:rowOff>
    </xdr:to>
    <xdr:sp macro="" textlink="">
      <xdr:nvSpPr>
        <xdr:cNvPr id="26" name="CuadroTexto 25">
          <a:extLst>
            <a:ext uri="{FF2B5EF4-FFF2-40B4-BE49-F238E27FC236}">
              <a16:creationId xmlns:a16="http://schemas.microsoft.com/office/drawing/2014/main" id="{00000000-0008-0000-0E00-00001A000000}"/>
            </a:ext>
          </a:extLst>
        </xdr:cNvPr>
        <xdr:cNvSpPr txBox="1"/>
      </xdr:nvSpPr>
      <xdr:spPr>
        <a:xfrm>
          <a:off x="30841950" y="4276725"/>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361950</xdr:colOff>
      <xdr:row>40</xdr:row>
      <xdr:rowOff>57150</xdr:rowOff>
    </xdr:from>
    <xdr:to>
      <xdr:col>34</xdr:col>
      <xdr:colOff>314325</xdr:colOff>
      <xdr:row>43</xdr:row>
      <xdr:rowOff>66675</xdr:rowOff>
    </xdr:to>
    <xdr:sp macro="" textlink="">
      <xdr:nvSpPr>
        <xdr:cNvPr id="27" name="CuadroTexto 26">
          <a:extLst>
            <a:ext uri="{FF2B5EF4-FFF2-40B4-BE49-F238E27FC236}">
              <a16:creationId xmlns:a16="http://schemas.microsoft.com/office/drawing/2014/main" id="{00000000-0008-0000-0E00-00001B000000}"/>
            </a:ext>
          </a:extLst>
        </xdr:cNvPr>
        <xdr:cNvSpPr txBox="1"/>
      </xdr:nvSpPr>
      <xdr:spPr>
        <a:xfrm>
          <a:off x="30880050" y="73152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333375</xdr:colOff>
      <xdr:row>52</xdr:row>
      <xdr:rowOff>180975</xdr:rowOff>
    </xdr:from>
    <xdr:to>
      <xdr:col>34</xdr:col>
      <xdr:colOff>285750</xdr:colOff>
      <xdr:row>55</xdr:row>
      <xdr:rowOff>190500</xdr:rowOff>
    </xdr:to>
    <xdr:sp macro="" textlink="">
      <xdr:nvSpPr>
        <xdr:cNvPr id="28" name="CuadroTexto 27">
          <a:extLst>
            <a:ext uri="{FF2B5EF4-FFF2-40B4-BE49-F238E27FC236}">
              <a16:creationId xmlns:a16="http://schemas.microsoft.com/office/drawing/2014/main" id="{00000000-0008-0000-0E00-00001C000000}"/>
            </a:ext>
          </a:extLst>
        </xdr:cNvPr>
        <xdr:cNvSpPr txBox="1"/>
      </xdr:nvSpPr>
      <xdr:spPr>
        <a:xfrm>
          <a:off x="30851475" y="98488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342900</xdr:colOff>
      <xdr:row>66</xdr:row>
      <xdr:rowOff>76200</xdr:rowOff>
    </xdr:from>
    <xdr:to>
      <xdr:col>34</xdr:col>
      <xdr:colOff>295275</xdr:colOff>
      <xdr:row>69</xdr:row>
      <xdr:rowOff>85725</xdr:rowOff>
    </xdr:to>
    <xdr:sp macro="" textlink="">
      <xdr:nvSpPr>
        <xdr:cNvPr id="29" name="CuadroTexto 28">
          <a:extLst>
            <a:ext uri="{FF2B5EF4-FFF2-40B4-BE49-F238E27FC236}">
              <a16:creationId xmlns:a16="http://schemas.microsoft.com/office/drawing/2014/main" id="{00000000-0008-0000-0E00-00001D000000}"/>
            </a:ext>
          </a:extLst>
        </xdr:cNvPr>
        <xdr:cNvSpPr txBox="1"/>
      </xdr:nvSpPr>
      <xdr:spPr>
        <a:xfrm>
          <a:off x="30861000" y="125539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0" totalsRowShown="0" headerRowDxfId="958" dataDxfId="957">
  <autoFilter ref="B19:V20"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2:D32" totalsRowShown="0" headerRowDxfId="935" dataDxfId="934">
  <autoFilter ref="B12:D32"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9:D41" totalsRowShown="0" headerRowDxfId="930" dataDxfId="929">
  <autoFilter ref="C39:D41"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6" totalsRowShown="0" headerRowDxfId="926" dataDxfId="924" headerRowBorderDxfId="925">
  <autoFilter ref="C54:OT56"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]],Tabla3[],2,0)</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1 ]]*F40</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$D$13*(1+BASES!$E$10)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(1)]]*$D$13*VLOOKUP(Tabla1[[#This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G40*Tabla1[[#This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$D$14*(1+BASES!$E$10)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(2)]]*$D$14*VLOOKUP(Tabla1[[#This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H40*Tabla1[[#This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$D$15*(1+BASES!$E$10)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(3)]]*$D$15*VLOOKUP(Tabla1[[#This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I40*Tabla1[[#This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$D$16*(1+BASES!$E$10)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]]*$D$16*VLOOKUP(Tabla1[[#This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DE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Row],[UNIDADES PRODUCIDAS AÑO 1 5]]*J40</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Row],[UNIDADES PRODUCIDAS AÑO 1 5]])</calculatedColumnFormula>
    </tableColumn>
    <tableColumn id="95" xr3:uid="{FB1BD96A-8CEA-4140-A6FA-B8BC917D6E29}" name="COSTO UNITARIO AÑO 2 5" dataDxfId="829">
      <calculatedColumnFormula>$D$17*(1+BASES!$E$10)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(5)]]*$D$17*VLOOKUP(Tabla1[[#This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6]]*K40</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$D$18*(1+BASES!$E$10)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(6)]]*$D$18*VLOOKUP(Tabla1[[#This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7]]*L40</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$D$19*(1+BASES!$E$10)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(7)]]*$D$19*VLOOKUP(Tabla1[[#This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8]]*M40</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$D$20*(1+BASES!$E$10)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(8)]]*$D$20*VLOOKUP(Tabla1[[#This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9 ]]*N40</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$D$21*(1+BASES!$E$10)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(9)]]*$D$21*VLOOKUP(Tabla1[[#This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10]]*O40</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$D$22*(1+BASES!$E$10)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(10)]]*$D$22*VLOOKUP(Tabla1[[#This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11]]*P40</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$D$23*(1+BASES!$E$10)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(11)]]*$D$23*VLOOKUP(Tabla1[[#This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12]]*Q40</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$D$24*(1+BASES!$E$10)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(12)]]*$D$24*VLOOKUP(Tabla1[[#This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13]]*R40</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$D$25*(1+BASES!$E$10)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(13)]]*$D$25*VLOOKUP(Tabla1[[#This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14]]*S40</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$D$26*(1+BASES!$E$10)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(14)]]*$D$26*VLOOKUP(Tabla1[[#This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15]]*T40</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$D$27*(1+BASES!$E$10)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(15)]]*$D$27*VLOOKUP(Tabla1[[#This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16]]*U40</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$D$28*(1+BASES!$E$10)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(16)]]*$D$28*VLOOKUP(Tabla1[[#This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17]]*V40</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$D$29*(1+BASES!$E$10)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(17)]]*$D$29*VLOOKUP(Tabla1[[#This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18 ]]*W40</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$D$30*(1+BASES!$E$10)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(18)]]*$D$30*VLOOKUP(Tabla1[[#This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19]]*X40</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$D$31*(1+BASES!$E$10)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(19)]]*$D$31*VLOOKUP(Tabla1[[#This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20 ]]*Y40</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$D$32*(1+BASES!$E$10)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(20)]]*$D$32*VLOOKUP(Tabla1[[#This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2:C82" totalsRowShown="0" headerRowDxfId="515" dataDxfId="514">
  <autoFilter ref="B72:C82" xr:uid="{CF47DD9D-76B6-4A45-AC25-B4F2FF81B07F}"/>
  <tableColumns count="2">
    <tableColumn id="1" xr3:uid="{F1C9D181-5CDC-4BB5-B089-7CD5EFFAFC78}" name="MANO DE OBRA DIRECTA " dataDxfId="513"/>
    <tableColumn id="2" xr3:uid="{B8F61B49-C689-4166-B4DD-24C5388ADC47}"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89:D91" totalsRowShown="0" headerRowDxfId="511" dataDxfId="510">
  <autoFilter ref="C89:D91" xr:uid="{5AC3035C-B0FE-44CA-A89F-34C1F88B1D25}"/>
  <tableColumns count="2">
    <tableColumn id="1" xr3:uid="{AA76CECF-950A-4E75-8475-6F67ABB03C54}" name="CÓDIGO DEL PRODUCTO Y/O SERVICIO " dataDxfId="509"/>
    <tableColumn id="2" xr3:uid="{4EB64DBA-4A2A-44B7-A422-066B42DD6900}" name="NOMBRE DEL PRODUCTO Y/O SERVICIO " dataDxfId="508">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27:C137" totalsRowShown="0" headerRowDxfId="507" dataDxfId="506">
  <autoFilter ref="B127:C137" xr:uid="{AC1DEA97-0629-4357-AA53-7931826FC080}"/>
  <tableColumns count="2">
    <tableColumn id="1" xr3:uid="{DA6A728F-3570-41C9-A01A-22CB62DBA101}" name="COSTO INDIRECTO" dataDxfId="505"/>
    <tableColumn id="2" xr3:uid="{E69B7657-6445-45AC-B9D3-C593CE287E88}"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44:D146" totalsRowShown="0" headerRowDxfId="503" dataDxfId="502">
  <autoFilter ref="C144:D146" xr:uid="{5F3DDDE0-1B5D-45B3-8B1D-02B463DCEB01}"/>
  <tableColumns count="2">
    <tableColumn id="1" xr3:uid="{4BCDA98F-1C30-4435-A207-D843B3C6CD80}" name="CÓDIGO DEL PRODUCTO Y/O SERVICIO " dataDxfId="501"/>
    <tableColumn id="2" xr3:uid="{38455D50-F196-40D4-8CE2-C39A669F4131}" name="NOMBRE DEL PRODUCTO Y/O SERVICIO " dataDxfId="500">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06:HB108" totalsRowShown="0" headerRowDxfId="499" dataDxfId="498">
  <autoFilter ref="C106:HB108" xr:uid="{2BB20568-6FB4-4F66-BA91-2BDC5D690B61}"/>
  <tableColumns count="208">
    <tableColumn id="1" xr3:uid="{9187F3B9-36D7-404D-A347-0EBF4B8A4D24}" name="CÓDIGO DEL PRODUCTO Y/O SERVICIO " dataDxfId="497"/>
    <tableColumn id="2" xr3:uid="{AA74ACB2-5B81-4DEF-B635-F042268DC397}" name="NOMBRE DEL PRODUCTO Y/O SERVICIO " dataDxfId="496">
      <calculatedColumnFormula>VLOOKUP(Tabla16[[#This Row],[CÓDIGO DEL PRODUCTO Y/O SERVICIO ]],Tabla3[],2,0)</calculatedColumnFormula>
    </tableColumn>
    <tableColumn id="3" xr3:uid="{172465DE-749E-46C2-A320-E552AE78CB6B}" name="Columna1" dataDxfId="495"/>
    <tableColumn id="4" xr3:uid="{0443F505-3FC7-4F7D-95A6-FA3E72FFD188}" name="UNIDADES PRODUCIDAS AÑO 1 1" dataDxfId="494">
      <calculatedColumnFormula>VLOOKUP(Tabla16[[#This Row],[CÓDIGO DEL PRODUCTO Y/O SERVICIO ]],Tabla3[],3)</calculatedColumnFormula>
    </tableColumn>
    <tableColumn id="5" xr3:uid="{9FF02C1A-8835-45DF-A3A1-A215EC0AA624}" name="CANTIDADES A UTILIZAR EN EL AÑO 1 1" dataDxfId="493">
      <calculatedColumnFormula>Tabla16[[#This Row],[UNIDADES PRODUCIDAS AÑO 1 1]]*F90</calculatedColumnFormula>
    </tableColumn>
    <tableColumn id="6" xr3:uid="{AF7B89C3-E37F-4074-87B5-1F31FEB3A7CC}" name="CAMBIO PORCENTUAL EN UNIDADES VENDIDAS AÑO 2 1" dataDxfId="492">
      <calculatedColumnFormula>VLOOKUP(Tabla16[[#This Row],[CÓDIGO DEL PRODUCTO Y/O SERVICIO ]],Tabla3[],9)</calculatedColumnFormula>
    </tableColumn>
    <tableColumn id="7" xr3:uid="{9FC91EA1-8F18-48CC-BDB6-52FC61D6985E}" name="CANTIDADES  A UTILIZAR EN EL AÑO 2 1" dataDxfId="491">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0">
      <calculatedColumnFormula>VLOOKUP(Tabla16[[#This Row],[CÓDIGO DEL PRODUCTO Y/O SERVICIO ]],Tabla3[],13)</calculatedColumnFormula>
    </tableColumn>
    <tableColumn id="9" xr3:uid="{6DDE2460-3654-4FDF-A823-0FA6CF9BCAAE}" name="CANTIDADES A UTILIZAR EN EL AÑO 3 1" dataDxfId="489">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88">
      <calculatedColumnFormula>VLOOKUP(Tabla16[[#This Row],[CÓDIGO DEL PRODUCTO Y/O SERVICIO ]],Tabla3[],17)</calculatedColumnFormula>
    </tableColumn>
    <tableColumn id="11" xr3:uid="{2C80579B-CC74-4790-875A-581A4E45A6F1}" name="CANTIDADES A UTILIZAR EN EL AÑO 4 1 " dataDxfId="487">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6">
      <calculatedColumnFormula>VLOOKUP(Tabla16[[#This Row],[CÓDIGO DEL PRODUCTO Y/O SERVICIO ]],Tabla3[],21)</calculatedColumnFormula>
    </tableColumn>
    <tableColumn id="13" xr3:uid="{527550A3-8B3C-4B42-85BB-70ED60E13B39}" name="CANTIDADES A UTILIZAR AÑO 5 1" dataDxfId="485">
      <calculatedColumnFormula>Tabla16[[#This Row],[CANTIDADES A UTILIZAR EN EL AÑO 4 1 ]]*(1+Tabla16[[#This Row],[CAMBIO PORCENTUAL EN UNIDADES VENDIDAS AÑO 5 1]])</calculatedColumnFormula>
    </tableColumn>
    <tableColumn id="14" xr3:uid="{C68CB925-525E-48D5-BC67-6EFE7BAEA83C}"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3">
      <calculatedColumnFormula>$C$73*(1+BASES!$E$10)</calculatedColumnFormula>
    </tableColumn>
    <tableColumn id="16" xr3:uid="{7EDB5148-C308-4507-9690-7B8A356DCA0E}" name="COSTO UNITARIO AÑO 3 1" dataDxfId="482">
      <calculatedColumnFormula>Tabla16[[#This Row],[COSTO UNITARIO AÑO 2 1]]*(1+BASES!$F$10)</calculatedColumnFormula>
    </tableColumn>
    <tableColumn id="17" xr3:uid="{A8EE67BC-647C-4338-9D62-9BC2B93DD95D}" name="COSTO UNITARIO AÑO 4 1" dataDxfId="481">
      <calculatedColumnFormula>Tabla16[[#This Row],[COSTO UNITARIO AÑO 3 1]]*(1+BASES!$G$10)</calculatedColumnFormula>
    </tableColumn>
    <tableColumn id="18" xr3:uid="{55A86F48-7CB3-4F7C-BEF5-673E9CA0DC59}" name="COSTO UNITARIO AÑO 5 1" dataDxfId="480">
      <calculatedColumnFormula>Tabla16[[#This Row],[COSTO UNITARIO AÑO 4 1]]*(1+BASES!$H$10)</calculatedColumnFormula>
    </tableColumn>
    <tableColumn id="19" xr3:uid="{0A963C25-31E2-4F95-B907-00ACE403CF1F}" name="AÑO 1 1" dataDxfId="479">
      <calculatedColumnFormula>Tabla16[[#This Row],[COSTO POR UNIDAD DE PRODUCTO (1)]]*$C$73*VLOOKUP(Tabla16[[#This Row],[CÓDIGO DEL PRODUCTO Y/O SERVICIO ]],Tabla3[],3)</calculatedColumnFormula>
    </tableColumn>
    <tableColumn id="20" xr3:uid="{AE749520-4580-4537-8DBC-CDEB5BBE2D93}" name="AÑO 2 1" dataDxfId="478">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7">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6">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5">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4">
      <calculatedColumnFormula>VLOOKUP(Tabla16[[#This Row],[CÓDIGO DEL PRODUCTO Y/O SERVICIO ]],Tabla3[],3)</calculatedColumnFormula>
    </tableColumn>
    <tableColumn id="25" xr3:uid="{124D0783-F47E-4BA7-BE1E-5A55CC883B19}" name="CANTIDADES A UTILIZAR EN EL AÑO 1 2" dataDxfId="473">
      <calculatedColumnFormula>Tabla16[[#This Row],[UNIDADES PRODUCIDAS AÑO 1 2]]*G90</calculatedColumnFormula>
    </tableColumn>
    <tableColumn id="26" xr3:uid="{409AAA1B-C9B0-4A4E-89A9-76C534E9CBBB}" name="CAMBIO PORCENTUAL EN UNIDADES VENDIDAS AÑO 2 2" dataDxfId="472">
      <calculatedColumnFormula>VLOOKUP(Tabla16[[#This Row],[CÓDIGO DEL PRODUCTO Y/O SERVICIO ]],Tabla3[],9)</calculatedColumnFormula>
    </tableColumn>
    <tableColumn id="27" xr3:uid="{8CA819CF-29BB-4641-967D-A3B09DDF663F}" name="CANTIDADES A UTILIZAR EN EL AÑO 2 2" dataDxfId="471">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0">
      <calculatedColumnFormula>VLOOKUP(Tabla16[[#This Row],[CÓDIGO DEL PRODUCTO Y/O SERVICIO ]],Tabla3[],13)</calculatedColumnFormula>
    </tableColumn>
    <tableColumn id="29" xr3:uid="{4793C33A-B954-4638-BEA3-28104C87BD7A}" name="CANTIDADES A UTILIZAR EN EL AÑO 3 2" dataDxfId="469">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68">
      <calculatedColumnFormula>VLOOKUP(Tabla16[[#This Row],[CÓDIGO DEL PRODUCTO Y/O SERVICIO ]],Tabla3[],17)</calculatedColumnFormula>
    </tableColumn>
    <tableColumn id="31" xr3:uid="{6264F66E-7ACE-409E-A553-6E198499F26B}" name="CANTIDADES A UTILIZAR EN EL AÑO 4 2" dataDxfId="467">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6">
      <calculatedColumnFormula>VLOOKUP(Tabla16[[#This Row],[CÓDIGO DEL PRODUCTO Y/O SERVICIO ]],Tabla3[],21)</calculatedColumnFormula>
    </tableColumn>
    <tableColumn id="33" xr3:uid="{C5409D6F-ED81-47FA-9FB2-99B3662069F3}" name="CANTIDADES A UTILIZAR AÑO 5 2" dataDxfId="465">
      <calculatedColumnFormula>Tabla16[[#This Row],[CANTIDADES A UTILIZAR EN EL AÑO 4 2]]*(1+Tabla16[[#This Row],[CAMBIO PORCENTUAL EN UNIDADES VENDIDAS AÑO 5 2]])</calculatedColumnFormula>
    </tableColumn>
    <tableColumn id="34" xr3:uid="{DB04D2DF-DE32-4E8A-A182-46071C9E45BE}"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3">
      <calculatedColumnFormula>$C$74*(1+BASES!$E$10)</calculatedColumnFormula>
    </tableColumn>
    <tableColumn id="36" xr3:uid="{9262D71B-71C3-4498-9075-9E7B4ACDDA61}" name="COSTO UNITARIO AÑO 3 2" dataDxfId="462">
      <calculatedColumnFormula>Tabla16[[#This Row],[COSTO UNITARIO AÑO 2 2]]*(1+BASES!$F$10)</calculatedColumnFormula>
    </tableColumn>
    <tableColumn id="37" xr3:uid="{1229C892-2EC8-4DE4-9C66-7E9B5DABE140}" name="COSTO UNITARIO AÑO 4 2" dataDxfId="461">
      <calculatedColumnFormula>Tabla16[[#This Row],[COSTO UNITARIO AÑO 3 2]]*(1+BASES!$G$10)</calculatedColumnFormula>
    </tableColumn>
    <tableColumn id="38" xr3:uid="{A81310B8-F879-4A61-9C49-88B04ECA2623}" name="COSTO UNITARIO AÑO 5 2 " dataDxfId="460">
      <calculatedColumnFormula>Tabla16[[#This Row],[COSTO UNITARIO AÑO 4 2]]*(1+BASES!$H$10)</calculatedColumnFormula>
    </tableColumn>
    <tableColumn id="39" xr3:uid="{13C62BC5-4B01-4BB8-B87D-FBF645C5E39C}" name="AÑO 1 2" dataDxfId="459">
      <calculatedColumnFormula>Tabla16[[#This Row],[COSTO POR UNIDAD DE PRODUCTO (2) ]]*$C$74*VLOOKUP(Tabla16[[#This Row],[CÓDIGO DEL PRODUCTO Y/O SERVICIO ]],Tabla3[],3)</calculatedColumnFormula>
    </tableColumn>
    <tableColumn id="40" xr3:uid="{B94876D7-237D-4ECF-8F06-3C4D7148B434}" name="AÑO 2 2" dataDxfId="458">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7">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6">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5">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4">
      <calculatedColumnFormula>VLOOKUP(Tabla16[[#This Row],[CÓDIGO DEL PRODUCTO Y/O SERVICIO ]],Tabla3[],3)</calculatedColumnFormula>
    </tableColumn>
    <tableColumn id="45" xr3:uid="{15FB877C-9717-4222-B5F9-4676DAA5DFDB}" name="CANTIDADES A UTILIZAR EN EL AÑO 1 3" dataDxfId="453">
      <calculatedColumnFormula>Tabla16[[#This Row],[UNIDADES PRODUCIDAS AÑO 1 3]]*H90</calculatedColumnFormula>
    </tableColumn>
    <tableColumn id="46" xr3:uid="{1437E036-F7D8-4410-B5E4-627C36EFEF40}" name="CAMBIO PORCENTUAL EN UNIDADES VENDIDAS AÑO 2 3" dataDxfId="452">
      <calculatedColumnFormula>VLOOKUP(Tabla16[[#This Row],[CÓDIGO DEL PRODUCTO Y/O SERVICIO ]],Tabla3[],9)</calculatedColumnFormula>
    </tableColumn>
    <tableColumn id="47" xr3:uid="{98277C8F-B6D9-4225-B919-3EBBBB549408}" name="CANTIDADES A UTILIZAR EN EL AÑO 2 3" dataDxfId="451">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0">
      <calculatedColumnFormula>VLOOKUP(Tabla16[[#This Row],[CÓDIGO DEL PRODUCTO Y/O SERVICIO ]],Tabla3[],13)</calculatedColumnFormula>
    </tableColumn>
    <tableColumn id="49" xr3:uid="{72970C05-BEB4-47EE-8447-D104D55EA94C}" name="CANTIDADES A UTILIZAR EN EL AÑO 3 3" dataDxfId="449">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48">
      <calculatedColumnFormula>VLOOKUP(Tabla16[[#This Row],[CÓDIGO DEL PRODUCTO Y/O SERVICIO ]],Tabla3[],17)</calculatedColumnFormula>
    </tableColumn>
    <tableColumn id="51" xr3:uid="{31F36C46-65A7-4566-9459-BB1926FA9869}" name="CANTIDADES A UTILIZAR EN EL AÑO 4 3" dataDxfId="447">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6">
      <calculatedColumnFormula>VLOOKUP(Tabla16[[#This Row],[CÓDIGO DEL PRODUCTO Y/O SERVICIO ]],Tabla3[],21)</calculatedColumnFormula>
    </tableColumn>
    <tableColumn id="53" xr3:uid="{20D58F7A-4A0A-40FB-A80A-FA8FE192C336}" name="CANTIDADES A UTILIZAR AÑO 5 3" dataDxfId="445">
      <calculatedColumnFormula>Tabla16[[#This Row],[CANTIDADES A UTILIZAR EN EL AÑO 4 3]]*(1+Tabla16[[#This Row],[CAMBIO PORCENTUAL EN UNIDADES VENDIDAS AÑO 5 3]])</calculatedColumnFormula>
    </tableColumn>
    <tableColumn id="54" xr3:uid="{58282D38-1FCC-4FBE-A89A-B58999576FB6}"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3">
      <calculatedColumnFormula>$C$75*(1+BASES!$E$10)</calculatedColumnFormula>
    </tableColumn>
    <tableColumn id="56" xr3:uid="{C99218A6-1776-4B1B-BFD8-CBB1A84B4920}" name="COSTO UNITARIO AÑO 3 3" dataDxfId="442">
      <calculatedColumnFormula>Tabla16[[#This Row],[COSTO UNITARIO AÑO 2 3]]*(1+BASES!$F$10)</calculatedColumnFormula>
    </tableColumn>
    <tableColumn id="57" xr3:uid="{78DB5E33-07C7-4F02-A113-365715327B53}" name="COSTO UNITARIO AÑO 4 3" dataDxfId="441">
      <calculatedColumnFormula>Tabla16[[#This Row],[COSTO UNITARIO AÑO 3 3]]*(1+BASES!$G$10)</calculatedColumnFormula>
    </tableColumn>
    <tableColumn id="58" xr3:uid="{780360F5-9AE6-4C8E-BC71-BE6D2F2DC3FA}" name="COSTO UNITARIO AÑO 5 3" dataDxfId="440">
      <calculatedColumnFormula>Tabla16[[#This Row],[COSTO UNITARIO AÑO 4 3]]*(1+BASES!$H$10)</calculatedColumnFormula>
    </tableColumn>
    <tableColumn id="59" xr3:uid="{8CF95F5C-CD45-4727-9251-E06BE963F212}" name="AÑO 1 3" dataDxfId="439">
      <calculatedColumnFormula>Tabla16[[#This Row],[COSTO POR UNIDAD DE PRODUCTO (3) ]]*$C$75*VLOOKUP(Tabla16[[#This Row],[CÓDIGO DEL PRODUCTO Y/O SERVICIO ]],Tabla3[],3)</calculatedColumnFormula>
    </tableColumn>
    <tableColumn id="60" xr3:uid="{1CA70EF4-C99B-4C71-B8ED-34AC1155AE3F}" name="AÑO 2 3" dataDxfId="438">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7">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6">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5">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4">
      <calculatedColumnFormula>VLOOKUP(Tabla16[[#This Row],[CÓDIGO DEL PRODUCTO Y/O SERVICIO ]],Tabla3[],3)</calculatedColumnFormula>
    </tableColumn>
    <tableColumn id="65" xr3:uid="{D1328A2D-33F8-4E34-B04B-8123E398FCD4}" name="CANTIDADES A UTILIZAR EN EL AÑO 1 4" dataDxfId="433">
      <calculatedColumnFormula>Tabla16[[#This Row],[UNIDADES PRODUCIDAS AÑO 1 4]]*I90</calculatedColumnFormula>
    </tableColumn>
    <tableColumn id="66" xr3:uid="{2859EA28-87FC-4482-B4B3-9AA447F1FB72}" name="CAMBIO PORCENTUAL EN UNIDADES VENDIDAS AÑO 2 4" dataDxfId="432">
      <calculatedColumnFormula>VLOOKUP(Tabla16[[#This Row],[CÓDIGO DEL PRODUCTO Y/O SERVICIO ]],Tabla3[],9)</calculatedColumnFormula>
    </tableColumn>
    <tableColumn id="67" xr3:uid="{1EFD632D-1656-43B6-9255-BB47674982ED}" name="CANTIDADES A UTILIZAR EN EL AÑO 2 4" dataDxfId="431">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0">
      <calculatedColumnFormula>VLOOKUP(Tabla16[[#This Row],[CÓDIGO DEL PRODUCTO Y/O SERVICIO ]],Tabla3[],13)</calculatedColumnFormula>
    </tableColumn>
    <tableColumn id="69" xr3:uid="{B2226AAD-E20F-41A3-AA93-A366D2F7150A}" name="CANTIDADES A UTILIZAR EN EL AÑO 3 4" dataDxfId="429">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28">
      <calculatedColumnFormula>VLOOKUP(Tabla16[[#This Row],[CÓDIGO DEL PRODUCTO Y/O SERVICIO ]],Tabla3[],17)</calculatedColumnFormula>
    </tableColumn>
    <tableColumn id="71" xr3:uid="{A3FBA6DE-7695-4B5D-B6E2-5221847112D9}" name="CANTIDADES A UTILIZAR EN EL AÑO 4 4" dataDxfId="427">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6">
      <calculatedColumnFormula>VLOOKUP(Tabla16[[#This Row],[CÓDIGO DEL PRODUCTO Y/O SERVICIO ]],Tabla3[],21)</calculatedColumnFormula>
    </tableColumn>
    <tableColumn id="73" xr3:uid="{EE61E3D3-C459-423A-A3C0-76ACBA4301CA}" name="CANTIDADES A UTILIZAR AÑO 5 4 " dataDxfId="425">
      <calculatedColumnFormula>Tabla16[[#This Row],[CANTIDADES A UTILIZAR EN EL AÑO 4 4]]*(1+Tabla16[[#This Row],[CAMBIO PORCENTUAL EN UNIDADES VENDIDAS AÑO 5 4]])</calculatedColumnFormula>
    </tableColumn>
    <tableColumn id="74" xr3:uid="{7EEB02BC-2933-4E5E-A63B-D2D171124D87}"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3">
      <calculatedColumnFormula>$C$76*(1+BASES!$E$10)</calculatedColumnFormula>
    </tableColumn>
    <tableColumn id="76" xr3:uid="{823B32F3-7F62-4E46-B729-373DEB7A5411}" name="COSTO UNITARIO AÑO 3 4 " dataDxfId="422">
      <calculatedColumnFormula>Tabla16[[#This Row],[COSTO UNITARIO AÑO 2 4]]*(1+BASES!$F$10)</calculatedColumnFormula>
    </tableColumn>
    <tableColumn id="77" xr3:uid="{67BCECB7-0DE4-497C-A890-664745FFA0B1}" name="COSTO UNITARIO AÑO 4 4" dataDxfId="421">
      <calculatedColumnFormula>Tabla16[[#This Row],[COSTO UNITARIO AÑO 3 4 ]]*(1+BASES!$G$10)</calculatedColumnFormula>
    </tableColumn>
    <tableColumn id="78" xr3:uid="{1A21634B-C5BD-47CC-B386-FB5899FD7677}" name="COSTO UNITARIO AÑO 5 4 " dataDxfId="420">
      <calculatedColumnFormula>Tabla16[[#This Row],[COSTO UNITARIO AÑO 4 4]]*(1+BASES!$H$10)</calculatedColumnFormula>
    </tableColumn>
    <tableColumn id="79" xr3:uid="{4B8E23B7-2EFA-47EA-8CF3-E2EA955E4CB9}" name="AÑO 1 4" dataDxfId="419">
      <calculatedColumnFormula>Tabla16[[#This Row],[COSTO POR UNIDAD DE PRODUCTO (4)]]*$C$76*VLOOKUP(Tabla16[[#This Row],[CÓDIGO DEL PRODUCTO Y/O SERVICIO ]],Tabla3[],3)</calculatedColumnFormula>
    </tableColumn>
    <tableColumn id="80" xr3:uid="{1EC195A9-06BB-406D-AEF8-12D95E6917F8}" name="AÑO 2 4" dataDxfId="418">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7">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6">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5">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4">
      <calculatedColumnFormula>VLOOKUP(Tabla16[[#This Row],[CÓDIGO DEL PRODUCTO Y/O SERVICIO ]],Tabla3[],3)</calculatedColumnFormula>
    </tableColumn>
    <tableColumn id="85" xr3:uid="{BD46E856-198B-40FE-9652-95F033BC55CC}" name="CANTIDADES A UTILIZAR EN EL AÑO 1 5" dataDxfId="413">
      <calculatedColumnFormula>Tabla16[[#This Row],[UNIDADES PRODUCIDAS AÑO 1 5]]*J90</calculatedColumnFormula>
    </tableColumn>
    <tableColumn id="86" xr3:uid="{28C51E14-64D4-4606-9F7F-16E4F718FD0C}" name="CAMBIO PORCENTUAL EN UNIDADES VENDIDAS AÑO 2 5" dataDxfId="412">
      <calculatedColumnFormula>VLOOKUP(Tabla16[[#This Row],[CÓDIGO DEL PRODUCTO Y/O SERVICIO ]],Tabla3[],9)</calculatedColumnFormula>
    </tableColumn>
    <tableColumn id="87" xr3:uid="{85D572F8-7E12-4C6E-B98C-829AB87089A3}" name="CANTIDADES A UTILIZAR EN EL AÑO 2 5" dataDxfId="411">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0">
      <calculatedColumnFormula>VLOOKUP(Tabla16[[#This Row],[CÓDIGO DEL PRODUCTO Y/O SERVICIO ]],Tabla3[],13)</calculatedColumnFormula>
    </tableColumn>
    <tableColumn id="89" xr3:uid="{263A1061-3DC8-4E01-B667-6770C8370DB6}" name="CANTIDADES A UTILIZAR EN EL AÑO 3 5 " dataDxfId="409">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08">
      <calculatedColumnFormula>VLOOKUP(Tabla16[[#This Row],[CÓDIGO DEL PRODUCTO Y/O SERVICIO ]],Tabla3[],17)</calculatedColumnFormula>
    </tableColumn>
    <tableColumn id="91" xr3:uid="{63E9DFE3-B1AC-44A4-A1EC-BE5D6B36165F}" name="CANTIDADES A UTILIZAR EN EL AÑO 4 5" dataDxfId="407">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6">
      <calculatedColumnFormula>VLOOKUP(Tabla16[[#This Row],[CÓDIGO DEL PRODUCTO Y/O SERVICIO ]],Tabla3[],21)</calculatedColumnFormula>
    </tableColumn>
    <tableColumn id="93" xr3:uid="{0CF82162-80CD-47E4-8318-BB556160189F}" name="CANTIDADES A UTILIZAR AÑO 5 5" dataDxfId="405">
      <calculatedColumnFormula>Tabla16[[#This Row],[CANTIDADES A UTILIZAR EN EL AÑO 4 5]]*(1+Tabla16[[#This Row],[CAMBIO PORCENTUAL EN UNIDADES VENDIDAS AÑO 5 5]])</calculatedColumnFormula>
    </tableColumn>
    <tableColumn id="94" xr3:uid="{5F76DADC-7C3E-4D2B-A284-58AB3E45EB8F}"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3">
      <calculatedColumnFormula>$C$77*(1+BASES!$E$10)</calculatedColumnFormula>
    </tableColumn>
    <tableColumn id="96" xr3:uid="{5ED75F6A-0A32-45AD-91C0-653E687C0037}" name="COSTO UNITARIO AÑO 3 5" dataDxfId="402">
      <calculatedColumnFormula>Tabla16[[#This Row],[COSTO UNITARIO AÑO 2 5]]*(1+BASES!$F$10)</calculatedColumnFormula>
    </tableColumn>
    <tableColumn id="97" xr3:uid="{F005DE08-DA4E-4A51-A5B3-F336FA2A5C28}" name="COSTO UNITARIO AÑO 4 5" dataDxfId="401">
      <calculatedColumnFormula>Tabla16[[#This Row],[COSTO UNITARIO AÑO 3 5]]*(1+BASES!$G$10)</calculatedColumnFormula>
    </tableColumn>
    <tableColumn id="98" xr3:uid="{9F1613C4-6E75-4CD3-A5A2-7D3F924B85C6}" name="COSTO UNITARIO AÑO 5 5" dataDxfId="400">
      <calculatedColumnFormula>Tabla16[[#This Row],[COSTO UNITARIO AÑO 4 5]]*(1+BASES!$H$10)</calculatedColumnFormula>
    </tableColumn>
    <tableColumn id="99" xr3:uid="{E15C5AEE-DB7C-4C6D-8D61-940B950C136E}" name="AÑO 1 5" dataDxfId="399">
      <calculatedColumnFormula>Tabla16[[#This Row],[COSTO POR UNIDAD DE PRODUCTO (5) ]]*$C$77*VLOOKUP(Tabla16[[#This Row],[CÓDIGO DEL PRODUCTO Y/O SERVICIO ]],Tabla3[],3)</calculatedColumnFormula>
    </tableColumn>
    <tableColumn id="100" xr3:uid="{310F7505-09E3-4559-B459-16300ABF8B1F}" name="AÑO 2 5" dataDxfId="398">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7">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6">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5">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4">
      <calculatedColumnFormula>VLOOKUP(Tabla16[[#This Row],[CÓDIGO DEL PRODUCTO Y/O SERVICIO ]],Tabla3[],3)</calculatedColumnFormula>
    </tableColumn>
    <tableColumn id="105" xr3:uid="{CB0A67D8-FCA5-4726-BAE3-E72740C32B13}" name="CANTIDADES A UTILIZAR EN EL AÑO 1 6" dataDxfId="393">
      <calculatedColumnFormula>Tabla16[[#This Row],[UNIDADES PRODUCIDAS AÑO 1 6]]*K90</calculatedColumnFormula>
    </tableColumn>
    <tableColumn id="106" xr3:uid="{21D13AB6-21B1-49D3-8A0C-17CC2BCC9F0B}" name="CAMBIO PORCENTUAL EN UNIDADES VENDIDAS AÑO 2 6" dataDxfId="392">
      <calculatedColumnFormula>VLOOKUP(Tabla16[[#This Row],[CÓDIGO DEL PRODUCTO Y/O SERVICIO ]],Tabla3[],9)</calculatedColumnFormula>
    </tableColumn>
    <tableColumn id="107" xr3:uid="{FA0080DF-CE73-4524-9C65-CDA1A0203578}" name="CANTIDADES A UTILIZAR EN EL AÑO 2 6" dataDxfId="391">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0">
      <calculatedColumnFormula>VLOOKUP(Tabla16[[#This Row],[CÓDIGO DEL PRODUCTO Y/O SERVICIO ]],Tabla3[],13)</calculatedColumnFormula>
    </tableColumn>
    <tableColumn id="109" xr3:uid="{16C9FD5A-061C-441E-90BF-941CB76DAABA}" name="CANTIDADES A UTILIZAR EN EL AÑO 3 6" dataDxfId="389">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88">
      <calculatedColumnFormula>VLOOKUP(Tabla16[[#This Row],[CÓDIGO DEL PRODUCTO Y/O SERVICIO ]],Tabla3[],17)</calculatedColumnFormula>
    </tableColumn>
    <tableColumn id="111" xr3:uid="{BF77E86B-236F-42D8-AC22-B9075B9F7410}" name="CANTIDADES A UTILIZAR EN EL AÑO 4 6" dataDxfId="387">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6">
      <calculatedColumnFormula>VLOOKUP(Tabla16[[#This Row],[CÓDIGO DEL PRODUCTO Y/O SERVICIO ]],Tabla3[],21)</calculatedColumnFormula>
    </tableColumn>
    <tableColumn id="113" xr3:uid="{9525533A-491E-4A19-A4F2-D2DE26BE28E9}" name="CANTIDADES A UTILIZAR AÑO 5 6" dataDxfId="385">
      <calculatedColumnFormula>Tabla16[[#This Row],[CANTIDADES A UTILIZAR EN EL AÑO 4 6]]*(1+Tabla16[[#This Row],[CAMBIO PORCENTUAL EN UNIDADES VENDIDAS AÑO 5 6]])</calculatedColumnFormula>
    </tableColumn>
    <tableColumn id="114" xr3:uid="{F491860A-7257-45F9-AE5A-184A21EFC43E}"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3">
      <calculatedColumnFormula>$C$78*(1+BASES!$E$10)</calculatedColumnFormula>
    </tableColumn>
    <tableColumn id="116" xr3:uid="{BD81ED1C-DB6E-4CA9-9CA4-5312EBB12B93}" name="COSTO UNITARIO AÑO 3 6" dataDxfId="382">
      <calculatedColumnFormula>Tabla16[[#This Row],[COSTO UNITARIO AÑO 2 6]]*(1+BASES!$F$10)</calculatedColumnFormula>
    </tableColumn>
    <tableColumn id="117" xr3:uid="{78959C5E-FF7F-41DC-B6EB-D2EBA35D4432}" name="COSTO UNITARIO AÑO 4 6" dataDxfId="381">
      <calculatedColumnFormula>Tabla16[[#This Row],[COSTO UNITARIO AÑO 3 6]]*(1+BASES!$G$10)</calculatedColumnFormula>
    </tableColumn>
    <tableColumn id="118" xr3:uid="{C4213E78-0314-4EFC-A7EF-28FE6E07EA7D}" name="COSTO UNITARIO AÑO 5 6" dataDxfId="380">
      <calculatedColumnFormula>Tabla16[[#This Row],[COSTO UNITARIO AÑO 4 6]]*(1+BASES!$H$10)</calculatedColumnFormula>
    </tableColumn>
    <tableColumn id="119" xr3:uid="{59506B77-E685-47D9-92B8-6EA5AAEDE884}" name="AÑO 1 6" dataDxfId="379">
      <calculatedColumnFormula>Tabla16[[#This Row],[COSTO POR UNIDAD DE PRODUCTO (6) ]]*$C$78*VLOOKUP(Tabla16[[#This Row],[CÓDIGO DEL PRODUCTO Y/O SERVICIO ]],Tabla3[],3)</calculatedColumnFormula>
    </tableColumn>
    <tableColumn id="120" xr3:uid="{3B4EE0DD-C332-4E3C-A742-FAAB10F4B271}" name="AÑO 2 6" dataDxfId="378">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7">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6">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5">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4">
      <calculatedColumnFormula>VLOOKUP(Tabla16[[#This Row],[CÓDIGO DEL PRODUCTO Y/O SERVICIO ]],Tabla3[],3)</calculatedColumnFormula>
    </tableColumn>
    <tableColumn id="125" xr3:uid="{42240BF4-739E-400B-B460-E3A08F08041A}" name="CANTIDADES A UTILIZAR EN EL AÑO 1 7" dataDxfId="373">
      <calculatedColumnFormula>Tabla16[[#This Row],[UNIDADES PRODUCIDAS AÑO 1 7]]*L90</calculatedColumnFormula>
    </tableColumn>
    <tableColumn id="126" xr3:uid="{94DFF873-095D-4A24-A80C-FD44975921E1}" name="CAMBIO PORCENTUAL EN UNIDADES VENDIDAS AÑO 2 7" dataDxfId="372">
      <calculatedColumnFormula>VLOOKUP(Tabla16[[#This Row],[CÓDIGO DEL PRODUCTO Y/O SERVICIO ]],Tabla3[],9)</calculatedColumnFormula>
    </tableColumn>
    <tableColumn id="127" xr3:uid="{186F3474-8A32-4A4F-A0DF-9859A69D22B1}" name="CANTIDADES A UTILIZAR EN EL AÑO 2 7" dataDxfId="371">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0">
      <calculatedColumnFormula>VLOOKUP(Tabla16[[#This Row],[CÓDIGO DEL PRODUCTO Y/O SERVICIO ]],Tabla3[],13)</calculatedColumnFormula>
    </tableColumn>
    <tableColumn id="129" xr3:uid="{427484B0-44A4-407F-9FCD-83492D662830}" name="CANTIDADES A UTILIZAR EN EL AÑO 3 7" dataDxfId="369">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68">
      <calculatedColumnFormula>VLOOKUP(Tabla16[[#This Row],[CÓDIGO DEL PRODUCTO Y/O SERVICIO ]],Tabla3[],17)</calculatedColumnFormula>
    </tableColumn>
    <tableColumn id="131" xr3:uid="{4C9372DF-DAC0-4F27-80A9-FFDA69D3466F}" name="CANTIDADES A UTILIZAR EN EL AÑO 4 7" dataDxfId="367">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6">
      <calculatedColumnFormula>VLOOKUP(Tabla16[[#This Row],[CÓDIGO DEL PRODUCTO Y/O SERVICIO ]],Tabla3[],21)</calculatedColumnFormula>
    </tableColumn>
    <tableColumn id="133" xr3:uid="{B2A90202-3254-4B11-97E2-FCD0ABCAF3C0}" name="CANTIDADES A UTILIZAR AÑO 5 7" dataDxfId="365">
      <calculatedColumnFormula>Tabla16[[#This Row],[CANTIDADES A UTILIZAR EN EL AÑO 4 7]]*(1+Tabla16[[#This Row],[CAMBIO PORCENTUAL EN UNIDADES VENDIDAS AÑO 5 7]])</calculatedColumnFormula>
    </tableColumn>
    <tableColumn id="134" xr3:uid="{9B55705B-FEA5-43BC-95CD-65AE158D6E4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3">
      <calculatedColumnFormula>$C$79*(1+BASES!$E$10)</calculatedColumnFormula>
    </tableColumn>
    <tableColumn id="136" xr3:uid="{B4536906-06B4-420F-B223-36945B8F384F}" name="COSTO UNITARIO AÑO 3 7" dataDxfId="362">
      <calculatedColumnFormula>Tabla16[[#This Row],[COSTO UNITARIO AÑO 2 7]]*(1+BASES!$F$10)</calculatedColumnFormula>
    </tableColumn>
    <tableColumn id="137" xr3:uid="{54651C8D-7F5A-40F1-A8BB-AEE8120FEAA8}" name="COSTO UNITARIO AÑO 4 7" dataDxfId="361">
      <calculatedColumnFormula>Tabla16[[#This Row],[COSTO UNITARIO AÑO 3 7]]*(1+BASES!$G$10)</calculatedColumnFormula>
    </tableColumn>
    <tableColumn id="138" xr3:uid="{89191E08-E13F-4F80-8DA4-7C2CBF83131D}" name="COSTO UNITARIO AÑO 5 7" dataDxfId="360">
      <calculatedColumnFormula>Tabla16[[#This Row],[COSTO UNITARIO AÑO 4 7]]*(1+BASES!$H$10)</calculatedColumnFormula>
    </tableColumn>
    <tableColumn id="139" xr3:uid="{D87AC894-1833-4ACE-AB64-69A3A3BB5711}" name="AÑO 1 7" dataDxfId="359">
      <calculatedColumnFormula>Tabla16[[#This Row],[COSTO POR UNIDAD DE PRODUCTO (7) ]]*$C$79*VLOOKUP(Tabla16[[#This Row],[CÓDIGO DEL PRODUCTO Y/O SERVICIO ]],Tabla3[],3)</calculatedColumnFormula>
    </tableColumn>
    <tableColumn id="140" xr3:uid="{77EC8869-CAF7-40C2-9771-C229B70000ED}" name="AÑO 2 7" dataDxfId="358">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7">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6">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5">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4">
      <calculatedColumnFormula>VLOOKUP(Tabla16[[#This Row],[CÓDIGO DEL PRODUCTO Y/O SERVICIO ]],Tabla3[],3)</calculatedColumnFormula>
    </tableColumn>
    <tableColumn id="145" xr3:uid="{0B539555-C586-47B2-B368-14E70A0B4E60}" name="CANTIDADES A UTILIZAR EN EL AÑO 1 8" dataDxfId="353">
      <calculatedColumnFormula>Tabla16[[#This Row],[UNIDADES PRODUCIDAS AÑO 1 8]]*M90</calculatedColumnFormula>
    </tableColumn>
    <tableColumn id="146" xr3:uid="{7E26A0EA-DB07-4B5B-AAB2-954802D8A23F}" name="CAMBIO PORCENTUAL EN UNIDADES VENDIDAS AÑO 2 8" dataDxfId="352">
      <calculatedColumnFormula>VLOOKUP(Tabla16[[#This Row],[CÓDIGO DEL PRODUCTO Y/O SERVICIO ]],Tabla3[],9)</calculatedColumnFormula>
    </tableColumn>
    <tableColumn id="147" xr3:uid="{C8D8E8E7-B983-4120-8975-0B59E2E03E4C}" name="CANTIDADES A UTILIZAR EN EL AÑO 2 8" dataDxfId="351">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0">
      <calculatedColumnFormula>VLOOKUP(Tabla16[[#This Row],[CÓDIGO DEL PRODUCTO Y/O SERVICIO ]],Tabla3[],13)</calculatedColumnFormula>
    </tableColumn>
    <tableColumn id="149" xr3:uid="{101893A1-EF69-46E9-B7C0-DE23398F604A}" name="CANTIDADES A UTILIZAR EN EL AÑO 3 8" dataDxfId="349">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48">
      <calculatedColumnFormula>VLOOKUP(Tabla16[[#This Row],[CÓDIGO DEL PRODUCTO Y/O SERVICIO ]],Tabla3[],17)</calculatedColumnFormula>
    </tableColumn>
    <tableColumn id="151" xr3:uid="{E3A1B29C-35C4-4820-AED6-22B2A50AFD8C}" name="CANTIDADES A UTILIZAR EN EL AÑO 4 8" dataDxfId="347">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6">
      <calculatedColumnFormula>VLOOKUP(Tabla16[[#This Row],[CÓDIGO DEL PRODUCTO Y/O SERVICIO ]],Tabla3[],21)</calculatedColumnFormula>
    </tableColumn>
    <tableColumn id="153" xr3:uid="{E9B4A93A-D0F9-43DE-8877-7377EC33D8C1}" name="CANTIDADES A UTILIZAR AÑO 5 8" dataDxfId="345">
      <calculatedColumnFormula>Tabla16[[#This Row],[CANTIDADES A UTILIZAR EN EL AÑO 4 8]]*(1+Tabla16[[#This Row],[CAMBIO PORCENTUAL EN UNIDADES VENDIDAS AÑO 5 8]])</calculatedColumnFormula>
    </tableColumn>
    <tableColumn id="154" xr3:uid="{A6C4F466-34FB-45AD-828F-727FEA6D93CB}"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3">
      <calculatedColumnFormula>$C$80*(1+BASES!$E$10)</calculatedColumnFormula>
    </tableColumn>
    <tableColumn id="156" xr3:uid="{E763B37D-055C-465B-9F44-F9B94DA60DEF}" name="COSTO UNITARIO AÑO 3 8" dataDxfId="342">
      <calculatedColumnFormula>Tabla16[[#This Row],[COSTO UNITARIO AÑO 2 8]]*(1+BASES!$F$10)</calculatedColumnFormula>
    </tableColumn>
    <tableColumn id="157" xr3:uid="{B53A858E-3B94-4F82-8C4C-0C48612027C5}" name="COSTO UNITARIO AÑO 4 8" dataDxfId="341">
      <calculatedColumnFormula>Tabla16[[#This Row],[COSTO UNITARIO AÑO 3 8]]*(1+BASES!$G$10)</calculatedColumnFormula>
    </tableColumn>
    <tableColumn id="158" xr3:uid="{FC16161C-8DE1-4703-938B-9661F4DCA355}" name="COSTO UNITARIO AÑO 5 8" dataDxfId="340">
      <calculatedColumnFormula>Tabla16[[#This Row],[COSTO UNITARIO AÑO 4 8]]*(1+BASES!$H$10)</calculatedColumnFormula>
    </tableColumn>
    <tableColumn id="159" xr3:uid="{15B696C1-BAA8-40F6-9946-545F78B5CD18}" name="AÑO 1 8" dataDxfId="339">
      <calculatedColumnFormula>Tabla16[[#This Row],[COSTO POR UNIDAD DE PRODUCTO (8) ]]*$C$80*VLOOKUP(Tabla16[[#This Row],[CÓDIGO DEL PRODUCTO Y/O SERVICIO ]],Tabla3[],3)</calculatedColumnFormula>
    </tableColumn>
    <tableColumn id="160" xr3:uid="{256BA217-C77B-410B-977F-3659F73EBF60}" name="AÑO 2 8" dataDxfId="338">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7">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6">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5">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4">
      <calculatedColumnFormula>VLOOKUP(Tabla16[[#This Row],[CÓDIGO DEL PRODUCTO Y/O SERVICIO ]],Tabla3[],3)</calculatedColumnFormula>
    </tableColumn>
    <tableColumn id="165" xr3:uid="{4D61F16D-3817-4311-89FC-E72DABECA08A}" name="CANTIDADES A UTILIZAR EN EL AÑO 1 9" dataDxfId="333">
      <calculatedColumnFormula>Tabla16[[#This Row],[UNIDADES PRODUCIDAS AÑO 1 9]]*N90</calculatedColumnFormula>
    </tableColumn>
    <tableColumn id="166" xr3:uid="{DE92933D-E9A7-4E3F-BD28-4E3346DF0FA9}" name="CAMBIO PORCENTUAL EN UNIDADES VENDIDAS AÑO 2 9" dataDxfId="332">
      <calculatedColumnFormula>VLOOKUP(Tabla16[[#This Row],[CÓDIGO DEL PRODUCTO Y/O SERVICIO ]],Tabla3[],9)</calculatedColumnFormula>
    </tableColumn>
    <tableColumn id="167" xr3:uid="{E98B716B-FB2A-4ACA-A619-68C1B37D261B}" name="CANTIDADES A UTILIZAR EN EL AÑO 2 9" dataDxfId="331">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0">
      <calculatedColumnFormula>VLOOKUP(Tabla16[[#This Row],[CÓDIGO DEL PRODUCTO Y/O SERVICIO ]],Tabla3[],13)</calculatedColumnFormula>
    </tableColumn>
    <tableColumn id="169" xr3:uid="{F179904F-3E7F-4743-BA78-595C5435D64A}" name="CANTIDADES A UTILIZAR EN EL AÑO 3 9" dataDxfId="329">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28">
      <calculatedColumnFormula>VLOOKUP(Tabla16[[#This Row],[CÓDIGO DEL PRODUCTO Y/O SERVICIO ]],Tabla3[],17)</calculatedColumnFormula>
    </tableColumn>
    <tableColumn id="171" xr3:uid="{19447175-9E49-47D2-92FB-F00332543B5D}" name="CANTIDADES A UTILIZAR EN EL AÑO 4 9" dataDxfId="327">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6">
      <calculatedColumnFormula>VLOOKUP(Tabla16[[#This Row],[CÓDIGO DEL PRODUCTO Y/O SERVICIO ]],Tabla3[],21)</calculatedColumnFormula>
    </tableColumn>
    <tableColumn id="173" xr3:uid="{B83160F1-0EEF-48F3-99B3-6DC407A93C4D}" name="CANTIDADES A UTILIZAR AÑO 5 9" dataDxfId="325">
      <calculatedColumnFormula>Tabla16[[#This Row],[CANTIDADES A UTILIZAR EN EL AÑO 4 9]]*(1+Tabla16[[#This Row],[CAMBIO PORCENTUAL EN UNIDADES VENDIDAS AÑO 5 9]])</calculatedColumnFormula>
    </tableColumn>
    <tableColumn id="174" xr3:uid="{CDF3A39B-2186-49C0-9975-72759C6819A3}"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23">
      <calculatedColumnFormula>$C$81*(1+BASES!$E$10)</calculatedColumnFormula>
    </tableColumn>
    <tableColumn id="176" xr3:uid="{595F05C5-7E53-4C1B-AF17-9FF4C6905303}" name="COSTO UNITARIO AÑO 3 9" dataDxfId="322">
      <calculatedColumnFormula>Tabla16[[#This Row],[COSTO UNITARIO AÑO 2 9]]*(1+BASES!$F$10)</calculatedColumnFormula>
    </tableColumn>
    <tableColumn id="177" xr3:uid="{7DBA84D0-6B7B-4D87-92AF-7ECC61ACE0D8}" name="COSTO UNITARIO AÑO 4 9" dataDxfId="321">
      <calculatedColumnFormula>Tabla16[[#This Row],[COSTO UNITARIO AÑO 3 9]]*(1+BASES!$G$10)</calculatedColumnFormula>
    </tableColumn>
    <tableColumn id="178" xr3:uid="{9C0D27E1-D1C5-4530-BC9D-46EA49744D59}" name="COSTO UNITARIO AÑO 5 9" dataDxfId="320">
      <calculatedColumnFormula>Tabla16[[#This Row],[COSTO UNITARIO AÑO 4 9]]*(1+BASES!$H$10)</calculatedColumnFormula>
    </tableColumn>
    <tableColumn id="179" xr3:uid="{FC3FAB8C-3B61-42CC-84A5-A0C30DB52475}" name="AÑO 1 9" dataDxfId="319">
      <calculatedColumnFormula>Tabla16[[#This Row],[COSTO POR UNIDAD DE PRODUCTO (9) ]]*$C$81*VLOOKUP(Tabla16[[#This Row],[CÓDIGO DEL PRODUCTO Y/O SERVICIO ]],Tabla3[],3)</calculatedColumnFormula>
    </tableColumn>
    <tableColumn id="180" xr3:uid="{611E4CF5-AC29-4B46-AEFB-3FAECC07EC85}" name="AÑO 2 9" dataDxfId="318">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17">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16">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5">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4">
      <calculatedColumnFormula>VLOOKUP(Tabla16[[#This Row],[CÓDIGO DEL PRODUCTO Y/O SERVICIO ]],Tabla3[],3)</calculatedColumnFormula>
    </tableColumn>
    <tableColumn id="185" xr3:uid="{2305F3AC-39F9-4B6E-82C6-A1A9DB3E4C69}" name="CANTIDADES A UTILIZAR EN EL AÑO 1 10" dataDxfId="313">
      <calculatedColumnFormula>Tabla16[[#This Row],[UNIDADES PRODUCIDAS AÑO 1 10]]*O90</calculatedColumnFormula>
    </tableColumn>
    <tableColumn id="186" xr3:uid="{41131F7C-86D9-4B53-B19B-691AAB564653}" name="CAMBIO PORCENTUAL EN UNIDADES VENDIDAS AÑO 2 10" dataDxfId="312">
      <calculatedColumnFormula>VLOOKUP(Tabla16[[#This Row],[CÓDIGO DEL PRODUCTO Y/O SERVICIO ]],Tabla3[],9)</calculatedColumnFormula>
    </tableColumn>
    <tableColumn id="187" xr3:uid="{4DAEE7A4-5B96-4CE3-8427-C89F4BF7EE6C}" name="CANTIDADES A UTILIZAR EN EL AÑO 2 10" dataDxfId="311">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0">
      <calculatedColumnFormula>VLOOKUP(Tabla16[[#This Row],[CÓDIGO DEL PRODUCTO Y/O SERVICIO ]],Tabla3[],13)</calculatedColumnFormula>
    </tableColumn>
    <tableColumn id="189" xr3:uid="{569C241B-A8CE-483E-9EA1-656B78EA4815}" name="CANTIDADES A UTILIZAR EN EL AÑO 3 10" dataDxfId="309">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08">
      <calculatedColumnFormula>VLOOKUP(Tabla16[[#This Row],[CÓDIGO DEL PRODUCTO Y/O SERVICIO ]],Tabla3[],17)</calculatedColumnFormula>
    </tableColumn>
    <tableColumn id="191" xr3:uid="{4513807D-9B7B-484C-BD5A-4341417106ED}" name="CANTIDADES A UTILIZAR EN EL AÑO 4 10" dataDxfId="307">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06">
      <calculatedColumnFormula>VLOOKUP(Tabla16[[#This Row],[CÓDIGO DEL PRODUCTO Y/O SERVICIO ]],Tabla3[],21)</calculatedColumnFormula>
    </tableColumn>
    <tableColumn id="193" xr3:uid="{C42A9F8D-D66A-4E2C-89B4-67F3EFEF4629}" name="CANTIDADES A UTILIZAR AÑO 5 10" dataDxfId="305">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303">
      <calculatedColumnFormula>$C$82*(1+BASES!$E$10)</calculatedColumnFormula>
    </tableColumn>
    <tableColumn id="196" xr3:uid="{BD11A68B-34FD-4A5F-A4D2-4A92017924B9}" name="COSTO UNITARIO AÑO 3 10" dataDxfId="302">
      <calculatedColumnFormula>Tabla16[[#This Row],[COSTO UNITARIO AÑO 2 10]]*(1+BASES!$F$10)</calculatedColumnFormula>
    </tableColumn>
    <tableColumn id="197" xr3:uid="{94827F2B-F112-4BFF-A5F4-1BF4C029F935}" name="COSTO UNITARIO AÑO 4 10" dataDxfId="301">
      <calculatedColumnFormula>Tabla16[[#This Row],[COSTO UNITARIO AÑO 3 10]]*(1+BASES!$G$10)</calculatedColumnFormula>
    </tableColumn>
    <tableColumn id="198" xr3:uid="{78E8BDFB-4473-45F7-B293-03453BB2C5B7}" name="COSTO UNITARIO AÑO 5 10" dataDxfId="300">
      <calculatedColumnFormula>Tabla16[[#This Row],[COSTO UNITARIO AÑO 4 10]]*(1+BASES!$H$10)</calculatedColumnFormula>
    </tableColumn>
    <tableColumn id="199" xr3:uid="{EEAD8B9C-9B3F-4C1A-B623-561C1F6AB355}" name="AÑO 1 10" dataDxfId="299">
      <calculatedColumnFormula>Tabla16[[#This Row],[COSTO POR UNIDAD DE PRODUCTO (10) ]]*C82*VLOOKUP(Tabla16[[#This Row],[CÓDIGO DEL PRODUCTO Y/O SERVICIO ]],Tabla3[],3)</calculatedColumnFormula>
    </tableColumn>
    <tableColumn id="200" xr3:uid="{A29E3CF7-221F-486B-8869-136861C5934E}" name="AÑO 2 10" dataDxfId="298">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297">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296">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295">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63:HB165" totalsRowShown="0" headerRowDxfId="289" dataDxfId="288">
  <autoFilter ref="C163:HB165" xr:uid="{EDC1A1A3-464B-4B66-92F0-1ABE08756469}"/>
  <tableColumns count="208">
    <tableColumn id="1" xr3:uid="{24B30079-F384-4AE2-8673-40647ED34EB2}" name="CÓDIGO DEL PRODUCTO Y/O SERVICIO " dataDxfId="287"/>
    <tableColumn id="2" xr3:uid="{307C8293-2B1D-43BF-BD6F-F8EFD3EE0ADC}" name="NOMBRE DEL PRODUCTO Y/O SERVICIO " dataDxfId="286">
      <calculatedColumnFormula>VLOOKUP(Tabla12[[#This Row],[CÓDIGO DEL PRODUCTO Y/O SERVICIO ]],Tabla3[],2,0)</calculatedColumnFormula>
    </tableColumn>
    <tableColumn id="3" xr3:uid="{DB8595CD-53F1-4CCD-B4FD-A2416AC0297A}" name="Columna1" dataDxfId="285"/>
    <tableColumn id="4" xr3:uid="{3569348D-0095-45F7-82A9-2B29D47CB67B}" name="UNIDADES PRODUCIDAS AÑO 1 1 " dataDxfId="284">
      <calculatedColumnFormula>VLOOKUP(Tabla12[[#This Row],[CÓDIGO DEL PRODUCTO Y/O SERVICIO ]],Tabla3[],3)</calculatedColumnFormula>
    </tableColumn>
    <tableColumn id="5" xr3:uid="{A4D0F0D7-32EC-47B6-BCD8-601786CE25C4}" name="CANTIDADES A UTILIZAR EN EL AÑO 1 1" dataDxfId="283">
      <calculatedColumnFormula>Tabla12[[#This Row],[UNIDADES PRODUCIDAS AÑO 1 1 ]]*$F$145</calculatedColumnFormula>
    </tableColumn>
    <tableColumn id="6" xr3:uid="{08C5A45F-3F9A-46D9-8C9C-E2574EF4335D}" name="CAMBIO PORCENTUAL EN UNIDADES VENDIDAS AÑO 2 1 " dataDxfId="282">
      <calculatedColumnFormula>VLOOKUP(Tabla12[[#This Row],[CÓDIGO DEL PRODUCTO Y/O SERVICIO ]],Tabla3[],9)</calculatedColumnFormula>
    </tableColumn>
    <tableColumn id="7" xr3:uid="{48A57D7A-6AE0-4809-9B40-CF063C881F0F}" name="CANTIDADES A UTILIZAR EN EL AÑO 2 1" dataDxfId="281">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0">
      <calculatedColumnFormula>VLOOKUP(Tabla12[[#This Row],[CÓDIGO DEL PRODUCTO Y/O SERVICIO ]],Tabla3[],13)</calculatedColumnFormula>
    </tableColumn>
    <tableColumn id="9" xr3:uid="{90EDD9B1-A508-406E-AD9D-755073F341A4}" name="CANTIDADES A UTILIZAR EN EL AÑO 3 1 " dataDxfId="279">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78">
      <calculatedColumnFormula>VLOOKUP(Tabla12[[#This Row],[CÓDIGO DEL PRODUCTO Y/O SERVICIO ]],Tabla3[],17)</calculatedColumnFormula>
    </tableColumn>
    <tableColumn id="11" xr3:uid="{3D02C715-0946-42EA-8308-4B3ECD795ACF}" name="CANTIDADES A UTILIZAR EN EL AÑO 4 1 " dataDxfId="277">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76">
      <calculatedColumnFormula>VLOOKUP(Tabla12[[#This Row],[CÓDIGO DEL PRODUCTO Y/O SERVICIO ]],Tabla3[],21)</calculatedColumnFormula>
    </tableColumn>
    <tableColumn id="13" xr3:uid="{F3A0F137-E19A-4AD2-A1FD-1B425D5DD563}" name="CANTIDADES A UTILIZAR AÑO 5 1 " dataDxfId="275">
      <calculatedColumnFormula>Tabla12[[#This Row],[CANTIDADES A UTILIZAR EN EL AÑO 4 1 ]]*(1+Tabla12[[#This Row],[CAMBIO PORCENTUAL EN UNIDADES VENDIDAS AÑO 5 1 ]])</calculatedColumnFormula>
    </tableColumn>
    <tableColumn id="14" xr3:uid="{4FA899AE-E477-44AA-8DCC-8C5105D6A9B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3">
      <calculatedColumnFormula>$C$128*(1+BASES!$E$10)</calculatedColumnFormula>
    </tableColumn>
    <tableColumn id="16" xr3:uid="{DEC482FB-A47E-4A45-AD43-17495D38535E}" name="COSTO UNITARIO AÑO 3 1 " dataDxfId="272">
      <calculatedColumnFormula>Tabla12[[#This Row],[COSTO UNITARIO AÑO 2 1 ]]*(1+BASES!$F$10)</calculatedColumnFormula>
    </tableColumn>
    <tableColumn id="17" xr3:uid="{74451941-D991-4D24-B193-79B28E2B6490}" name="COSTO UNITARIO AÑO 4 1 " dataDxfId="271">
      <calculatedColumnFormula>Tabla12[[#This Row],[COSTO UNITARIO AÑO 3 1 ]]*(1+BASES!$G$10)</calculatedColumnFormula>
    </tableColumn>
    <tableColumn id="18" xr3:uid="{04205AFB-2F0D-44A7-8C42-5D36974605D6}" name="COSTO UNITARIO AÑO 5 1 " dataDxfId="270">
      <calculatedColumnFormula>Tabla12[[#This Row],[COSTO UNITARIO AÑO 4 1 ]]*(1+BASES!$H$10)</calculatedColumnFormula>
    </tableColumn>
    <tableColumn id="19" xr3:uid="{D4D61F37-0540-4EAF-9F44-D3DE1CF22D69}" name="AÑO 1 1" dataDxfId="269">
      <calculatedColumnFormula>Tabla12[[#This Row],[COSTO POR UNIDAD DE PRODUCTO (1)]]*$C$128*VLOOKUP(Tabla12[[#This Row],[CÓDIGO DEL PRODUCTO Y/O SERVICIO ]],Tabla3[],3)</calculatedColumnFormula>
    </tableColumn>
    <tableColumn id="20" xr3:uid="{88C63B24-6161-4476-B64A-E3C2DB1B897F}" name="AÑO 2 1 " dataDxfId="268">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67">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66">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65">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64">
      <calculatedColumnFormula>VLOOKUP(Tabla12[[#This Row],[CÓDIGO DEL PRODUCTO Y/O SERVICIO ]],Tabla3[],3)</calculatedColumnFormula>
    </tableColumn>
    <tableColumn id="25" xr3:uid="{8B412697-5A85-490F-8E3A-71B85BA1C2B2}" name="CANTIDADES A UTILIZAR EN EL AÑO 1 2 " dataDxfId="263">
      <calculatedColumnFormula>Tabla12[[#This Row],[UNIDADES PRODUCIDAS AÑO 1 2]]*G145</calculatedColumnFormula>
    </tableColumn>
    <tableColumn id="26" xr3:uid="{77062859-44B3-4396-835A-42D51DF58D30}" name="CAMBIO PORCENTUAL EN UNIDADES VENDIDAS AÑO 2 2 " dataDxfId="262">
      <calculatedColumnFormula>VLOOKUP(Tabla12[[#This Row],[CÓDIGO DEL PRODUCTO Y/O SERVICIO ]],Tabla3[],9)</calculatedColumnFormula>
    </tableColumn>
    <tableColumn id="27" xr3:uid="{07A34753-6472-4919-A43F-0855E97D1EE9}" name="CANTIDADES A UTILIZAR EN EL AÑO 2 2 " dataDxfId="261">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0">
      <calculatedColumnFormula>VLOOKUP(Tabla12[[#This Row],[CÓDIGO DEL PRODUCTO Y/O SERVICIO ]],Tabla3[],13)</calculatedColumnFormula>
    </tableColumn>
    <tableColumn id="29" xr3:uid="{1C9F6A78-D3E0-41C6-8BD2-AC25379B773E}" name="CANTIDADES A UTILIZAR EN EL AÑO 3 2" dataDxfId="259">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58">
      <calculatedColumnFormula>VLOOKUP(Tabla12[[#This Row],[CÓDIGO DEL PRODUCTO Y/O SERVICIO ]],Tabla3[],17)</calculatedColumnFormula>
    </tableColumn>
    <tableColumn id="31" xr3:uid="{30A01186-F734-467A-828B-458ADDE5DE44}" name="CANTIDADES A UTILIZAR EN EL AÑO 4 2" dataDxfId="257">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56">
      <calculatedColumnFormula>VLOOKUP(Tabla12[[#This Row],[CÓDIGO DEL PRODUCTO Y/O SERVICIO ]],Tabla3[],21)</calculatedColumnFormula>
    </tableColumn>
    <tableColumn id="33" xr3:uid="{559CBCF3-1903-46AC-85C7-5FEBC0501BFD}" name="CANTIDADES A UTILIZAR AÑO 5 2 " dataDxfId="255">
      <calculatedColumnFormula>Tabla12[[#This Row],[CANTIDADES A UTILIZAR EN EL AÑO 4 2]]*(1+Tabla12[[#This Row],[CAMBIO PORCENTUAL EN UNIDADES VENDIDAS AÑO 5 2]])</calculatedColumnFormula>
    </tableColumn>
    <tableColumn id="34" xr3:uid="{C9A87AC9-181F-4F7E-95F5-9297CEDA7DA2}"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3">
      <calculatedColumnFormula>$C$129*(1+BASES!$E$10)</calculatedColumnFormula>
    </tableColumn>
    <tableColumn id="36" xr3:uid="{D1C59865-C813-4B56-A484-F527DBD8900D}" name="COSTO UNITARIO AÑO 3 2 " dataDxfId="252">
      <calculatedColumnFormula>Tabla12[[#This Row],[COSTO UNITARIO AÑO 2 2]]*(1+BASES!$F$10)</calculatedColumnFormula>
    </tableColumn>
    <tableColumn id="37" xr3:uid="{767D251D-259D-4CC1-B29C-17289FB3AFA5}" name="COSTO UNITARIO AÑO 4 2 " dataDxfId="251">
      <calculatedColumnFormula>Tabla12[[#This Row],[COSTO UNITARIO AÑO 3 2 ]]*(1+BASES!$G$10)</calculatedColumnFormula>
    </tableColumn>
    <tableColumn id="38" xr3:uid="{9C5B5C2D-054D-4226-AB40-BD3388B30BBA}" name="COSTO UNITARIO AÑO 5 2 " dataDxfId="250">
      <calculatedColumnFormula>Tabla12[[#This Row],[COSTO UNITARIO AÑO 4 2 ]]*(1+BASES!$H$10)</calculatedColumnFormula>
    </tableColumn>
    <tableColumn id="39" xr3:uid="{547CA2A3-F419-42DB-84B0-1E8D7598F6B1}" name="AÑO 1 2" dataDxfId="249">
      <calculatedColumnFormula>Tabla12[[#This Row],[COSTO POR UNIDAD DE PRODUCTO (2)]]*$C$129*VLOOKUP(Tabla12[[#This Row],[CÓDIGO DEL PRODUCTO Y/O SERVICIO ]],Tabla3[],3)</calculatedColumnFormula>
    </tableColumn>
    <tableColumn id="40" xr3:uid="{B6541165-E162-476F-868F-D062C04E271E}" name="AÑO 2 2 " dataDxfId="248">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47">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46">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45">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44">
      <calculatedColumnFormula>VLOOKUP(Tabla12[[#This Row],[CÓDIGO DEL PRODUCTO Y/O SERVICIO ]],Tabla3[],3)</calculatedColumnFormula>
    </tableColumn>
    <tableColumn id="45" xr3:uid="{18993298-089B-4565-8923-A1178D24261E}" name="CANTIDADES A UTILIZAR EN EL AÑO 1 3" dataDxfId="243">
      <calculatedColumnFormula>Tabla12[[#This Row],[UNIDADES PRODUCIDAS AÑO 1 3]]*H145</calculatedColumnFormula>
    </tableColumn>
    <tableColumn id="46" xr3:uid="{3391DBC9-C6E4-43B3-84B5-662100F9FB81}" name="CAMBIO PORCENTUAL EN UNIDADES VENDIDAS AÑO 2 3" dataDxfId="242">
      <calculatedColumnFormula>VLOOKUP(Tabla12[[#This Row],[CÓDIGO DEL PRODUCTO Y/O SERVICIO ]],Tabla3[],9)</calculatedColumnFormula>
    </tableColumn>
    <tableColumn id="47" xr3:uid="{FEBC3C38-3F6B-47A0-9094-79CE5B75B2F0}" name="CANTIDADES A UTILIZAR EN EL AÑO 2 3" dataDxfId="241">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0">
      <calculatedColumnFormula>VLOOKUP(Tabla12[[#This Row],[CÓDIGO DEL PRODUCTO Y/O SERVICIO ]],Tabla3[],13)</calculatedColumnFormula>
    </tableColumn>
    <tableColumn id="49" xr3:uid="{91E77FCC-2511-4282-B646-F08E7A0EF336}" name="CANTIDADES A UTILIZAR EN EL AÑO 3 3" dataDxfId="239">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38">
      <calculatedColumnFormula>VLOOKUP(Tabla12[[#This Row],[CÓDIGO DEL PRODUCTO Y/O SERVICIO ]],Tabla3[],17)</calculatedColumnFormula>
    </tableColumn>
    <tableColumn id="51" xr3:uid="{D044BBBF-5851-45FE-BCC0-6D04190A3AD8}" name="CANTIDADES A UTILIZAR EN EL AÑO 4 3" dataDxfId="237">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36">
      <calculatedColumnFormula>VLOOKUP(Tabla12[[#This Row],[CÓDIGO DEL PRODUCTO Y/O SERVICIO ]],Tabla3[],21)</calculatedColumnFormula>
    </tableColumn>
    <tableColumn id="53" xr3:uid="{9002761A-81A1-45DD-AF70-77FC95F12BD5}" name="CANTIDADES A UTILIZAR AÑO 5 3 " dataDxfId="235">
      <calculatedColumnFormula>Tabla12[[#This Row],[CANTIDADES A UTILIZAR EN EL AÑO 4 3]]*(1+Tabla12[[#This Row],[CAMBIO PORCENTUAL EN UNIDADES VENDIDAS AÑO 5 3]])</calculatedColumnFormula>
    </tableColumn>
    <tableColumn id="54" xr3:uid="{6AE71E22-1578-4125-93CF-9B558BECC377}"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3">
      <calculatedColumnFormula>$C$130*(1+BASES!$E$10)</calculatedColumnFormula>
    </tableColumn>
    <tableColumn id="56" xr3:uid="{BA56C3B4-1C63-40F2-A533-A75A8BE97468}" name="COSTO UNITARIO AÑO 3 3 " dataDxfId="232">
      <calculatedColumnFormula>Tabla12[[#This Row],[COSTO UNITARIO AÑO 2 3]]*(1+BASES!$F$10)</calculatedColumnFormula>
    </tableColumn>
    <tableColumn id="57" xr3:uid="{4266E7C7-9EF3-48C2-A45C-DE90F81CB386}" name="COSTO UNITARIO AÑO 4 3" dataDxfId="231">
      <calculatedColumnFormula>Tabla12[[#This Row],[COSTO UNITARIO AÑO 3 3 ]]*(1+BASES!$G$10)</calculatedColumnFormula>
    </tableColumn>
    <tableColumn id="58" xr3:uid="{58F8277D-1062-4829-B946-1052458B6422}" name="COSTO UNITARIO AÑO 5 3 " dataDxfId="230">
      <calculatedColumnFormula>Tabla12[[#This Row],[COSTO UNITARIO AÑO 4 3]]*(1+BASES!$H$10)</calculatedColumnFormula>
    </tableColumn>
    <tableColumn id="59" xr3:uid="{2A767D3A-63B5-47BE-84D4-7F92A44AEE31}" name="AÑO 1 3" dataDxfId="229">
      <calculatedColumnFormula>Tabla12[[#This Row],[COSTO POR UNIDAD DE PRODUCTO (3)]]*$C$130*VLOOKUP(Tabla12[[#This Row],[CÓDIGO DEL PRODUCTO Y/O SERVICIO ]],Tabla3[],3)</calculatedColumnFormula>
    </tableColumn>
    <tableColumn id="60" xr3:uid="{7A92791D-79F2-48E9-B754-7BA7003684D3}" name="AÑO 2 3" dataDxfId="228">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27">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26">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25">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24">
      <calculatedColumnFormula>VLOOKUP(Tabla12[[#This Row],[CÓDIGO DEL PRODUCTO Y/O SERVICIO ]],Tabla3[],3)</calculatedColumnFormula>
    </tableColumn>
    <tableColumn id="65" xr3:uid="{E304BC21-66B4-49BA-BC5A-FCA0C23A107D}" name="CANTIDADES A UTILIZAR EN EL AÑO 1 4" dataDxfId="223">
      <calculatedColumnFormula>Tabla12[[#This Row],[UNIDADES PRODUCIDAS AÑO 1 4]]*I145</calculatedColumnFormula>
    </tableColumn>
    <tableColumn id="66" xr3:uid="{FD040857-70DA-41F2-BF3C-9D0FAA01EACA}" name="CAMBIO PORCENTUAL EN UNIDADES VENDIDAS AÑO 2 4" dataDxfId="222">
      <calculatedColumnFormula>VLOOKUP(Tabla12[[#This Row],[CÓDIGO DEL PRODUCTO Y/O SERVICIO ]],Tabla3[],9)</calculatedColumnFormula>
    </tableColumn>
    <tableColumn id="67" xr3:uid="{B9D54BB2-8966-4DB7-8142-314D27288339}" name="CANTIDADES A UTILIZAR EN EL AÑO 2 4" dataDxfId="221">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0">
      <calculatedColumnFormula>VLOOKUP(Tabla12[[#This Row],[CÓDIGO DEL PRODUCTO Y/O SERVICIO ]],Tabla3[],13)</calculatedColumnFormula>
    </tableColumn>
    <tableColumn id="69" xr3:uid="{7AD88719-EC29-4EDD-8452-B6079215B561}" name="CANTIDADES A UTILIZAR EN EL AÑO 3 4 " dataDxfId="219">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18">
      <calculatedColumnFormula>VLOOKUP(Tabla12[[#This Row],[CÓDIGO DEL PRODUCTO Y/O SERVICIO ]],Tabla3[],17)</calculatedColumnFormula>
    </tableColumn>
    <tableColumn id="71" xr3:uid="{0C335EB1-ABDA-4A1C-8B40-50CB6D7B5F00}" name="CANTIDADES A UTILIZAR EN EL AÑO 4 4 " dataDxfId="217">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16">
      <calculatedColumnFormula>VLOOKUP(Tabla12[[#This Row],[CÓDIGO DEL PRODUCTO Y/O SERVICIO ]],Tabla3[],21)</calculatedColumnFormula>
    </tableColumn>
    <tableColumn id="73" xr3:uid="{6A991A76-0F75-4109-81C9-1283206C1133}" name="CANTIDADES A UTILIZAR AÑO 5 4" dataDxfId="215">
      <calculatedColumnFormula>Tabla12[[#This Row],[CANTIDADES A UTILIZAR EN EL AÑO 4 4 ]]*(1+Tabla12[[#This Row],[CAMBIO PORCENTUAL EN UNIDADES VENDIDAS AÑO 5 4 ]])</calculatedColumnFormula>
    </tableColumn>
    <tableColumn id="74" xr3:uid="{C1DA9AE4-BDF0-4F14-A9FF-BCB61EA6DB89}"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3">
      <calculatedColumnFormula>$C$131*(1+BASES!$E$10)</calculatedColumnFormula>
    </tableColumn>
    <tableColumn id="76" xr3:uid="{BC011DEC-66AD-4432-BB87-D55C58C9CDF1}" name="COSTO UNITARIO AÑO 3 4 " dataDxfId="212">
      <calculatedColumnFormula>Tabla12[[#This Row],[COSTO UNITARIO AÑO 2 4 ]]*(1+BASES!$F$10)</calculatedColumnFormula>
    </tableColumn>
    <tableColumn id="77" xr3:uid="{E2AB733A-534E-4159-AE0A-7E4FCBFE0F4D}" name="COSTO UNITARIO AÑO 4 4 " dataDxfId="211">
      <calculatedColumnFormula>Tabla12[[#This Row],[COSTO UNITARIO AÑO 3 4 ]]*(1+BASES!$G$10)</calculatedColumnFormula>
    </tableColumn>
    <tableColumn id="78" xr3:uid="{08C69AFB-DB35-4A26-9B57-ACB0616B53AD}" name="COSTO UNITARIO AÑO 5 4 " dataDxfId="210">
      <calculatedColumnFormula>Tabla12[[#This Row],[COSTO UNITARIO AÑO 4 4 ]]*(1+BASES!$H$10)</calculatedColumnFormula>
    </tableColumn>
    <tableColumn id="79" xr3:uid="{1E3CC1C3-CE42-473C-96E5-0BC1CEE3CED6}" name="AÑO 1 4 " dataDxfId="209">
      <calculatedColumnFormula>Tabla12[[#This Row],[COSTO POR UNIDAD DE PRODUCTO (4)]]*$C$131*VLOOKUP(Tabla12[[#This Row],[CÓDIGO DEL PRODUCTO Y/O SERVICIO ]],Tabla3[],3)</calculatedColumnFormula>
    </tableColumn>
    <tableColumn id="80" xr3:uid="{6496F246-0A78-4227-B57E-F80E03C7A784}" name="AÑO 2 4 " dataDxfId="208">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07">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06">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05">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04">
      <calculatedColumnFormula>VLOOKUP(Tabla12[[#This Row],[CÓDIGO DEL PRODUCTO Y/O SERVICIO ]],Tabla3[],3)</calculatedColumnFormula>
    </tableColumn>
    <tableColumn id="85" xr3:uid="{C822C6C6-700A-499A-9E61-832E1E4767F4}" name="CANTIDADES A UTILIZAR EN EL AÑO 1 5" dataDxfId="203">
      <calculatedColumnFormula>Tabla12[[#This Row],[UNIDADES PRODUCIDAS AÑO 1 5]]*J145</calculatedColumnFormula>
    </tableColumn>
    <tableColumn id="86" xr3:uid="{59A73DA8-F22B-403B-81C0-DAEFF34C5E41}" name="CAMBIO PORCENTUAL EN UNIDADES VENDIDAS AÑO 2 5 " dataDxfId="202">
      <calculatedColumnFormula>VLOOKUP(Tabla12[[#This Row],[CÓDIGO DEL PRODUCTO Y/O SERVICIO ]],Tabla3[],9)</calculatedColumnFormula>
    </tableColumn>
    <tableColumn id="87" xr3:uid="{1AF4877F-E5E1-4963-AF4D-BCE4FF1574C5}" name="CANTIDADES A UTILIZAR EN EL AÑO 2 5" dataDxfId="201">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0">
      <calculatedColumnFormula>VLOOKUP(Tabla12[[#This Row],[CÓDIGO DEL PRODUCTO Y/O SERVICIO ]],Tabla3[],13)</calculatedColumnFormula>
    </tableColumn>
    <tableColumn id="89" xr3:uid="{AD7386E6-1AEF-48B3-A1EB-00229DEEAC95}" name="CANTIDADES A UTILIZAR EN EL AÑO 3 5 " dataDxfId="199">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198">
      <calculatedColumnFormula>VLOOKUP(Tabla12[[#This Row],[CÓDIGO DEL PRODUCTO Y/O SERVICIO ]],Tabla3[],17)</calculatedColumnFormula>
    </tableColumn>
    <tableColumn id="91" xr3:uid="{9EED1501-918F-4A1E-97F4-F7C3F133A539}" name="CANTIDADES A UTILIZAR EN EL AÑO 4 5 " dataDxfId="197">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196">
      <calculatedColumnFormula>VLOOKUP(Tabla12[[#This Row],[CÓDIGO DEL PRODUCTO Y/O SERVICIO ]],Tabla3[],21)</calculatedColumnFormula>
    </tableColumn>
    <tableColumn id="93" xr3:uid="{B3A0DCA8-194C-4DDC-9F4D-E5345EE58A9D}" name="CANTIDADES A UTILIZAR AÑO 5 5 " dataDxfId="195">
      <calculatedColumnFormula>Tabla12[[#This Row],[CANTIDADES A UTILIZAR EN EL AÑO 4 5 ]]*(1+Tabla12[[#This Row],[CAMBIO PORCENTUAL EN UNIDADES VENDIDAS AÑO 5 5]])</calculatedColumnFormula>
    </tableColumn>
    <tableColumn id="94" xr3:uid="{1E673565-1CA4-4B69-A7CF-AAD08682A05A}"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3">
      <calculatedColumnFormula>$C$132*(1+BASES!$E$10)</calculatedColumnFormula>
    </tableColumn>
    <tableColumn id="96" xr3:uid="{5CCE363C-85C4-48D1-9289-1379F96AED44}" name="COSTO UNITARIO AÑO 3 5" dataDxfId="192">
      <calculatedColumnFormula>Tabla12[[#This Row],[COSTO UNITARIO AÑO 2 5]]*(1+BASES!$F$10)</calculatedColumnFormula>
    </tableColumn>
    <tableColumn id="97" xr3:uid="{7FAC1C3A-F55F-49B1-8968-B96B489D58D9}" name="COSTO UNITARIO AÑO 4 5" dataDxfId="191">
      <calculatedColumnFormula>Tabla12[[#This Row],[COSTO UNITARIO AÑO 3 5]]*(1+BASES!$G$10)</calculatedColumnFormula>
    </tableColumn>
    <tableColumn id="98" xr3:uid="{84C6A5DC-D1A7-4E5E-899D-E4266E926C0A}" name="COSTO UNITARIO AÑO 5 5 " dataDxfId="190">
      <calculatedColumnFormula>Tabla12[[#This Row],[COSTO UNITARIO AÑO 4 5]]*(1+BASES!$H$10)</calculatedColumnFormula>
    </tableColumn>
    <tableColumn id="99" xr3:uid="{E09FA210-FEB4-4D0F-9CCE-9E9D82161E36}" name="AÑO 1 5" dataDxfId="189">
      <calculatedColumnFormula>Tabla12[[#This Row],[COSTO POR UNIDAD DE PRODUCTO (5)]]*$C$132*VLOOKUP(Tabla12[[#This Row],[CÓDIGO DEL PRODUCTO Y/O SERVICIO ]],Tabla3[],3)</calculatedColumnFormula>
    </tableColumn>
    <tableColumn id="100" xr3:uid="{9ED45AE1-06A2-443B-90DE-56EE94594D89}" name="AÑO 2 5" dataDxfId="188">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87">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86">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85">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84">
      <calculatedColumnFormula>VLOOKUP(Tabla12[[#This Row],[CÓDIGO DEL PRODUCTO Y/O SERVICIO ]],Tabla3[],3)</calculatedColumnFormula>
    </tableColumn>
    <tableColumn id="105" xr3:uid="{B39B623F-79BF-45AD-8D4D-1C9579254D28}" name="CANTIDADES A UTILIZAR EN EL AÑO 1 6" dataDxfId="183">
      <calculatedColumnFormula>Tabla12[[#This Row],[UNIDADES PRODUCIDAS AÑO 1 6]]*K145</calculatedColumnFormula>
    </tableColumn>
    <tableColumn id="106" xr3:uid="{0ED53AC4-49EA-43A9-B206-0FD9480EADE3}" name="CAMBIO PORCENTUAL EN UNIDADES VENDIDAS AÑO 2 6" dataDxfId="182">
      <calculatedColumnFormula>VLOOKUP(Tabla12[[#This Row],[CÓDIGO DEL PRODUCTO Y/O SERVICIO ]],Tabla3[],9)</calculatedColumnFormula>
    </tableColumn>
    <tableColumn id="107" xr3:uid="{05875B9E-CFB0-43C4-90EF-0443D8E1E5DE}" name="CANTIDADES A UTILIZAR EN EL AÑO 2 6" dataDxfId="181">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0">
      <calculatedColumnFormula>VLOOKUP(Tabla12[[#This Row],[CÓDIGO DEL PRODUCTO Y/O SERVICIO ]],Tabla3[],13)</calculatedColumnFormula>
    </tableColumn>
    <tableColumn id="109" xr3:uid="{89C5E4FD-B309-44DA-81D2-0EEB987074E2}" name="CANTIDADES A UTILIZAR EN EL AÑO 3 6" dataDxfId="179">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78">
      <calculatedColumnFormula>VLOOKUP(Tabla12[[#This Row],[CÓDIGO DEL PRODUCTO Y/O SERVICIO ]],Tabla3[],17)</calculatedColumnFormula>
    </tableColumn>
    <tableColumn id="111" xr3:uid="{A326C026-189C-4C1D-ACF1-B8F0EE571113}" name="CANTIDADES A UTILIZAR EN EL AÑO 4 6" dataDxfId="177">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76">
      <calculatedColumnFormula>VLOOKUP(Tabla12[[#This Row],[CÓDIGO DEL PRODUCTO Y/O SERVICIO ]],Tabla3[],21)</calculatedColumnFormula>
    </tableColumn>
    <tableColumn id="113" xr3:uid="{0F7E6FB4-4004-412E-9662-950607911E22}" name="CANTIDADES A UTILIZAR AÑO 5 6" dataDxfId="175">
      <calculatedColumnFormula>Tabla12[[#This Row],[CANTIDADES A UTILIZAR EN EL AÑO 4 6]]*(1+Tabla12[[#This Row],[CAMBIO PORCENTUAL EN UNIDADES VENDIDAS AÑO 5 6]])</calculatedColumnFormula>
    </tableColumn>
    <tableColumn id="114" xr3:uid="{DC0DCD4C-0102-44C6-858B-5D3716256FD7}"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3">
      <calculatedColumnFormula>$C$133*(1+BASES!$E$10)</calculatedColumnFormula>
    </tableColumn>
    <tableColumn id="116" xr3:uid="{2043CD96-C554-4561-B34F-64D9736FA675}" name="COSTO UNITARIO AÑO 3 6" dataDxfId="172">
      <calculatedColumnFormula>Tabla12[[#This Row],[COSTO UNITARIO AÑO 2 6]]*(1+BASES!$F$10)</calculatedColumnFormula>
    </tableColumn>
    <tableColumn id="117" xr3:uid="{921BB09D-55B5-45C5-B553-FBAB5C5CA115}" name="COSTO UNITARIO AÑO 4 6" dataDxfId="171">
      <calculatedColumnFormula>Tabla12[[#This Row],[COSTO UNITARIO AÑO 3 6]]*(1+BASES!$G$10)</calculatedColumnFormula>
    </tableColumn>
    <tableColumn id="118" xr3:uid="{1316A977-22F4-4CD7-AB2A-BF194C516C1D}" name="COSTO UNITARIO AÑO 5 6" dataDxfId="170">
      <calculatedColumnFormula>Tabla12[[#This Row],[COSTO UNITARIO AÑO 4 6]]*(1+BASES!$H$10)</calculatedColumnFormula>
    </tableColumn>
    <tableColumn id="119" xr3:uid="{B466E257-AECC-48C4-A398-62CA91A9FBAC}" name="AÑO 1 6" dataDxfId="169">
      <calculatedColumnFormula>Tabla12[[#This Row],[COSTO POR UNIDAD DE PRODUCTO (6)]]*$C$133*VLOOKUP(Tabla12[[#This Row],[CÓDIGO DEL PRODUCTO Y/O SERVICIO ]],Tabla3[],3)</calculatedColumnFormula>
    </tableColumn>
    <tableColumn id="120" xr3:uid="{EC605500-EBFB-47ED-84CA-976CC036754E}" name="AÑO 2 6" dataDxfId="168">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67">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66">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65">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64">
      <calculatedColumnFormula>VLOOKUP(Tabla12[[#This Row],[CÓDIGO DEL PRODUCTO Y/O SERVICIO ]],Tabla3[],3)</calculatedColumnFormula>
    </tableColumn>
    <tableColumn id="125" xr3:uid="{F9034C8F-1F46-4EE7-B2AC-1DC43120F3D7}" name="CANTIDADES A UTILIZAR EN EL AÑO 1 7" dataDxfId="163">
      <calculatedColumnFormula>Tabla12[[#This Row],[UNIDADES PRODUCIDAS AÑO 1 7]]*L145</calculatedColumnFormula>
    </tableColumn>
    <tableColumn id="126" xr3:uid="{EF1B5840-10EA-4175-8751-677B49918B9E}" name="CAMBIO PORCENTUAL EN UNIDADES VENDIDAS AÑO 2 7" dataDxfId="162">
      <calculatedColumnFormula>VLOOKUP(Tabla12[[#This Row],[CÓDIGO DEL PRODUCTO Y/O SERVICIO ]],Tabla3[],9)</calculatedColumnFormula>
    </tableColumn>
    <tableColumn id="127" xr3:uid="{7ED4F880-76DE-4593-835E-3D57EFB205D2}" name="CANTIDADES A UTILIZAR EN EL AÑO 2 7" dataDxfId="161">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0">
      <calculatedColumnFormula>VLOOKUP(Tabla12[[#This Row],[CÓDIGO DEL PRODUCTO Y/O SERVICIO ]],Tabla3[],13)</calculatedColumnFormula>
    </tableColumn>
    <tableColumn id="129" xr3:uid="{000A2DE9-EA66-49F0-A8D7-DBF954E78F1C}" name="CANTIDADES A UTILIZAR EN EL AÑO 3 7" dataDxfId="159">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58">
      <calculatedColumnFormula>VLOOKUP(Tabla12[[#This Row],[CÓDIGO DEL PRODUCTO Y/O SERVICIO ]],Tabla3[],17)</calculatedColumnFormula>
    </tableColumn>
    <tableColumn id="131" xr3:uid="{EC703610-217A-4CEB-B8F9-51C37DD090E7}" name="CANTIDADES A UTILIZAR EN EL AÑO 4 7" dataDxfId="157">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56">
      <calculatedColumnFormula>VLOOKUP(Tabla12[[#This Row],[CÓDIGO DEL PRODUCTO Y/O SERVICIO ]],Tabla3[],21)</calculatedColumnFormula>
    </tableColumn>
    <tableColumn id="133" xr3:uid="{7E30159F-5A3C-4870-94AF-B8E9A6E63023}" name="CANTIDADES A UTILIZAR AÑO 5 7" dataDxfId="155">
      <calculatedColumnFormula>Tabla12[[#This Row],[CANTIDADES A UTILIZAR EN EL AÑO 4 7]]*(1+Tabla12[[#This Row],[CAMBIO PORCENTUAL EN UNIDADES VENDIDAS AÑO 5 7]])</calculatedColumnFormula>
    </tableColumn>
    <tableColumn id="134" xr3:uid="{75CB1816-84B4-47D3-B706-C5B0C402B1D6}"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3">
      <calculatedColumnFormula>$C$134*(1+BASES!$E$10)</calculatedColumnFormula>
    </tableColumn>
    <tableColumn id="136" xr3:uid="{3FC6B1AC-CA9C-46F6-8F22-5E2B079BC9C4}" name="COSTO UNITARIO AÑO 3 7" dataDxfId="152">
      <calculatedColumnFormula>Tabla12[[#This Row],[COSTO UNITARIO AÑO 2 7]]*(1+BASES!$F$10)</calculatedColumnFormula>
    </tableColumn>
    <tableColumn id="137" xr3:uid="{040C3497-CC21-40C7-A46D-6D09B5420A00}" name="COSTO UNITARIO AÑO 4 7" dataDxfId="151">
      <calculatedColumnFormula>Tabla12[[#This Row],[COSTO UNITARIO AÑO 3 7]]*(1+BASES!$G$10)</calculatedColumnFormula>
    </tableColumn>
    <tableColumn id="138" xr3:uid="{5F1A05F7-7652-4CE3-BF8F-829F2E11B4FA}" name="COSTO UNITARIO AÑO 5 7" dataDxfId="150">
      <calculatedColumnFormula>Tabla12[[#This Row],[COSTO UNITARIO AÑO 4 7]]*(1+BASES!$H$10)</calculatedColumnFormula>
    </tableColumn>
    <tableColumn id="139" xr3:uid="{32F7E596-D190-4B57-AB52-898C5C3BAD2A}" name="AÑO 1 7" dataDxfId="149">
      <calculatedColumnFormula>Tabla12[[#This Row],[COSTO POR UNIDAD DE PRODUCTO (7)]]*$C$134*VLOOKUP(Tabla12[[#This Row],[CÓDIGO DEL PRODUCTO Y/O SERVICIO ]],Tabla3[],3)</calculatedColumnFormula>
    </tableColumn>
    <tableColumn id="140" xr3:uid="{CC401696-D405-41A5-98C3-FC2853E34976}" name="AÑO 2 7" dataDxfId="148">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47">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46">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45">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44">
      <calculatedColumnFormula>VLOOKUP(Tabla12[[#This Row],[CÓDIGO DEL PRODUCTO Y/O SERVICIO ]],Tabla3[],3)</calculatedColumnFormula>
    </tableColumn>
    <tableColumn id="145" xr3:uid="{58F53C86-4686-447B-A636-BCC65A487B3F}" name="CANTIDADES A UTILIZAR EN EL AÑO 1 8" dataDxfId="143">
      <calculatedColumnFormula>Tabla12[[#This Row],[UNIDADES PRODUCIDAS AÑO 1 8]]*M145</calculatedColumnFormula>
    </tableColumn>
    <tableColumn id="146" xr3:uid="{5B77EB4D-3438-4292-B3B3-0D7417226DA9}" name="CAMBIO PORCENTUAL EN UNIDADES VENDIDAS AÑO 2 8" dataDxfId="142">
      <calculatedColumnFormula>VLOOKUP(Tabla12[[#This Row],[CÓDIGO DEL PRODUCTO Y/O SERVICIO ]],Tabla3[],9)</calculatedColumnFormula>
    </tableColumn>
    <tableColumn id="147" xr3:uid="{92850B45-6200-465D-B351-48887DE0F590}" name="CANTIDADES A UTILIZAR EN EL AÑO 2 8" dataDxfId="141">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0">
      <calculatedColumnFormula>VLOOKUP(Tabla12[[#This Row],[CÓDIGO DEL PRODUCTO Y/O SERVICIO ]],Tabla3[],13)</calculatedColumnFormula>
    </tableColumn>
    <tableColumn id="149" xr3:uid="{62FFF6AE-35D0-4F9D-AE27-EB0DB3DBACB4}" name="CANTIDADES A UTILIZAR EN EL AÑO 3 8" dataDxfId="139">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38">
      <calculatedColumnFormula>VLOOKUP(Tabla12[[#This Row],[CÓDIGO DEL PRODUCTO Y/O SERVICIO ]],Tabla3[],17)</calculatedColumnFormula>
    </tableColumn>
    <tableColumn id="151" xr3:uid="{FE3A03F7-AD24-456D-AEF5-8FA99429842A}" name="CANTIDADES A UTILIZAR EN EL AÑO 4 8" dataDxfId="137">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36">
      <calculatedColumnFormula>VLOOKUP(Tabla12[[#This Row],[CÓDIGO DEL PRODUCTO Y/O SERVICIO ]],Tabla3[],21)</calculatedColumnFormula>
    </tableColumn>
    <tableColumn id="153" xr3:uid="{5260B70C-34F1-4911-AE84-0A6557C72611}" name="CANTIDADES A UTILIZAR AÑO 5 8" dataDxfId="135">
      <calculatedColumnFormula>Tabla12[[#This Row],[CANTIDADES A UTILIZAR EN EL AÑO 4 8]]*(1+Tabla12[[#This Row],[CAMBIO PORCENTUAL EN UNIDADES VENDIDAS AÑO 5 8]])</calculatedColumnFormula>
    </tableColumn>
    <tableColumn id="154" xr3:uid="{92B161FD-DEB4-4499-8034-D1AADB5319F6}"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3">
      <calculatedColumnFormula>$C$135*(1+BASES!$E$10)</calculatedColumnFormula>
    </tableColumn>
    <tableColumn id="156" xr3:uid="{34EBBAA7-BB06-4997-907E-B2788A766FB0}" name="COSTO UNITARIO AÑO 3 8" dataDxfId="132">
      <calculatedColumnFormula>Tabla12[[#This Row],[COSTO UNITARIO AÑO 2 8]]*(1+BASES!$F$10)</calculatedColumnFormula>
    </tableColumn>
    <tableColumn id="157" xr3:uid="{D548E757-048A-427B-AA2D-0C6F91334456}" name="COSTO UNITARIO AÑO 4 8" dataDxfId="131">
      <calculatedColumnFormula>Tabla12[[#This Row],[COSTO UNITARIO AÑO 3 8]]*(1+BASES!$G$10)</calculatedColumnFormula>
    </tableColumn>
    <tableColumn id="158" xr3:uid="{FBDE8D88-92D8-4C96-9A15-A49FC0A00BC0}" name="COSTO UNITARIO AÑO 5 8" dataDxfId="130">
      <calculatedColumnFormula>Tabla12[[#This Row],[COSTO UNITARIO AÑO 4 8]]*(1+BASES!$H$10)</calculatedColumnFormula>
    </tableColumn>
    <tableColumn id="159" xr3:uid="{BAA4141F-1434-4B26-85C5-3670314B3D2E}" name="AÑO 1 8" dataDxfId="129">
      <calculatedColumnFormula>Tabla12[[#This Row],[COSTO POR UNIDAD DE PRODUCTO (8)]]*$C$135*VLOOKUP(Tabla12[[#This Row],[CÓDIGO DEL PRODUCTO Y/O SERVICIO ]],Tabla3[],3)</calculatedColumnFormula>
    </tableColumn>
    <tableColumn id="160" xr3:uid="{E4E1A613-ED3B-4D0F-A9FC-0D7939B702DE}" name="AÑO 2 8" dataDxfId="128">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27">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26">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25">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24">
      <calculatedColumnFormula>VLOOKUP(Tabla12[[#This Row],[CÓDIGO DEL PRODUCTO Y/O SERVICIO ]],Tabla3[],3)</calculatedColumnFormula>
    </tableColumn>
    <tableColumn id="165" xr3:uid="{A81D071E-F0AF-4A96-91A0-3E3BE05A1116}" name="CANTIDADES A UTILIZAR EN EL AÑO 1 9" dataDxfId="123">
      <calculatedColumnFormula>Tabla12[[#This Row],[UNIDADES PRODUCIDAS AÑO 1 9 ]]*N145</calculatedColumnFormula>
    </tableColumn>
    <tableColumn id="166" xr3:uid="{D6EDC391-9EF0-4618-8D79-6001F9120164}" name="CAMBIO PORCENTUAL UNIDADES VENDIDAS AÑO 2 9 " dataDxfId="122">
      <calculatedColumnFormula>VLOOKUP(Tabla12[[#This Row],[CÓDIGO DEL PRODUCTO Y/O SERVICIO ]],Tabla3[],9)</calculatedColumnFormula>
    </tableColumn>
    <tableColumn id="167" xr3:uid="{90B7E3BA-7802-4186-8220-74936C1232C4}" name="CANTIDADES A UTILIZAR EN EL AÑO 2 9 " dataDxfId="121">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0">
      <calculatedColumnFormula>VLOOKUP(Tabla12[[#This Row],[CÓDIGO DEL PRODUCTO Y/O SERVICIO ]],Tabla3[],13)</calculatedColumnFormula>
    </tableColumn>
    <tableColumn id="169" xr3:uid="{2FEE9DC6-9208-4F48-9D10-DCCC11E51C06}" name="CANTIDADES A UTILIZAR EN EL AÑO 3 9 " dataDxfId="119">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18">
      <calculatedColumnFormula>VLOOKUP(Tabla12[[#This Row],[CÓDIGO DEL PRODUCTO Y/O SERVICIO ]],Tabla3[],17)</calculatedColumnFormula>
    </tableColumn>
    <tableColumn id="171" xr3:uid="{1A271FCC-7129-4C72-B489-B04FF4EE2FD7}" name="CANTIDADES A UTILIZAR EN EL AÑO 4 9" dataDxfId="117">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16">
      <calculatedColumnFormula>VLOOKUP(Tabla12[[#This Row],[CÓDIGO DEL PRODUCTO Y/O SERVICIO ]],Tabla3[],21)</calculatedColumnFormula>
    </tableColumn>
    <tableColumn id="173" xr3:uid="{DBA9218E-A3AE-4C37-8B94-474B9D62A72E}" name="CANTIDADES A UTILIZAR AÑO 5 9" dataDxfId="115">
      <calculatedColumnFormula>Tabla12[[#This Row],[CANTIDADES A UTILIZAR EN EL AÑO 4 9]]*(1+Tabla12[[#This Row],[CAMBIO PORCENTUAL EN UNIDADES VENDIDAS AÑO 5 9]])</calculatedColumnFormula>
    </tableColumn>
    <tableColumn id="174" xr3:uid="{1B11023F-CA50-4FAF-859B-18DC965767D5}"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3">
      <calculatedColumnFormula>$C$136*(1+BASES!$E$10)</calculatedColumnFormula>
    </tableColumn>
    <tableColumn id="176" xr3:uid="{0D52B884-B58D-44C0-B5B0-434E0BDF1F9B}" name="COSTO UNITARIO AÑO 3 9" dataDxfId="112">
      <calculatedColumnFormula>Tabla12[[#This Row],[COSTO UNITARIO AÑO 2 9]]*(1+BASES!$F$10)</calculatedColumnFormula>
    </tableColumn>
    <tableColumn id="177" xr3:uid="{614FA485-118D-4D70-A220-9E5FABB46AC9}" name="COSTO UNITARIO AÑO 4 9" dataDxfId="111">
      <calculatedColumnFormula>Tabla12[[#This Row],[COSTO UNITARIO AÑO 3 9]]*(1+BASES!$G$10)</calculatedColumnFormula>
    </tableColumn>
    <tableColumn id="178" xr3:uid="{F9D90582-4AAA-41E1-8F26-DAE8BBE56CA7}" name="COSTO UNITARIO AÑO 5 9" dataDxfId="110">
      <calculatedColumnFormula>Tabla12[[#This Row],[COSTO UNITARIO AÑO 4 9]]*(1+BASES!$H$10)</calculatedColumnFormula>
    </tableColumn>
    <tableColumn id="179" xr3:uid="{3012D8A7-7566-493A-8BBB-D24D2A813F67}" name="AÑO 1 9 " dataDxfId="109">
      <calculatedColumnFormula>Tabla12[[#This Row],[COSTO POR UNIDAD DE PRODUCTO (9)]]*$C$136*VLOOKUP(Tabla12[[#This Row],[CÓDIGO DEL PRODUCTO Y/O SERVICIO ]],Tabla3[],3)</calculatedColumnFormula>
    </tableColumn>
    <tableColumn id="180" xr3:uid="{9A601251-20E6-42E2-AD4C-4444D40372A9}" name="AÑO 2 9 " dataDxfId="108">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07">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06">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05">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04">
      <calculatedColumnFormula>VLOOKUP(Tabla12[[#This Row],[CÓDIGO DEL PRODUCTO Y/O SERVICIO ]],Tabla3[],3)</calculatedColumnFormula>
    </tableColumn>
    <tableColumn id="185" xr3:uid="{88E2E94D-FCC9-4501-8346-880128E38633}" name="CANTIDADES A UTILIZAR EN EL AÑO 1 10 " dataDxfId="103">
      <calculatedColumnFormula>Tabla12[[#This Row],[UNIDADES PRODUCIDAS AÑO 1 10 ]]*O145</calculatedColumnFormula>
    </tableColumn>
    <tableColumn id="186" xr3:uid="{17E4B515-2A6E-46AC-88BE-E48C4408DBFF}" name="CAMBIO PORCENTUAL EN UNIDADES VENDIDAS AÑO 2 10 " dataDxfId="102">
      <calculatedColumnFormula>VLOOKUP(Tabla12[[#This Row],[CÓDIGO DEL PRODUCTO Y/O SERVICIO ]],Tabla3[],9)</calculatedColumnFormula>
    </tableColumn>
    <tableColumn id="187" xr3:uid="{3A2FCD63-270C-4781-A212-C0E85BC13332}" name="CANTIDADES A UTILIZAR EN EL AÑO 2 10" dataDxfId="101">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0">
      <calculatedColumnFormula>VLOOKUP(Tabla12[[#This Row],[CÓDIGO DEL PRODUCTO Y/O SERVICIO ]],Tabla3[],13)</calculatedColumnFormula>
    </tableColumn>
    <tableColumn id="189" xr3:uid="{9147B23F-E207-45B0-9AF2-1BE1888800E8}" name="CANTIDADES A UTILIZAR EN EL AÑO 3 10" dataDxfId="99">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98">
      <calculatedColumnFormula>VLOOKUP(Tabla12[[#This Row],[CÓDIGO DEL PRODUCTO Y/O SERVICIO ]],Tabla3[],17)</calculatedColumnFormula>
    </tableColumn>
    <tableColumn id="191" xr3:uid="{55EB26E7-664F-425C-96BE-E0D6B8BB0A65}" name="CANTIDADES A UTILIZAR EN EL AÑO 4 10 " dataDxfId="97">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96">
      <calculatedColumnFormula>VLOOKUP(Tabla12[[#This Row],[CÓDIGO DEL PRODUCTO Y/O SERVICIO ]],Tabla3[],21)</calculatedColumnFormula>
    </tableColumn>
    <tableColumn id="193" xr3:uid="{305DE2C6-6177-4181-AD5C-8AF28F6E78FE}" name="CANTIDADES A UTILIZAR AÑO 5 10 " dataDxfId="95">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3">
      <calculatedColumnFormula>$C$137*(1+BASES!$E$10)</calculatedColumnFormula>
    </tableColumn>
    <tableColumn id="196" xr3:uid="{A1837FB4-DB95-436C-AE9C-C7A88F409C5F}" name="COSTO UNITARIO AÑO 3 10 " dataDxfId="92">
      <calculatedColumnFormula>Tabla12[[#This Row],[COSTO UNITARIO AÑO 2 10 ]]*(1+BASES!$F$10)</calculatedColumnFormula>
    </tableColumn>
    <tableColumn id="197" xr3:uid="{01C22CCF-17FC-4E71-9AF9-22C4B4A29916}" name="COSTO UNITARIO AÑO 4 10" dataDxfId="91">
      <calculatedColumnFormula>Tabla12[[#This Row],[COSTO UNITARIO AÑO 3 10 ]]*(1+BASES!$G$10)</calculatedColumnFormula>
    </tableColumn>
    <tableColumn id="198" xr3:uid="{655F253E-47A0-4B9C-B48B-12AC34C8A2B8}" name="COSTO UNITARIO AÑO 5 10 " dataDxfId="90">
      <calculatedColumnFormula>Tabla12[[#This Row],[COSTO UNITARIO AÑO 4 10]]*(1+BASES!$H$10)</calculatedColumnFormula>
    </tableColumn>
    <tableColumn id="199" xr3:uid="{DFFD16D6-CF0C-43BF-B291-6010A922DADD}" name="AÑO 1 10 " dataDxfId="89">
      <calculatedColumnFormula>Tabla12[[#This Row],[COSTO POR UNIDAD DE PRODUCTO (10)]]*$C$137*VLOOKUP(Tabla12[[#This Row],[CÓDIGO DEL PRODUCTO Y/O SERVICIO ]],Tabla3[],3)</calculatedColumnFormula>
    </tableColumn>
    <tableColumn id="200" xr3:uid="{42D9E6A9-DC2D-451A-8AD2-CE4EADB7B723}" name="AÑO 2 10 " dataDxfId="88">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87">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86">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85">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191:Y193" totalsRowShown="0" headerRowDxfId="79" dataDxfId="78">
  <autoFilter ref="C191:Y193" xr:uid="{E0A04C7D-FB85-4F39-8A4E-E172623E765D}"/>
  <tableColumns count="23">
    <tableColumn id="1" xr3:uid="{882019F7-640B-468D-B753-5899BF42D5C0}" name="CÓDIGO DEL PRODUCTO Y/O SERVICIO " dataDxfId="77"/>
    <tableColumn id="2" xr3:uid="{EF5C92EA-79B6-4AC8-9670-23EB41C4792C}" name="NOMBRE DEL PRODUCTO Y/O SERVICIO " dataDxfId="76">
      <calculatedColumnFormula>VLOOKUP(Tabla15[[#This Row],[CÓDIGO DEL PRODUCTO Y/O SERVICIO ]],Tabla3[],2,0)</calculatedColumnFormula>
    </tableColumn>
    <tableColumn id="3" xr3:uid="{6B06B968-2EBA-40F1-8082-D6F45AC20F64}" name="Columna1" dataDxfId="75"/>
    <tableColumn id="4" xr3:uid="{2F4FCF6F-8CB5-46F0-BB94-7366C9D769F6}" name="AÑO 1 " dataDxfId="74">
      <calculatedColumnFormula>IF(F55=0,0,OP55/F55)</calculatedColumnFormula>
    </tableColumn>
    <tableColumn id="5" xr3:uid="{C57CE18E-B915-454C-A082-99A83775CF1F}" name="AÑO 2 " dataDxfId="73">
      <calculatedColumnFormula>IF(PRODUCTO_O_SERVICIO!G20=0,0,COSTOS_DE_PRODUCCION!OQ55/PRODUCTO_O_SERVICIO!G20)</calculatedColumnFormula>
    </tableColumn>
    <tableColumn id="6" xr3:uid="{27D306CA-6D96-47E4-A3DA-1E067FD98F67}" name="AÑO 3 " dataDxfId="72">
      <calculatedColumnFormula>IF(PRODUCTO_O_SERVICIO!K20=0,0,COSTOS_DE_PRODUCCION!OR55/PRODUCTO_O_SERVICIO!K20)</calculatedColumnFormula>
    </tableColumn>
    <tableColumn id="7" xr3:uid="{E58904D3-9DAE-47B1-9A7F-9A082EC78FFF}" name="AÑO 4" dataDxfId="71">
      <calculatedColumnFormula>IF(PRODUCTO_O_SERVICIO!O20=0,0,COSTOS_DE_PRODUCCION!OS55/PRODUCTO_O_SERVICIO!O20)</calculatedColumnFormula>
    </tableColumn>
    <tableColumn id="8" xr3:uid="{8F3023BE-6C47-4E76-89D3-0291C352F942}" name="AÑO 5 " dataDxfId="70">
      <calculatedColumnFormula>IF(PRODUCTO_O_SERVICIO!S20=0,0,COSTOS_DE_PRODUCCION!OT55/PRODUCTO_O_SERVICIO!S20)</calculatedColumnFormula>
    </tableColumn>
    <tableColumn id="9" xr3:uid="{75DB7F2E-2FB5-4388-9DD1-E69CBE524179}" name="AÑO 1 2" dataDxfId="69">
      <calculatedColumnFormula>IF(PRODUCTO_O_SERVICIO!D20=0,0,COSTOS_DE_PRODUCCION!GX107/PRODUCTO_O_SERVICIO!D20)</calculatedColumnFormula>
    </tableColumn>
    <tableColumn id="10" xr3:uid="{45CE1FE9-4F4D-4E3E-B269-DFA6B596A378}" name="AÑO 2 2" dataDxfId="68">
      <calculatedColumnFormula>IF(PRODUCTO_O_SERVICIO!G20=0,0,COSTOS_DE_PRODUCCION!GY107/PRODUCTO_O_SERVICIO!G20)</calculatedColumnFormula>
    </tableColumn>
    <tableColumn id="11" xr3:uid="{D7C76F0B-F43E-44FD-8DDA-96E4310E7410}" name="AÑO 3 2" dataDxfId="67">
      <calculatedColumnFormula>IF(PRODUCTO_O_SERVICIO!K20=0,0,COSTOS_DE_PRODUCCION!GZ107/PRODUCTO_O_SERVICIO!K20)</calculatedColumnFormula>
    </tableColumn>
    <tableColumn id="12" xr3:uid="{CCF1515F-2DE1-4C1B-A0F6-819772D5E28D}" name="AÑO 4 2" dataDxfId="66">
      <calculatedColumnFormula>IF(PRODUCTO_O_SERVICIO!O20=0,0,COSTOS_DE_PRODUCCION!HA107/PRODUCTO_O_SERVICIO!O20)</calculatedColumnFormula>
    </tableColumn>
    <tableColumn id="13" xr3:uid="{47D9F6F0-B17E-4F09-A79C-34A019FB96A4}" name="AÑO 5 2" dataDxfId="65">
      <calculatedColumnFormula>IF(PRODUCTO_O_SERVICIO!S20=0,0,COSTOS_DE_PRODUCCION!HB107/PRODUCTO_O_SERVICIO!S20)</calculatedColumnFormula>
    </tableColumn>
    <tableColumn id="14" xr3:uid="{C066EDE4-3C68-4CDD-972F-C9B4252CA429}" name="AÑO 1 3" dataDxfId="64">
      <calculatedColumnFormula>IF(PRODUCTO_O_SERVICIO!D20=0,0,COSTOS_DE_PRODUCCION!GX164/PRODUCTO_O_SERVICIO!D20)</calculatedColumnFormula>
    </tableColumn>
    <tableColumn id="15" xr3:uid="{C2455697-185B-4D02-A25A-EA9AD41BB78D}" name="AÑO 2 3" dataDxfId="63">
      <calculatedColumnFormula>IF(PRODUCTO_O_SERVICIO!G20=0,0,COSTOS_DE_PRODUCCION!GY164/PRODUCTO_O_SERVICIO!G20)</calculatedColumnFormula>
    </tableColumn>
    <tableColumn id="16" xr3:uid="{3296F73A-383A-4903-8519-D5F279E72FEC}" name="AÑO 3 3" dataDxfId="62">
      <calculatedColumnFormula>IF(PRODUCTO_O_SERVICIO!K20=0,0,COSTOS_DE_PRODUCCION!GZ164/PRODUCTO_O_SERVICIO!K20)</calculatedColumnFormula>
    </tableColumn>
    <tableColumn id="17" xr3:uid="{5CDBC2C6-4E1B-4DB8-890A-5A7A71CCBC53}" name="AÑO 4 3 " dataDxfId="61">
      <calculatedColumnFormula>IF(PRODUCTO_O_SERVICIO!O20=0,0,COSTOS_DE_PRODUCCION!HA164/PRODUCTO_O_SERVICIO!O20)</calculatedColumnFormula>
    </tableColumn>
    <tableColumn id="18" xr3:uid="{B36C44BE-EEEF-4779-A17E-BCDD15941819}" name="AÑO 5 3" dataDxfId="60">
      <calculatedColumnFormula>IF(PRODUCTO_O_SERVICIO!S20=0,0,COSTOS_DE_PRODUCCION!HB164/PRODUCTO_O_SERVICIO!S20)</calculatedColumnFormula>
    </tableColumn>
    <tableColumn id="19" xr3:uid="{E708BC36-69A3-4964-91D8-2543725D13D2}" name="AÑO 1 4" dataDxfId="59">
      <calculatedColumnFormula>Tabla15[[#This Row],[AÑO 1 ]]+Tabla15[[#This Row],[AÑO 1 2]]+Tabla15[[#This Row],[AÑO 1 3]]</calculatedColumnFormula>
    </tableColumn>
    <tableColumn id="20" xr3:uid="{5297CB68-4F5E-4013-B3EF-7603FAFB10AD}" name="AÑO 2 4" dataDxfId="58">
      <calculatedColumnFormula>Tabla15[[#This Row],[AÑO 2 ]]+Tabla15[[#This Row],[AÑO 2 2]]+Tabla15[[#This Row],[AÑO 2 3]]</calculatedColumnFormula>
    </tableColumn>
    <tableColumn id="21" xr3:uid="{BA9BD60A-DE3F-48C2-8D96-DB0CFD1EA4F0}" name="AÑO 3 4" dataDxfId="57">
      <calculatedColumnFormula>Tabla15[[#This Row],[AÑO 3 ]]+Tabla15[[#This Row],[AÑO 3 2]]+Tabla15[[#This Row],[AÑO 3 3]]</calculatedColumnFormula>
    </tableColumn>
    <tableColumn id="22" xr3:uid="{0A60B9D5-8AF6-4A93-853B-607DA918EF99}" name="AÑO 4 4 " dataDxfId="56">
      <calculatedColumnFormula>Tabla15[[#This Row],[AÑO 4]]+Tabla15[[#This Row],[AÑO 4 2]]+Tabla15[[#This Row],[AÑO 4 3 ]]</calculatedColumnFormula>
    </tableColumn>
    <tableColumn id="23" xr3:uid="{A73B3EFA-2751-4C2C-AD14-4DAD3D4918DF}"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0" totalsRowShown="0" headerRowDxfId="54" dataDxfId="53">
  <autoFilter ref="D8:O10" xr:uid="{9B3D302D-4CDD-4B2D-B326-1BDE679ECB62}"/>
  <tableColumns count="12">
    <tableColumn id="1" xr3:uid="{F5F060AD-43A7-4794-82B1-EC4067234622}" name="CÓDIGO " dataDxfId="52"/>
    <tableColumn id="2" xr3:uid="{A65CD31F-2A30-4E55-A571-CB9E0B3FAB96}" name="Producto y/o servicio " dataDxfId="51">
      <calculatedColumnFormula>VLOOKUP(Tabla2[[#This Row],[CÓDIGO ]],Tabla3[],2,FALSE)</calculatedColumnFormula>
    </tableColumn>
    <tableColumn id="3" xr3:uid="{3356F61D-2104-4994-B000-140C4F970870}" name="Precio de venta año 1 " dataDxfId="50">
      <calculatedColumnFormula>VLOOKUP(Tabla2[[#This Row],[CÓDIGO ]],Tabla3[],4,FALSE)</calculatedColumnFormula>
    </tableColumn>
    <tableColumn id="4" xr3:uid="{50A8B792-F0BA-4A00-9F05-A5F5C83493E3}" name="Ingresos totales año 1" dataDxfId="49">
      <calculatedColumnFormula>Tabla2[[#This Row],[Precio de venta año 1 ]]*VLOOKUP(Tabla2[[#This Row],[CÓDIGO ]],Tabla3[],3,FALSE)</calculatedColumnFormula>
    </tableColumn>
    <tableColumn id="5" xr3:uid="{7DAD203E-C194-4D65-9ED8-FEB8D4FAD109}" name="Precio de venta año 2 " dataDxfId="48">
      <calculatedColumnFormula>VLOOKUP(Tabla2[[#This Row],[CÓDIGO ]],Tabla3[],7,FALSE)</calculatedColumnFormula>
    </tableColumn>
    <tableColumn id="6" xr3:uid="{569C77A4-8AF0-43BC-9806-A0F634EAD358}" name="Ingresos totales año 2 " dataDxfId="47">
      <calculatedColumnFormula>Tabla2[[#This Row],[Precio de venta año 2 ]]*VLOOKUP(Tabla2[[#This Row],[CÓDIGO ]],Tabla3[],6,FALSE)</calculatedColumnFormula>
    </tableColumn>
    <tableColumn id="7" xr3:uid="{B1FF55E4-99B0-429C-9D3E-DC83156BDA7F}" name="Precio de venta año 3 " dataDxfId="46">
      <calculatedColumnFormula>VLOOKUP(Tabla2[[#This Row],[CÓDIGO ]],Tabla3[],11,FALSE)</calculatedColumnFormula>
    </tableColumn>
    <tableColumn id="8" xr3:uid="{7AEE6964-1003-4C2D-8751-80C8BD7A3365}" name="Ingresos totales año 3 " dataDxfId="45">
      <calculatedColumnFormula>Tabla2[[#This Row],[Precio de venta año 3 ]]*VLOOKUP(Tabla2[[#This Row],[CÓDIGO ]],Tabla3[],10,FALSE)</calculatedColumnFormula>
    </tableColumn>
    <tableColumn id="9" xr3:uid="{33C77107-CE26-4F16-8BBC-D955C929B0D4}" name="Precio de venta año 4 " dataDxfId="44">
      <calculatedColumnFormula>VLOOKUP(Tabla2[[#This Row],[CÓDIGO ]],Tabla3[],15,FALSE)</calculatedColumnFormula>
    </tableColumn>
    <tableColumn id="10" xr3:uid="{F66B203D-39C7-4D88-96B1-3C9681344D18}" name="Ingresos totales año 4" dataDxfId="43">
      <calculatedColumnFormula>Tabla2[[#This Row],[Precio de venta año 4 ]]*VLOOKUP(Tabla2[[#This Row],[CÓDIGO ]],Tabla3[],14,FALSE)</calculatedColumnFormula>
    </tableColumn>
    <tableColumn id="11" xr3:uid="{DEAE33E3-3D6D-4650-BCC2-EDB2BD417FD7}" name="Precio de venta año 5" dataDxfId="42">
      <calculatedColumnFormula>VLOOKUP(Tabla2[[#This Row],[CÓDIGO ]],Tabla3[],19,FALSE)</calculatedColumnFormula>
    </tableColumn>
    <tableColumn id="12" xr3:uid="{92942E89-5238-4917-8C6D-F965F1B3CB44}" name="Ingresos totales año 5" dataDxfId="41">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2:T24" totalsRowShown="0" headerRowDxfId="40" dataDxfId="39">
  <autoFilter ref="D22:T24" xr:uid="{991172E2-B068-4858-B48B-CE1B7940C75D}"/>
  <tableColumns count="17">
    <tableColumn id="1" xr3:uid="{91E81F2B-5B2A-4A65-A310-8E92F1399D7F}" name="CÓDIGO " dataDxfId="38"/>
    <tableColumn id="2" xr3:uid="{7A39D6FF-627C-47CB-97C7-CDB23E90B9C7}" name="Producto y/o servicio " dataDxfId="37">
      <calculatedColumnFormula>VLOOKUP(Tabla5[[#This Row],[CÓDIGO ]],Tabla3[],2,0)</calculatedColumnFormula>
    </tableColumn>
    <tableColumn id="3" xr3:uid="{648E0A4E-18DA-4264-BB9A-CD025964C64C}" name="Precio de venta unitario año 1" dataDxfId="36">
      <calculatedColumnFormula>VLOOKUP(Tabla5[[#This Row],[CÓDIGO ]],Tabla3[],4,0)</calculatedColumnFormula>
    </tableColumn>
    <tableColumn id="4" xr3:uid="{41971353-6744-47FF-8105-AEF1E3039CE3}" name="(-) Costo de producción unitario año 1" dataDxfId="35">
      <calculatedColumnFormula>VLOOKUP(Tabla5[[#This Row],[CÓDIGO ]],Tabla15[],18)</calculatedColumnFormula>
    </tableColumn>
    <tableColumn id="5" xr3:uid="{1CCA5C03-0C7C-4563-B698-04A4ADC1811F}" name="Margen de contribución unitario año 1" dataDxfId="34">
      <calculatedColumnFormula>Tabla5[[#This Row],[Precio de venta unitario año 1]]-Tabla5[[#This Row],[(-) Costo de producción unitario año 1]]</calculatedColumnFormula>
    </tableColumn>
    <tableColumn id="6" xr3:uid="{94751116-2A4A-4FD5-B7AF-914990FF72CC}" name="Precio de venta unitario año 2" dataDxfId="33">
      <calculatedColumnFormula>VLOOKUP(Tabla5[[#This Row],[CÓDIGO ]],Tabla3[],7,0)</calculatedColumnFormula>
    </tableColumn>
    <tableColumn id="7" xr3:uid="{31CC67F3-15B0-4215-8B30-59A923A1C17A}" name="(-) Costo de producción unitario año 2" dataDxfId="32">
      <calculatedColumnFormula>VLOOKUP(Tabla5[[#This Row],[CÓDIGO ]],Tabla15[],19)</calculatedColumnFormula>
    </tableColumn>
    <tableColumn id="8" xr3:uid="{1B75B426-D02D-4542-8FF4-FFF3D10D5909}" name="Margen de contribución unitario año 2" dataDxfId="31">
      <calculatedColumnFormula>Tabla5[[#This Row],[Precio de venta unitario año 2]]-Tabla5[[#This Row],[(-) Costo de producción unitario año 2]]</calculatedColumnFormula>
    </tableColumn>
    <tableColumn id="9" xr3:uid="{08F85E58-A22B-49EA-90D6-56511593719E}" name="Precio de venta unitario año 3" dataDxfId="30">
      <calculatedColumnFormula>VLOOKUP(Tabla5[[#This Row],[CÓDIGO ]],Tabla3[],11,0)</calculatedColumnFormula>
    </tableColumn>
    <tableColumn id="10" xr3:uid="{16BA973F-517E-4F55-B972-E82CE6BF38E6}" name="(-) Costo de producción unitario año 3" dataDxfId="29">
      <calculatedColumnFormula>VLOOKUP(Tabla5[[#This Row],[CÓDIGO ]],Tabla15[],20)</calculatedColumnFormula>
    </tableColumn>
    <tableColumn id="11" xr3:uid="{CDE286F4-F209-4055-BFFF-751F7F928C9D}" name="Margen de contribución unitario año 3" dataDxfId="28">
      <calculatedColumnFormula>Tabla5[[#This Row],[Precio de venta unitario año 3]]-Tabla5[[#This Row],[(-) Costo de producción unitario año 3]]</calculatedColumnFormula>
    </tableColumn>
    <tableColumn id="12" xr3:uid="{E24CD506-761D-471B-9ACB-4217150E1025}" name="Precio de venta unitario año 4" dataDxfId="27">
      <calculatedColumnFormula>VLOOKUP(Tabla5[[#This Row],[CÓDIGO ]],Tabla3[],15,0)</calculatedColumnFormula>
    </tableColumn>
    <tableColumn id="13" xr3:uid="{A0934D96-47A4-40AA-BF76-57059F892C2F}" name="(-) Costo de producción unitario año 4" dataDxfId="26">
      <calculatedColumnFormula>VLOOKUP(Tabla5[[#This Row],[CÓDIGO ]],Tabla15[],21)</calculatedColumnFormula>
    </tableColumn>
    <tableColumn id="14" xr3:uid="{52A7C197-88E6-4893-AA6B-E309C9FCF776}" name="Margen de contribución unitario año 4" dataDxfId="25">
      <calculatedColumnFormula>Tabla5[[#This Row],[Precio de venta unitario año 4]]-Tabla5[[#This Row],[(-) Costo de producción unitario año 4]]</calculatedColumnFormula>
    </tableColumn>
    <tableColumn id="15" xr3:uid="{6F9FA346-AD29-4B39-B8CB-1E4D1492E392}" name="Precio de venta unitario año 5" dataDxfId="24">
      <calculatedColumnFormula>VLOOKUP(Tabla5[[#This Row],[CÓDIGO ]],Tabla3[],19,0)</calculatedColumnFormula>
    </tableColumn>
    <tableColumn id="16" xr3:uid="{45F06967-C010-4A36-9A6C-221B9172E5A0}" name="(-) Costo de producción unitario año 5" dataDxfId="23">
      <calculatedColumnFormula>VLOOKUP(Tabla5[[#This Row],[CÓDIGO ]],Tabla15[],22)</calculatedColumnFormula>
    </tableColumn>
    <tableColumn id="17" xr3:uid="{5CA86D20-FD6B-4D5D-BCAB-F4D464363D28}"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0" totalsRowShown="0" headerRowDxfId="21" dataDxfId="20">
  <autoFilter ref="E8:K10" xr:uid="{E21B02D9-F632-4410-BF28-D12D7E976C83}"/>
  <tableColumns count="7">
    <tableColumn id="1" xr3:uid="{CEF04158-098E-4F8C-8025-F4E796A6C601}" name="CÓDIGO " dataDxfId="19"/>
    <tableColumn id="2" xr3:uid="{0BB47822-4C75-4831-B2D9-23E64C8F3039}" name="PRODUCTO Y/O SERVICIO " dataDxfId="18">
      <calculatedColumnFormula>VLOOKUP(Tabla6[[#This Row],[CÓDIGO ]],Tabla3[],2,0)</calculatedColumnFormula>
    </tableColumn>
    <tableColumn id="3" xr3:uid="{23B49039-2496-401B-BBD4-8D57BA7D6FD6}" name="INGRESOS TOTALES" dataDxfId="17">
      <calculatedColumnFormula>VLOOKUP(Tabla6[[#This Row],[CÓDIGO ]],Tabla2[],4,0)</calculatedColumnFormula>
    </tableColumn>
    <tableColumn id="4" xr3:uid="{90128B54-7119-4AB5-98CC-1FCBA322599F}" name="PRECIO DE VENTA " dataDxfId="16">
      <calculatedColumnFormula>VLOOKUP(Tabla6[[#This Row],[CÓDIGO ]],Tabla3[],4)</calculatedColumnFormula>
    </tableColumn>
    <tableColumn id="5" xr3:uid="{58C60E4B-3C76-4970-83CA-FD5C9BB43FD6}" name="COSTOS DE PRODUCCIÓN " dataDxfId="15">
      <calculatedColumnFormula>VLOOKUP(Tabla6[[#This Row],[CÓDIGO ]],Tabla15[],18)</calculatedColumnFormula>
    </tableColumn>
    <tableColumn id="6" xr3:uid="{3D1D6BAA-813F-402F-9F6C-05373B89CD29}" name="MARGEN DE CONTRIBUCIÓN UNITARIO " dataDxfId="14">
      <calculatedColumnFormula>Tabla6[[#This Row],[PRECIO DE VENTA ]]-Tabla6[[#This Row],[COSTOS DE PRODUCCIÓN ]]</calculatedColumnFormula>
    </tableColumn>
    <tableColumn id="7" xr3:uid="{043D08E7-2197-468E-B012-AA398B2E6B55}" name="PARTICIPACIÓN PORCENTUAL DE LAS VENTAS " dataDxfId="13">
      <calculatedColumnFormula>IF($G$12=0,0,G9/$G$12)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19:I21" totalsRowShown="0" headerRowDxfId="12" dataDxfId="11">
  <autoFilter ref="E19:I21" xr:uid="{96167AA7-D40D-48E8-A98C-3CAF49C4035E}"/>
  <tableColumns count="5">
    <tableColumn id="1" xr3:uid="{2968B154-B141-4A24-82AF-0B40437C28F7}" name="CÓDIGO " dataDxfId="10"/>
    <tableColumn id="2" xr3:uid="{F476F082-0D42-448F-A130-D9FF46303E35}" name="PRODUCTO Y/O SERVICIO " dataDxfId="9">
      <calculatedColumnFormula>VLOOKUP(Tabla7[[#This Row],[CÓDIGO ]],Tabla3[],2)</calculatedColumnFormula>
    </tableColumn>
    <tableColumn id="3" xr3:uid="{DFF9B1CB-7791-48F1-9D21-8E1850E3CFDF}" name="MARGEN DE CONTRIBUCIÓN UNITARIO " dataDxfId="8">
      <calculatedColumnFormula>VLOOKUP(Tabla7[[#This Row],[CÓDIGO ]],Tabla6[],6,0)</calculatedColumnFormula>
    </tableColumn>
    <tableColumn id="4" xr3:uid="{0DBE7B6A-A652-450B-A034-C648BBD1A290}" name="PARTICIPACIÓN % EN VENTAS " dataDxfId="7">
      <calculatedColumnFormula>VLOOKUP(Tabla7[[#This Row],[CÓDIGO ]],Tabla6[],7,0)</calculatedColumnFormula>
    </tableColumn>
    <tableColumn id="5" xr3:uid="{939A2592-B9BC-411C-938E-C80B4B61FD09}"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0:H42" totalsRowShown="0" headerRowDxfId="5" dataDxfId="4">
  <autoFilter ref="E40:H42" xr:uid="{9D0CC8D5-0D1F-4B22-940D-C504562B5A6B}"/>
  <tableColumns count="4">
    <tableColumn id="1" xr3:uid="{8A24DBF5-913A-4318-B6F6-FE58CE1081B5}" name="CÓDIGO " dataDxfId="3"/>
    <tableColumn id="2" xr3:uid="{DDFADD33-14DB-4A78-A5E3-703C11DF64B3}" name="PRODUCTO Y/O SERVICIO " dataDxfId="2">
      <calculatedColumnFormula>VLOOKUP(Tabla8[[#This Row],[CÓDIGO ]],Tabla3[],2)</calculatedColumnFormula>
    </tableColumn>
    <tableColumn id="3" xr3:uid="{03E62207-E36D-44C9-B157-C8A77DEBB42C}" name="-" dataDxfId="1">
      <calculatedColumnFormula>$G$33*VLOOKUP(Tabla8[[#This Row],[CÓDIGO ]],Tabla6[],7,0)</calculatedColumnFormula>
    </tableColumn>
    <tableColumn id="4" xr3:uid="{876FC78B-2BA3-4A09-8993-056E80DB55F0}" name="UNIDADES CALCULADAS PARA EL GRÁFICO " dataDxfId="0">
      <calculatedColumnFormula>$Q$24*VLOOKUP(Tabla8[[#This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tabSelected="1" zoomScaleNormal="100" workbookViewId="0"/>
  </sheetViews>
  <sheetFormatPr baseColWidth="10" defaultRowHeight="15" x14ac:dyDescent="0.25"/>
  <sheetData>
    <row r="16" spans="18:18" x14ac:dyDescent="0.25">
      <c r="R16" t="s">
        <v>323</v>
      </c>
    </row>
  </sheetData>
  <sheetProtection algorithmName="SHA-512" hashValue="ONV1AhT2JXIPOO4glDrBruQdumvZuZr/vlLIWiwHrX05njI/KvAzH0N9T+FLM1HZTDjkU5yIgp47zL6yMTJg2g==" saltValue="/fLs3rAi4AiDgOveJnBRxA=="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G5" sqref="G5"/>
    </sheetView>
  </sheetViews>
  <sheetFormatPr baseColWidth="10" defaultRowHeight="15" x14ac:dyDescent="0.25"/>
  <sheetData>
    <row r="3" spans="2:11" x14ac:dyDescent="0.25">
      <c r="B3" s="1" t="s">
        <v>289</v>
      </c>
      <c r="E3" s="8" t="s">
        <v>326</v>
      </c>
      <c r="F3" s="4"/>
      <c r="G3" s="4"/>
      <c r="H3" s="4"/>
      <c r="I3" s="4"/>
      <c r="J3" s="4"/>
      <c r="K3" s="4"/>
    </row>
  </sheetData>
  <sheetProtection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8</xdr:row>
                <xdr:rowOff>114300</xdr:rowOff>
              </from>
              <to>
                <xdr:col>17</xdr:col>
                <xdr:colOff>352425</xdr:colOff>
                <xdr:row>58</xdr:row>
                <xdr:rowOff>76200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Normal="100" workbookViewId="0">
      <selection activeCell="I22" sqref="I22"/>
    </sheetView>
  </sheetViews>
  <sheetFormatPr baseColWidth="10" defaultRowHeight="15" x14ac:dyDescent="0.25"/>
  <cols>
    <col min="2" max="2" width="42.140625" bestFit="1" customWidth="1"/>
    <col min="4" max="4" width="12.7109375" customWidth="1"/>
    <col min="5" max="5" width="24.140625" customWidth="1"/>
    <col min="6" max="6" width="26.7109375" customWidth="1"/>
    <col min="7" max="7" width="30.140625" customWidth="1"/>
    <col min="8" max="8" width="17.28515625" bestFit="1" customWidth="1"/>
  </cols>
  <sheetData>
    <row r="5" spans="2:13" ht="15.75" thickBot="1" x14ac:dyDescent="0.3"/>
    <row r="6" spans="2:13" ht="16.5" thickBot="1" x14ac:dyDescent="0.3">
      <c r="B6" s="520" t="s">
        <v>16</v>
      </c>
      <c r="C6" s="521"/>
      <c r="D6" s="521"/>
      <c r="E6" s="521"/>
      <c r="F6" s="521"/>
      <c r="G6" s="521"/>
      <c r="H6" s="522"/>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24"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532" t="s">
        <v>20</v>
      </c>
      <c r="F14" s="533"/>
      <c r="G14" s="534"/>
      <c r="H14" s="39">
        <v>6.0000000000000001E-3</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532" t="s">
        <v>21</v>
      </c>
      <c r="F16" s="533"/>
      <c r="G16" s="534"/>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532" t="s">
        <v>22</v>
      </c>
      <c r="F18" s="533"/>
      <c r="G18" s="534"/>
      <c r="H18" s="39">
        <v>0.38</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523" t="s">
        <v>23</v>
      </c>
      <c r="F20" s="524"/>
      <c r="G20" s="525"/>
      <c r="H20" s="10"/>
      <c r="I20" s="10"/>
    </row>
    <row r="21" spans="2:11" ht="16.5" thickBot="1" x14ac:dyDescent="0.3">
      <c r="B21" s="19" t="s">
        <v>6</v>
      </c>
      <c r="C21" s="13"/>
      <c r="D21" s="10"/>
      <c r="E21" s="528" t="s">
        <v>24</v>
      </c>
      <c r="F21" s="529"/>
      <c r="G21" s="40" t="s">
        <v>283</v>
      </c>
      <c r="H21" s="10"/>
      <c r="I21" s="10"/>
    </row>
    <row r="22" spans="2:11" ht="15.75" x14ac:dyDescent="0.25">
      <c r="B22" s="27" t="s">
        <v>7</v>
      </c>
      <c r="C22" s="28">
        <v>0.02</v>
      </c>
      <c r="D22" s="10"/>
      <c r="E22" s="528" t="s">
        <v>25</v>
      </c>
      <c r="F22" s="529"/>
      <c r="G22" s="41">
        <v>5</v>
      </c>
      <c r="H22" s="10"/>
      <c r="I22" s="10"/>
    </row>
    <row r="23" spans="2:11" ht="16.5" thickBot="1" x14ac:dyDescent="0.3">
      <c r="B23" s="29" t="s">
        <v>8</v>
      </c>
      <c r="C23" s="28">
        <v>0.04</v>
      </c>
      <c r="D23" s="10"/>
      <c r="E23" s="530" t="s">
        <v>26</v>
      </c>
      <c r="F23" s="531"/>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523" t="s">
        <v>28</v>
      </c>
      <c r="F27" s="524"/>
      <c r="G27" s="524"/>
      <c r="H27" s="525"/>
      <c r="I27" s="10"/>
    </row>
    <row r="28" spans="2:11" ht="15.75" x14ac:dyDescent="0.25">
      <c r="B28" s="29" t="s">
        <v>12</v>
      </c>
      <c r="C28" s="35">
        <v>8.5000000000000006E-2</v>
      </c>
      <c r="D28" s="10"/>
      <c r="E28" s="528" t="s">
        <v>29</v>
      </c>
      <c r="F28" s="529"/>
      <c r="G28" s="43">
        <v>20</v>
      </c>
      <c r="H28" s="21" t="s">
        <v>34</v>
      </c>
      <c r="I28" s="10"/>
    </row>
    <row r="29" spans="2:11" ht="15.75" x14ac:dyDescent="0.25">
      <c r="B29" s="29" t="s">
        <v>13</v>
      </c>
      <c r="C29" s="35">
        <v>5.2199999999999998E-3</v>
      </c>
      <c r="D29" s="10"/>
      <c r="E29" s="528" t="s">
        <v>30</v>
      </c>
      <c r="F29" s="529"/>
      <c r="G29" s="43">
        <v>10</v>
      </c>
      <c r="H29" s="21" t="s">
        <v>34</v>
      </c>
      <c r="I29" s="10"/>
    </row>
    <row r="30" spans="2:11" ht="15.75" x14ac:dyDescent="0.25">
      <c r="B30" s="32" t="s">
        <v>14</v>
      </c>
      <c r="C30" s="36">
        <f>SUM(C27:C29)</f>
        <v>0.21022000000000002</v>
      </c>
      <c r="D30" s="10"/>
      <c r="E30" s="528" t="s">
        <v>31</v>
      </c>
      <c r="F30" s="529"/>
      <c r="G30" s="43">
        <v>5</v>
      </c>
      <c r="H30" s="21" t="s">
        <v>34</v>
      </c>
      <c r="I30" s="10"/>
    </row>
    <row r="31" spans="2:11" ht="16.5" thickBot="1" x14ac:dyDescent="0.3">
      <c r="B31" s="37" t="s">
        <v>15</v>
      </c>
      <c r="C31" s="38">
        <f>SUM(C20,C25,C30)</f>
        <v>0.62851999999999997</v>
      </c>
      <c r="D31" s="10"/>
      <c r="E31" s="528" t="s">
        <v>32</v>
      </c>
      <c r="F31" s="529"/>
      <c r="G31" s="43">
        <v>5</v>
      </c>
      <c r="H31" s="21" t="s">
        <v>34</v>
      </c>
      <c r="I31" s="10"/>
    </row>
    <row r="32" spans="2:11" ht="15.75" x14ac:dyDescent="0.25">
      <c r="B32" s="10"/>
      <c r="C32" s="10"/>
      <c r="D32" s="10"/>
      <c r="E32" s="528" t="s">
        <v>33</v>
      </c>
      <c r="F32" s="529"/>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526" t="s">
        <v>35</v>
      </c>
      <c r="F36" s="527"/>
      <c r="G36" s="48">
        <v>5</v>
      </c>
      <c r="H36" s="23" t="s">
        <v>36</v>
      </c>
      <c r="I36" s="10"/>
    </row>
    <row r="37" spans="2:9" ht="15.75" x14ac:dyDescent="0.25">
      <c r="B37" s="9"/>
      <c r="C37" s="9"/>
      <c r="D37" s="9"/>
      <c r="E37" s="9"/>
      <c r="F37" s="9"/>
      <c r="G37" s="9"/>
      <c r="H37" s="9"/>
      <c r="I37" s="9"/>
    </row>
  </sheetData>
  <sheetProtection algorithmName="SHA-512" hashValue="tXfoUCCtv7aaM9yjFQ8TPfaoShOsEPtDbz1ZRuLZXTy+N/IuRKsu0Si84A4eWTJMmZlGK1bf1/sP8rMg//yBJQ==" saltValue="uOgHVbVPww+/Qz5nwh4CcQ==" spinCount="100000"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5"/>
  <sheetViews>
    <sheetView showGridLines="0" zoomScaleNormal="100" workbookViewId="0">
      <selection activeCell="C15" sqref="C15"/>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327</v>
      </c>
      <c r="C2" s="60" t="str">
        <f>INSTRUCCIONES!E3</f>
        <v>Digite el nombre de su emprendimiento</v>
      </c>
    </row>
    <row r="3" spans="2:31" ht="16.5" thickBot="1" x14ac:dyDescent="0.3">
      <c r="B3" s="138"/>
      <c r="C3" s="137"/>
    </row>
    <row r="4" spans="2:31" ht="15.75" customHeight="1" x14ac:dyDescent="0.25">
      <c r="B4" s="550" t="s">
        <v>441</v>
      </c>
      <c r="C4" s="551"/>
      <c r="D4" s="551"/>
      <c r="E4" s="551"/>
      <c r="F4" s="551"/>
      <c r="G4" s="551"/>
      <c r="H4" s="551"/>
      <c r="I4" s="551"/>
      <c r="J4" s="551"/>
      <c r="K4" s="551"/>
      <c r="L4" s="551"/>
      <c r="M4" s="551"/>
      <c r="N4" s="551"/>
      <c r="O4" s="551"/>
      <c r="P4" s="551"/>
      <c r="Q4" s="551"/>
      <c r="R4" s="551"/>
      <c r="S4" s="551"/>
      <c r="T4" s="551"/>
      <c r="U4" s="551"/>
      <c r="V4" s="552"/>
    </row>
    <row r="5" spans="2:31" ht="15.75" customHeight="1" thickBot="1" x14ac:dyDescent="0.3">
      <c r="B5" s="553"/>
      <c r="C5" s="554"/>
      <c r="D5" s="554"/>
      <c r="E5" s="554"/>
      <c r="F5" s="554"/>
      <c r="G5" s="554"/>
      <c r="H5" s="554"/>
      <c r="I5" s="554"/>
      <c r="J5" s="554"/>
      <c r="K5" s="554"/>
      <c r="L5" s="554"/>
      <c r="M5" s="554"/>
      <c r="N5" s="554"/>
      <c r="O5" s="554"/>
      <c r="P5" s="554"/>
      <c r="Q5" s="554"/>
      <c r="R5" s="554"/>
      <c r="S5" s="554"/>
      <c r="T5" s="554"/>
      <c r="U5" s="554"/>
      <c r="V5" s="555"/>
    </row>
    <row r="6" spans="2:31" ht="15.75" thickBot="1" x14ac:dyDescent="0.3">
      <c r="B6" s="74"/>
    </row>
    <row r="7" spans="2:31" ht="15.75" customHeight="1" x14ac:dyDescent="0.25">
      <c r="B7" s="537" t="s">
        <v>37</v>
      </c>
      <c r="C7" s="53">
        <f>BASES!D7</f>
        <v>2021</v>
      </c>
      <c r="D7" s="49">
        <v>0.19</v>
      </c>
      <c r="E7" s="540" t="s">
        <v>332</v>
      </c>
      <c r="F7" s="53">
        <f>BASES!D7</f>
        <v>2021</v>
      </c>
      <c r="G7" s="54"/>
    </row>
    <row r="8" spans="2:31" ht="15.75" x14ac:dyDescent="0.25">
      <c r="B8" s="538"/>
      <c r="C8" s="53">
        <f>BASES!E7</f>
        <v>2022</v>
      </c>
      <c r="D8" s="49">
        <v>0.19</v>
      </c>
      <c r="E8" s="541"/>
      <c r="F8" s="53">
        <f>BASES!E7</f>
        <v>2022</v>
      </c>
      <c r="G8" s="55">
        <f>BASES!E8</f>
        <v>1.95E-2</v>
      </c>
    </row>
    <row r="9" spans="2:31" ht="15.75" x14ac:dyDescent="0.25">
      <c r="B9" s="538"/>
      <c r="C9" s="53">
        <f>BASES!F7</f>
        <v>2023</v>
      </c>
      <c r="D9" s="49">
        <v>0.19</v>
      </c>
      <c r="E9" s="541"/>
      <c r="F9" s="53">
        <f>BASES!F7</f>
        <v>2023</v>
      </c>
      <c r="G9" s="55">
        <f>BASES!F8</f>
        <v>1.95E-2</v>
      </c>
    </row>
    <row r="10" spans="2:31" ht="15.75" x14ac:dyDescent="0.25">
      <c r="B10" s="538"/>
      <c r="C10" s="53">
        <f>BASES!G7</f>
        <v>2024</v>
      </c>
      <c r="D10" s="49">
        <v>0.19</v>
      </c>
      <c r="E10" s="541"/>
      <c r="F10" s="53">
        <f>BASES!G7</f>
        <v>2024</v>
      </c>
      <c r="G10" s="55">
        <f>BASES!G8</f>
        <v>1.95E-2</v>
      </c>
    </row>
    <row r="11" spans="2:31" ht="16.5" thickBot="1" x14ac:dyDescent="0.3">
      <c r="B11" s="539"/>
      <c r="C11" s="53">
        <f>BASES!H7</f>
        <v>2025</v>
      </c>
      <c r="D11" s="49">
        <v>0.19</v>
      </c>
      <c r="E11" s="542"/>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353</v>
      </c>
      <c r="D17" s="543">
        <f>BASES!D7</f>
        <v>2021</v>
      </c>
      <c r="E17" s="544"/>
      <c r="F17" s="544"/>
      <c r="G17" s="543">
        <f>BASES!E7</f>
        <v>2022</v>
      </c>
      <c r="H17" s="544"/>
      <c r="I17" s="544"/>
      <c r="J17" s="544"/>
      <c r="K17" s="543">
        <f>BASES!F7</f>
        <v>2023</v>
      </c>
      <c r="L17" s="544"/>
      <c r="M17" s="544"/>
      <c r="N17" s="544"/>
      <c r="O17" s="543">
        <f>BASES!G7</f>
        <v>2024</v>
      </c>
      <c r="P17" s="544"/>
      <c r="Q17" s="544"/>
      <c r="R17" s="544"/>
      <c r="S17" s="543">
        <f>BASES!H7</f>
        <v>2025</v>
      </c>
      <c r="T17" s="544"/>
      <c r="U17" s="544"/>
      <c r="V17" s="544"/>
    </row>
    <row r="18" spans="2:31" ht="16.5" thickBot="1" x14ac:dyDescent="0.3">
      <c r="B18" s="51"/>
      <c r="C18" s="61" t="s">
        <v>330</v>
      </c>
      <c r="D18" s="545" t="s">
        <v>331</v>
      </c>
      <c r="E18" s="546"/>
      <c r="F18" s="546"/>
      <c r="G18" s="547">
        <v>0.01</v>
      </c>
      <c r="H18" s="548"/>
      <c r="I18" s="548"/>
      <c r="J18" s="549"/>
      <c r="K18" s="547">
        <v>0.02</v>
      </c>
      <c r="L18" s="548"/>
      <c r="M18" s="548"/>
      <c r="N18" s="549"/>
      <c r="O18" s="547">
        <v>0.03</v>
      </c>
      <c r="P18" s="548"/>
      <c r="Q18" s="548"/>
      <c r="R18" s="549"/>
      <c r="S18" s="556">
        <v>0.04</v>
      </c>
      <c r="T18" s="556"/>
      <c r="U18" s="556"/>
      <c r="V18" s="556"/>
      <c r="W18" s="50"/>
      <c r="X18" s="50"/>
      <c r="Y18" s="50"/>
      <c r="Z18" s="50"/>
      <c r="AA18" s="50"/>
      <c r="AB18" s="50"/>
      <c r="AC18" s="50"/>
      <c r="AD18" s="50"/>
      <c r="AE18" s="50"/>
    </row>
    <row r="19" spans="2:31" ht="15.75" x14ac:dyDescent="0.25">
      <c r="B19" s="52" t="s">
        <v>329</v>
      </c>
      <c r="C19" s="69" t="s">
        <v>328</v>
      </c>
      <c r="D19" s="69" t="s">
        <v>334</v>
      </c>
      <c r="E19" s="69" t="s">
        <v>333</v>
      </c>
      <c r="F19" s="69" t="s">
        <v>343</v>
      </c>
      <c r="G19" s="69" t="s">
        <v>335</v>
      </c>
      <c r="H19" s="69" t="s">
        <v>336</v>
      </c>
      <c r="I19" s="69" t="s">
        <v>344</v>
      </c>
      <c r="J19" s="69" t="s">
        <v>354</v>
      </c>
      <c r="K19" s="69" t="s">
        <v>337</v>
      </c>
      <c r="L19" s="69" t="s">
        <v>338</v>
      </c>
      <c r="M19" s="69" t="s">
        <v>345</v>
      </c>
      <c r="N19" s="69" t="s">
        <v>350</v>
      </c>
      <c r="O19" s="69" t="s">
        <v>339</v>
      </c>
      <c r="P19" s="69" t="s">
        <v>340</v>
      </c>
      <c r="Q19" s="69" t="s">
        <v>346</v>
      </c>
      <c r="R19" s="69" t="s">
        <v>351</v>
      </c>
      <c r="S19" s="69" t="s">
        <v>341</v>
      </c>
      <c r="T19" s="69" t="s">
        <v>342</v>
      </c>
      <c r="U19" s="69" t="s">
        <v>347</v>
      </c>
      <c r="V19" s="69" t="s">
        <v>352</v>
      </c>
    </row>
    <row r="20" spans="2:31" ht="15.75" x14ac:dyDescent="0.25">
      <c r="B20" s="127">
        <v>0</v>
      </c>
      <c r="C20" s="67" t="s">
        <v>349</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127"/>
      <c r="C21" s="67"/>
      <c r="D21" s="67"/>
      <c r="E21" s="68"/>
      <c r="F21" s="429"/>
      <c r="G21" s="430"/>
      <c r="H21" s="429"/>
      <c r="I21" s="429"/>
      <c r="J21" s="431"/>
      <c r="K21" s="430"/>
      <c r="L21" s="429"/>
      <c r="M21" s="429"/>
      <c r="N21" s="431"/>
      <c r="O21" s="430"/>
      <c r="P21" s="429"/>
      <c r="Q21" s="429"/>
      <c r="R21" s="432"/>
      <c r="S21" s="430"/>
      <c r="T21" s="429"/>
      <c r="U21" s="429"/>
      <c r="V21" s="432"/>
      <c r="W21" s="74"/>
      <c r="X21" s="74"/>
      <c r="Y21" s="74"/>
    </row>
    <row r="22" spans="2:31" ht="15.75" thickBot="1" x14ac:dyDescent="0.3"/>
    <row r="23" spans="2:31" ht="16.5" thickBot="1" x14ac:dyDescent="0.3">
      <c r="B23" s="535" t="s">
        <v>348</v>
      </c>
      <c r="C23" s="536"/>
      <c r="D23" s="536"/>
      <c r="E23" s="536"/>
      <c r="F23" s="57">
        <f>SUM(Tabla3[VENTA ANUAL AÑO 1])</f>
        <v>0</v>
      </c>
      <c r="G23" s="58"/>
      <c r="H23" s="58"/>
      <c r="I23" s="57">
        <f>SUM(Tabla3[VENTA ANUAL AÑO 2])</f>
        <v>0</v>
      </c>
      <c r="J23" s="57"/>
      <c r="K23" s="58"/>
      <c r="L23" s="58"/>
      <c r="M23" s="57">
        <f>SUM(Tabla3[VENTA ANUAL AÑO 3])</f>
        <v>0</v>
      </c>
      <c r="N23" s="57"/>
      <c r="O23" s="58"/>
      <c r="P23" s="58"/>
      <c r="Q23" s="57">
        <f>SUM(Tabla3[VENTA ANUAL AÑO 4])</f>
        <v>0</v>
      </c>
      <c r="R23" s="57"/>
      <c r="S23" s="58"/>
      <c r="T23" s="58"/>
      <c r="U23" s="57">
        <f>SUM(Tabla3[VENTA ANUAL AÑO 5])</f>
        <v>0</v>
      </c>
      <c r="V23" s="70"/>
    </row>
    <row r="24" spans="2:31" ht="16.5" thickBot="1" x14ac:dyDescent="0.3">
      <c r="B24" s="535" t="s">
        <v>38</v>
      </c>
      <c r="C24" s="536"/>
      <c r="D24" s="536"/>
      <c r="E24" s="536"/>
      <c r="F24" s="57">
        <f>F23*D7</f>
        <v>0</v>
      </c>
      <c r="G24" s="58"/>
      <c r="H24" s="58"/>
      <c r="I24" s="57">
        <f>I23*D8</f>
        <v>0</v>
      </c>
      <c r="J24" s="56"/>
      <c r="K24" s="58"/>
      <c r="L24" s="58"/>
      <c r="M24" s="56">
        <f>M23*D9</f>
        <v>0</v>
      </c>
      <c r="N24" s="56"/>
      <c r="O24" s="58"/>
      <c r="P24" s="58"/>
      <c r="Q24" s="56">
        <f>Q23*D10</f>
        <v>0</v>
      </c>
      <c r="R24" s="56"/>
      <c r="S24" s="58"/>
      <c r="T24" s="58"/>
      <c r="U24" s="56">
        <f>U23*D11</f>
        <v>0</v>
      </c>
      <c r="V24" s="70"/>
    </row>
    <row r="25" spans="2:31" ht="16.5" thickBot="1" x14ac:dyDescent="0.3">
      <c r="B25" s="535" t="s">
        <v>39</v>
      </c>
      <c r="C25" s="536"/>
      <c r="D25" s="536"/>
      <c r="E25" s="536"/>
      <c r="F25" s="57">
        <f>F23+F24</f>
        <v>0</v>
      </c>
      <c r="G25" s="58"/>
      <c r="H25" s="58"/>
      <c r="I25" s="57">
        <f>I23+I24</f>
        <v>0</v>
      </c>
      <c r="J25" s="56"/>
      <c r="K25" s="58"/>
      <c r="L25" s="58"/>
      <c r="M25" s="56">
        <f>M23+M24</f>
        <v>0</v>
      </c>
      <c r="N25" s="56"/>
      <c r="O25" s="58"/>
      <c r="P25" s="58"/>
      <c r="Q25" s="56">
        <f>Q23+Q24</f>
        <v>0</v>
      </c>
      <c r="R25" s="56"/>
      <c r="S25" s="58"/>
      <c r="T25" s="58"/>
      <c r="U25" s="56">
        <f>U23+U24</f>
        <v>0</v>
      </c>
      <c r="V25" s="70"/>
    </row>
  </sheetData>
  <sheetProtection sheet="1" objects="1" scenarios="1"/>
  <protectedRanges>
    <protectedRange algorithmName="SHA-512" hashValue="PI1FzmXxdjjbHe5ES7fZfhUBXFhVbo1bnvXE/2xlVmPC4IwsJyGU/90VUCFxrzbzt+Y/Gh4Eo/9shgSNWz2Dkg==" saltValue="8n1+OIXmuy91Y+3uFbTkOA==" spinCount="100000" sqref="B19:B21" name="Código"/>
  </protectedRanges>
  <mergeCells count="16">
    <mergeCell ref="B4:V5"/>
    <mergeCell ref="S18:V18"/>
    <mergeCell ref="S17:V17"/>
    <mergeCell ref="K18:N18"/>
    <mergeCell ref="B24:E24"/>
    <mergeCell ref="K17:N17"/>
    <mergeCell ref="O18:R18"/>
    <mergeCell ref="O17:R17"/>
    <mergeCell ref="B25:E25"/>
    <mergeCell ref="B7:B11"/>
    <mergeCell ref="E7:E11"/>
    <mergeCell ref="D17:F17"/>
    <mergeCell ref="G17:J17"/>
    <mergeCell ref="B23:E23"/>
    <mergeCell ref="D18:F18"/>
    <mergeCell ref="G18:J18"/>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3:OT193"/>
  <sheetViews>
    <sheetView showGridLines="0" zoomScaleNormal="100" workbookViewId="0">
      <selection activeCell="D12" sqref="D12"/>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6" width="29.140625" style="2" hidden="1" customWidth="1"/>
    <col min="27" max="27" width="29.140625" style="2" customWidth="1"/>
    <col min="28" max="28" width="37.85546875" style="2" hidden="1" customWidth="1"/>
    <col min="29" max="29" width="29.140625" style="2" customWidth="1"/>
    <col min="30" max="30" width="37.85546875" style="2" hidden="1" customWidth="1"/>
    <col min="31" max="31" width="29.140625" style="2" customWidth="1"/>
    <col min="32" max="32" width="37.85546875" style="2" hidden="1" customWidth="1"/>
    <col min="33" max="33" width="29.140625" style="2" customWidth="1"/>
    <col min="34" max="34" width="37.85546875" style="2" hidden="1" customWidth="1"/>
    <col min="35" max="35" width="29.140625" style="2" customWidth="1"/>
    <col min="36" max="40" width="26" style="2" customWidth="1"/>
    <col min="41" max="43" width="14.7109375" style="2" customWidth="1"/>
    <col min="44" max="44" width="14.85546875" style="2" customWidth="1"/>
    <col min="45" max="45" width="14.7109375" style="2" customWidth="1"/>
    <col min="46" max="46" width="29.140625" style="2" hidden="1" customWidth="1"/>
    <col min="47" max="47" width="29.140625" style="2" customWidth="1"/>
    <col min="48" max="48" width="37.85546875" style="2" hidden="1" customWidth="1"/>
    <col min="49" max="49" width="29.140625" style="2" customWidth="1"/>
    <col min="50" max="50" width="37.85546875" style="2" hidden="1" customWidth="1"/>
    <col min="51" max="51" width="29.140625" style="2" customWidth="1"/>
    <col min="52" max="52" width="37.5703125" style="2" hidden="1" customWidth="1"/>
    <col min="53" max="53" width="29.140625" style="2" customWidth="1"/>
    <col min="54" max="54" width="37.85546875" style="2" hidden="1"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6" width="29.140625" style="2" hidden="1" customWidth="1"/>
    <col min="67" max="67" width="29.140625" style="2" customWidth="1"/>
    <col min="68" max="68" width="37.85546875" style="2" hidden="1" customWidth="1"/>
    <col min="69" max="69" width="29.140625" style="2" customWidth="1"/>
    <col min="70" max="70" width="37.85546875" style="2" hidden="1" customWidth="1"/>
    <col min="71" max="71" width="29.140625" style="2" customWidth="1"/>
    <col min="72" max="72" width="37.85546875" style="2" hidden="1" customWidth="1"/>
    <col min="73" max="73" width="29.140625" style="2" customWidth="1"/>
    <col min="74" max="74" width="37.85546875" style="2" hidden="1" customWidth="1"/>
    <col min="75" max="75" width="29.140625" style="2" customWidth="1"/>
    <col min="76" max="80" width="26" style="2" customWidth="1"/>
    <col min="81" max="85" width="14.7109375" style="2" customWidth="1"/>
    <col min="86" max="86" width="29.140625" style="2" hidden="1" customWidth="1"/>
    <col min="87" max="87" width="29.140625" style="2" customWidth="1"/>
    <col min="88" max="88" width="37.85546875" style="2" hidden="1" customWidth="1"/>
    <col min="89" max="89" width="29.140625" style="2" customWidth="1"/>
    <col min="90" max="90" width="37.85546875" style="2" hidden="1" customWidth="1"/>
    <col min="91" max="91" width="29.140625" style="2" customWidth="1"/>
    <col min="92" max="92" width="37.85546875" style="2" hidden="1" customWidth="1"/>
    <col min="93" max="93" width="29.140625" style="2" customWidth="1"/>
    <col min="94" max="94" width="37.85546875" style="2" hidden="1" customWidth="1"/>
    <col min="95" max="95" width="29.140625" style="2" customWidth="1"/>
    <col min="96" max="100" width="26" style="2" customWidth="1"/>
    <col min="101" max="105" width="14.7109375" style="2" customWidth="1"/>
    <col min="106" max="106" width="29.140625" style="2" hidden="1" customWidth="1"/>
    <col min="107" max="107" width="29.140625" style="2" customWidth="1"/>
    <col min="108" max="108" width="37.85546875" style="2" hidden="1" customWidth="1"/>
    <col min="109" max="109" width="29.140625" style="2" customWidth="1"/>
    <col min="110" max="110" width="37.85546875" style="2" hidden="1" customWidth="1"/>
    <col min="111" max="111" width="29.140625" style="2" customWidth="1"/>
    <col min="112" max="112" width="37.85546875" style="2" hidden="1" customWidth="1"/>
    <col min="113" max="113" width="29.140625" style="2" customWidth="1"/>
    <col min="114" max="114" width="37.85546875" style="2" hidden="1"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6" width="29.140625" style="2" hidden="1" customWidth="1"/>
    <col min="127" max="127" width="29.140625" style="2" customWidth="1"/>
    <col min="128" max="128" width="37.85546875" style="2" hidden="1" customWidth="1"/>
    <col min="129" max="129" width="29.140625" style="2" customWidth="1"/>
    <col min="130" max="130" width="37.85546875" style="2" hidden="1" customWidth="1"/>
    <col min="131" max="131" width="29.140625" style="2" customWidth="1"/>
    <col min="132" max="132" width="37.85546875" style="2" hidden="1" customWidth="1"/>
    <col min="133" max="133" width="29.140625" style="2" customWidth="1"/>
    <col min="134" max="134" width="37.85546875" style="2" hidden="1" customWidth="1"/>
    <col min="135" max="135" width="29.140625" style="2" customWidth="1"/>
    <col min="136" max="140" width="26" style="2" customWidth="1"/>
    <col min="141" max="145" width="14.7109375" style="2" customWidth="1"/>
    <col min="146" max="146" width="29.140625" style="2" hidden="1" customWidth="1"/>
    <col min="147" max="147" width="29.140625" style="2" customWidth="1"/>
    <col min="148" max="148" width="37.85546875" style="2" hidden="1" customWidth="1"/>
    <col min="149" max="149" width="29.140625" style="2" customWidth="1"/>
    <col min="150" max="150" width="37.7109375" style="2" hidden="1" customWidth="1"/>
    <col min="151" max="151" width="29.140625" style="2" customWidth="1"/>
    <col min="152" max="152" width="37.85546875" style="2" hidden="1" customWidth="1"/>
    <col min="153" max="153" width="29.140625" style="2" customWidth="1"/>
    <col min="154" max="154" width="37.85546875" style="2" hidden="1" customWidth="1"/>
    <col min="155" max="155" width="29" style="2" customWidth="1"/>
    <col min="156" max="156" width="26.140625" style="2" customWidth="1"/>
    <col min="157" max="160" width="26" style="2" customWidth="1"/>
    <col min="161" max="165" width="14.7109375" style="2" customWidth="1"/>
    <col min="166" max="166" width="29.140625" style="2" hidden="1" customWidth="1"/>
    <col min="167" max="167" width="29.140625" style="2" customWidth="1"/>
    <col min="168" max="168" width="37.85546875" style="2" hidden="1" customWidth="1"/>
    <col min="169" max="169" width="29.140625" style="2" customWidth="1"/>
    <col min="170" max="170" width="37.85546875" style="2" hidden="1" customWidth="1"/>
    <col min="171" max="171" width="29.140625" style="2" customWidth="1"/>
    <col min="172" max="172" width="37.85546875" style="2" hidden="1" customWidth="1"/>
    <col min="173" max="173" width="29.140625" style="2" customWidth="1"/>
    <col min="174" max="174" width="37.85546875" style="2" hidden="1" customWidth="1"/>
    <col min="175" max="175" width="29.140625" style="2" customWidth="1"/>
    <col min="176" max="180" width="26" style="2" customWidth="1"/>
    <col min="181" max="185" width="14.7109375" style="2" customWidth="1"/>
    <col min="186" max="186" width="29.140625" style="2" hidden="1" customWidth="1"/>
    <col min="187" max="187" width="29.140625" style="2" customWidth="1"/>
    <col min="188" max="188" width="37.85546875" style="2" hidden="1" customWidth="1"/>
    <col min="189" max="189" width="29.140625" style="2" customWidth="1"/>
    <col min="190" max="190" width="37.7109375" style="2" hidden="1" customWidth="1"/>
    <col min="191" max="191" width="29" style="2" customWidth="1"/>
    <col min="192" max="192" width="37.85546875" style="2" hidden="1" customWidth="1"/>
    <col min="193" max="193" width="29.140625" style="2" customWidth="1"/>
    <col min="194" max="194" width="37.85546875" style="2" hidden="1" customWidth="1"/>
    <col min="195" max="195" width="29.140625" style="2" customWidth="1"/>
    <col min="196" max="200" width="26" style="2" customWidth="1"/>
    <col min="201" max="205" width="14.7109375" style="2" customWidth="1"/>
    <col min="206" max="206" width="29.140625" style="2" hidden="1" customWidth="1"/>
    <col min="207" max="207" width="29.140625" style="2" customWidth="1"/>
    <col min="208" max="208" width="37.85546875" style="2" hidden="1" customWidth="1"/>
    <col min="209" max="209" width="29.140625" style="2" customWidth="1"/>
    <col min="210" max="210" width="37.85546875" style="2" hidden="1" customWidth="1"/>
    <col min="211" max="211" width="29.140625" style="2" customWidth="1"/>
    <col min="212" max="212" width="37.85546875" style="2" hidden="1" customWidth="1"/>
    <col min="213" max="213" width="29.140625" style="2" customWidth="1"/>
    <col min="214" max="214" width="37.85546875" style="2" hidden="1"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hidden="1" customWidth="1"/>
    <col min="227" max="227" width="29.140625" style="2" customWidth="1"/>
    <col min="228" max="228" width="37.85546875" style="2" hidden="1" customWidth="1"/>
    <col min="229" max="229" width="29.140625" style="2" customWidth="1"/>
    <col min="230" max="230" width="37.7109375" style="2" hidden="1" customWidth="1"/>
    <col min="231" max="231" width="29.140625" style="2" customWidth="1"/>
    <col min="232" max="232" width="37.85546875" style="2" hidden="1" customWidth="1"/>
    <col min="233" max="233" width="29.140625" style="2" customWidth="1"/>
    <col min="234" max="234" width="37.85546875" style="2" hidden="1" customWidth="1"/>
    <col min="235" max="235" width="29.140625" style="2" customWidth="1"/>
    <col min="236" max="240" width="26" style="2" customWidth="1"/>
    <col min="241" max="245" width="14.7109375" style="2" customWidth="1"/>
    <col min="246" max="246" width="29" style="2" hidden="1" customWidth="1"/>
    <col min="247" max="247" width="29.140625" style="2" customWidth="1"/>
    <col min="248" max="248" width="37.85546875" style="2" hidden="1" customWidth="1"/>
    <col min="249" max="249" width="29.140625" style="2" customWidth="1"/>
    <col min="250" max="250" width="37.85546875" style="2" hidden="1" customWidth="1"/>
    <col min="251" max="251" width="29.140625" style="2" customWidth="1"/>
    <col min="252" max="252" width="37.85546875" style="2" hidden="1" customWidth="1"/>
    <col min="253" max="253" width="29.140625" style="2" customWidth="1"/>
    <col min="254" max="254" width="37.85546875" style="2" hidden="1" customWidth="1"/>
    <col min="255" max="255" width="29.140625" style="2" customWidth="1"/>
    <col min="256" max="260" width="26" style="2" customWidth="1"/>
    <col min="261" max="265" width="14.7109375" style="2" customWidth="1"/>
    <col min="266" max="266" width="29.140625" style="2" hidden="1" customWidth="1"/>
    <col min="267" max="267" width="29.140625" style="2" customWidth="1"/>
    <col min="268" max="268" width="37.85546875" style="2" hidden="1" customWidth="1"/>
    <col min="269" max="269" width="29.140625" style="2" customWidth="1"/>
    <col min="270" max="270" width="37.85546875" style="2" hidden="1" customWidth="1"/>
    <col min="271" max="271" width="29.140625" style="2" customWidth="1"/>
    <col min="272" max="272" width="37.85546875" style="2" hidden="1" customWidth="1"/>
    <col min="273" max="273" width="29.140625" style="2" customWidth="1"/>
    <col min="274" max="274" width="37.85546875" style="2" hidden="1" customWidth="1"/>
    <col min="275" max="275" width="29.140625" style="2" customWidth="1"/>
    <col min="276" max="280" width="26" style="2" customWidth="1"/>
    <col min="281" max="285" width="14.7109375" style="2" customWidth="1"/>
    <col min="286" max="286" width="29.140625" style="2" hidden="1" customWidth="1"/>
    <col min="287" max="287" width="29.140625" style="2" customWidth="1"/>
    <col min="288" max="288" width="37.85546875" style="2" hidden="1" customWidth="1"/>
    <col min="289" max="289" width="29.140625" style="2" customWidth="1"/>
    <col min="290" max="290" width="37.5703125" style="2" hidden="1" customWidth="1"/>
    <col min="291" max="291" width="29.140625" style="2" customWidth="1"/>
    <col min="292" max="292" width="37.5703125" style="2" hidden="1" customWidth="1"/>
    <col min="293" max="293" width="29.140625" style="2" customWidth="1"/>
    <col min="294" max="294" width="37.85546875" style="2" hidden="1"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hidden="1" customWidth="1"/>
    <col min="307" max="307" width="29" style="2" customWidth="1"/>
    <col min="308" max="308" width="37.85546875" style="2" hidden="1" customWidth="1"/>
    <col min="309" max="309" width="29.140625" style="2" customWidth="1"/>
    <col min="310" max="310" width="37.85546875" style="2" hidden="1" customWidth="1"/>
    <col min="311" max="311" width="29" style="2" customWidth="1"/>
    <col min="312" max="312" width="37.7109375" style="2" hidden="1" customWidth="1"/>
    <col min="313" max="313" width="29.140625" style="2" customWidth="1"/>
    <col min="314" max="314" width="37.85546875" style="2" hidden="1"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6" width="29.140625" style="2" hidden="1" customWidth="1"/>
    <col min="327" max="327" width="29.140625" style="2" customWidth="1"/>
    <col min="328" max="328" width="37.7109375" style="2" hidden="1" customWidth="1"/>
    <col min="329" max="329" width="29.140625" style="2" customWidth="1"/>
    <col min="330" max="330" width="37.85546875" style="2" hidden="1" customWidth="1"/>
    <col min="331" max="331" width="29.140625" style="2" customWidth="1"/>
    <col min="332" max="332" width="37.85546875" style="2" hidden="1" customWidth="1"/>
    <col min="333" max="333" width="29.140625" style="2" customWidth="1"/>
    <col min="334" max="334" width="37.85546875" style="2" hidden="1" customWidth="1"/>
    <col min="335" max="335" width="29.140625" style="2" customWidth="1"/>
    <col min="336" max="340" width="26" style="2" customWidth="1"/>
    <col min="341" max="345" width="14.7109375" style="2" customWidth="1"/>
    <col min="346" max="346" width="29.140625" style="2" hidden="1" customWidth="1"/>
    <col min="347" max="347" width="29" style="2" customWidth="1"/>
    <col min="348" max="348" width="37.85546875" style="2" hidden="1" customWidth="1"/>
    <col min="349" max="349" width="29.140625" style="2" customWidth="1"/>
    <col min="350" max="350" width="37.85546875" style="2" hidden="1" customWidth="1"/>
    <col min="351" max="351" width="29" style="2" customWidth="1"/>
    <col min="352" max="352" width="37.85546875" style="2" hidden="1" customWidth="1"/>
    <col min="353" max="353" width="28.7109375" style="2" customWidth="1"/>
    <col min="354" max="354" width="37.7109375" style="2" hidden="1"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hidden="1" customWidth="1"/>
    <col min="367" max="367" width="29" style="2" customWidth="1"/>
    <col min="368" max="368" width="37.85546875" style="2" hidden="1" customWidth="1"/>
    <col min="369" max="369" width="29.140625" style="2" customWidth="1"/>
    <col min="370" max="370" width="37.85546875" style="2" hidden="1" customWidth="1"/>
    <col min="371" max="371" width="29.140625" style="2" customWidth="1"/>
    <col min="372" max="372" width="37.85546875" style="2" hidden="1" customWidth="1"/>
    <col min="373" max="373" width="29.140625" style="2" customWidth="1"/>
    <col min="374" max="374" width="37.85546875" style="2" hidden="1"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6" width="29.140625" style="2" hidden="1" customWidth="1"/>
    <col min="387" max="387" width="29.140625" style="2" customWidth="1"/>
    <col min="388" max="388" width="37.85546875" style="2" hidden="1" customWidth="1"/>
    <col min="389" max="389" width="29.140625" style="2" customWidth="1"/>
    <col min="390" max="390" width="37.85546875" style="2" hidden="1" customWidth="1"/>
    <col min="391" max="391" width="29.140625" style="2" customWidth="1"/>
    <col min="392" max="392" width="37.85546875" style="2" hidden="1" customWidth="1"/>
    <col min="393" max="393" width="29.140625" style="2" customWidth="1"/>
    <col min="394" max="394" width="37.85546875" style="2" hidden="1"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15.75" x14ac:dyDescent="0.25">
      <c r="B3" s="331" t="s">
        <v>435</v>
      </c>
      <c r="C3" s="332" t="str">
        <f>INSTRUCCIONES!E3</f>
        <v>Digite el nombre de su emprendimiento</v>
      </c>
    </row>
    <row r="6" spans="2:7" ht="15.75" x14ac:dyDescent="0.25">
      <c r="B6" s="612" t="s">
        <v>436</v>
      </c>
      <c r="C6" s="612"/>
      <c r="D6" s="612"/>
      <c r="E6" s="612"/>
      <c r="F6" s="612"/>
      <c r="G6" s="612"/>
    </row>
    <row r="12" spans="2:7" ht="15.75" x14ac:dyDescent="0.25">
      <c r="B12" s="69" t="s">
        <v>43</v>
      </c>
      <c r="C12" s="69" t="s">
        <v>40</v>
      </c>
      <c r="D12" s="69" t="s">
        <v>440</v>
      </c>
    </row>
    <row r="13" spans="2:7" ht="15.75" x14ac:dyDescent="0.25">
      <c r="B13" s="333"/>
      <c r="C13" s="334"/>
      <c r="D13" s="335"/>
    </row>
    <row r="14" spans="2:7" ht="15.75" x14ac:dyDescent="0.25">
      <c r="B14" s="336"/>
      <c r="C14" s="337"/>
      <c r="D14" s="338"/>
    </row>
    <row r="15" spans="2:7" ht="15.75" x14ac:dyDescent="0.25">
      <c r="B15" s="336"/>
      <c r="C15" s="337"/>
      <c r="D15" s="338"/>
    </row>
    <row r="16" spans="2:7" ht="15.75" x14ac:dyDescent="0.25">
      <c r="B16" s="336"/>
      <c r="C16" s="337"/>
      <c r="D16" s="338"/>
    </row>
    <row r="17" spans="2:4" ht="15.75" x14ac:dyDescent="0.25">
      <c r="B17" s="336"/>
      <c r="C17" s="337"/>
      <c r="D17" s="338"/>
    </row>
    <row r="18" spans="2:4" ht="15.75" x14ac:dyDescent="0.25">
      <c r="B18" s="336"/>
      <c r="C18" s="337"/>
      <c r="D18" s="338"/>
    </row>
    <row r="19" spans="2:4" ht="15.75" x14ac:dyDescent="0.25">
      <c r="B19" s="336"/>
      <c r="C19" s="337"/>
      <c r="D19" s="338"/>
    </row>
    <row r="20" spans="2:4" ht="15.75" x14ac:dyDescent="0.25">
      <c r="B20" s="336"/>
      <c r="C20" s="337"/>
      <c r="D20" s="338"/>
    </row>
    <row r="21" spans="2:4" ht="15.75" x14ac:dyDescent="0.25">
      <c r="B21" s="336"/>
      <c r="C21" s="337"/>
      <c r="D21" s="338"/>
    </row>
    <row r="22" spans="2:4" ht="15.75" x14ac:dyDescent="0.25">
      <c r="B22" s="336"/>
      <c r="C22" s="337"/>
      <c r="D22" s="338"/>
    </row>
    <row r="23" spans="2:4" ht="15.75" x14ac:dyDescent="0.25">
      <c r="B23" s="336"/>
      <c r="C23" s="337"/>
      <c r="D23" s="338"/>
    </row>
    <row r="24" spans="2:4" ht="15.75" x14ac:dyDescent="0.25">
      <c r="B24" s="336"/>
      <c r="C24" s="337"/>
      <c r="D24" s="338"/>
    </row>
    <row r="25" spans="2:4" ht="15.75" x14ac:dyDescent="0.25">
      <c r="B25" s="336"/>
      <c r="C25" s="337"/>
      <c r="D25" s="338"/>
    </row>
    <row r="26" spans="2:4" ht="15.75" x14ac:dyDescent="0.25">
      <c r="B26" s="336"/>
      <c r="C26" s="337"/>
      <c r="D26" s="338"/>
    </row>
    <row r="27" spans="2:4" ht="15.75" x14ac:dyDescent="0.25">
      <c r="B27" s="336"/>
      <c r="C27" s="337"/>
      <c r="D27" s="338"/>
    </row>
    <row r="28" spans="2:4" ht="15.75" x14ac:dyDescent="0.25">
      <c r="B28" s="336"/>
      <c r="C28" s="337"/>
      <c r="D28" s="338"/>
    </row>
    <row r="29" spans="2:4" ht="15.75" x14ac:dyDescent="0.25">
      <c r="B29" s="336"/>
      <c r="C29" s="337"/>
      <c r="D29" s="338"/>
    </row>
    <row r="30" spans="2:4" ht="15.75" x14ac:dyDescent="0.25">
      <c r="B30" s="336"/>
      <c r="C30" s="337"/>
      <c r="D30" s="338"/>
    </row>
    <row r="31" spans="2:4" ht="15.75" x14ac:dyDescent="0.25">
      <c r="B31" s="336"/>
      <c r="C31" s="337"/>
      <c r="D31" s="338"/>
    </row>
    <row r="32" spans="2:4" ht="15.75" x14ac:dyDescent="0.25">
      <c r="B32" s="339"/>
      <c r="C32" s="340"/>
      <c r="D32" s="341"/>
    </row>
    <row r="33" spans="2:40" ht="15.75" x14ac:dyDescent="0.25">
      <c r="B33" s="135"/>
      <c r="C33" s="135"/>
      <c r="D33" s="135"/>
    </row>
    <row r="38" spans="2:40" ht="15.75" x14ac:dyDescent="0.25">
      <c r="C38" s="342"/>
      <c r="D38" s="342"/>
      <c r="E38" s="342"/>
      <c r="F38" s="613" t="s">
        <v>439</v>
      </c>
      <c r="G38" s="614"/>
      <c r="H38" s="614"/>
      <c r="I38" s="614"/>
      <c r="J38" s="614"/>
      <c r="K38" s="614"/>
      <c r="L38" s="614"/>
      <c r="M38" s="614"/>
      <c r="N38" s="614"/>
      <c r="O38" s="614"/>
      <c r="P38" s="614"/>
      <c r="Q38" s="614"/>
      <c r="R38" s="614"/>
      <c r="S38" s="614"/>
      <c r="T38" s="614"/>
      <c r="U38" s="614"/>
      <c r="V38" s="614"/>
      <c r="W38" s="614"/>
      <c r="X38" s="614"/>
      <c r="Y38" s="615"/>
      <c r="Z38" s="327"/>
      <c r="AA38" s="327"/>
      <c r="AB38" s="327"/>
      <c r="AC38" s="327"/>
      <c r="AD38" s="327"/>
      <c r="AE38" s="327"/>
      <c r="AF38" s="327"/>
      <c r="AG38" s="327"/>
      <c r="AH38" s="327"/>
      <c r="AI38" s="327"/>
      <c r="AJ38" s="327"/>
      <c r="AK38" s="327"/>
      <c r="AL38" s="327"/>
      <c r="AM38" s="327"/>
      <c r="AN38" s="327"/>
    </row>
    <row r="39" spans="2:40" ht="15.75" x14ac:dyDescent="0.25">
      <c r="C39" s="69" t="s">
        <v>437</v>
      </c>
      <c r="D39" s="69" t="s">
        <v>438</v>
      </c>
      <c r="E39" s="342"/>
      <c r="F39" s="358" cm="1">
        <f t="array" ref="F39:Y39">TRANSPOSE(Tabla9[[MATERIA PRIMA E INSUMOS ]])</f>
        <v>0</v>
      </c>
      <c r="G39" s="358">
        <v>0</v>
      </c>
      <c r="H39" s="358">
        <v>0</v>
      </c>
      <c r="I39" s="358">
        <v>0</v>
      </c>
      <c r="J39" s="358">
        <v>0</v>
      </c>
      <c r="K39" s="358">
        <v>0</v>
      </c>
      <c r="L39" s="358">
        <v>0</v>
      </c>
      <c r="M39" s="358">
        <v>0</v>
      </c>
      <c r="N39" s="358">
        <v>0</v>
      </c>
      <c r="O39" s="358">
        <v>0</v>
      </c>
      <c r="P39" s="358">
        <v>0</v>
      </c>
      <c r="Q39" s="358">
        <v>0</v>
      </c>
      <c r="R39" s="358">
        <v>0</v>
      </c>
      <c r="S39" s="358">
        <v>0</v>
      </c>
      <c r="T39" s="358">
        <v>0</v>
      </c>
      <c r="U39" s="358">
        <v>0</v>
      </c>
      <c r="V39" s="358">
        <v>0</v>
      </c>
      <c r="W39" s="358">
        <v>0</v>
      </c>
      <c r="X39" s="358">
        <v>0</v>
      </c>
      <c r="Y39" s="358">
        <v>0</v>
      </c>
      <c r="Z39" s="328"/>
      <c r="AA39" s="328"/>
      <c r="AB39" s="328"/>
      <c r="AC39" s="328"/>
      <c r="AD39" s="328"/>
      <c r="AE39" s="328"/>
      <c r="AF39" s="328"/>
      <c r="AG39" s="328"/>
      <c r="AH39" s="328"/>
      <c r="AI39" s="328"/>
      <c r="AJ39" s="328"/>
      <c r="AK39" s="328"/>
      <c r="AL39" s="328"/>
      <c r="AM39" s="328"/>
      <c r="AN39" s="328"/>
    </row>
    <row r="40" spans="2:40" ht="15.75" x14ac:dyDescent="0.25">
      <c r="C40" s="433">
        <v>0</v>
      </c>
      <c r="D40" s="92" t="str">
        <f>VLOOKUP(Tabla11[[#This Row],[CÓDIGO DEL PRODUCTO Y/O SERVICIO ]],Tabla3[],2,0)</f>
        <v xml:space="preserve">Seleccionar producto o servicio </v>
      </c>
      <c r="E40" s="434"/>
      <c r="F40" s="71"/>
      <c r="G40" s="71"/>
      <c r="H40" s="71"/>
      <c r="I40" s="71"/>
      <c r="J40" s="71"/>
      <c r="K40" s="71"/>
      <c r="L40" s="71"/>
      <c r="M40" s="71"/>
      <c r="N40" s="71"/>
      <c r="O40" s="71"/>
      <c r="P40" s="71"/>
      <c r="Q40" s="71"/>
      <c r="R40" s="71"/>
      <c r="S40" s="71"/>
      <c r="T40" s="71"/>
      <c r="U40" s="71"/>
      <c r="V40" s="71"/>
      <c r="W40" s="71"/>
      <c r="X40" s="71"/>
      <c r="Y40" s="71"/>
      <c r="Z40" s="85"/>
      <c r="AA40" s="85"/>
      <c r="AB40" s="85"/>
      <c r="AC40" s="85"/>
      <c r="AD40" s="85"/>
      <c r="AE40" s="85"/>
      <c r="AF40" s="85"/>
      <c r="AG40" s="85"/>
      <c r="AH40" s="85"/>
      <c r="AI40" s="85"/>
      <c r="AJ40" s="85"/>
      <c r="AK40" s="85"/>
      <c r="AL40" s="85"/>
      <c r="AM40" s="85"/>
      <c r="AN40" s="85"/>
    </row>
    <row r="41" spans="2:40" ht="15.75" x14ac:dyDescent="0.25">
      <c r="C41" s="136"/>
      <c r="D41" s="92" t="str">
        <f>VLOOKUP(Tabla11[[#This Row],[CÓDIGO DEL PRODUCTO Y/O SERVICIO ]],Tabla3[],2,0)</f>
        <v xml:space="preserve">Seleccionar producto o servicio </v>
      </c>
      <c r="E41" s="434"/>
      <c r="F41" s="71"/>
      <c r="G41" s="71"/>
      <c r="H41" s="71"/>
      <c r="I41" s="71"/>
      <c r="J41" s="71"/>
      <c r="K41" s="71"/>
      <c r="L41" s="71"/>
      <c r="M41" s="71"/>
      <c r="N41" s="71"/>
      <c r="O41" s="71"/>
      <c r="P41" s="71"/>
      <c r="Q41" s="71"/>
      <c r="R41" s="71"/>
      <c r="S41" s="71"/>
      <c r="T41" s="71"/>
      <c r="U41" s="71"/>
      <c r="V41" s="71"/>
      <c r="W41" s="71"/>
      <c r="X41" s="71"/>
      <c r="Y41" s="71"/>
      <c r="Z41" s="85"/>
      <c r="AA41" s="85"/>
      <c r="AB41" s="85"/>
      <c r="AC41" s="85"/>
      <c r="AD41" s="85"/>
      <c r="AE41" s="85"/>
      <c r="AF41" s="85"/>
      <c r="AG41" s="85"/>
      <c r="AH41" s="85"/>
      <c r="AI41" s="85"/>
      <c r="AJ41" s="85"/>
      <c r="AK41" s="85"/>
      <c r="AL41" s="85"/>
      <c r="AM41" s="85"/>
      <c r="AN41" s="85"/>
    </row>
    <row r="51" spans="3:410" ht="15.75" thickBot="1" x14ac:dyDescent="0.3"/>
    <row r="52" spans="3:410" ht="16.5" thickBot="1" x14ac:dyDescent="0.3">
      <c r="F52" s="624">
        <f>B13</f>
        <v>0</v>
      </c>
      <c r="G52" s="625"/>
      <c r="H52" s="625"/>
      <c r="I52" s="625"/>
      <c r="J52" s="625"/>
      <c r="K52" s="625"/>
      <c r="L52" s="625"/>
      <c r="M52" s="625"/>
      <c r="N52" s="625"/>
      <c r="O52" s="625"/>
      <c r="P52" s="625"/>
      <c r="Q52" s="625"/>
      <c r="R52" s="625"/>
      <c r="S52" s="625"/>
      <c r="T52" s="625"/>
      <c r="U52" s="625"/>
      <c r="V52" s="625"/>
      <c r="W52" s="625"/>
      <c r="X52" s="625"/>
      <c r="Y52" s="626"/>
      <c r="Z52" s="620">
        <f>B14</f>
        <v>0</v>
      </c>
      <c r="AA52" s="621"/>
      <c r="AB52" s="621"/>
      <c r="AC52" s="621"/>
      <c r="AD52" s="621"/>
      <c r="AE52" s="621"/>
      <c r="AF52" s="621"/>
      <c r="AG52" s="621"/>
      <c r="AH52" s="621"/>
      <c r="AI52" s="621"/>
      <c r="AJ52" s="621"/>
      <c r="AK52" s="621"/>
      <c r="AL52" s="621"/>
      <c r="AM52" s="621"/>
      <c r="AN52" s="621"/>
      <c r="AO52" s="621"/>
      <c r="AP52" s="621"/>
      <c r="AQ52" s="621"/>
      <c r="AR52" s="621"/>
      <c r="AS52" s="622"/>
      <c r="AT52" s="575">
        <f>B15</f>
        <v>0</v>
      </c>
      <c r="AU52" s="576"/>
      <c r="AV52" s="576"/>
      <c r="AW52" s="576"/>
      <c r="AX52" s="576"/>
      <c r="AY52" s="576"/>
      <c r="AZ52" s="576"/>
      <c r="BA52" s="576"/>
      <c r="BB52" s="576"/>
      <c r="BC52" s="576"/>
      <c r="BD52" s="576"/>
      <c r="BE52" s="576"/>
      <c r="BF52" s="576"/>
      <c r="BG52" s="576"/>
      <c r="BH52" s="576"/>
      <c r="BI52" s="576"/>
      <c r="BJ52" s="576"/>
      <c r="BK52" s="576"/>
      <c r="BL52" s="576"/>
      <c r="BM52" s="577"/>
      <c r="BN52" s="628">
        <f>B16</f>
        <v>0</v>
      </c>
      <c r="BO52" s="629"/>
      <c r="BP52" s="629"/>
      <c r="BQ52" s="629"/>
      <c r="BR52" s="629"/>
      <c r="BS52" s="629"/>
      <c r="BT52" s="629"/>
      <c r="BU52" s="629"/>
      <c r="BV52" s="629"/>
      <c r="BW52" s="629"/>
      <c r="BX52" s="629"/>
      <c r="BY52" s="629"/>
      <c r="BZ52" s="629"/>
      <c r="CA52" s="629"/>
      <c r="CB52" s="629"/>
      <c r="CC52" s="629"/>
      <c r="CD52" s="629"/>
      <c r="CE52" s="629"/>
      <c r="CF52" s="629"/>
      <c r="CG52" s="630"/>
      <c r="CH52" s="575">
        <f>B17</f>
        <v>0</v>
      </c>
      <c r="CI52" s="576"/>
      <c r="CJ52" s="576"/>
      <c r="CK52" s="576"/>
      <c r="CL52" s="576"/>
      <c r="CM52" s="576"/>
      <c r="CN52" s="576"/>
      <c r="CO52" s="576"/>
      <c r="CP52" s="576"/>
      <c r="CQ52" s="576"/>
      <c r="CR52" s="576"/>
      <c r="CS52" s="576"/>
      <c r="CT52" s="576"/>
      <c r="CU52" s="576"/>
      <c r="CV52" s="576"/>
      <c r="CW52" s="576"/>
      <c r="CX52" s="576"/>
      <c r="CY52" s="576"/>
      <c r="CZ52" s="576"/>
      <c r="DA52" s="577"/>
      <c r="DB52" s="579">
        <f>B18</f>
        <v>0</v>
      </c>
      <c r="DC52" s="580"/>
      <c r="DD52" s="580"/>
      <c r="DE52" s="580"/>
      <c r="DF52" s="580"/>
      <c r="DG52" s="580"/>
      <c r="DH52" s="580"/>
      <c r="DI52" s="580"/>
      <c r="DJ52" s="580"/>
      <c r="DK52" s="580"/>
      <c r="DL52" s="580"/>
      <c r="DM52" s="580"/>
      <c r="DN52" s="580"/>
      <c r="DO52" s="580"/>
      <c r="DP52" s="580"/>
      <c r="DQ52" s="580"/>
      <c r="DR52" s="580"/>
      <c r="DS52" s="580"/>
      <c r="DT52" s="580"/>
      <c r="DU52" s="581"/>
      <c r="DV52" s="575">
        <f>B19</f>
        <v>0</v>
      </c>
      <c r="DW52" s="576"/>
      <c r="DX52" s="576"/>
      <c r="DY52" s="576"/>
      <c r="DZ52" s="576"/>
      <c r="EA52" s="576"/>
      <c r="EB52" s="576"/>
      <c r="EC52" s="576"/>
      <c r="ED52" s="576"/>
      <c r="EE52" s="576"/>
      <c r="EF52" s="576"/>
      <c r="EG52" s="576"/>
      <c r="EH52" s="576"/>
      <c r="EI52" s="576"/>
      <c r="EJ52" s="576"/>
      <c r="EK52" s="576"/>
      <c r="EL52" s="576"/>
      <c r="EM52" s="576"/>
      <c r="EN52" s="576"/>
      <c r="EO52" s="577"/>
      <c r="EP52" s="579">
        <f>B20</f>
        <v>0</v>
      </c>
      <c r="EQ52" s="580"/>
      <c r="ER52" s="580"/>
      <c r="ES52" s="580"/>
      <c r="ET52" s="580"/>
      <c r="EU52" s="580"/>
      <c r="EV52" s="580"/>
      <c r="EW52" s="580"/>
      <c r="EX52" s="580"/>
      <c r="EY52" s="580"/>
      <c r="EZ52" s="580"/>
      <c r="FA52" s="580"/>
      <c r="FB52" s="580"/>
      <c r="FC52" s="580"/>
      <c r="FD52" s="580"/>
      <c r="FE52" s="580"/>
      <c r="FF52" s="580"/>
      <c r="FG52" s="580"/>
      <c r="FH52" s="580"/>
      <c r="FI52" s="581"/>
      <c r="FJ52" s="575">
        <f>B21</f>
        <v>0</v>
      </c>
      <c r="FK52" s="576"/>
      <c r="FL52" s="576"/>
      <c r="FM52" s="576"/>
      <c r="FN52" s="576"/>
      <c r="FO52" s="576"/>
      <c r="FP52" s="576"/>
      <c r="FQ52" s="576"/>
      <c r="FR52" s="576"/>
      <c r="FS52" s="576"/>
      <c r="FT52" s="576"/>
      <c r="FU52" s="576"/>
      <c r="FV52" s="576"/>
      <c r="FW52" s="576"/>
      <c r="FX52" s="576"/>
      <c r="FY52" s="576"/>
      <c r="FZ52" s="576"/>
      <c r="GA52" s="576"/>
      <c r="GB52" s="576"/>
      <c r="GC52" s="577"/>
      <c r="GD52" s="583">
        <f>B22</f>
        <v>0</v>
      </c>
      <c r="GE52" s="584"/>
      <c r="GF52" s="584"/>
      <c r="GG52" s="584"/>
      <c r="GH52" s="584"/>
      <c r="GI52" s="584"/>
      <c r="GJ52" s="584"/>
      <c r="GK52" s="584"/>
      <c r="GL52" s="584"/>
      <c r="GM52" s="584"/>
      <c r="GN52" s="584"/>
      <c r="GO52" s="584"/>
      <c r="GP52" s="584"/>
      <c r="GQ52" s="584"/>
      <c r="GR52" s="584"/>
      <c r="GS52" s="584"/>
      <c r="GT52" s="584"/>
      <c r="GU52" s="584"/>
      <c r="GV52" s="584"/>
      <c r="GW52" s="585"/>
      <c r="GX52" s="575">
        <f>B23</f>
        <v>0</v>
      </c>
      <c r="GY52" s="576"/>
      <c r="GZ52" s="576"/>
      <c r="HA52" s="576"/>
      <c r="HB52" s="576"/>
      <c r="HC52" s="576"/>
      <c r="HD52" s="576"/>
      <c r="HE52" s="576"/>
      <c r="HF52" s="576"/>
      <c r="HG52" s="576"/>
      <c r="HH52" s="576"/>
      <c r="HI52" s="576"/>
      <c r="HJ52" s="576"/>
      <c r="HK52" s="576"/>
      <c r="HL52" s="576"/>
      <c r="HM52" s="576"/>
      <c r="HN52" s="576"/>
      <c r="HO52" s="576"/>
      <c r="HP52" s="576"/>
      <c r="HQ52" s="577"/>
      <c r="HR52" s="579">
        <f>B24</f>
        <v>0</v>
      </c>
      <c r="HS52" s="580"/>
      <c r="HT52" s="580"/>
      <c r="HU52" s="580"/>
      <c r="HV52" s="580"/>
      <c r="HW52" s="580"/>
      <c r="HX52" s="580"/>
      <c r="HY52" s="580"/>
      <c r="HZ52" s="580"/>
      <c r="IA52" s="580"/>
      <c r="IB52" s="580"/>
      <c r="IC52" s="580"/>
      <c r="ID52" s="580"/>
      <c r="IE52" s="580"/>
      <c r="IF52" s="580"/>
      <c r="IG52" s="580"/>
      <c r="IH52" s="580"/>
      <c r="II52" s="580"/>
      <c r="IJ52" s="580"/>
      <c r="IK52" s="581"/>
      <c r="IL52" s="575">
        <f>B25</f>
        <v>0</v>
      </c>
      <c r="IM52" s="576"/>
      <c r="IN52" s="576"/>
      <c r="IO52" s="576"/>
      <c r="IP52" s="576"/>
      <c r="IQ52" s="576"/>
      <c r="IR52" s="576"/>
      <c r="IS52" s="576"/>
      <c r="IT52" s="576"/>
      <c r="IU52" s="576"/>
      <c r="IV52" s="576"/>
      <c r="IW52" s="576"/>
      <c r="IX52" s="576"/>
      <c r="IY52" s="576"/>
      <c r="IZ52" s="576"/>
      <c r="JA52" s="576"/>
      <c r="JB52" s="576"/>
      <c r="JC52" s="576"/>
      <c r="JD52" s="576"/>
      <c r="JE52" s="577"/>
      <c r="JF52" s="628">
        <f>B26</f>
        <v>0</v>
      </c>
      <c r="JG52" s="629"/>
      <c r="JH52" s="629"/>
      <c r="JI52" s="629"/>
      <c r="JJ52" s="629"/>
      <c r="JK52" s="629"/>
      <c r="JL52" s="629"/>
      <c r="JM52" s="629"/>
      <c r="JN52" s="629"/>
      <c r="JO52" s="629"/>
      <c r="JP52" s="629"/>
      <c r="JQ52" s="629"/>
      <c r="JR52" s="629"/>
      <c r="JS52" s="629"/>
      <c r="JT52" s="629"/>
      <c r="JU52" s="629"/>
      <c r="JV52" s="629"/>
      <c r="JW52" s="629"/>
      <c r="JX52" s="629"/>
      <c r="JY52" s="630"/>
      <c r="JZ52" s="575">
        <f>B27</f>
        <v>0</v>
      </c>
      <c r="KA52" s="576"/>
      <c r="KB52" s="576"/>
      <c r="KC52" s="576"/>
      <c r="KD52" s="576"/>
      <c r="KE52" s="576"/>
      <c r="KF52" s="576"/>
      <c r="KG52" s="576"/>
      <c r="KH52" s="576"/>
      <c r="KI52" s="576"/>
      <c r="KJ52" s="576"/>
      <c r="KK52" s="576"/>
      <c r="KL52" s="576"/>
      <c r="KM52" s="576"/>
      <c r="KN52" s="576"/>
      <c r="KO52" s="576"/>
      <c r="KP52" s="576"/>
      <c r="KQ52" s="576"/>
      <c r="KR52" s="576"/>
      <c r="KS52" s="577"/>
      <c r="KT52" s="579">
        <f>B28</f>
        <v>0</v>
      </c>
      <c r="KU52" s="580"/>
      <c r="KV52" s="580"/>
      <c r="KW52" s="580"/>
      <c r="KX52" s="580"/>
      <c r="KY52" s="580"/>
      <c r="KZ52" s="580"/>
      <c r="LA52" s="580"/>
      <c r="LB52" s="580"/>
      <c r="LC52" s="580"/>
      <c r="LD52" s="580"/>
      <c r="LE52" s="580"/>
      <c r="LF52" s="580"/>
      <c r="LG52" s="580"/>
      <c r="LH52" s="580"/>
      <c r="LI52" s="580"/>
      <c r="LJ52" s="580"/>
      <c r="LK52" s="580"/>
      <c r="LL52" s="580"/>
      <c r="LM52" s="581"/>
      <c r="LN52" s="575">
        <f>B29</f>
        <v>0</v>
      </c>
      <c r="LO52" s="576"/>
      <c r="LP52" s="576"/>
      <c r="LQ52" s="576"/>
      <c r="LR52" s="576"/>
      <c r="LS52" s="576"/>
      <c r="LT52" s="576"/>
      <c r="LU52" s="576"/>
      <c r="LV52" s="576"/>
      <c r="LW52" s="576"/>
      <c r="LX52" s="576"/>
      <c r="LY52" s="576"/>
      <c r="LZ52" s="576"/>
      <c r="MA52" s="576"/>
      <c r="MB52" s="576"/>
      <c r="MC52" s="576"/>
      <c r="MD52" s="576"/>
      <c r="ME52" s="576"/>
      <c r="MF52" s="576"/>
      <c r="MG52" s="577"/>
      <c r="MH52" s="579">
        <f>B30</f>
        <v>0</v>
      </c>
      <c r="MI52" s="580"/>
      <c r="MJ52" s="580"/>
      <c r="MK52" s="580"/>
      <c r="ML52" s="580"/>
      <c r="MM52" s="580"/>
      <c r="MN52" s="580"/>
      <c r="MO52" s="580"/>
      <c r="MP52" s="580"/>
      <c r="MQ52" s="580"/>
      <c r="MR52" s="580"/>
      <c r="MS52" s="580"/>
      <c r="MT52" s="580"/>
      <c r="MU52" s="580"/>
      <c r="MV52" s="580"/>
      <c r="MW52" s="580"/>
      <c r="MX52" s="580"/>
      <c r="MY52" s="580"/>
      <c r="MZ52" s="580"/>
      <c r="NA52" s="581"/>
      <c r="NB52" s="575">
        <f>B31</f>
        <v>0</v>
      </c>
      <c r="NC52" s="576"/>
      <c r="ND52" s="576"/>
      <c r="NE52" s="576"/>
      <c r="NF52" s="576"/>
      <c r="NG52" s="576"/>
      <c r="NH52" s="576"/>
      <c r="NI52" s="576"/>
      <c r="NJ52" s="576"/>
      <c r="NK52" s="576"/>
      <c r="NL52" s="576"/>
      <c r="NM52" s="576"/>
      <c r="NN52" s="576"/>
      <c r="NO52" s="576"/>
      <c r="NP52" s="576"/>
      <c r="NQ52" s="576"/>
      <c r="NR52" s="576"/>
      <c r="NS52" s="576"/>
      <c r="NT52" s="576"/>
      <c r="NU52" s="577"/>
      <c r="NV52" s="579">
        <f>B32</f>
        <v>0</v>
      </c>
      <c r="NW52" s="580"/>
      <c r="NX52" s="580"/>
      <c r="NY52" s="580"/>
      <c r="NZ52" s="580"/>
      <c r="OA52" s="580"/>
      <c r="OB52" s="580"/>
      <c r="OC52" s="580"/>
      <c r="OD52" s="580"/>
      <c r="OE52" s="580"/>
      <c r="OF52" s="580"/>
      <c r="OG52" s="580"/>
      <c r="OH52" s="580"/>
      <c r="OI52" s="580"/>
      <c r="OJ52" s="580"/>
      <c r="OK52" s="580"/>
      <c r="OL52" s="580"/>
      <c r="OM52" s="580"/>
      <c r="ON52" s="580"/>
      <c r="OO52" s="580"/>
      <c r="OP52" s="641" t="s">
        <v>872</v>
      </c>
      <c r="OQ52" s="641"/>
      <c r="OR52" s="641"/>
      <c r="OS52" s="641"/>
      <c r="OT52" s="641"/>
    </row>
    <row r="53" spans="3:410" ht="15.75" x14ac:dyDescent="0.25">
      <c r="F53" s="349"/>
      <c r="G53" s="349"/>
      <c r="H53" s="349"/>
      <c r="I53" s="349"/>
      <c r="J53" s="349"/>
      <c r="K53" s="349"/>
      <c r="L53" s="349"/>
      <c r="M53" s="349"/>
      <c r="N53" s="349"/>
      <c r="O53" s="349"/>
      <c r="P53" s="574" t="s">
        <v>443</v>
      </c>
      <c r="Q53" s="623"/>
      <c r="R53" s="623"/>
      <c r="S53" s="623"/>
      <c r="T53" s="623"/>
      <c r="U53" s="616" t="s">
        <v>444</v>
      </c>
      <c r="V53" s="616"/>
      <c r="W53" s="616"/>
      <c r="X53" s="616"/>
      <c r="Y53" s="616"/>
      <c r="Z53" s="350"/>
      <c r="AA53" s="350"/>
      <c r="AB53" s="350"/>
      <c r="AC53" s="350"/>
      <c r="AD53" s="350"/>
      <c r="AE53" s="350"/>
      <c r="AF53" s="350"/>
      <c r="AG53" s="350"/>
      <c r="AH53" s="350"/>
      <c r="AI53" s="350"/>
      <c r="AJ53" s="578" t="s">
        <v>443</v>
      </c>
      <c r="AK53" s="578"/>
      <c r="AL53" s="578"/>
      <c r="AM53" s="578"/>
      <c r="AN53" s="578"/>
      <c r="AO53" s="617" t="s">
        <v>444</v>
      </c>
      <c r="AP53" s="618"/>
      <c r="AQ53" s="618"/>
      <c r="AR53" s="618"/>
      <c r="AS53" s="619"/>
      <c r="AT53" s="351"/>
      <c r="AU53" s="351"/>
      <c r="AV53" s="351"/>
      <c r="AW53" s="351"/>
      <c r="AX53" s="351"/>
      <c r="AY53" s="351"/>
      <c r="AZ53" s="351"/>
      <c r="BA53" s="351"/>
      <c r="BB53" s="351"/>
      <c r="BC53" s="351"/>
      <c r="BD53" s="574" t="s">
        <v>443</v>
      </c>
      <c r="BE53" s="574"/>
      <c r="BF53" s="574"/>
      <c r="BG53" s="574"/>
      <c r="BH53" s="574"/>
      <c r="BI53" s="574" t="s">
        <v>444</v>
      </c>
      <c r="BJ53" s="574"/>
      <c r="BK53" s="574"/>
      <c r="BL53" s="574"/>
      <c r="BM53" s="574"/>
      <c r="BN53" s="352"/>
      <c r="BO53" s="352"/>
      <c r="BP53" s="352"/>
      <c r="BQ53" s="352"/>
      <c r="BR53" s="352"/>
      <c r="BS53" s="352"/>
      <c r="BT53" s="352"/>
      <c r="BU53" s="352"/>
      <c r="BV53" s="352"/>
      <c r="BW53" s="352"/>
      <c r="BX53" s="627" t="s">
        <v>443</v>
      </c>
      <c r="BY53" s="627"/>
      <c r="BZ53" s="627"/>
      <c r="CA53" s="627"/>
      <c r="CB53" s="627"/>
      <c r="CC53" s="627" t="s">
        <v>444</v>
      </c>
      <c r="CD53" s="627"/>
      <c r="CE53" s="627"/>
      <c r="CF53" s="627"/>
      <c r="CG53" s="627"/>
      <c r="CH53" s="351"/>
      <c r="CI53" s="351"/>
      <c r="CJ53" s="351"/>
      <c r="CK53" s="351"/>
      <c r="CL53" s="351"/>
      <c r="CM53" s="351"/>
      <c r="CN53" s="351"/>
      <c r="CO53" s="351"/>
      <c r="CP53" s="351"/>
      <c r="CQ53" s="351"/>
      <c r="CR53" s="574" t="s">
        <v>443</v>
      </c>
      <c r="CS53" s="574"/>
      <c r="CT53" s="574"/>
      <c r="CU53" s="574"/>
      <c r="CV53" s="574"/>
      <c r="CW53" s="574" t="s">
        <v>444</v>
      </c>
      <c r="CX53" s="574"/>
      <c r="CY53" s="574"/>
      <c r="CZ53" s="574"/>
      <c r="DA53" s="574"/>
      <c r="DB53" s="353"/>
      <c r="DC53" s="353"/>
      <c r="DD53" s="353"/>
      <c r="DE53" s="353"/>
      <c r="DF53" s="353"/>
      <c r="DG53" s="353"/>
      <c r="DH53" s="353"/>
      <c r="DI53" s="353"/>
      <c r="DJ53" s="353"/>
      <c r="DK53" s="353"/>
      <c r="DL53" s="578" t="s">
        <v>443</v>
      </c>
      <c r="DM53" s="578"/>
      <c r="DN53" s="578"/>
      <c r="DO53" s="578"/>
      <c r="DP53" s="578"/>
      <c r="DQ53" s="588" t="s">
        <v>444</v>
      </c>
      <c r="DR53" s="588"/>
      <c r="DS53" s="588"/>
      <c r="DT53" s="588"/>
      <c r="DU53" s="588"/>
      <c r="DV53" s="351"/>
      <c r="DW53" s="351"/>
      <c r="DX53" s="351"/>
      <c r="DY53" s="351"/>
      <c r="DZ53" s="351"/>
      <c r="EA53" s="351"/>
      <c r="EB53" s="351"/>
      <c r="EC53" s="351"/>
      <c r="ED53" s="351"/>
      <c r="EE53" s="351"/>
      <c r="EF53" s="574" t="s">
        <v>443</v>
      </c>
      <c r="EG53" s="574"/>
      <c r="EH53" s="574"/>
      <c r="EI53" s="574"/>
      <c r="EJ53" s="574"/>
      <c r="EK53" s="574" t="s">
        <v>444</v>
      </c>
      <c r="EL53" s="574"/>
      <c r="EM53" s="574"/>
      <c r="EN53" s="574"/>
      <c r="EO53" s="574"/>
      <c r="EP53" s="353"/>
      <c r="EQ53" s="353"/>
      <c r="ER53" s="353"/>
      <c r="ES53" s="353"/>
      <c r="ET53" s="353"/>
      <c r="EU53" s="353"/>
      <c r="EV53" s="353"/>
      <c r="EW53" s="353"/>
      <c r="EX53" s="353"/>
      <c r="EY53" s="353"/>
      <c r="EZ53" s="578" t="s">
        <v>443</v>
      </c>
      <c r="FA53" s="578"/>
      <c r="FB53" s="578"/>
      <c r="FC53" s="578"/>
      <c r="FD53" s="578"/>
      <c r="FE53" s="578" t="s">
        <v>444</v>
      </c>
      <c r="FF53" s="578"/>
      <c r="FG53" s="578"/>
      <c r="FH53" s="578"/>
      <c r="FI53" s="578"/>
      <c r="FJ53" s="351"/>
      <c r="FK53" s="351"/>
      <c r="FL53" s="351"/>
      <c r="FM53" s="351"/>
      <c r="FN53" s="351"/>
      <c r="FO53" s="351"/>
      <c r="FP53" s="351"/>
      <c r="FQ53" s="351"/>
      <c r="FR53" s="351"/>
      <c r="FS53" s="351"/>
      <c r="FT53" s="574" t="s">
        <v>560</v>
      </c>
      <c r="FU53" s="574"/>
      <c r="FV53" s="574"/>
      <c r="FW53" s="574"/>
      <c r="FX53" s="574"/>
      <c r="FY53" s="574" t="s">
        <v>444</v>
      </c>
      <c r="FZ53" s="574"/>
      <c r="GA53" s="574"/>
      <c r="GB53" s="574"/>
      <c r="GC53" s="574"/>
      <c r="GD53" s="354"/>
      <c r="GE53" s="354"/>
      <c r="GF53" s="354"/>
      <c r="GG53" s="354"/>
      <c r="GH53" s="354"/>
      <c r="GI53" s="354"/>
      <c r="GJ53" s="354"/>
      <c r="GK53" s="354"/>
      <c r="GL53" s="354"/>
      <c r="GM53" s="354"/>
      <c r="GN53" s="582" t="s">
        <v>443</v>
      </c>
      <c r="GO53" s="582"/>
      <c r="GP53" s="582"/>
      <c r="GQ53" s="582"/>
      <c r="GR53" s="582"/>
      <c r="GS53" s="582" t="s">
        <v>444</v>
      </c>
      <c r="GT53" s="582"/>
      <c r="GU53" s="582"/>
      <c r="GV53" s="582"/>
      <c r="GW53" s="582"/>
      <c r="GX53" s="351"/>
      <c r="GY53" s="351"/>
      <c r="GZ53" s="351"/>
      <c r="HA53" s="351"/>
      <c r="HB53" s="351"/>
      <c r="HC53" s="351"/>
      <c r="HD53" s="351"/>
      <c r="HE53" s="351"/>
      <c r="HF53" s="351"/>
      <c r="HG53" s="351"/>
      <c r="HH53" s="574" t="s">
        <v>443</v>
      </c>
      <c r="HI53" s="574"/>
      <c r="HJ53" s="574"/>
      <c r="HK53" s="574"/>
      <c r="HL53" s="574"/>
      <c r="HM53" s="574" t="s">
        <v>444</v>
      </c>
      <c r="HN53" s="574"/>
      <c r="HO53" s="574"/>
      <c r="HP53" s="574"/>
      <c r="HQ53" s="574"/>
      <c r="HR53" s="353"/>
      <c r="HS53" s="353"/>
      <c r="HT53" s="353"/>
      <c r="HU53" s="353"/>
      <c r="HV53" s="353"/>
      <c r="HW53" s="353"/>
      <c r="HX53" s="353"/>
      <c r="HY53" s="353"/>
      <c r="HZ53" s="353"/>
      <c r="IA53" s="353"/>
      <c r="IB53" s="578" t="s">
        <v>443</v>
      </c>
      <c r="IC53" s="578"/>
      <c r="ID53" s="578"/>
      <c r="IE53" s="578"/>
      <c r="IF53" s="578"/>
      <c r="IG53" s="578" t="s">
        <v>444</v>
      </c>
      <c r="IH53" s="578"/>
      <c r="II53" s="578"/>
      <c r="IJ53" s="578"/>
      <c r="IK53" s="578"/>
      <c r="IL53" s="351"/>
      <c r="IM53" s="351"/>
      <c r="IN53" s="351"/>
      <c r="IO53" s="351"/>
      <c r="IP53" s="351"/>
      <c r="IQ53" s="351"/>
      <c r="IR53" s="351"/>
      <c r="IS53" s="351"/>
      <c r="IT53" s="351"/>
      <c r="IU53" s="351"/>
      <c r="IV53" s="574" t="s">
        <v>443</v>
      </c>
      <c r="IW53" s="574"/>
      <c r="IX53" s="574"/>
      <c r="IY53" s="574"/>
      <c r="IZ53" s="574"/>
      <c r="JA53" s="574" t="s">
        <v>444</v>
      </c>
      <c r="JB53" s="574"/>
      <c r="JC53" s="574"/>
      <c r="JD53" s="574"/>
      <c r="JE53" s="574"/>
      <c r="JF53" s="352"/>
      <c r="JG53" s="352"/>
      <c r="JH53" s="352"/>
      <c r="JI53" s="352"/>
      <c r="JJ53" s="352"/>
      <c r="JK53" s="352"/>
      <c r="JL53" s="352"/>
      <c r="JM53" s="352"/>
      <c r="JN53" s="352"/>
      <c r="JO53" s="352"/>
      <c r="JP53" s="627" t="s">
        <v>443</v>
      </c>
      <c r="JQ53" s="627"/>
      <c r="JR53" s="627"/>
      <c r="JS53" s="627"/>
      <c r="JT53" s="627"/>
      <c r="JU53" s="632" t="s">
        <v>444</v>
      </c>
      <c r="JV53" s="633"/>
      <c r="JW53" s="633"/>
      <c r="JX53" s="633"/>
      <c r="JY53" s="634"/>
      <c r="JZ53" s="351"/>
      <c r="KA53" s="351"/>
      <c r="KB53" s="351"/>
      <c r="KC53" s="351"/>
      <c r="KD53" s="351"/>
      <c r="KE53" s="351"/>
      <c r="KF53" s="351"/>
      <c r="KG53" s="351"/>
      <c r="KH53" s="351"/>
      <c r="KI53" s="351"/>
      <c r="KJ53" s="574" t="s">
        <v>443</v>
      </c>
      <c r="KK53" s="574"/>
      <c r="KL53" s="574"/>
      <c r="KM53" s="574"/>
      <c r="KN53" s="574"/>
      <c r="KO53" s="574" t="s">
        <v>444</v>
      </c>
      <c r="KP53" s="574"/>
      <c r="KQ53" s="574"/>
      <c r="KR53" s="574"/>
      <c r="KS53" s="574"/>
      <c r="KT53" s="353"/>
      <c r="KU53" s="353"/>
      <c r="KV53" s="353"/>
      <c r="KW53" s="353"/>
      <c r="KX53" s="353"/>
      <c r="KY53" s="353"/>
      <c r="KZ53" s="353"/>
      <c r="LA53" s="353"/>
      <c r="LB53" s="353"/>
      <c r="LC53" s="353"/>
      <c r="LD53" s="578" t="s">
        <v>443</v>
      </c>
      <c r="LE53" s="578"/>
      <c r="LF53" s="578"/>
      <c r="LG53" s="578"/>
      <c r="LH53" s="578"/>
      <c r="LI53" s="617" t="s">
        <v>444</v>
      </c>
      <c r="LJ53" s="631"/>
      <c r="LK53" s="631"/>
      <c r="LL53" s="631"/>
      <c r="LM53" s="631"/>
      <c r="LN53" s="355"/>
      <c r="LO53" s="351"/>
      <c r="LP53" s="351"/>
      <c r="LQ53" s="351"/>
      <c r="LR53" s="351"/>
      <c r="LS53" s="351"/>
      <c r="LT53" s="351"/>
      <c r="LU53" s="351"/>
      <c r="LV53" s="351"/>
      <c r="LW53" s="351"/>
      <c r="LX53" s="574" t="s">
        <v>443</v>
      </c>
      <c r="LY53" s="574"/>
      <c r="LZ53" s="574"/>
      <c r="MA53" s="574"/>
      <c r="MB53" s="574"/>
      <c r="MC53" s="574" t="s">
        <v>626</v>
      </c>
      <c r="MD53" s="574"/>
      <c r="ME53" s="574"/>
      <c r="MF53" s="574"/>
      <c r="MG53" s="574"/>
      <c r="MH53" s="353"/>
      <c r="MI53" s="353"/>
      <c r="MJ53" s="353"/>
      <c r="MK53" s="353"/>
      <c r="ML53" s="353"/>
      <c r="MM53" s="353"/>
      <c r="MN53" s="353"/>
      <c r="MO53" s="353"/>
      <c r="MP53" s="353"/>
      <c r="MQ53" s="353"/>
      <c r="MR53" s="578" t="s">
        <v>443</v>
      </c>
      <c r="MS53" s="578"/>
      <c r="MT53" s="578"/>
      <c r="MU53" s="578"/>
      <c r="MV53" s="578"/>
      <c r="MW53" s="578" t="s">
        <v>444</v>
      </c>
      <c r="MX53" s="578"/>
      <c r="MY53" s="578"/>
      <c r="MZ53" s="578"/>
      <c r="NA53" s="578"/>
      <c r="NB53" s="351"/>
      <c r="NC53" s="351"/>
      <c r="ND53" s="351"/>
      <c r="NE53" s="351"/>
      <c r="NF53" s="351"/>
      <c r="NG53" s="351"/>
      <c r="NH53" s="351"/>
      <c r="NI53" s="351"/>
      <c r="NJ53" s="351"/>
      <c r="NK53" s="351"/>
      <c r="NL53" s="574" t="s">
        <v>443</v>
      </c>
      <c r="NM53" s="574"/>
      <c r="NN53" s="574"/>
      <c r="NO53" s="574"/>
      <c r="NP53" s="574"/>
      <c r="NQ53" s="574" t="s">
        <v>626</v>
      </c>
      <c r="NR53" s="574"/>
      <c r="NS53" s="574"/>
      <c r="NT53" s="574"/>
      <c r="NU53" s="574"/>
      <c r="NV53" s="353"/>
      <c r="NW53" s="353"/>
      <c r="NX53" s="353"/>
      <c r="NY53" s="353"/>
      <c r="NZ53" s="353"/>
      <c r="OA53" s="353"/>
      <c r="OB53" s="353"/>
      <c r="OC53" s="353"/>
      <c r="OD53" s="353"/>
      <c r="OE53" s="353"/>
      <c r="OF53" s="578" t="s">
        <v>443</v>
      </c>
      <c r="OG53" s="578"/>
      <c r="OH53" s="578"/>
      <c r="OI53" s="578"/>
      <c r="OJ53" s="578"/>
      <c r="OK53" s="578" t="s">
        <v>444</v>
      </c>
      <c r="OL53" s="578"/>
      <c r="OM53" s="578"/>
      <c r="ON53" s="578"/>
      <c r="OO53" s="617"/>
      <c r="OP53" s="641"/>
      <c r="OQ53" s="641"/>
      <c r="OR53" s="641"/>
      <c r="OS53" s="641"/>
      <c r="OT53" s="641"/>
    </row>
    <row r="54" spans="3:410" ht="45" customHeight="1" x14ac:dyDescent="0.25">
      <c r="C54" s="343" t="s">
        <v>437</v>
      </c>
      <c r="D54" s="343" t="s">
        <v>438</v>
      </c>
      <c r="E54" s="71" t="s">
        <v>442</v>
      </c>
      <c r="F54" s="356" t="s">
        <v>450</v>
      </c>
      <c r="G54" s="421" t="s">
        <v>893</v>
      </c>
      <c r="H54" s="329" t="s">
        <v>451</v>
      </c>
      <c r="I54" s="421" t="s">
        <v>894</v>
      </c>
      <c r="J54" s="329" t="s">
        <v>452</v>
      </c>
      <c r="K54" s="421" t="s">
        <v>895</v>
      </c>
      <c r="L54" s="329" t="s">
        <v>453</v>
      </c>
      <c r="M54" s="421" t="s">
        <v>896</v>
      </c>
      <c r="N54" s="329" t="s">
        <v>454</v>
      </c>
      <c r="O54" s="421" t="s">
        <v>897</v>
      </c>
      <c r="P54" s="421" t="s">
        <v>449</v>
      </c>
      <c r="Q54" s="421" t="s">
        <v>898</v>
      </c>
      <c r="R54" s="421" t="s">
        <v>899</v>
      </c>
      <c r="S54" s="421" t="s">
        <v>900</v>
      </c>
      <c r="T54" s="421" t="s">
        <v>901</v>
      </c>
      <c r="U54" s="423" t="s">
        <v>48</v>
      </c>
      <c r="V54" s="423" t="s">
        <v>49</v>
      </c>
      <c r="W54" s="423" t="s">
        <v>445</v>
      </c>
      <c r="X54" s="423" t="s">
        <v>446</v>
      </c>
      <c r="Y54" s="423" t="s">
        <v>447</v>
      </c>
      <c r="Z54" s="357" t="s">
        <v>457</v>
      </c>
      <c r="AA54" s="424" t="s">
        <v>902</v>
      </c>
      <c r="AB54" s="357" t="s">
        <v>458</v>
      </c>
      <c r="AC54" s="424" t="s">
        <v>906</v>
      </c>
      <c r="AD54" s="357" t="s">
        <v>459</v>
      </c>
      <c r="AE54" s="424" t="s">
        <v>905</v>
      </c>
      <c r="AF54" s="357" t="s">
        <v>460</v>
      </c>
      <c r="AG54" s="424" t="s">
        <v>904</v>
      </c>
      <c r="AH54" s="357" t="s">
        <v>461</v>
      </c>
      <c r="AI54" s="424" t="s">
        <v>903</v>
      </c>
      <c r="AJ54" s="424" t="s">
        <v>448</v>
      </c>
      <c r="AK54" s="424" t="s">
        <v>907</v>
      </c>
      <c r="AL54" s="424" t="s">
        <v>908</v>
      </c>
      <c r="AM54" s="424" t="s">
        <v>909</v>
      </c>
      <c r="AN54" s="424" t="s">
        <v>910</v>
      </c>
      <c r="AO54" s="425" t="s">
        <v>911</v>
      </c>
      <c r="AP54" s="425" t="s">
        <v>912</v>
      </c>
      <c r="AQ54" s="425" t="s">
        <v>913</v>
      </c>
      <c r="AR54" s="425" t="s">
        <v>914</v>
      </c>
      <c r="AS54" s="425" t="s">
        <v>915</v>
      </c>
      <c r="AT54" s="356" t="s">
        <v>466</v>
      </c>
      <c r="AU54" s="421" t="s">
        <v>916</v>
      </c>
      <c r="AV54" s="356" t="s">
        <v>468</v>
      </c>
      <c r="AW54" s="421" t="s">
        <v>917</v>
      </c>
      <c r="AX54" s="356" t="s">
        <v>469</v>
      </c>
      <c r="AY54" s="421" t="s">
        <v>918</v>
      </c>
      <c r="AZ54" s="356" t="s">
        <v>471</v>
      </c>
      <c r="BA54" s="421" t="s">
        <v>919</v>
      </c>
      <c r="BB54" s="356" t="s">
        <v>473</v>
      </c>
      <c r="BC54" s="421" t="s">
        <v>920</v>
      </c>
      <c r="BD54" s="421" t="s">
        <v>455</v>
      </c>
      <c r="BE54" s="421" t="s">
        <v>921</v>
      </c>
      <c r="BF54" s="421" t="s">
        <v>922</v>
      </c>
      <c r="BG54" s="421" t="s">
        <v>923</v>
      </c>
      <c r="BH54" s="421" t="s">
        <v>924</v>
      </c>
      <c r="BI54" s="421" t="s">
        <v>925</v>
      </c>
      <c r="BJ54" s="421" t="s">
        <v>926</v>
      </c>
      <c r="BK54" s="421" t="s">
        <v>927</v>
      </c>
      <c r="BL54" s="421" t="s">
        <v>928</v>
      </c>
      <c r="BM54" s="421" t="s">
        <v>929</v>
      </c>
      <c r="BN54" s="357" t="s">
        <v>477</v>
      </c>
      <c r="BO54" s="424" t="s">
        <v>930</v>
      </c>
      <c r="BP54" s="357" t="s">
        <v>478</v>
      </c>
      <c r="BQ54" s="424" t="s">
        <v>931</v>
      </c>
      <c r="BR54" s="357" t="s">
        <v>480</v>
      </c>
      <c r="BS54" s="424" t="s">
        <v>932</v>
      </c>
      <c r="BT54" s="357" t="s">
        <v>481</v>
      </c>
      <c r="BU54" s="424" t="s">
        <v>933</v>
      </c>
      <c r="BV54" s="357" t="s">
        <v>483</v>
      </c>
      <c r="BW54" s="424" t="s">
        <v>934</v>
      </c>
      <c r="BX54" s="424" t="s">
        <v>456</v>
      </c>
      <c r="BY54" s="424" t="s">
        <v>935</v>
      </c>
      <c r="BZ54" s="424" t="s">
        <v>936</v>
      </c>
      <c r="CA54" s="424" t="s">
        <v>937</v>
      </c>
      <c r="CB54" s="424" t="s">
        <v>938</v>
      </c>
      <c r="CC54" s="424" t="s">
        <v>939</v>
      </c>
      <c r="CD54" s="424" t="s">
        <v>940</v>
      </c>
      <c r="CE54" s="424" t="s">
        <v>941</v>
      </c>
      <c r="CF54" s="424" t="s">
        <v>942</v>
      </c>
      <c r="CG54" s="424" t="s">
        <v>943</v>
      </c>
      <c r="CH54" s="356" t="s">
        <v>709</v>
      </c>
      <c r="CI54" s="421" t="s">
        <v>944</v>
      </c>
      <c r="CJ54" s="356" t="s">
        <v>493</v>
      </c>
      <c r="CK54" s="421" t="s">
        <v>945</v>
      </c>
      <c r="CL54" s="356" t="s">
        <v>495</v>
      </c>
      <c r="CM54" s="421" t="s">
        <v>946</v>
      </c>
      <c r="CN54" s="356" t="s">
        <v>496</v>
      </c>
      <c r="CO54" s="421" t="s">
        <v>947</v>
      </c>
      <c r="CP54" s="356" t="s">
        <v>497</v>
      </c>
      <c r="CQ54" s="421" t="s">
        <v>948</v>
      </c>
      <c r="CR54" s="421" t="s">
        <v>491</v>
      </c>
      <c r="CS54" s="421" t="s">
        <v>949</v>
      </c>
      <c r="CT54" s="421" t="s">
        <v>950</v>
      </c>
      <c r="CU54" s="421" t="s">
        <v>951</v>
      </c>
      <c r="CV54" s="421" t="s">
        <v>952</v>
      </c>
      <c r="CW54" s="421" t="s">
        <v>953</v>
      </c>
      <c r="CX54" s="421" t="s">
        <v>954</v>
      </c>
      <c r="CY54" s="421" t="s">
        <v>955</v>
      </c>
      <c r="CZ54" s="421" t="s">
        <v>956</v>
      </c>
      <c r="DA54" s="421" t="s">
        <v>957</v>
      </c>
      <c r="DB54" s="357" t="s">
        <v>507</v>
      </c>
      <c r="DC54" s="424" t="s">
        <v>958</v>
      </c>
      <c r="DD54" s="357" t="s">
        <v>509</v>
      </c>
      <c r="DE54" s="424" t="s">
        <v>959</v>
      </c>
      <c r="DF54" s="357" t="s">
        <v>510</v>
      </c>
      <c r="DG54" s="424" t="s">
        <v>960</v>
      </c>
      <c r="DH54" s="357" t="s">
        <v>511</v>
      </c>
      <c r="DI54" s="424" t="s">
        <v>961</v>
      </c>
      <c r="DJ54" s="357" t="s">
        <v>513</v>
      </c>
      <c r="DK54" s="424" t="s">
        <v>962</v>
      </c>
      <c r="DL54" s="424" t="s">
        <v>506</v>
      </c>
      <c r="DM54" s="424" t="s">
        <v>963</v>
      </c>
      <c r="DN54" s="424" t="s">
        <v>964</v>
      </c>
      <c r="DO54" s="424" t="s">
        <v>965</v>
      </c>
      <c r="DP54" s="424" t="s">
        <v>966</v>
      </c>
      <c r="DQ54" s="426" t="s">
        <v>967</v>
      </c>
      <c r="DR54" s="426" t="s">
        <v>968</v>
      </c>
      <c r="DS54" s="426" t="s">
        <v>969</v>
      </c>
      <c r="DT54" s="426" t="s">
        <v>970</v>
      </c>
      <c r="DU54" s="426" t="s">
        <v>971</v>
      </c>
      <c r="DV54" s="356" t="s">
        <v>524</v>
      </c>
      <c r="DW54" s="421" t="s">
        <v>972</v>
      </c>
      <c r="DX54" s="356" t="s">
        <v>526</v>
      </c>
      <c r="DY54" s="421" t="s">
        <v>973</v>
      </c>
      <c r="DZ54" s="356" t="s">
        <v>528</v>
      </c>
      <c r="EA54" s="421" t="s">
        <v>974</v>
      </c>
      <c r="EB54" s="356" t="s">
        <v>529</v>
      </c>
      <c r="EC54" s="421" t="s">
        <v>975</v>
      </c>
      <c r="ED54" s="356" t="s">
        <v>531</v>
      </c>
      <c r="EE54" s="421" t="s">
        <v>976</v>
      </c>
      <c r="EF54" s="421" t="s">
        <v>523</v>
      </c>
      <c r="EG54" s="421" t="s">
        <v>977</v>
      </c>
      <c r="EH54" s="421" t="s">
        <v>978</v>
      </c>
      <c r="EI54" s="421" t="s">
        <v>979</v>
      </c>
      <c r="EJ54" s="421" t="s">
        <v>980</v>
      </c>
      <c r="EK54" s="421" t="s">
        <v>981</v>
      </c>
      <c r="EL54" s="421" t="s">
        <v>982</v>
      </c>
      <c r="EM54" s="421" t="s">
        <v>983</v>
      </c>
      <c r="EN54" s="421" t="s">
        <v>984</v>
      </c>
      <c r="EO54" s="421" t="s">
        <v>985</v>
      </c>
      <c r="EP54" s="357" t="s">
        <v>542</v>
      </c>
      <c r="EQ54" s="424" t="s">
        <v>986</v>
      </c>
      <c r="ER54" s="357" t="s">
        <v>544</v>
      </c>
      <c r="ES54" s="424" t="s">
        <v>987</v>
      </c>
      <c r="ET54" s="357" t="s">
        <v>546</v>
      </c>
      <c r="EU54" s="424" t="s">
        <v>988</v>
      </c>
      <c r="EV54" s="357" t="s">
        <v>548</v>
      </c>
      <c r="EW54" s="424" t="s">
        <v>989</v>
      </c>
      <c r="EX54" s="357" t="s">
        <v>550</v>
      </c>
      <c r="EY54" s="424" t="s">
        <v>990</v>
      </c>
      <c r="EZ54" s="424" t="s">
        <v>541</v>
      </c>
      <c r="FA54" s="424" t="s">
        <v>991</v>
      </c>
      <c r="FB54" s="424" t="s">
        <v>992</v>
      </c>
      <c r="FC54" s="424" t="s">
        <v>993</v>
      </c>
      <c r="FD54" s="424" t="s">
        <v>994</v>
      </c>
      <c r="FE54" s="424" t="s">
        <v>995</v>
      </c>
      <c r="FF54" s="424" t="s">
        <v>996</v>
      </c>
      <c r="FG54" s="424" t="s">
        <v>997</v>
      </c>
      <c r="FH54" s="424" t="s">
        <v>998</v>
      </c>
      <c r="FI54" s="424" t="s">
        <v>999</v>
      </c>
      <c r="FJ54" s="356" t="s">
        <v>561</v>
      </c>
      <c r="FK54" s="421" t="s">
        <v>1000</v>
      </c>
      <c r="FL54" s="356" t="s">
        <v>563</v>
      </c>
      <c r="FM54" s="421" t="s">
        <v>1001</v>
      </c>
      <c r="FN54" s="356" t="s">
        <v>564</v>
      </c>
      <c r="FO54" s="421" t="s">
        <v>1002</v>
      </c>
      <c r="FP54" s="356" t="s">
        <v>566</v>
      </c>
      <c r="FQ54" s="421" t="s">
        <v>1003</v>
      </c>
      <c r="FR54" s="356" t="s">
        <v>567</v>
      </c>
      <c r="FS54" s="421" t="s">
        <v>1004</v>
      </c>
      <c r="FT54" s="421" t="s">
        <v>559</v>
      </c>
      <c r="FU54" s="421" t="s">
        <v>1005</v>
      </c>
      <c r="FV54" s="421" t="s">
        <v>1006</v>
      </c>
      <c r="FW54" s="421" t="s">
        <v>1007</v>
      </c>
      <c r="FX54" s="421" t="s">
        <v>1008</v>
      </c>
      <c r="FY54" s="421" t="s">
        <v>1009</v>
      </c>
      <c r="FZ54" s="421" t="s">
        <v>1010</v>
      </c>
      <c r="GA54" s="421" t="s">
        <v>1011</v>
      </c>
      <c r="GB54" s="421" t="s">
        <v>1012</v>
      </c>
      <c r="GC54" s="421" t="s">
        <v>1013</v>
      </c>
      <c r="GD54" s="357" t="s">
        <v>576</v>
      </c>
      <c r="GE54" s="424" t="s">
        <v>1014</v>
      </c>
      <c r="GF54" s="357" t="s">
        <v>578</v>
      </c>
      <c r="GG54" s="424" t="s">
        <v>1015</v>
      </c>
      <c r="GH54" s="357" t="s">
        <v>580</v>
      </c>
      <c r="GI54" s="424" t="s">
        <v>1016</v>
      </c>
      <c r="GJ54" s="357" t="s">
        <v>581</v>
      </c>
      <c r="GK54" s="424" t="s">
        <v>1017</v>
      </c>
      <c r="GL54" s="357" t="s">
        <v>583</v>
      </c>
      <c r="GM54" s="424" t="s">
        <v>1018</v>
      </c>
      <c r="GN54" s="424" t="s">
        <v>575</v>
      </c>
      <c r="GO54" s="424" t="s">
        <v>1019</v>
      </c>
      <c r="GP54" s="424" t="s">
        <v>1020</v>
      </c>
      <c r="GQ54" s="424" t="s">
        <v>1021</v>
      </c>
      <c r="GR54" s="424" t="s">
        <v>1022</v>
      </c>
      <c r="GS54" s="424" t="s">
        <v>1023</v>
      </c>
      <c r="GT54" s="424" t="s">
        <v>1024</v>
      </c>
      <c r="GU54" s="424" t="s">
        <v>1025</v>
      </c>
      <c r="GV54" s="424" t="s">
        <v>1026</v>
      </c>
      <c r="GW54" s="424" t="s">
        <v>1027</v>
      </c>
      <c r="GX54" s="356" t="s">
        <v>590</v>
      </c>
      <c r="GY54" s="421" t="s">
        <v>1028</v>
      </c>
      <c r="GZ54" s="356" t="s">
        <v>591</v>
      </c>
      <c r="HA54" s="421" t="s">
        <v>1029</v>
      </c>
      <c r="HB54" s="356" t="s">
        <v>592</v>
      </c>
      <c r="HC54" s="421" t="s">
        <v>1030</v>
      </c>
      <c r="HD54" s="356" t="s">
        <v>593</v>
      </c>
      <c r="HE54" s="421" t="s">
        <v>1031</v>
      </c>
      <c r="HF54" s="356" t="s">
        <v>594</v>
      </c>
      <c r="HG54" s="421" t="s">
        <v>1032</v>
      </c>
      <c r="HH54" s="421" t="s">
        <v>589</v>
      </c>
      <c r="HI54" s="421" t="s">
        <v>1033</v>
      </c>
      <c r="HJ54" s="421" t="s">
        <v>1034</v>
      </c>
      <c r="HK54" s="421" t="s">
        <v>1035</v>
      </c>
      <c r="HL54" s="421" t="s">
        <v>1036</v>
      </c>
      <c r="HM54" s="421" t="s">
        <v>1037</v>
      </c>
      <c r="HN54" s="421" t="s">
        <v>1038</v>
      </c>
      <c r="HO54" s="421" t="s">
        <v>1039</v>
      </c>
      <c r="HP54" s="421" t="s">
        <v>1040</v>
      </c>
      <c r="HQ54" s="421" t="s">
        <v>1041</v>
      </c>
      <c r="HR54" s="357" t="s">
        <v>596</v>
      </c>
      <c r="HS54" s="424" t="s">
        <v>1042</v>
      </c>
      <c r="HT54" s="357" t="s">
        <v>597</v>
      </c>
      <c r="HU54" s="424" t="s">
        <v>1043</v>
      </c>
      <c r="HV54" s="357" t="s">
        <v>598</v>
      </c>
      <c r="HW54" s="424" t="s">
        <v>1044</v>
      </c>
      <c r="HX54" s="357" t="s">
        <v>599</v>
      </c>
      <c r="HY54" s="424" t="s">
        <v>1045</v>
      </c>
      <c r="HZ54" s="357" t="s">
        <v>600</v>
      </c>
      <c r="IA54" s="424" t="s">
        <v>1046</v>
      </c>
      <c r="IB54" s="424" t="s">
        <v>595</v>
      </c>
      <c r="IC54" s="424" t="s">
        <v>1047</v>
      </c>
      <c r="ID54" s="424" t="s">
        <v>1048</v>
      </c>
      <c r="IE54" s="424" t="s">
        <v>1049</v>
      </c>
      <c r="IF54" s="424" t="s">
        <v>1050</v>
      </c>
      <c r="IG54" s="424" t="s">
        <v>1051</v>
      </c>
      <c r="IH54" s="424" t="s">
        <v>1052</v>
      </c>
      <c r="II54" s="424" t="s">
        <v>1053</v>
      </c>
      <c r="IJ54" s="424" t="s">
        <v>1054</v>
      </c>
      <c r="IK54" s="424" t="s">
        <v>1055</v>
      </c>
      <c r="IL54" s="356" t="s">
        <v>602</v>
      </c>
      <c r="IM54" s="422" t="s">
        <v>1056</v>
      </c>
      <c r="IN54" s="356" t="s">
        <v>603</v>
      </c>
      <c r="IO54" s="421" t="s">
        <v>1057</v>
      </c>
      <c r="IP54" s="356" t="s">
        <v>604</v>
      </c>
      <c r="IQ54" s="421" t="s">
        <v>1058</v>
      </c>
      <c r="IR54" s="356" t="s">
        <v>605</v>
      </c>
      <c r="IS54" s="421" t="s">
        <v>1059</v>
      </c>
      <c r="IT54" s="356" t="s">
        <v>606</v>
      </c>
      <c r="IU54" s="421" t="s">
        <v>1060</v>
      </c>
      <c r="IV54" s="421" t="s">
        <v>601</v>
      </c>
      <c r="IW54" s="421" t="s">
        <v>1061</v>
      </c>
      <c r="IX54" s="421" t="s">
        <v>1062</v>
      </c>
      <c r="IY54" s="421" t="s">
        <v>1063</v>
      </c>
      <c r="IZ54" s="421" t="s">
        <v>1064</v>
      </c>
      <c r="JA54" s="421" t="s">
        <v>1065</v>
      </c>
      <c r="JB54" s="421" t="s">
        <v>1066</v>
      </c>
      <c r="JC54" s="421" t="s">
        <v>1067</v>
      </c>
      <c r="JD54" s="421" t="s">
        <v>1068</v>
      </c>
      <c r="JE54" s="421" t="s">
        <v>1069</v>
      </c>
      <c r="JF54" s="357" t="s">
        <v>608</v>
      </c>
      <c r="JG54" s="424" t="s">
        <v>1070</v>
      </c>
      <c r="JH54" s="357" t="s">
        <v>609</v>
      </c>
      <c r="JI54" s="424" t="s">
        <v>1071</v>
      </c>
      <c r="JJ54" s="357" t="s">
        <v>610</v>
      </c>
      <c r="JK54" s="424" t="s">
        <v>1072</v>
      </c>
      <c r="JL54" s="357" t="s">
        <v>611</v>
      </c>
      <c r="JM54" s="424" t="s">
        <v>1073</v>
      </c>
      <c r="JN54" s="357" t="s">
        <v>612</v>
      </c>
      <c r="JO54" s="424" t="s">
        <v>1074</v>
      </c>
      <c r="JP54" s="424" t="s">
        <v>607</v>
      </c>
      <c r="JQ54" s="424" t="s">
        <v>1075</v>
      </c>
      <c r="JR54" s="424" t="s">
        <v>1076</v>
      </c>
      <c r="JS54" s="424" t="s">
        <v>1077</v>
      </c>
      <c r="JT54" s="424" t="s">
        <v>1078</v>
      </c>
      <c r="JU54" s="424" t="s">
        <v>1079</v>
      </c>
      <c r="JV54" s="424" t="s">
        <v>1080</v>
      </c>
      <c r="JW54" s="424" t="s">
        <v>1081</v>
      </c>
      <c r="JX54" s="424" t="s">
        <v>1082</v>
      </c>
      <c r="JY54" s="424" t="s">
        <v>1083</v>
      </c>
      <c r="JZ54" s="356" t="s">
        <v>614</v>
      </c>
      <c r="KA54" s="421" t="s">
        <v>1084</v>
      </c>
      <c r="KB54" s="356" t="s">
        <v>615</v>
      </c>
      <c r="KC54" s="421" t="s">
        <v>1085</v>
      </c>
      <c r="KD54" s="356" t="s">
        <v>616</v>
      </c>
      <c r="KE54" s="421" t="s">
        <v>1086</v>
      </c>
      <c r="KF54" s="356" t="s">
        <v>617</v>
      </c>
      <c r="KG54" s="421" t="s">
        <v>1087</v>
      </c>
      <c r="KH54" s="356" t="s">
        <v>618</v>
      </c>
      <c r="KI54" s="421" t="s">
        <v>1088</v>
      </c>
      <c r="KJ54" s="421" t="s">
        <v>613</v>
      </c>
      <c r="KK54" s="421" t="s">
        <v>1089</v>
      </c>
      <c r="KL54" s="421" t="s">
        <v>1090</v>
      </c>
      <c r="KM54" s="421" t="s">
        <v>1091</v>
      </c>
      <c r="KN54" s="421" t="s">
        <v>1092</v>
      </c>
      <c r="KO54" s="421" t="s">
        <v>1093</v>
      </c>
      <c r="KP54" s="421" t="s">
        <v>1094</v>
      </c>
      <c r="KQ54" s="421" t="s">
        <v>1095</v>
      </c>
      <c r="KR54" s="421" t="s">
        <v>1096</v>
      </c>
      <c r="KS54" s="421" t="s">
        <v>1097</v>
      </c>
      <c r="KT54" s="357" t="s">
        <v>620</v>
      </c>
      <c r="KU54" s="424" t="s">
        <v>1098</v>
      </c>
      <c r="KV54" s="357" t="s">
        <v>621</v>
      </c>
      <c r="KW54" s="424" t="s">
        <v>1099</v>
      </c>
      <c r="KX54" s="357" t="s">
        <v>622</v>
      </c>
      <c r="KY54" s="424" t="s">
        <v>1100</v>
      </c>
      <c r="KZ54" s="357" t="s">
        <v>623</v>
      </c>
      <c r="LA54" s="424" t="s">
        <v>1101</v>
      </c>
      <c r="LB54" s="357" t="s">
        <v>624</v>
      </c>
      <c r="LC54" s="424" t="s">
        <v>1102</v>
      </c>
      <c r="LD54" s="424" t="s">
        <v>619</v>
      </c>
      <c r="LE54" s="424" t="s">
        <v>1103</v>
      </c>
      <c r="LF54" s="424" t="s">
        <v>1104</v>
      </c>
      <c r="LG54" s="424" t="s">
        <v>1105</v>
      </c>
      <c r="LH54" s="424" t="s">
        <v>1106</v>
      </c>
      <c r="LI54" s="424" t="s">
        <v>1107</v>
      </c>
      <c r="LJ54" s="424" t="s">
        <v>1108</v>
      </c>
      <c r="LK54" s="424" t="s">
        <v>1109</v>
      </c>
      <c r="LL54" s="424" t="s">
        <v>1110</v>
      </c>
      <c r="LM54" s="424" t="s">
        <v>1111</v>
      </c>
      <c r="LN54" s="356" t="s">
        <v>627</v>
      </c>
      <c r="LO54" s="421" t="s">
        <v>1112</v>
      </c>
      <c r="LP54" s="356" t="s">
        <v>628</v>
      </c>
      <c r="LQ54" s="421" t="s">
        <v>1113</v>
      </c>
      <c r="LR54" s="356" t="s">
        <v>629</v>
      </c>
      <c r="LS54" s="421" t="s">
        <v>1114</v>
      </c>
      <c r="LT54" s="356" t="s">
        <v>630</v>
      </c>
      <c r="LU54" s="421" t="s">
        <v>1115</v>
      </c>
      <c r="LV54" s="356" t="s">
        <v>631</v>
      </c>
      <c r="LW54" s="421" t="s">
        <v>1116</v>
      </c>
      <c r="LX54" s="421" t="s">
        <v>625</v>
      </c>
      <c r="LY54" s="421" t="s">
        <v>1117</v>
      </c>
      <c r="LZ54" s="421" t="s">
        <v>1118</v>
      </c>
      <c r="MA54" s="421" t="s">
        <v>1119</v>
      </c>
      <c r="MB54" s="421" t="s">
        <v>1120</v>
      </c>
      <c r="MC54" s="421" t="s">
        <v>1121</v>
      </c>
      <c r="MD54" s="421" t="s">
        <v>1122</v>
      </c>
      <c r="ME54" s="421" t="s">
        <v>1123</v>
      </c>
      <c r="MF54" s="421" t="s">
        <v>1124</v>
      </c>
      <c r="MG54" s="421" t="s">
        <v>1125</v>
      </c>
      <c r="MH54" s="357" t="s">
        <v>633</v>
      </c>
      <c r="MI54" s="424" t="s">
        <v>1126</v>
      </c>
      <c r="MJ54" s="357" t="s">
        <v>634</v>
      </c>
      <c r="MK54" s="424" t="s">
        <v>1127</v>
      </c>
      <c r="ML54" s="357" t="s">
        <v>635</v>
      </c>
      <c r="MM54" s="424" t="s">
        <v>1128</v>
      </c>
      <c r="MN54" s="357" t="s">
        <v>636</v>
      </c>
      <c r="MO54" s="424" t="s">
        <v>1129</v>
      </c>
      <c r="MP54" s="357" t="s">
        <v>637</v>
      </c>
      <c r="MQ54" s="424" t="s">
        <v>1130</v>
      </c>
      <c r="MR54" s="424" t="s">
        <v>632</v>
      </c>
      <c r="MS54" s="424" t="s">
        <v>1131</v>
      </c>
      <c r="MT54" s="424" t="s">
        <v>1132</v>
      </c>
      <c r="MU54" s="424" t="s">
        <v>1133</v>
      </c>
      <c r="MV54" s="424" t="s">
        <v>1134</v>
      </c>
      <c r="MW54" s="424" t="s">
        <v>1135</v>
      </c>
      <c r="MX54" s="424" t="s">
        <v>1136</v>
      </c>
      <c r="MY54" s="424" t="s">
        <v>1137</v>
      </c>
      <c r="MZ54" s="424" t="s">
        <v>1138</v>
      </c>
      <c r="NA54" s="424" t="s">
        <v>1139</v>
      </c>
      <c r="NB54" s="356" t="s">
        <v>639</v>
      </c>
      <c r="NC54" s="421" t="s">
        <v>1140</v>
      </c>
      <c r="ND54" s="356" t="s">
        <v>640</v>
      </c>
      <c r="NE54" s="421" t="s">
        <v>1141</v>
      </c>
      <c r="NF54" s="356" t="s">
        <v>641</v>
      </c>
      <c r="NG54" s="421" t="s">
        <v>1142</v>
      </c>
      <c r="NH54" s="356" t="s">
        <v>643</v>
      </c>
      <c r="NI54" s="421" t="s">
        <v>1143</v>
      </c>
      <c r="NJ54" s="356" t="s">
        <v>642</v>
      </c>
      <c r="NK54" s="421" t="s">
        <v>1144</v>
      </c>
      <c r="NL54" s="421" t="s">
        <v>638</v>
      </c>
      <c r="NM54" s="421" t="s">
        <v>1145</v>
      </c>
      <c r="NN54" s="421" t="s">
        <v>1146</v>
      </c>
      <c r="NO54" s="421" t="s">
        <v>1147</v>
      </c>
      <c r="NP54" s="421" t="s">
        <v>1148</v>
      </c>
      <c r="NQ54" s="421" t="s">
        <v>1149</v>
      </c>
      <c r="NR54" s="421" t="s">
        <v>1150</v>
      </c>
      <c r="NS54" s="421" t="s">
        <v>1151</v>
      </c>
      <c r="NT54" s="421" t="s">
        <v>1152</v>
      </c>
      <c r="NU54" s="421" t="s">
        <v>1153</v>
      </c>
      <c r="NV54" s="357" t="s">
        <v>645</v>
      </c>
      <c r="NW54" s="424" t="s">
        <v>1154</v>
      </c>
      <c r="NX54" s="357" t="s">
        <v>646</v>
      </c>
      <c r="NY54" s="424" t="s">
        <v>1155</v>
      </c>
      <c r="NZ54" s="357" t="s">
        <v>647</v>
      </c>
      <c r="OA54" s="424" t="s">
        <v>1156</v>
      </c>
      <c r="OB54" s="357" t="s">
        <v>648</v>
      </c>
      <c r="OC54" s="424" t="s">
        <v>1157</v>
      </c>
      <c r="OD54" s="357" t="s">
        <v>649</v>
      </c>
      <c r="OE54" s="424" t="s">
        <v>1158</v>
      </c>
      <c r="OF54" s="424" t="s">
        <v>644</v>
      </c>
      <c r="OG54" s="424" t="s">
        <v>1159</v>
      </c>
      <c r="OH54" s="424" t="s">
        <v>1160</v>
      </c>
      <c r="OI54" s="424" t="s">
        <v>1161</v>
      </c>
      <c r="OJ54" s="424" t="s">
        <v>1162</v>
      </c>
      <c r="OK54" s="424" t="s">
        <v>1163</v>
      </c>
      <c r="OL54" s="424" t="s">
        <v>1164</v>
      </c>
      <c r="OM54" s="424" t="s">
        <v>1165</v>
      </c>
      <c r="ON54" s="424" t="s">
        <v>1166</v>
      </c>
      <c r="OO54" s="427" t="s">
        <v>1167</v>
      </c>
      <c r="OP54" s="419" t="s">
        <v>873</v>
      </c>
      <c r="OQ54" s="419" t="s">
        <v>874</v>
      </c>
      <c r="OR54" s="419" t="s">
        <v>875</v>
      </c>
      <c r="OS54" s="419" t="s">
        <v>876</v>
      </c>
      <c r="OT54" s="419" t="s">
        <v>877</v>
      </c>
    </row>
    <row r="55" spans="3:410" ht="15.75" x14ac:dyDescent="0.25">
      <c r="C55" s="67">
        <v>0</v>
      </c>
      <c r="D55" s="72" t="str">
        <f>VLOOKUP(Tabla1[[#This Row],[CÓDIGO DEL PRODUCTO Y/O SERVICIO ]],Tabla3[],2,0)</f>
        <v xml:space="preserve">Seleccionar producto o servicio </v>
      </c>
      <c r="E55" s="72"/>
      <c r="F55" s="114">
        <f>VLOOKUP(Tabla1[[#This Row],[CÓDIGO DEL PRODUCTO Y/O SERVICIO ]],Tabla3[],3)</f>
        <v>0</v>
      </c>
      <c r="G55" s="114">
        <f>Tabla1[[#This Row],[UNIDADES PRODUCIDAS AÑO 1 ]]*F40</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44">
        <f>$D$13*(1+BASES!$E$10)</f>
        <v>0</v>
      </c>
      <c r="R55" s="344">
        <f>Tabla1[[#This Row],[COSTO UNITARIO AÑO 2]]*(1+BASES!$F$10)</f>
        <v>0</v>
      </c>
      <c r="S55" s="344">
        <f>Tabla1[[#This Row],[COSTO UNITARIO AÑO 3]]*(1+BASES!$G$10)</f>
        <v>0</v>
      </c>
      <c r="T55" s="344">
        <f>Tabla1[[#This Row],[COSTO UNITARIO AÑO 4]]*(1+BASES!$H$10)</f>
        <v>0</v>
      </c>
      <c r="U55" s="344">
        <f>Tabla1[[#This Row],[COSTO POR UNIDAD DE PRODUCTO (1)]]*$D$13*VLOOKUP(Tabla1[[#This Row],[CÓDIGO DEL PRODUCTO Y/O SERVICIO ]],Tabla3[],3)</f>
        <v>0</v>
      </c>
      <c r="V55" s="344">
        <f>Tabla1[[#This Row],[COSTO POR UNIDAD DE PRODUCTO (1)]]*Tabla1[[#This Row],[COSTO UNITARIO AÑO 2]]*VLOOKUP(Tabla1[[#This Row],[CÓDIGO DEL PRODUCTO Y/O SERVICIO ]],Tabla3[],6)</f>
        <v>0</v>
      </c>
      <c r="W55" s="344">
        <f>Tabla1[[#This Row],[COSTO POR UNIDAD DE PRODUCTO (1)]]*Tabla1[[#This Row],[COSTO UNITARIO AÑO 3]]*VLOOKUP(Tabla1[[#This Row],[CÓDIGO DEL PRODUCTO Y/O SERVICIO ]],Tabla3[],10)</f>
        <v>0</v>
      </c>
      <c r="X55" s="344">
        <f>Tabla1[[#This Row],[COSTO POR UNIDAD DE PRODUCTO (1)]]*Tabla1[[#This Row],[COSTO UNITARIO AÑO 4]]*VLOOKUP(Tabla1[[#This Row],[CÓDIGO DEL PRODUCTO Y/O SERVICIO ]],Tabla3[],14)</f>
        <v>0</v>
      </c>
      <c r="Y55" s="344">
        <f>Tabla1[[#This Row],[COSTO POR UNIDAD DE PRODUCTO (1)]]*Tabla1[[#This Row],[COSTO UNITARIO AÑO 5]]*VLOOKUP(Tabla1[[#This Row],[CÓDIGO DEL PRODUCTO Y/O SERVICIO ]],Tabla3[],18)</f>
        <v>0</v>
      </c>
      <c r="Z55" s="345">
        <f>VLOOKUP(Tabla1[[#This Row],[CÓDIGO DEL PRODUCTO Y/O SERVICIO ]],Tabla3[],3)</f>
        <v>0</v>
      </c>
      <c r="AA55" s="114">
        <f>G40*Tabla1[[#This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44">
        <f>IF(Tabla1[[#This Row],[CANTIDADES A UTILIZAR EN EL AÑO 1 2]]=0,0,Tabla1[[#This Row],[CANTIDADES A UTILIZAR EN EL AÑO 1 2]]*1/Tabla1[[#This Row],[UNIDADES PRODUCIDAS AÑO 1 2]])</f>
        <v>0</v>
      </c>
      <c r="AK55" s="344">
        <f>$D$14*(1+BASES!$E$10)</f>
        <v>0</v>
      </c>
      <c r="AL55" s="344">
        <f>Tabla1[[#This Row],[COSTO UNITARIO AÑO 2 2]]*(1+BASES!$F$10)</f>
        <v>0</v>
      </c>
      <c r="AM55" s="344">
        <f>Tabla1[[#This Row],[COSTO UNITARIO AÑO 3 2]]*(1+BASES!$G$10)</f>
        <v>0</v>
      </c>
      <c r="AN55" s="344">
        <f>Tabla1[[#This Row],[COSTO UNITARIO AÑO 4 2]]*(1+BASES!$H$10)</f>
        <v>0</v>
      </c>
      <c r="AO55" s="344">
        <f>Tabla1[[#This Row],[COSTO POR UNIDAD DE PRODUCTO (2)]]*$D$14*VLOOKUP(Tabla1[[#This Row],[CÓDIGO DEL PRODUCTO Y/O SERVICIO ]],Tabla3[],3)</f>
        <v>0</v>
      </c>
      <c r="AP55" s="344">
        <f>Tabla1[[#This Row],[COSTO POR UNIDAD DE PRODUCTO (2)]]*Tabla1[[#This Row],[COSTO UNITARIO AÑO 2 2]]*VLOOKUP(Tabla1[[#This Row],[CÓDIGO DEL PRODUCTO Y/O SERVICIO ]],Tabla3[],6)</f>
        <v>0</v>
      </c>
      <c r="AQ55" s="344">
        <f>Tabla1[[#This Row],[COSTO POR UNIDAD DE PRODUCTO (2)]]*Tabla1[[#This Row],[COSTO UNITARIO AÑO 3 2]]*VLOOKUP(Tabla1[[#This Row],[CÓDIGO DEL PRODUCTO Y/O SERVICIO ]],Tabla3[],10)</f>
        <v>0</v>
      </c>
      <c r="AR55" s="344">
        <f>Tabla1[[#This Row],[COSTO POR UNIDAD DE PRODUCTO (2)]]*Tabla1[[#This Row],[COSTO UNITARIO AÑO 4 2]]*VLOOKUP(Tabla1[[#This Row],[CÓDIGO DEL PRODUCTO Y/O SERVICIO ]],Tabla3[],14)</f>
        <v>0</v>
      </c>
      <c r="AS55" s="344">
        <f>Tabla1[[#This Row],[COSTO POR UNIDAD DE PRODUCTO (2)]]*Tabla1[[#This Row],[COSTO UNITARIO AÑO 5 2]]*VLOOKUP(Tabla1[[#This Row],[CÓDIGO DEL PRODUCTO Y/O SERVICIO ]],Tabla3[],18)</f>
        <v>0</v>
      </c>
      <c r="AT55" s="114">
        <f>VLOOKUP(Tabla1[[#This Row],[CÓDIGO DEL PRODUCTO Y/O SERVICIO ]],Tabla3[],3)</f>
        <v>0</v>
      </c>
      <c r="AU55" s="114">
        <f>H40*Tabla1[[#This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44">
        <f>IF(Tabla1[[#This Row],[CANTIDADES A UTILIZAR  AÑO 1 3]]=0,0,Tabla1[[#This Row],[CANTIDADES A UTILIZAR  AÑO 1 3]]*1/Tabla1[[#This Row],[UNIDADES PRODUCIDAS AÑO 1 3]])</f>
        <v>0</v>
      </c>
      <c r="BE55" s="344">
        <f>$D$15*(1+BASES!$E$10)</f>
        <v>0</v>
      </c>
      <c r="BF55" s="344">
        <f>Tabla1[[#This Row],[COSTO UNITARIO AÑO 2 3]]*(1+BASES!$F$10)</f>
        <v>0</v>
      </c>
      <c r="BG55" s="344">
        <f>Tabla1[[#This Row],[COSTO UNITARIO AÑO 3 3]]*(1+BASES!$G$10)</f>
        <v>0</v>
      </c>
      <c r="BH55" s="344">
        <f>Tabla1[[#This Row],[COSTO UNITARIO AÑO 4 3]]*(1+BASES!$H$10)</f>
        <v>0</v>
      </c>
      <c r="BI55" s="344">
        <f>Tabla1[[#This Row],[COSTO POR UNIDAD DE PRODUCTO (3)]]*$D$15*VLOOKUP(Tabla1[[#This Row],[CÓDIGO DEL PRODUCTO Y/O SERVICIO ]],Tabla3[],3)</f>
        <v>0</v>
      </c>
      <c r="BJ55" s="344">
        <f>Tabla1[[#This Row],[COSTO POR UNIDAD DE PRODUCTO (3)]]*Tabla1[[#This Row],[COSTO UNITARIO AÑO 2 3]]*VLOOKUP(Tabla1[[#This Row],[CÓDIGO DEL PRODUCTO Y/O SERVICIO ]],Tabla3[],6)</f>
        <v>0</v>
      </c>
      <c r="BK55" s="344">
        <f>Tabla1[[#This Row],[COSTO POR UNIDAD DE PRODUCTO (3)]]*Tabla1[[#This Row],[COSTO UNITARIO AÑO 3 3]]*VLOOKUP(Tabla1[[#This Row],[CÓDIGO DEL PRODUCTO Y/O SERVICIO ]],Tabla3[],10)</f>
        <v>0</v>
      </c>
      <c r="BL55" s="344">
        <f>Tabla1[[#This Row],[COSTO POR UNIDAD DE PRODUCTO (3)]]*Tabla1[[#This Row],[COSTO UNITARIO AÑO 4 3]]*VLOOKUP(Tabla1[[#This Row],[CÓDIGO DEL PRODUCTO Y/O SERVICIO ]],Tabla3[],14)</f>
        <v>0</v>
      </c>
      <c r="BM55" s="344">
        <f>Tabla1[[#This Row],[COSTO POR UNIDAD DE PRODUCTO (3)]]*Tabla1[[#This Row],[ COSTO UNITARIO AÑO 5 3]]*VLOOKUP(Tabla1[[#This Row],[CÓDIGO DEL PRODUCTO Y/O SERVICIO ]],Tabla3[],18)</f>
        <v>0</v>
      </c>
      <c r="BN55" s="114">
        <f>VLOOKUP(Tabla1[[#This Row],[CÓDIGO DEL PRODUCTO Y/O SERVICIO ]],Tabla3[],3)</f>
        <v>0</v>
      </c>
      <c r="BO55" s="114">
        <f>I40*Tabla1[[#This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44">
        <f>IF(Tabla1[[#This Row],[CANTIDADES A UTILIZAR  AÑO 1 4]]=0,0,Tabla1[[#This Row],[CANTIDADES A UTILIZAR  AÑO 1 4]]*1/Tabla1[[#This Row],[UNIDADES PRODUCIDAS AÑO 1 4]])</f>
        <v>0</v>
      </c>
      <c r="BY55" s="344">
        <f>$D$16*(1+BASES!$E$10)</f>
        <v>0</v>
      </c>
      <c r="BZ55" s="344">
        <f>Tabla1[[#This Row],[COSTO UNITARIO AÑO 2 4]]*(1+BASES!$F$10)</f>
        <v>0</v>
      </c>
      <c r="CA55" s="344">
        <f>Tabla1[[#This Row],[COSTO UNITARIO AÑO 3 4]]*(1+BASES!$G$10)</f>
        <v>0</v>
      </c>
      <c r="CB55" s="344">
        <f>Tabla1[[#This Row],[COSTO UNITARIO AÑO 4 4]]*(1+BASES!$H$10)</f>
        <v>0</v>
      </c>
      <c r="CC55" s="344">
        <f>Tabla1[[#This Row],[COSTO POR UNIDAD DE PRODUCTO (4) ]]*$D$16*VLOOKUP(Tabla1[[#This Row],[CÓDIGO DEL PRODUCTO Y/O SERVICIO ]],Tabla3[],3)</f>
        <v>0</v>
      </c>
      <c r="CD55" s="344">
        <f>Tabla1[[#This Row],[COSTO POR UNIDAD DE PRODUCTO (4) ]]*Tabla1[[#This Row],[COSTO UNITARIO AÑO 2 4]]*VLOOKUP(Tabla1[[#This Row],[CÓDIGO DEL PRODUCTO Y/O SERVICIO ]],Tabla3[],6)</f>
        <v>0</v>
      </c>
      <c r="CE55" s="344">
        <f>Tabla1[[#This Row],[COSTO POR UNIDAD DE PRODUCTO (4) ]]*Tabla1[[#This Row],[COSTO UNITARIO AÑO 3 4]]*VLOOKUP(Tabla1[[#This Row],[CÓDIGO DEL PRODUCTO Y/O SERVICIO ]],Tabla3[],10)</f>
        <v>0</v>
      </c>
      <c r="CF55" s="344">
        <f>Tabla1[[#This Row],[COSTO POR UNIDAD DE PRODUCTO (4) ]]*Tabla1[[#This Row],[COSTO UNITARIO AÑO 4 4]]*VLOOKUP(Tabla1[[#This Row],[CÓDIGO DEL PRODUCTO Y/O SERVICIO ]],Tabla3[],14)</f>
        <v>0</v>
      </c>
      <c r="CG55" s="344">
        <f>Tabla1[[#This Row],[COSTO POR UNIDAD DE PRODUCTO (4) ]]*Tabla1[[#This Row],[COSTO UNITARIO AÑO 5 4]]*VLOOKUP(Tabla1[[#This Row],[CÓDIGO DEL PRODUCTO Y/O SERVICIO ]],Tabla3[],18)</f>
        <v>0</v>
      </c>
      <c r="CH55" s="114">
        <f>VLOOKUP(Tabla1[[#This Row],[CÓDIGO DEL PRODUCTO Y/O SERVICIO ]],Tabla3[],3)</f>
        <v>0</v>
      </c>
      <c r="CI55" s="114">
        <f>Tabla1[[#This Row],[UNIDADES PRODUCIDAS AÑO 1 5]]*J40</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44">
        <f>IF(Tabla1[[#This Row],[CANTIDADES A UTILIZAR  AÑO 1 5]]=0,0,Tabla1[[#This Row],[CANTIDADES A UTILIZAR  AÑO 1 5]]*1/Tabla1[[#This Row],[UNIDADES PRODUCIDAS AÑO 1 5]])</f>
        <v>0</v>
      </c>
      <c r="CS55" s="344">
        <f>$D$17*(1+BASES!$E$10)</f>
        <v>0</v>
      </c>
      <c r="CT55" s="344">
        <f>Tabla1[[#This Row],[COSTO UNITARIO AÑO 2 5]]*(1+BASES!$F$10)</f>
        <v>0</v>
      </c>
      <c r="CU55" s="344">
        <f>Tabla1[[#This Row],[COSTO UNITARIO AÑO 3 5]]*(1+BASES!$G$10)</f>
        <v>0</v>
      </c>
      <c r="CV55" s="344">
        <f>Tabla1[[#This Row],[COSTO UNITARIO AÑO 4 5]]*(1+BASES!$H$10)</f>
        <v>0</v>
      </c>
      <c r="CW55" s="344">
        <f>Tabla1[[#This Row],[COSTO POR UNIDAD DE PRODUCTO (5)]]*$D$17*VLOOKUP(Tabla1[[#This Row],[CÓDIGO DEL PRODUCTO Y/O SERVICIO ]],Tabla3[],3)</f>
        <v>0</v>
      </c>
      <c r="CX55" s="344">
        <f>Tabla1[[#This Row],[COSTO POR UNIDAD DE PRODUCTO (5)]]*Tabla1[[#This Row],[COSTO UNITARIO AÑO 2 5]]*VLOOKUP(Tabla1[[#This Row],[CÓDIGO DEL PRODUCTO Y/O SERVICIO ]],Tabla3[],6)</f>
        <v>0</v>
      </c>
      <c r="CY55" s="344">
        <f>Tabla1[[#This Row],[COSTO POR UNIDAD DE PRODUCTO (5)]]*Tabla1[[#This Row],[COSTO UNITARIO AÑO 3 5]]*VLOOKUP(Tabla1[[#This Row],[CÓDIGO DEL PRODUCTO Y/O SERVICIO ]],Tabla3[],10)</f>
        <v>0</v>
      </c>
      <c r="CZ55" s="344">
        <f>Tabla1[[#This Row],[COSTO POR UNIDAD DE PRODUCTO (5)]]*Tabla1[[#This Row],[COSTO UNITARIO AÑO 4 5]]*VLOOKUP(Tabla1[[#This Row],[CÓDIGO DEL PRODUCTO Y/O SERVICIO ]],Tabla3[],14)</f>
        <v>0</v>
      </c>
      <c r="DA55" s="344">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6]]*K40</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44">
        <f>IF(Tabla1[[#This Row],[CANTIDADES A UTILIZAR  AÑO 1 6]]=0,0,Tabla1[[#This Row],[CANTIDADES A UTILIZAR  AÑO 1 6]]*1/Tabla1[[#This Row],[UNIDADES PRODUCIDAS AÑO 1 6]])</f>
        <v>0</v>
      </c>
      <c r="DM55" s="344">
        <f>$D$18*(1+BASES!$E$10)</f>
        <v>0</v>
      </c>
      <c r="DN55" s="344">
        <f>Tabla1[[#This Row],[COSTO UNITARIO AÑO 2 6]]*(1+BASES!$F$10)</f>
        <v>0</v>
      </c>
      <c r="DO55" s="344">
        <f>Tabla1[[#This Row],[COSTO UNITARIO AÑO 3 6]]*(1+BASES!$G$10)</f>
        <v>0</v>
      </c>
      <c r="DP55" s="344">
        <f>Tabla1[[#This Row],[COSTO UNITARIO AÑO 4 6 ]]*(1+BASES!$H$10)</f>
        <v>0</v>
      </c>
      <c r="DQ55" s="344">
        <f>Tabla1[[#This Row],[COSTO POR UNIDAD DE PRODUCTO (6)]]*$D$18*VLOOKUP(Tabla1[[#This Row],[CÓDIGO DEL PRODUCTO Y/O SERVICIO ]],Tabla3[],3)</f>
        <v>0</v>
      </c>
      <c r="DR55" s="344">
        <f>Tabla1[[#This Row],[COSTO POR UNIDAD DE PRODUCTO (6)]]*Tabla1[[#This Row],[COSTO UNITARIO AÑO 2 6]]*VLOOKUP(Tabla1[[#This Row],[CÓDIGO DEL PRODUCTO Y/O SERVICIO ]],Tabla3[],6)</f>
        <v>0</v>
      </c>
      <c r="DS55" s="344">
        <f>Tabla1[[#This Row],[COSTO POR UNIDAD DE PRODUCTO (6)]]*Tabla1[[#This Row],[COSTO UNITARIO AÑO 3 6]]*VLOOKUP(Tabla1[[#This Row],[CÓDIGO DEL PRODUCTO Y/O SERVICIO ]],Tabla3[],10)</f>
        <v>0</v>
      </c>
      <c r="DT55" s="344">
        <f>Tabla1[[#This Row],[COSTO POR UNIDAD DE PRODUCTO (6)]]*Tabla1[[#This Row],[COSTO UNITARIO AÑO 4 6 ]]*VLOOKUP(Tabla1[[#This Row],[CÓDIGO DEL PRODUCTO Y/O SERVICIO ]],Tabla3[],14)</f>
        <v>0</v>
      </c>
      <c r="DU55" s="344">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7]]*L40</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44">
        <f>IF(Tabla1[[#This Row],[CANTIDADES A UTILIZAR  AÑO 1 7]]=0,0,Tabla1[[#This Row],[CANTIDADES A UTILIZAR  AÑO 1 7]]*1/Tabla1[[#This Row],[UNIDADES PRODUCIDAS AÑO 1 7]])</f>
        <v>0</v>
      </c>
      <c r="EG55" s="344">
        <f>$D$19*(1+BASES!$E$10)</f>
        <v>0</v>
      </c>
      <c r="EH55" s="344">
        <f>Tabla1[[#This Row],[COSTO UNITARIO AÑO 2 7]]*(1+BASES!$F$10)</f>
        <v>0</v>
      </c>
      <c r="EI55" s="344">
        <f>Tabla1[[#This Row],[COSTO UNITARIO AÑO 3 7]]*(1+BASES!$G$10)</f>
        <v>0</v>
      </c>
      <c r="EJ55" s="344">
        <f>Tabla1[[#This Row],[COSTO UNITARIO AÑO 4 7]]*(1+BASES!$H$10)</f>
        <v>0</v>
      </c>
      <c r="EK55" s="344">
        <f>Tabla1[[#This Row],[COSTO POR UNIDAD DE PRODUCTO (7)]]*$D$19*VLOOKUP(Tabla1[[#This Row],[CÓDIGO DEL PRODUCTO Y/O SERVICIO ]],Tabla3[],3)</f>
        <v>0</v>
      </c>
      <c r="EL55" s="344">
        <f>Tabla1[[#This Row],[COSTO POR UNIDAD DE PRODUCTO (7)]]*Tabla1[[#This Row],[COSTO UNITARIO AÑO 2 7]]*VLOOKUP(Tabla1[[#This Row],[CÓDIGO DEL PRODUCTO Y/O SERVICIO ]],Tabla3[],6)</f>
        <v>0</v>
      </c>
      <c r="EM55" s="344">
        <f>Tabla1[[#This Row],[COSTO POR UNIDAD DE PRODUCTO (7)]]*Tabla1[[#This Row],[COSTO UNITARIO AÑO 3 7]]*VLOOKUP(Tabla1[[#This Row],[CÓDIGO DEL PRODUCTO Y/O SERVICIO ]],Tabla3[],10)</f>
        <v>0</v>
      </c>
      <c r="EN55" s="344">
        <f>Tabla1[[#This Row],[COSTO POR UNIDAD DE PRODUCTO (7)]]*Tabla1[[#This Row],[COSTO UNITARIO AÑO 4 7]]*VLOOKUP(Tabla1[[#This Row],[CÓDIGO DEL PRODUCTO Y/O SERVICIO ]],Tabla3[],14)</f>
        <v>0</v>
      </c>
      <c r="EO55" s="344">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8]]*M40</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44">
        <f>IF(Tabla1[[#This Row],[CANTIDADES A UTILIZAR  AÑO 1 8]]=0,0,Tabla1[[#This Row],[CANTIDADES A UTILIZAR  AÑO 1 8]]*1/Tabla1[[#This Row],[UNIDADES PRODUCIDAS AÑO 1 8]])</f>
        <v>0</v>
      </c>
      <c r="FA55" s="344">
        <f>$D$20*(1+BASES!$E$10)</f>
        <v>0</v>
      </c>
      <c r="FB55" s="344">
        <f>Tabla1[[#This Row],[COSTO UNITARIO AÑO 2 8]]*(1+BASES!$F$10)</f>
        <v>0</v>
      </c>
      <c r="FC55" s="344">
        <f>Tabla1[[#This Row],[COSTO UNITARIO AÑO 3 8]]*(1+BASES!$G$10)</f>
        <v>0</v>
      </c>
      <c r="FD55" s="344">
        <f>Tabla1[[#This Row],[COSTO UNITARIO AÑO 4 8]]*(1+BASES!$H$10)</f>
        <v>0</v>
      </c>
      <c r="FE55" s="344">
        <f>Tabla1[[#This Row],[COSTO POR UNIDAD DE PRODUCTO (8)]]*$D$20*VLOOKUP(Tabla1[[#This Row],[CÓDIGO DEL PRODUCTO Y/O SERVICIO ]],Tabla3[],3)</f>
        <v>0</v>
      </c>
      <c r="FF55" s="344">
        <f>Tabla1[[#This Row],[COSTO POR UNIDAD DE PRODUCTO (8)]]*Tabla1[[#This Row],[COSTO UNITARIO AÑO 2 8]]*VLOOKUP(Tabla1[[#This Row],[CÓDIGO DEL PRODUCTO Y/O SERVICIO ]],Tabla3[],6)</f>
        <v>0</v>
      </c>
      <c r="FG55" s="344">
        <f>Tabla1[[#This Row],[COSTO POR UNIDAD DE PRODUCTO (8)]]*Tabla1[[#This Row],[COSTO UNITARIO AÑO 3 8]]*VLOOKUP(Tabla1[[#This Row],[CÓDIGO DEL PRODUCTO Y/O SERVICIO ]],Tabla3[],10)</f>
        <v>0</v>
      </c>
      <c r="FH55" s="344">
        <f>Tabla1[[#This Row],[COSTO POR UNIDAD DE PRODUCTO (8)]]*Tabla1[[#This Row],[COSTO UNITARIO AÑO 4 8]]*VLOOKUP(Tabla1[[#This Row],[CÓDIGO DEL PRODUCTO Y/O SERVICIO ]],Tabla3[],14)</f>
        <v>0</v>
      </c>
      <c r="FI55" s="344">
        <f>Tabla1[[#This Row],[COSTO POR UNIDAD DE PRODUCTO (8)]]*Tabla1[[#This Row],[COSTO UNITARIO AÑO 5 8]]*VLOOKUP(Tabla1[[#This Row],[CÓDIGO DEL PRODUCTO Y/O SERVICIO ]],Tabla3[],18)</f>
        <v>0</v>
      </c>
      <c r="FJ55" s="346">
        <f>VLOOKUP(Tabla1[[#This Row],[CÓDIGO DEL PRODUCTO Y/O SERVICIO ]],Tabla3[],3)</f>
        <v>0</v>
      </c>
      <c r="FK55" s="346">
        <f>Tabla1[[#This Row],[UNIDADES PRODUCIDAS AÑO 1 9 ]]*N40</f>
        <v>0</v>
      </c>
      <c r="FL55" s="347">
        <f>VLOOKUP(Tabla1[[#This Row],[CÓDIGO DEL PRODUCTO Y/O SERVICIO ]],Tabla3[],9)</f>
        <v>0</v>
      </c>
      <c r="FM55" s="346">
        <f>Tabla1[[#This Row],[CANTIDADES A UTILIZAR  AÑO 1 9]]*(1+Tabla1[[#This Row],[CAMBIO PORCENTUAL EN UNIDADES VENDIDAS AÑO 2 9]])</f>
        <v>0</v>
      </c>
      <c r="FN55" s="347">
        <f>VLOOKUP(Tabla1[[#This Row],[CÓDIGO DEL PRODUCTO Y/O SERVICIO ]],Tabla3[],13)</f>
        <v>0</v>
      </c>
      <c r="FO55" s="346">
        <f>Tabla1[[#This Row],[CANTIDADES A UTILIZAR  AÑO 2 9]]*(1+Tabla1[[#This Row],[CAMBIO PORCENTUAL EN UNIDADES VENDIDAS AÑO 3 9]])</f>
        <v>0</v>
      </c>
      <c r="FP55" s="347">
        <f>VLOOKUP(Tabla1[[#This Row],[CÓDIGO DEL PRODUCTO Y/O SERVICIO ]],Tabla3[],17)</f>
        <v>0</v>
      </c>
      <c r="FQ55" s="346">
        <f>Tabla1[[#This Row],[CANTIDADES A UTILIZAR  AÑO 3 9]]*(1+Tabla1[[#This Row],[CAMBIO PORCENTUAL EN UNIDADES VENDIDAS AÑO 4 9 ]])</f>
        <v>0</v>
      </c>
      <c r="FR55" s="347">
        <f>VLOOKUP(Tabla1[[#This Row],[CÓDIGO DEL PRODUCTO Y/O SERVICIO ]],Tabla3[],21)</f>
        <v>0</v>
      </c>
      <c r="FS55" s="346">
        <f>Tabla1[[#This Row],[CANTIDADES A UTILIZAR  AÑO 4  9]]*(1+Tabla1[[#This Row],[CAMBIO PORCENTUAL EN UNIDADES VENDIDAS AÑO 5 9]])</f>
        <v>0</v>
      </c>
      <c r="FT55" s="348">
        <f>IF(Tabla1[[#This Row],[CANTIDADES A UTILIZAR  AÑO 1 9]]=0,0,Tabla1[[#This Row],[CANTIDADES A UTILIZAR  AÑO 1 9]]*1/Tabla1[[#This Row],[UNIDADES PRODUCIDAS AÑO 1 9 ]])</f>
        <v>0</v>
      </c>
      <c r="FU55" s="348">
        <f>$D$21*(1+BASES!$E$10)</f>
        <v>0</v>
      </c>
      <c r="FV55" s="348">
        <f>Tabla1[[#This Row],[COSTO UNITARIO AÑO 2 9]]*(1+BASES!$F$10)</f>
        <v>0</v>
      </c>
      <c r="FW55" s="348">
        <f>Tabla1[[#This Row],[COSTO UNITARIO AÑO 3 9]]*(1+BASES!$G$10)</f>
        <v>0</v>
      </c>
      <c r="FX55" s="348">
        <f>Tabla1[[#This Row],[COSTO UNITARIO AÑO 4 9]]*(1+BASES!$H$10)</f>
        <v>0</v>
      </c>
      <c r="FY55" s="348">
        <f>Tabla1[[#This Row],[COSTO POR UNIDAD DE PRODUCTO (9)]]*$D$21*VLOOKUP(Tabla1[[#This Row],[CÓDIGO DEL PRODUCTO Y/O SERVICIO ]],Tabla3[],3)</f>
        <v>0</v>
      </c>
      <c r="FZ55" s="348">
        <f>Tabla1[[#This Row],[COSTO POR UNIDAD DE PRODUCTO (9)]]*Tabla1[[#This Row],[COSTO UNITARIO AÑO 2 9]]*VLOOKUP(Tabla1[[#This Row],[CÓDIGO DEL PRODUCTO Y/O SERVICIO ]],Tabla3[],6)</f>
        <v>0</v>
      </c>
      <c r="GA55" s="348">
        <f>Tabla1[[#This Row],[COSTO POR UNIDAD DE PRODUCTO (9)]]*Tabla1[[#This Row],[COSTO UNITARIO AÑO 3 9]]*VLOOKUP(Tabla1[[#This Row],[CÓDIGO DEL PRODUCTO Y/O SERVICIO ]],Tabla3[],10)</f>
        <v>0</v>
      </c>
      <c r="GB55" s="348">
        <f>Tabla1[[#This Row],[COSTO POR UNIDAD DE PRODUCTO (9)]]*Tabla1[[#This Row],[COSTO UNITARIO AÑO 4 9]]*VLOOKUP(Tabla1[[#This Row],[CÓDIGO DEL PRODUCTO Y/O SERVICIO ]],Tabla3[],14)</f>
        <v>0</v>
      </c>
      <c r="GC55" s="348">
        <f>Tabla1[[#This Row],[COSTO POR UNIDAD DE PRODUCTO (9)]]*Tabla1[[#This Row],[COSTO UNITARIO AÑO 5 9]]*VLOOKUP(Tabla1[[#This Row],[CÓDIGO DEL PRODUCTO Y/O SERVICIO ]],Tabla3[],18)</f>
        <v>0</v>
      </c>
      <c r="GD55" s="346">
        <f>VLOOKUP(Tabla1[[#This Row],[CÓDIGO DEL PRODUCTO Y/O SERVICIO ]],Tabla3[],3)</f>
        <v>0</v>
      </c>
      <c r="GE55" s="346">
        <f>Tabla1[[#This Row],[UNIDADES PRODUCIDAS AÑO 1 10]]*O40</f>
        <v>0</v>
      </c>
      <c r="GF55" s="347">
        <f>VLOOKUP(Tabla1[[#This Row],[CÓDIGO DEL PRODUCTO Y/O SERVICIO ]],Tabla3[],9)</f>
        <v>0</v>
      </c>
      <c r="GG55" s="346">
        <f>Tabla1[[#This Row],[CANTIDADES A UTILIZAR  AÑO 1 10]]*(1+Tabla1[[#This Row],[CAMBIO PORCENTUAL EN UNIDADES VENDIDAS AÑO 2 10 ]])</f>
        <v>0</v>
      </c>
      <c r="GH55" s="347">
        <f>VLOOKUP(Tabla1[[#This Row],[CÓDIGO DEL PRODUCTO Y/O SERVICIO ]],Tabla3[],13)</f>
        <v>0</v>
      </c>
      <c r="GI55" s="346">
        <f>Tabla1[[#This Row],[CANTIDADES A UTILIZAR  AÑO 2 10]]*(1+Tabla1[[#This Row],[CAMBIO PORCENTUAL EN UNIDADES VENDIDAS AÑO 3 10]])</f>
        <v>0</v>
      </c>
      <c r="GJ55" s="347">
        <f>VLOOKUP(Tabla1[[#This Row],[CÓDIGO DEL PRODUCTO Y/O SERVICIO ]],Tabla3[],17)</f>
        <v>0</v>
      </c>
      <c r="GK55" s="346">
        <f>Tabla1[[#This Row],[CANTIDADES A UTILIZAR AÑO 3 10 ]]*(1+Tabla1[[#This Row],[CAMBIO PORCENTUAL EN UNIDADES VENDIDAS AÑO 4 10]])</f>
        <v>0</v>
      </c>
      <c r="GL55" s="347">
        <f>VLOOKUP(Tabla1[[#This Row],[CÓDIGO DEL PRODUCTO Y/O SERVICIO ]],Tabla3[],21)</f>
        <v>0</v>
      </c>
      <c r="GM55" s="346">
        <f>Tabla1[[#This Row],[CANTIDADES A UTILIZAR  AÑO 4 10 ]]*(1+Tabla1[[#This Row],[CAMBIO PORCENTUAL EN UNIDADES VENDIDAS AÑO 5 10]])</f>
        <v>0</v>
      </c>
      <c r="GN55" s="348">
        <f>IF(Tabla1[[#This Row],[CANTIDADES A UTILIZAR  AÑO 1 10]]=0,0,Tabla1[[#This Row],[CANTIDADES A UTILIZAR  AÑO 1 10]]*1/Tabla1[[#This Row],[UNIDADES PRODUCIDAS AÑO 1 10]])</f>
        <v>0</v>
      </c>
      <c r="GO55" s="348">
        <f>$D$22*(1+BASES!$E$10)</f>
        <v>0</v>
      </c>
      <c r="GP55" s="348">
        <f>Tabla1[[#This Row],[COSTO UNITARIO AÑO 2 10 ]]*(1+BASES!$F$10)</f>
        <v>0</v>
      </c>
      <c r="GQ55" s="348">
        <f>Tabla1[[#This Row],[COSTO UNITARIO AÑO 3 10]]*(1+BASES!$G$10)</f>
        <v>0</v>
      </c>
      <c r="GR55" s="348">
        <f>Tabla1[[#This Row],[COSTO UNITARIO AÑO 4 10]]*(1+BASES!$H$10)</f>
        <v>0</v>
      </c>
      <c r="GS55" s="348">
        <f>Tabla1[[#This Row],[COSTO POR UNIDAD DE PRODUCTO (10)]]*$D$22*VLOOKUP(Tabla1[[#This Row],[CÓDIGO DEL PRODUCTO Y/O SERVICIO ]],Tabla3[],3)</f>
        <v>0</v>
      </c>
      <c r="GT55" s="348">
        <f>Tabla1[[#This Row],[COSTO POR UNIDAD DE PRODUCTO (10)]]*Tabla1[[#This Row],[COSTO UNITARIO AÑO 2 10 ]]*VLOOKUP(Tabla1[[#This Row],[CÓDIGO DEL PRODUCTO Y/O SERVICIO ]],Tabla3[],6)</f>
        <v>0</v>
      </c>
      <c r="GU55" s="348">
        <f>Tabla1[[#This Row],[COSTO POR UNIDAD DE PRODUCTO (10)]]*Tabla1[[#This Row],[COSTO UNITARIO AÑO 3 10]]*VLOOKUP(Tabla1[[#This Row],[CÓDIGO DEL PRODUCTO Y/O SERVICIO ]],Tabla3[],10)</f>
        <v>0</v>
      </c>
      <c r="GV55" s="348">
        <f>Tabla1[[#This Row],[COSTO POR UNIDAD DE PRODUCTO (10)]]*Tabla1[[#This Row],[COSTO UNITARIO AÑO 4 10]]*VLOOKUP(Tabla1[[#This Row],[CÓDIGO DEL PRODUCTO Y/O SERVICIO ]],Tabla3[],14)</f>
        <v>0</v>
      </c>
      <c r="GW55" s="348">
        <f>Tabla1[[#This Row],[COSTO POR UNIDAD DE PRODUCTO (10)]]*Tabla1[[#This Row],[COSTO UNITARIO AÑO 5 10 ]]*VLOOKUP(Tabla1[[#This Row],[CÓDIGO DEL PRODUCTO Y/O SERVICIO ]],Tabla3[],18)</f>
        <v>0</v>
      </c>
      <c r="GX55" s="346">
        <f>VLOOKUP(Tabla1[[#This Row],[CÓDIGO DEL PRODUCTO Y/O SERVICIO ]],Tabla3[],3)</f>
        <v>0</v>
      </c>
      <c r="GY55" s="346">
        <f>Tabla1[[#This Row],[UNIDADES PRODUCIDAS AÑO 1 11]]*P40</f>
        <v>0</v>
      </c>
      <c r="GZ55" s="347">
        <f>VLOOKUP(Tabla1[[#This Row],[CÓDIGO DEL PRODUCTO Y/O SERVICIO ]],Tabla3[],9)</f>
        <v>0</v>
      </c>
      <c r="HA55" s="346">
        <f>Tabla1[[#This Row],[CANTIDADES A UTILIZAR  AÑO 1 11 ]]*(1+Tabla1[[#This Row],[CAMBIO PORCENTUAL EN UNIDADES VENDIDAS AÑO 2 11 ]])</f>
        <v>0</v>
      </c>
      <c r="HB55" s="347">
        <f>VLOOKUP(Tabla1[[#This Row],[CÓDIGO DEL PRODUCTO Y/O SERVICIO ]],Tabla3[],13)</f>
        <v>0</v>
      </c>
      <c r="HC55" s="346">
        <f>Tabla1[[#This Row],[CANTIDADES A UTILIZAR  AÑO 2 11 ]]*(1+Tabla1[[#This Row],[CAMBIO PORCENTUAL EN UNIDADES VENDIDAS AÑO 3 11]])</f>
        <v>0</v>
      </c>
      <c r="HD55" s="347">
        <f>VLOOKUP(Tabla1[[#This Row],[CÓDIGO DEL PRODUCTO Y/O SERVICIO ]],Tabla3[],17)</f>
        <v>0</v>
      </c>
      <c r="HE55" s="346">
        <f>Tabla1[[#This Row],[CANTIDADES A UTILIZAR  AÑO 3 11]]*(1+Tabla1[[#This Row],[CAMBIO PORCENTUAL EN UNIDADES VENDIDAS AÑO 4 11]])</f>
        <v>0</v>
      </c>
      <c r="HF55" s="347">
        <f>VLOOKUP(Tabla1[[#This Row],[CÓDIGO DEL PRODUCTO Y/O SERVICIO ]],Tabla3[],21)</f>
        <v>0</v>
      </c>
      <c r="HG55" s="346">
        <f>Tabla1[[#This Row],[CANTIDADES A UTILIZAR  AÑO 4 11]]*(1+Tabla1[[#This Row],[CAMBIO PORCENTUAL EN UNIDADES VENDIDAS AÑO 5 11 ]])</f>
        <v>0</v>
      </c>
      <c r="HH55" s="348">
        <f>IF(Tabla1[[#This Row],[CANTIDADES A UTILIZAR  AÑO 1 11 ]]=0,0,Tabla1[[#This Row],[CANTIDADES A UTILIZAR  AÑO 1 11 ]]*1/Tabla1[[#This Row],[UNIDADES PRODUCIDAS AÑO 1 11]])</f>
        <v>0</v>
      </c>
      <c r="HI55" s="348">
        <f>$D$23*(1+BASES!$E$10)</f>
        <v>0</v>
      </c>
      <c r="HJ55" s="348">
        <f>Tabla1[[#This Row],[COSTO UNITARIO AÑO 2 11]]*(1+BASES!$F$10)</f>
        <v>0</v>
      </c>
      <c r="HK55" s="348">
        <f>Tabla1[[#This Row],[COSTO UNITARIO AÑO 3 11 ]]*(1+BASES!$G$10)</f>
        <v>0</v>
      </c>
      <c r="HL55" s="348">
        <f>Tabla1[[#This Row],[COSTO UNITARIO AÑO 4 11 ]]*(1+BASES!$H$10)</f>
        <v>0</v>
      </c>
      <c r="HM55" s="348">
        <f>Tabla1[[#This Row],[COSTO POR UNIDAD DE PRODUCTO (11)]]*$D$23*VLOOKUP(Tabla1[[#This Row],[CÓDIGO DEL PRODUCTO Y/O SERVICIO ]],Tabla3[],3)</f>
        <v>0</v>
      </c>
      <c r="HN55" s="348">
        <f>Tabla1[[#This Row],[COSTO POR UNIDAD DE PRODUCTO (11)]]*Tabla1[[#This Row],[COSTO UNITARIO AÑO 2 11]]*VLOOKUP(Tabla1[[#This Row],[CÓDIGO DEL PRODUCTO Y/O SERVICIO ]],Tabla3[],6)</f>
        <v>0</v>
      </c>
      <c r="HO55" s="348">
        <f>Tabla1[[#This Row],[COSTO POR UNIDAD DE PRODUCTO (11)]]*Tabla1[[#This Row],[COSTO UNITARIO AÑO 3 11 ]]*VLOOKUP(Tabla1[[#This Row],[CÓDIGO DEL PRODUCTO Y/O SERVICIO ]],Tabla3[],10)</f>
        <v>0</v>
      </c>
      <c r="HP55" s="348">
        <f>Tabla1[[#This Row],[COSTO POR UNIDAD DE PRODUCTO (11)]]*Tabla1[[#This Row],[COSTO UNITARIO AÑO 4 11 ]]*VLOOKUP(Tabla1[[#This Row],[CÓDIGO DEL PRODUCTO Y/O SERVICIO ]],Tabla3[],14)</f>
        <v>0</v>
      </c>
      <c r="HQ55" s="348">
        <f>Tabla1[[#This Row],[COSTO POR UNIDAD DE PRODUCTO (11)]]*Tabla1[[#This Row],[COSTO UNITARIO AÑO 5 11 ]]*VLOOKUP(Tabla1[[#This Row],[CÓDIGO DEL PRODUCTO Y/O SERVICIO ]],Tabla3[],18)</f>
        <v>0</v>
      </c>
      <c r="HR55" s="346">
        <f>VLOOKUP(Tabla1[[#This Row],[CÓDIGO DEL PRODUCTO Y/O SERVICIO ]],Tabla3[],3)</f>
        <v>0</v>
      </c>
      <c r="HS55" s="346">
        <f>Tabla1[[#This Row],[UNIDADES PRODUCIDAS AÑO 1 12]]*Q40</f>
        <v>0</v>
      </c>
      <c r="HT55" s="347">
        <f>VLOOKUP(Tabla1[[#This Row],[CÓDIGO DEL PRODUCTO Y/O SERVICIO ]],Tabla3[],9)</f>
        <v>0</v>
      </c>
      <c r="HU55" s="346">
        <f>Tabla1[[#This Row],[CANTIDADES A UTILIZAR  AÑO 1 12]]*(1+Tabla1[[#This Row],[CAMBIO PORCENTUAL EN UNIDADES VENDIDAS AÑO 2 12]])</f>
        <v>0</v>
      </c>
      <c r="HV55" s="347">
        <f>VLOOKUP(Tabla1[[#This Row],[CÓDIGO DEL PRODUCTO Y/O SERVICIO ]],Tabla3[],13)</f>
        <v>0</v>
      </c>
      <c r="HW55" s="346">
        <f>Tabla1[[#This Row],[CANTIDADES A UTILIZAR  AÑO 2 12]]*(1+Tabla1[[#This Row],[CAMBIO PORCENTUAL EN UNIDADES VENDIDAS AÑO 3 12]])</f>
        <v>0</v>
      </c>
      <c r="HX55" s="347">
        <f>VLOOKUP(Tabla1[[#This Row],[CÓDIGO DEL PRODUCTO Y/O SERVICIO ]],Tabla3[],17)</f>
        <v>0</v>
      </c>
      <c r="HY55" s="346">
        <f>Tabla1[[#This Row],[CANTIDADES A UTILIZAR  AÑO 3 12]]*(1+Tabla1[[#This Row],[CAMBIO PORCENTUAL EN UNIDADES VENDIDAS AÑO 4 12]])</f>
        <v>0</v>
      </c>
      <c r="HZ55" s="347">
        <f>VLOOKUP(Tabla1[[#This Row],[CÓDIGO DEL PRODUCTO Y/O SERVICIO ]],Tabla3[],21)</f>
        <v>0</v>
      </c>
      <c r="IA55" s="346">
        <f>Tabla1[[#This Row],[CANTIDADES A UTILIZAR  AÑO 4 12]]*(1+Tabla1[[#This Row],[CAMBIO PORCENTUAL EN UNIDADES VENDIDAS AÑO 5 12]])</f>
        <v>0</v>
      </c>
      <c r="IB55" s="348">
        <f>IF(Tabla1[[#This Row],[CANTIDADES A UTILIZAR  AÑO 1 12]]=0,0,Tabla1[[#This Row],[CANTIDADES A UTILIZAR  AÑO 1 12]]*1/Tabla1[[#This Row],[UNIDADES PRODUCIDAS AÑO 1 12]])</f>
        <v>0</v>
      </c>
      <c r="IC55" s="348">
        <f>$D$24*(1+BASES!$E$10)</f>
        <v>0</v>
      </c>
      <c r="ID55" s="348">
        <f>Tabla1[[#This Row],[COSTO UNITARIO AÑO 2 12]]*(1+BASES!$F$10)</f>
        <v>0</v>
      </c>
      <c r="IE55" s="348">
        <f>Tabla1[[#This Row],[COSTO UNITARIO AÑO 3 12]]*(1+BASES!$G$10)</f>
        <v>0</v>
      </c>
      <c r="IF55" s="348">
        <f>Tabla1[[#This Row],[COSTO UNITARIO AÑO 4 12]]*(1+BASES!$H$10)</f>
        <v>0</v>
      </c>
      <c r="IG55" s="348">
        <f>Tabla1[[#This Row],[COSTO POR UNIDAD DE PRODUCTO (12)]]*$D$24*VLOOKUP(Tabla1[[#This Row],[CÓDIGO DEL PRODUCTO Y/O SERVICIO ]],Tabla3[],3)</f>
        <v>0</v>
      </c>
      <c r="IH55" s="348">
        <f>Tabla1[[#This Row],[COSTO POR UNIDAD DE PRODUCTO (12)]]*Tabla1[[#This Row],[COSTO UNITARIO AÑO 2 12]]*VLOOKUP(Tabla1[[#This Row],[CÓDIGO DEL PRODUCTO Y/O SERVICIO ]],Tabla3[],6)</f>
        <v>0</v>
      </c>
      <c r="II55" s="348">
        <f>Tabla1[[#This Row],[COSTO POR UNIDAD DE PRODUCTO (12)]]*Tabla1[[#This Row],[COSTO UNITARIO AÑO 3 12]]*VLOOKUP(Tabla1[[#This Row],[CÓDIGO DEL PRODUCTO Y/O SERVICIO ]],Tabla3[],10)</f>
        <v>0</v>
      </c>
      <c r="IJ55" s="348">
        <f>Tabla1[[#This Row],[COSTO POR UNIDAD DE PRODUCTO (12)]]*Tabla1[[#This Row],[COSTO UNITARIO AÑO 4 12]]*VLOOKUP(Tabla1[[#This Row],[CÓDIGO DEL PRODUCTO Y/O SERVICIO ]],Tabla3[],14)</f>
        <v>0</v>
      </c>
      <c r="IK55" s="348">
        <f>Tabla1[[#This Row],[COSTO POR UNIDAD DE PRODUCTO (12)]]*Tabla1[[#This Row],[COSTO UNITARIO AÑO 5 12]]*VLOOKUP(Tabla1[[#This Row],[CÓDIGO DEL PRODUCTO Y/O SERVICIO ]],Tabla3[],18)</f>
        <v>0</v>
      </c>
      <c r="IL55" s="346">
        <f>VLOOKUP(Tabla1[[#This Row],[CÓDIGO DEL PRODUCTO Y/O SERVICIO ]],Tabla3[],3)</f>
        <v>0</v>
      </c>
      <c r="IM55" s="346">
        <f>Tabla1[[#This Row],[UNIDADES PRODUCIDAS AÑO 1 13]]*R40</f>
        <v>0</v>
      </c>
      <c r="IN55" s="347">
        <f>VLOOKUP(Tabla1[[#This Row],[CÓDIGO DEL PRODUCTO Y/O SERVICIO ]],Tabla3[],9)</f>
        <v>0</v>
      </c>
      <c r="IO55" s="346">
        <f>Tabla1[[#This Row],[CANTIDADES A UTILIZAR  AÑO 1 13]]*(1+Tabla1[[#This Row],[CAMBIO PORCENTUAL EN UNIDADES VENDIDAS AÑO 2 13]])</f>
        <v>0</v>
      </c>
      <c r="IP55" s="347">
        <f>VLOOKUP(Tabla1[[#This Row],[CÓDIGO DEL PRODUCTO Y/O SERVICIO ]],Tabla3[],13)</f>
        <v>0</v>
      </c>
      <c r="IQ55" s="346">
        <f>Tabla1[[#This Row],[CANTIDADES A UTILIZAR  AÑO 2 13]]*(1+Tabla1[[#This Row],[CAMBIO PORCENTUAL EN UNIDADES VENDIDAS AÑO 3 13]])</f>
        <v>0</v>
      </c>
      <c r="IR55" s="346">
        <f>VLOOKUP(Tabla1[[#This Row],[CÓDIGO DEL PRODUCTO Y/O SERVICIO ]],Tabla3[],17)</f>
        <v>0</v>
      </c>
      <c r="IS55" s="346">
        <f>Tabla1[[#This Row],[CANTIDADES A UTILIZAR  AÑO 3 13]]*(1+Tabla1[[#This Row],[CAMBIO PORCENTUAL EN UNIDADES VENDIDAS AÑO 4 13]])</f>
        <v>0</v>
      </c>
      <c r="IT55" s="347">
        <f>VLOOKUP(Tabla1[[#This Row],[CÓDIGO DEL PRODUCTO Y/O SERVICIO ]],Tabla3[],21)</f>
        <v>0</v>
      </c>
      <c r="IU55" s="346">
        <f>Tabla1[[#This Row],[CANTIDADES A UTILIZAR  AÑO 4 13]]*(1+Tabla1[[#This Row],[CAMBIO PORCENTUAL EN UNIDADES VENDIDAS AÑO 5 13]])</f>
        <v>0</v>
      </c>
      <c r="IV55" s="348">
        <f>IF(Tabla1[[#This Row],[CANTIDADES A UTILIZAR  AÑO 1 13]]=0,0,Tabla1[[#This Row],[CANTIDADES A UTILIZAR  AÑO 1 13]]*1/Tabla1[[#This Row],[UNIDADES PRODUCIDAS AÑO 1 13]])</f>
        <v>0</v>
      </c>
      <c r="IW55" s="348">
        <f>$D$25*(1+BASES!$E$10)</f>
        <v>0</v>
      </c>
      <c r="IX55" s="348">
        <f>Tabla1[[#This Row],[COSTO UNITARIO AÑO 2 13]]*(1+BASES!$F$10)</f>
        <v>0</v>
      </c>
      <c r="IY55" s="348">
        <f>Tabla1[[#This Row],[COSTO UNITARIO AÑO 3 13]]*(1+BASES!$G$10)</f>
        <v>0</v>
      </c>
      <c r="IZ55" s="348">
        <f>Tabla1[[#This Row],[COSTO UNITARIO AÑO 4 13]]*(1+BASES!$H$10)</f>
        <v>0</v>
      </c>
      <c r="JA55" s="348">
        <f>Tabla1[[#This Row],[COSTO POR UNIDAD DE PRODUCTO (13)]]*$D$25*VLOOKUP(Tabla1[[#This Row],[CÓDIGO DEL PRODUCTO Y/O SERVICIO ]],Tabla3[],3)</f>
        <v>0</v>
      </c>
      <c r="JB55" s="348">
        <f>Tabla1[[#This Row],[COSTO POR UNIDAD DE PRODUCTO (13)]]*Tabla1[[#This Row],[COSTO UNITARIO AÑO 2 13]]*VLOOKUP(Tabla1[[#This Row],[CÓDIGO DEL PRODUCTO Y/O SERVICIO ]],Tabla3[],6)</f>
        <v>0</v>
      </c>
      <c r="JC55" s="348">
        <f>Tabla1[[#This Row],[COSTO POR UNIDAD DE PRODUCTO (13)]]*Tabla1[[#This Row],[COSTO UNITARIO AÑO 3 13]]*VLOOKUP(Tabla1[[#This Row],[CÓDIGO DEL PRODUCTO Y/O SERVICIO ]],Tabla3[],10)</f>
        <v>0</v>
      </c>
      <c r="JD55" s="348">
        <f>Tabla1[[#This Row],[COSTO POR UNIDAD DE PRODUCTO (13)]]*Tabla1[[#This Row],[COSTO UNITARIO AÑO 4 13]]*VLOOKUP(Tabla1[[#This Row],[CÓDIGO DEL PRODUCTO Y/O SERVICIO ]],Tabla3[],14)</f>
        <v>0</v>
      </c>
      <c r="JE55" s="348">
        <f>Tabla1[[#This Row],[COSTO POR UNIDAD DE PRODUCTO (13)]]*Tabla1[[#This Row],[COSTO UNITARIO AÑO 5 13]]*VLOOKUP(Tabla1[[#This Row],[CÓDIGO DEL PRODUCTO Y/O SERVICIO ]],Tabla3[],18)</f>
        <v>0</v>
      </c>
      <c r="JF55" s="346">
        <f>VLOOKUP(Tabla1[[#This Row],[CÓDIGO DEL PRODUCTO Y/O SERVICIO ]],Tabla3[],3)</f>
        <v>0</v>
      </c>
      <c r="JG55" s="346">
        <f>Tabla1[[#This Row],[UNIDADES PRODUCIDAS AÑO 1 14]]*S40</f>
        <v>0</v>
      </c>
      <c r="JH55" s="347">
        <f>VLOOKUP(Tabla1[[#This Row],[CÓDIGO DEL PRODUCTO Y/O SERVICIO ]],Tabla3[],9)</f>
        <v>0</v>
      </c>
      <c r="JI55" s="346">
        <f>Tabla1[[#This Row],[CANTIDADES A UTILIZAR  AÑO 1 14]]*(1+Tabla1[[#This Row],[CAMBIO PORCENTUAL EN UNIDADES VENDIDAS AÑO 2 14]])</f>
        <v>0</v>
      </c>
      <c r="JJ55" s="347">
        <f>VLOOKUP(Tabla1[[#This Row],[CÓDIGO DEL PRODUCTO Y/O SERVICIO ]],Tabla3[],13)</f>
        <v>0</v>
      </c>
      <c r="JK55" s="346">
        <f>Tabla1[[#This Row],[CANTIDADES A UTILIZAR  AÑO 2 14]]*(1+Tabla1[[#This Row],[CAMBIO PORCENTUAL EN UNIDADES VENDIDAS AÑO 3 14]])</f>
        <v>0</v>
      </c>
      <c r="JL55" s="347">
        <f>VLOOKUP(Tabla1[[#This Row],[CÓDIGO DEL PRODUCTO Y/O SERVICIO ]],Tabla3[],17)</f>
        <v>0</v>
      </c>
      <c r="JM55" s="346">
        <f>Tabla1[[#This Row],[CANTIDADES A UTILIZAR AÑO 3 14]]*(1+Tabla1[[#This Row],[CAMBIO PORCENTUAL EN UNIDADES VENDIDAS AÑO 4 14]])</f>
        <v>0</v>
      </c>
      <c r="JN55" s="347">
        <f>VLOOKUP(Tabla1[[#This Row],[CÓDIGO DEL PRODUCTO Y/O SERVICIO ]],Tabla3[],21)</f>
        <v>0</v>
      </c>
      <c r="JO55" s="346">
        <f>Tabla1[[#This Row],[CANTIDADES A UTILIZAR  AÑO 4 14]]*(1+Tabla1[[#This Row],[CAMBIO PORCENTUAL EN UNIDADES VENDIDAS AÑO 5 14]])</f>
        <v>0</v>
      </c>
      <c r="JP55" s="348">
        <f>IF(Tabla1[[#This Row],[CANTIDADES A UTILIZAR  AÑO 1 14]]=0,0,Tabla1[[#This Row],[CANTIDADES A UTILIZAR  AÑO 1 14]]*1/Tabla1[[#This Row],[UNIDADES PRODUCIDAS AÑO 1 14]])</f>
        <v>0</v>
      </c>
      <c r="JQ55" s="348">
        <f>$D$26*(1+BASES!$E$10)</f>
        <v>0</v>
      </c>
      <c r="JR55" s="348">
        <f>Tabla1[[#This Row],[COSTO UNITARIO AÑO 2 14]]*(1+BASES!$F$10)</f>
        <v>0</v>
      </c>
      <c r="JS55" s="348">
        <f>Tabla1[[#This Row],[COSTO UNITARIO AÑO 3 14]]*(1+BASES!$G$10)</f>
        <v>0</v>
      </c>
      <c r="JT55" s="348">
        <f>Tabla1[[#This Row],[COSTO UNITARIO AÑO 4 14]]*(1+BASES!$H$10)</f>
        <v>0</v>
      </c>
      <c r="JU55" s="348">
        <f>Tabla1[[#This Row],[COSTO POR UNIDAD DE PRODUCTO (14)]]*$D$26*VLOOKUP(Tabla1[[#This Row],[CÓDIGO DEL PRODUCTO Y/O SERVICIO ]],Tabla3[],3)</f>
        <v>0</v>
      </c>
      <c r="JV55" s="348">
        <f>Tabla1[[#This Row],[COSTO POR UNIDAD DE PRODUCTO (14)]]*Tabla1[[#This Row],[COSTO UNITARIO AÑO 2 14]]*VLOOKUP(Tabla1[[#This Row],[CÓDIGO DEL PRODUCTO Y/O SERVICIO ]],Tabla3[],6)</f>
        <v>0</v>
      </c>
      <c r="JW55" s="348">
        <f>Tabla1[[#This Row],[COSTO POR UNIDAD DE PRODUCTO (14)]]*Tabla1[[#This Row],[COSTO UNITARIO AÑO 3 14]]*VLOOKUP(Tabla1[[#This Row],[CÓDIGO DEL PRODUCTO Y/O SERVICIO ]],Tabla3[],10)</f>
        <v>0</v>
      </c>
      <c r="JX55" s="348">
        <f>Tabla1[[#This Row],[COSTO POR UNIDAD DE PRODUCTO (14)]]*Tabla1[[#This Row],[COSTO UNITARIO AÑO 4 14]]*VLOOKUP(Tabla1[[#This Row],[CÓDIGO DEL PRODUCTO Y/O SERVICIO ]],Tabla3[],14)</f>
        <v>0</v>
      </c>
      <c r="JY55" s="348">
        <f>Tabla1[[#This Row],[COSTO POR UNIDAD DE PRODUCTO (14)]]*Tabla1[[#This Row],[COSTO UNITARIO AÑO 5 14]]*VLOOKUP(Tabla1[[#This Row],[CÓDIGO DEL PRODUCTO Y/O SERVICIO ]],Tabla3[],18)</f>
        <v>0</v>
      </c>
      <c r="JZ55" s="346">
        <f>VLOOKUP(Tabla1[[#This Row],[CÓDIGO DEL PRODUCTO Y/O SERVICIO ]],Tabla3[],3)</f>
        <v>0</v>
      </c>
      <c r="KA55" s="346">
        <f>Tabla1[[#This Row],[UNIDADES PRODUCIDAS AÑO 1 15]]*T40</f>
        <v>0</v>
      </c>
      <c r="KB55" s="347">
        <f>VLOOKUP(Tabla1[[#This Row],[CÓDIGO DEL PRODUCTO Y/O SERVICIO ]],Tabla3[],9)</f>
        <v>0</v>
      </c>
      <c r="KC55" s="346">
        <f>Tabla1[[#This Row],[CANTIDADES A UTILIZAR  AÑO 1 15]]*(1+Tabla1[[#This Row],[CAMBIO PORCENTUAL EN UNIDADES VENDIDAS AÑO 2 15]])</f>
        <v>0</v>
      </c>
      <c r="KD55" s="347">
        <f>VLOOKUP(Tabla1[[#This Row],[CÓDIGO DEL PRODUCTO Y/O SERVICIO ]],Tabla3[],13)</f>
        <v>0</v>
      </c>
      <c r="KE55" s="346">
        <f>Tabla1[[#This Row],[CANTIDADES A UTILIZAR  AÑO 2 15]]*(1+Tabla1[[#This Row],[CAMBIO PORCENTUAL EN UNIDADES VENDIDAS AÑO 3 15]])</f>
        <v>0</v>
      </c>
      <c r="KF55" s="347">
        <f>VLOOKUP(Tabla1[[#This Row],[CÓDIGO DEL PRODUCTO Y/O SERVICIO ]],Tabla3[],17)</f>
        <v>0</v>
      </c>
      <c r="KG55" s="346">
        <f>Tabla1[[#This Row],[CANTIDADES A UTILIZAR  AÑO 3 15]]*(1+Tabla1[[#This Row],[CAMBIO PORCENTUAL EN UNIDADES VENDIDAS AÑO 4 15]])</f>
        <v>0</v>
      </c>
      <c r="KH55" s="347">
        <f>VLOOKUP(Tabla1[[#This Row],[CÓDIGO DEL PRODUCTO Y/O SERVICIO ]],Tabla3[],21)</f>
        <v>0</v>
      </c>
      <c r="KI55" s="346">
        <f>Tabla1[[#This Row],[CANTIDADES A UTILIZAR  AÑO 4 15]]*(1+Tabla1[[#This Row],[CAMBIO PORCENTUAL EN UNIDADES VENDIDAS AÑO 5 15]])</f>
        <v>0</v>
      </c>
      <c r="KJ55" s="348">
        <f>IF(Tabla1[[#This Row],[CANTIDADES A UTILIZAR  AÑO 1 15]]=0,0,Tabla1[[#This Row],[CANTIDADES A UTILIZAR  AÑO 1 15]]*1/Tabla1[[#This Row],[UNIDADES PRODUCIDAS AÑO 1 15]])</f>
        <v>0</v>
      </c>
      <c r="KK55" s="348">
        <f>$D$27*(1+BASES!$E$10)</f>
        <v>0</v>
      </c>
      <c r="KL55" s="348">
        <f>Tabla1[[#This Row],[COSTO UNITARIO AÑO 2 15]]*(1+BASES!$F$10)</f>
        <v>0</v>
      </c>
      <c r="KM55" s="348">
        <f>Tabla1[[#This Row],[COSTO UNITARIO AÑO 3 15]]*(1+BASES!$G$10)</f>
        <v>0</v>
      </c>
      <c r="KN55" s="348">
        <f>Tabla1[[#This Row],[COSTO UNITARIO AÑO 4 15]]*(1+BASES!$H$10)</f>
        <v>0</v>
      </c>
      <c r="KO55" s="348">
        <f>Tabla1[[#This Row],[COSTO POR UNIDAD DE PRODUCTO (15)]]*$D$27*VLOOKUP(Tabla1[[#This Row],[CÓDIGO DEL PRODUCTO Y/O SERVICIO ]],Tabla3[],3)</f>
        <v>0</v>
      </c>
      <c r="KP55" s="348">
        <f>Tabla1[[#This Row],[COSTO POR UNIDAD DE PRODUCTO (15)]]*Tabla1[[#This Row],[COSTO UNITARIO AÑO 2 15]]*VLOOKUP(Tabla1[[#This Row],[CÓDIGO DEL PRODUCTO Y/O SERVICIO ]],Tabla3[],6)</f>
        <v>0</v>
      </c>
      <c r="KQ55" s="348">
        <f>Tabla1[[#This Row],[COSTO POR UNIDAD DE PRODUCTO (15)]]*Tabla1[[#This Row],[COSTO UNITARIO AÑO 3 15]]*VLOOKUP(Tabla1[[#This Row],[CÓDIGO DEL PRODUCTO Y/O SERVICIO ]],Tabla3[],10)</f>
        <v>0</v>
      </c>
      <c r="KR55" s="348">
        <f>Tabla1[[#This Row],[COSTO POR UNIDAD DE PRODUCTO (15)]]*Tabla1[[#This Row],[COSTO UNITARIO AÑO 4 15]]*VLOOKUP(Tabla1[[#This Row],[CÓDIGO DEL PRODUCTO Y/O SERVICIO ]],Tabla3[],14)</f>
        <v>0</v>
      </c>
      <c r="KS55" s="348">
        <f>Tabla1[[#This Row],[COSTO POR UNIDAD DE PRODUCTO (15)]]*Tabla1[[#This Row],[COSTO UNITARIO AÑO 5 15]]*VLOOKUP(Tabla1[[#This Row],[CÓDIGO DEL PRODUCTO Y/O SERVICIO ]],Tabla3[],18)</f>
        <v>0</v>
      </c>
      <c r="KT55" s="346">
        <f>VLOOKUP(Tabla1[[#This Row],[CÓDIGO DEL PRODUCTO Y/O SERVICIO ]],Tabla3[],3)</f>
        <v>0</v>
      </c>
      <c r="KU55" s="346">
        <f>Tabla1[[#This Row],[UNIDADES PRODUCIDAS AÑO 1 16]]*U40</f>
        <v>0</v>
      </c>
      <c r="KV55" s="347">
        <f>VLOOKUP(Tabla1[[#This Row],[CÓDIGO DEL PRODUCTO Y/O SERVICIO ]],Tabla3[],9)</f>
        <v>0</v>
      </c>
      <c r="KW55" s="346">
        <f>Tabla1[[#This Row],[CANTIDADES A UTILIZAR  AÑO 1 16]]*(1+Tabla1[[#This Row],[CAMBIO PORCENTUAL EN UNIDADES VENDIDAS AÑO 2 16]])</f>
        <v>0</v>
      </c>
      <c r="KX55" s="347">
        <f>VLOOKUP(Tabla1[[#This Row],[CÓDIGO DEL PRODUCTO Y/O SERVICIO ]],Tabla3[],13)</f>
        <v>0</v>
      </c>
      <c r="KY55" s="346">
        <f>Tabla1[[#This Row],[CANTIDADES A UTILIZAR  AÑO 2 16]]*(1+Tabla1[[#This Row],[CAMBIO PORCENTUAL EN UNIDADES VENDIDAS AÑO 3 16]])</f>
        <v>0</v>
      </c>
      <c r="KZ55" s="347">
        <f>VLOOKUP(Tabla1[[#This Row],[CÓDIGO DEL PRODUCTO Y/O SERVICIO ]],Tabla3[],17)</f>
        <v>0</v>
      </c>
      <c r="LA55" s="346">
        <f>Tabla1[[#This Row],[CANTIDADES A UTILIZAR  AÑO 3 16]]*(1+Tabla1[[#This Row],[CAMBIO PORCENTUAL EN UNIDADES VENDIDAS AÑO 4 16]])</f>
        <v>0</v>
      </c>
      <c r="LB55" s="347">
        <f>VLOOKUP(Tabla1[[#This Row],[CÓDIGO DEL PRODUCTO Y/O SERVICIO ]],Tabla3[],21)</f>
        <v>0</v>
      </c>
      <c r="LC55" s="346">
        <f>Tabla1[[#This Row],[CANTIDADES A UTILIZAR  AÑO 4 16]]*(1+Tabla1[[#This Row],[CAMBIO PORCENTUAL EN UNIDADES VENDIDAS AÑO 5 16]])</f>
        <v>0</v>
      </c>
      <c r="LD55" s="348">
        <f>IF(Tabla1[[#This Row],[CANTIDADES A UTILIZAR  AÑO 1 16]]=0,0,Tabla1[[#This Row],[CANTIDADES A UTILIZAR  AÑO 1 16]]*1/Tabla1[[#This Row],[UNIDADES PRODUCIDAS AÑO 1 16]])</f>
        <v>0</v>
      </c>
      <c r="LE55" s="348">
        <f>$D$28*(1+BASES!$E$10)</f>
        <v>0</v>
      </c>
      <c r="LF55" s="348">
        <f>Tabla1[[#This Row],[COSTO UNITARIO AÑO 2 16]]*(1+BASES!$F$10)</f>
        <v>0</v>
      </c>
      <c r="LG55" s="348">
        <f>Tabla1[[#This Row],[COSTO UNITARIO AÑO 3 16]]*(1+BASES!$G$10)</f>
        <v>0</v>
      </c>
      <c r="LH55" s="348">
        <f>Tabla1[[#This Row],[COSTO UNITARIO AÑO 4 16]]*(1+BASES!$H$10)</f>
        <v>0</v>
      </c>
      <c r="LI55" s="348">
        <f>Tabla1[[#This Row],[COSTO POR UNIDAD DE PRODUCTO (16)]]*$D$28*VLOOKUP(Tabla1[[#This Row],[CÓDIGO DEL PRODUCTO Y/O SERVICIO ]],Tabla3[],3)</f>
        <v>0</v>
      </c>
      <c r="LJ55" s="348">
        <f>Tabla1[[#This Row],[COSTO POR UNIDAD DE PRODUCTO (16)]]*Tabla1[[#This Row],[COSTO UNITARIO AÑO 2 16]]*VLOOKUP(Tabla1[[#This Row],[CÓDIGO DEL PRODUCTO Y/O SERVICIO ]],Tabla3[],6)</f>
        <v>0</v>
      </c>
      <c r="LK55" s="348">
        <f>Tabla1[[#This Row],[COSTO POR UNIDAD DE PRODUCTO (16)]]*Tabla1[[#This Row],[COSTO UNITARIO AÑO 3 16]]*VLOOKUP(Tabla1[[#This Row],[CÓDIGO DEL PRODUCTO Y/O SERVICIO ]],Tabla3[],10)</f>
        <v>0</v>
      </c>
      <c r="LL55" s="348">
        <f>Tabla1[[#This Row],[COSTO POR UNIDAD DE PRODUCTO (16)]]*Tabla1[[#This Row],[COSTO UNITARIO AÑO 4 16]]*VLOOKUP(Tabla1[[#This Row],[CÓDIGO DEL PRODUCTO Y/O SERVICIO ]],Tabla3[],14)</f>
        <v>0</v>
      </c>
      <c r="LM55" s="348">
        <f>Tabla1[[#This Row],[COSTO POR UNIDAD DE PRODUCTO (16)]]*Tabla1[[#This Row],[COSTO UNITARIO AÑO 5 16]]*VLOOKUP(Tabla1[[#This Row],[CÓDIGO DEL PRODUCTO Y/O SERVICIO ]],Tabla3[],18)</f>
        <v>0</v>
      </c>
      <c r="LN55" s="346">
        <f>VLOOKUP(Tabla1[[#This Row],[CÓDIGO DEL PRODUCTO Y/O SERVICIO ]],Tabla3[],3)</f>
        <v>0</v>
      </c>
      <c r="LO55" s="346">
        <f>Tabla1[[#This Row],[UNIDADES PRODUCIDAS AÑO 1 17]]*V40</f>
        <v>0</v>
      </c>
      <c r="LP55" s="347">
        <f>VLOOKUP(Tabla1[[#This Row],[CÓDIGO DEL PRODUCTO Y/O SERVICIO ]],Tabla3[],9)</f>
        <v>0</v>
      </c>
      <c r="LQ55" s="346">
        <f>Tabla1[[#This Row],[CANTIDADES A UTILIZAR  AÑO 1 17]]*(1+Tabla1[[#This Row],[CAMBIO PORCENTUAL EN UNIDADES VENDIDAS AÑO 2 17]])</f>
        <v>0</v>
      </c>
      <c r="LR55" s="347">
        <f>VLOOKUP(Tabla1[[#This Row],[CÓDIGO DEL PRODUCTO Y/O SERVICIO ]],Tabla3[],13)</f>
        <v>0</v>
      </c>
      <c r="LS55" s="346">
        <f>Tabla1[[#This Row],[CANTIDADES A UTILIZAR  AÑO 2 17]]*(1+Tabla1[[#This Row],[CAMBIO PORCENTUAL EN UNIDADES VENDIDAS AÑO 3 17]])</f>
        <v>0</v>
      </c>
      <c r="LT55" s="347">
        <f>VLOOKUP(Tabla1[[#This Row],[CÓDIGO DEL PRODUCTO Y/O SERVICIO ]],Tabla3[],17)</f>
        <v>0</v>
      </c>
      <c r="LU55" s="346">
        <f>Tabla1[[#This Row],[CANTIDADES A UTILIZAR  AÑO 3 17]]*(1+Tabla1[[#This Row],[CAMBIO PORCENTUAL EN UNIDADES VENDIDAS AÑO 4 17 ]])</f>
        <v>0</v>
      </c>
      <c r="LV55" s="347">
        <f>VLOOKUP(Tabla1[[#This Row],[CÓDIGO DEL PRODUCTO Y/O SERVICIO ]],Tabla3[],21)</f>
        <v>0</v>
      </c>
      <c r="LW55" s="346">
        <f>Tabla1[[#This Row],[CANTIDADES A UTILIZAR  AÑO 4 17]]*(1+Tabla1[[#This Row],[CAMBIO PORCENTUAL EN UNIDADES VENDIDAS AÑO 5 17]])</f>
        <v>0</v>
      </c>
      <c r="LX55" s="348">
        <f>IF(Tabla1[[#This Row],[CANTIDADES A UTILIZAR  AÑO 1 17]]=0,0,Tabla1[[#This Row],[CANTIDADES A UTILIZAR  AÑO 1 17]]*1/Tabla1[[#This Row],[UNIDADES PRODUCIDAS AÑO 1 17]])</f>
        <v>0</v>
      </c>
      <c r="LY55" s="348">
        <f>$D$29*(1+BASES!$E$10)</f>
        <v>0</v>
      </c>
      <c r="LZ55" s="348">
        <f>Tabla1[[#This Row],[COSTO UNITARIO AÑO 2 17]]*(1+BASES!$F$10)</f>
        <v>0</v>
      </c>
      <c r="MA55" s="348">
        <f>Tabla1[[#This Row],[COSTO UNITARIO AÑO 3 17]]*(1+BASES!$G$10)</f>
        <v>0</v>
      </c>
      <c r="MB55" s="348">
        <f>Tabla1[[#This Row],[COSTO UNITARIO AÑO 4 17]]*(1+BASES!$H$10)</f>
        <v>0</v>
      </c>
      <c r="MC55" s="348">
        <f>Tabla1[[#This Row],[COSTO POR UNIDAD DE PRODUCTO (17)]]*$D$29*VLOOKUP(Tabla1[[#This Row],[CÓDIGO DEL PRODUCTO Y/O SERVICIO ]],Tabla3[],3)</f>
        <v>0</v>
      </c>
      <c r="MD55" s="348">
        <f>Tabla1[[#This Row],[COSTO POR UNIDAD DE PRODUCTO (17)]]*Tabla1[[#This Row],[COSTO UNITARIO AÑO 2 17]]*VLOOKUP(Tabla1[[#This Row],[CÓDIGO DEL PRODUCTO Y/O SERVICIO ]],Tabla3[],6)</f>
        <v>0</v>
      </c>
      <c r="ME55" s="348">
        <f>Tabla1[[#This Row],[COSTO POR UNIDAD DE PRODUCTO (17)]]*Tabla1[[#This Row],[COSTO UNITARIO AÑO 3 17]]*VLOOKUP(Tabla1[[#This Row],[CÓDIGO DEL PRODUCTO Y/O SERVICIO ]],Tabla3[],10)</f>
        <v>0</v>
      </c>
      <c r="MF55" s="348">
        <f>Tabla1[[#This Row],[COSTO POR UNIDAD DE PRODUCTO (17)]]*Tabla1[[#This Row],[COSTO UNITARIO AÑO 4 17]]*VLOOKUP(Tabla1[[#This Row],[CÓDIGO DEL PRODUCTO Y/O SERVICIO ]],Tabla3[],14)</f>
        <v>0</v>
      </c>
      <c r="MG55" s="348">
        <f>Tabla1[[#This Row],[COSTO POR UNIDAD DE PRODUCTO (17)]]*Tabla1[[#This Row],[COSTO UNITARIO AÑO 5 17]]*VLOOKUP(Tabla1[[#This Row],[CÓDIGO DEL PRODUCTO Y/O SERVICIO ]],Tabla3[],18)</f>
        <v>0</v>
      </c>
      <c r="MH55" s="346">
        <f>VLOOKUP(Tabla1[[#This Row],[CÓDIGO DEL PRODUCTO Y/O SERVICIO ]],Tabla3[],3)</f>
        <v>0</v>
      </c>
      <c r="MI55" s="346">
        <f>Tabla1[[#This Row],[UNIDADES PRODUCIDAS AÑO 1 18 ]]*W40</f>
        <v>0</v>
      </c>
      <c r="MJ55" s="347">
        <f>VLOOKUP(Tabla1[[#This Row],[CÓDIGO DEL PRODUCTO Y/O SERVICIO ]],Tabla3[],9)</f>
        <v>0</v>
      </c>
      <c r="MK55" s="346">
        <f>Tabla1[[#This Row],[CANTIDADES A UTILIZAR  AÑO 1 18]]*(1+Tabla1[[#This Row],[CAMBIO PORCENTUAL EN UNIDADES VENDIDAS AÑO 2 18]])</f>
        <v>0</v>
      </c>
      <c r="ML55" s="347">
        <f>VLOOKUP(Tabla1[[#This Row],[CÓDIGO DEL PRODUCTO Y/O SERVICIO ]],Tabla3[],13)</f>
        <v>0</v>
      </c>
      <c r="MM55" s="346">
        <f>Tabla1[[#This Row],[CANTIDADES A UTILIZAR AÑO 2 18]]*(1+Tabla1[[#This Row],[CAMBIO PORCENTUAL EN UNIDADES VENDIDAS AÑO 3 18 ]])</f>
        <v>0</v>
      </c>
      <c r="MN55" s="347">
        <f>VLOOKUP(Tabla1[[#This Row],[CÓDIGO DEL PRODUCTO Y/O SERVICIO ]],Tabla3[],17)</f>
        <v>0</v>
      </c>
      <c r="MO55" s="346">
        <f>Tabla1[[#This Row],[CANTIDADES A UTILIZAR  AÑO 3 18]]*(1+Tabla1[[#This Row],[CAMBIO PORCENTUAL EN UNIDADES VENDIDAS AÑO 4 18]])</f>
        <v>0</v>
      </c>
      <c r="MP55" s="347">
        <f>VLOOKUP(Tabla1[[#This Row],[CÓDIGO DEL PRODUCTO Y/O SERVICIO ]],Tabla3[],21)</f>
        <v>0</v>
      </c>
      <c r="MQ55" s="346">
        <f>Tabla1[[#This Row],[CANTIDADES A UTILIZAR  AÑO 4 18 ]]*(1+Tabla1[[#This Row],[CAMBIO PORCENTUAL EN UNIDADES VENDIDAS AÑO 5 18 ]])</f>
        <v>0</v>
      </c>
      <c r="MR55" s="348">
        <f>IF(Tabla1[[#This Row],[CANTIDADES A UTILIZAR  AÑO 1 18]]=0,0,Tabla1[[#This Row],[CANTIDADES A UTILIZAR  AÑO 1 18]]*1/Tabla1[[#This Row],[UNIDADES PRODUCIDAS AÑO 1 18 ]])</f>
        <v>0</v>
      </c>
      <c r="MS55" s="348">
        <f>$D$30*(1+BASES!$E$10)</f>
        <v>0</v>
      </c>
      <c r="MT55" s="348">
        <f>Tabla1[[#This Row],[COSTO UNITARIO AÑO 2 18]]*(1+BASES!$F$10)</f>
        <v>0</v>
      </c>
      <c r="MU55" s="348">
        <f>Tabla1[[#This Row],[COSTO UNITARIO AÑO 3 18 ]]*(1+BASES!$G$10)</f>
        <v>0</v>
      </c>
      <c r="MV55" s="348">
        <f>Tabla1[[#This Row],[COSTO UNITARIO AÑO 4 18 ]]*(1+BASES!$H$10)</f>
        <v>0</v>
      </c>
      <c r="MW55" s="348">
        <f>Tabla1[[#This Row],[COSTO POR UNIDAD DE PRODUCTO (18)]]*$D$30*VLOOKUP(Tabla1[[#This Row],[CÓDIGO DEL PRODUCTO Y/O SERVICIO ]],Tabla3[],3)</f>
        <v>0</v>
      </c>
      <c r="MX55" s="348">
        <f>Tabla1[[#This Row],[COSTO POR UNIDAD DE PRODUCTO (18)]]*Tabla1[[#This Row],[COSTO UNITARIO AÑO 2 18]]*VLOOKUP(Tabla1[[#This Row],[CÓDIGO DEL PRODUCTO Y/O SERVICIO ]],Tabla3[],6)</f>
        <v>0</v>
      </c>
      <c r="MY55" s="348">
        <f>Tabla1[[#This Row],[COSTO POR UNIDAD DE PRODUCTO (18)]]*Tabla1[[#This Row],[COSTO UNITARIO AÑO 3 18 ]]*VLOOKUP(Tabla1[[#This Row],[CÓDIGO DEL PRODUCTO Y/O SERVICIO ]],Tabla3[],10)</f>
        <v>0</v>
      </c>
      <c r="MZ55" s="348">
        <f>Tabla1[[#This Row],[COSTO POR UNIDAD DE PRODUCTO (18)]]*Tabla1[[#This Row],[COSTO UNITARIO AÑO 4 18 ]]*VLOOKUP(Tabla1[[#This Row],[CÓDIGO DEL PRODUCTO Y/O SERVICIO ]],Tabla3[],14)</f>
        <v>0</v>
      </c>
      <c r="NA55" s="348">
        <f>Tabla1[[#This Row],[COSTO POR UNIDAD DE PRODUCTO (18)]]*Tabla1[[#This Row],[COSTO UNITARIO AÑO 5 18 ]]*VLOOKUP(Tabla1[[#This Row],[CÓDIGO DEL PRODUCTO Y/O SERVICIO ]],Tabla3[],18)</f>
        <v>0</v>
      </c>
      <c r="NB55" s="346">
        <f>VLOOKUP(Tabla1[[#This Row],[CÓDIGO DEL PRODUCTO Y/O SERVICIO ]],Tabla3[],3)</f>
        <v>0</v>
      </c>
      <c r="NC55" s="346">
        <f>Tabla1[[#This Row],[UNIDADES PRODUCIDAS AÑO 1 19]]*X40</f>
        <v>0</v>
      </c>
      <c r="ND55" s="347">
        <f>VLOOKUP(Tabla1[[#This Row],[CÓDIGO DEL PRODUCTO Y/O SERVICIO ]],Tabla3[],9)</f>
        <v>0</v>
      </c>
      <c r="NE55" s="346">
        <f>Tabla1[[#This Row],[CANTIDADES A UTILIZAR  AÑO 1 19 ]]*(1+Tabla1[[#This Row],[CAMBIO PORCENTUAL EN UNIDADES VENDIDAS AÑO 2 19]])</f>
        <v>0</v>
      </c>
      <c r="NF55" s="347">
        <f>VLOOKUP(Tabla1[[#This Row],[CÓDIGO DEL PRODUCTO Y/O SERVICIO ]],Tabla3[],13)</f>
        <v>0</v>
      </c>
      <c r="NG55" s="346">
        <f>Tabla1[[#This Row],[CANTIDADES A UTILIZAR  AÑO 2 19 ]]*(1+Tabla1[[#This Row],[CAMBIO PORCENTUAL EN UNIDADES VENDIDAS AÑO 3 19 ]])</f>
        <v>0</v>
      </c>
      <c r="NH55" s="347">
        <f>VLOOKUP(Tabla1[[#This Row],[CÓDIGO DEL PRODUCTO Y/O SERVICIO ]],Tabla3[],17)</f>
        <v>0</v>
      </c>
      <c r="NI55" s="346">
        <f>Tabla1[[#This Row],[CANTIDADES A UTILIZAR  AÑO 3 19 ]]*(1+Tabla1[[#This Row],[CAMBIO PORCENTUAL EN UNIDADES VENDIDAS AÑO 4 19 ]])</f>
        <v>0</v>
      </c>
      <c r="NJ55" s="347">
        <f>VLOOKUP(Tabla1[[#This Row],[CÓDIGO DEL PRODUCTO Y/O SERVICIO ]],Tabla3[],21)</f>
        <v>0</v>
      </c>
      <c r="NK55" s="346">
        <f>Tabla1[[#This Row],[CANTIDADES A UTILIZAR AÑO 4 19 ]]*(1+Tabla1[[#This Row],[CAMBIO PORCENTUAL EN UNIDADES VENDIDAS AÑO 5 19 ]])</f>
        <v>0</v>
      </c>
      <c r="NL55" s="348">
        <f>IF(Tabla1[[#This Row],[CANTIDADES A UTILIZAR  AÑO 1 19 ]]=0,0,Tabla1[[#This Row],[CANTIDADES A UTILIZAR  AÑO 1 19 ]]*1/Tabla1[[#This Row],[UNIDADES PRODUCIDAS AÑO 1 19]])</f>
        <v>0</v>
      </c>
      <c r="NM55" s="348">
        <f>$D$31*(1+BASES!$E$10)</f>
        <v>0</v>
      </c>
      <c r="NN55" s="348">
        <f>Tabla1[[#This Row],[COSTO UNITARIO AÑO 2 19 ]]*(1+BASES!$F$10)</f>
        <v>0</v>
      </c>
      <c r="NO55" s="348">
        <f>Tabla1[[#This Row],[COSTO UNITARIO AÑO 3 19 ]]*(1+BASES!$G$10)</f>
        <v>0</v>
      </c>
      <c r="NP55" s="348">
        <f>Tabla1[[#This Row],[COSTO UNITARIO AÑO 4 19 ]]*(1+BASES!$H$10)</f>
        <v>0</v>
      </c>
      <c r="NQ55" s="348">
        <f>Tabla1[[#This Row],[COSTO POR UNIDAD DE PRODUCTO (19)]]*$D$31*VLOOKUP(Tabla1[[#This Row],[CÓDIGO DEL PRODUCTO Y/O SERVICIO ]],Tabla3[],3)</f>
        <v>0</v>
      </c>
      <c r="NR55" s="348">
        <f>Tabla1[[#This Row],[COSTO POR UNIDAD DE PRODUCTO (19)]]*Tabla1[[#This Row],[COSTO UNITARIO AÑO 2 19 ]]*VLOOKUP(Tabla1[[#This Row],[CÓDIGO DEL PRODUCTO Y/O SERVICIO ]],Tabla3[],6)</f>
        <v>0</v>
      </c>
      <c r="NS55" s="348">
        <f>Tabla1[[#This Row],[COSTO POR UNIDAD DE PRODUCTO (19)]]*Tabla1[[#This Row],[COSTO UNITARIO AÑO 3 19 ]]*VLOOKUP(Tabla1[[#This Row],[CÓDIGO DEL PRODUCTO Y/O SERVICIO ]],Tabla3[],10)</f>
        <v>0</v>
      </c>
      <c r="NT55" s="348">
        <f>Tabla1[[#This Row],[COSTO POR UNIDAD DE PRODUCTO (19)]]*Tabla1[[#This Row],[COSTO UNITARIO AÑO 4 19 ]]*VLOOKUP(Tabla1[[#This Row],[CÓDIGO DEL PRODUCTO Y/O SERVICIO ]],Tabla3[],14)</f>
        <v>0</v>
      </c>
      <c r="NU55" s="348">
        <f>Tabla1[[#This Row],[COSTO POR UNIDAD DE PRODUCTO (19)]]*Tabla1[[#This Row],[COSTO UNITARIO AÑO 5 19 ]]*VLOOKUP(Tabla1[[#This Row],[CÓDIGO DEL PRODUCTO Y/O SERVICIO ]],Tabla3[],18)</f>
        <v>0</v>
      </c>
      <c r="NV55" s="346">
        <f>VLOOKUP(Tabla1[[#This Row],[CÓDIGO DEL PRODUCTO Y/O SERVICIO ]],Tabla3[],3)</f>
        <v>0</v>
      </c>
      <c r="NW55" s="346">
        <f>Tabla1[[#This Row],[UNIDADES PRODUCIDAS AÑO 1 20 ]]*Y40</f>
        <v>0</v>
      </c>
      <c r="NX55" s="347">
        <f>VLOOKUP(Tabla1[[#This Row],[CÓDIGO DEL PRODUCTO Y/O SERVICIO ]],Tabla3[],9)</f>
        <v>0</v>
      </c>
      <c r="NY55" s="346">
        <f>Tabla1[[#This Row],[CANTIDADES A UTILIZAR AÑO 1 20]]*(1+Tabla1[[#This Row],[CAMBIO PORCENTUAL EN UNIDADES VENDIDAS AÑO 2 20 ]])</f>
        <v>0</v>
      </c>
      <c r="NZ55" s="347">
        <f>VLOOKUP(Tabla1[[#This Row],[CÓDIGO DEL PRODUCTO Y/O SERVICIO ]],Tabla3[],13)</f>
        <v>0</v>
      </c>
      <c r="OA55" s="346">
        <f>Tabla1[[#This Row],[CANTIDADES A UTILIZAR  AÑO 2 20 ]]*(1+Tabla1[[#This Row],[CAMBIO PORCENTUAL EN UNIDADES VENDIDAS AÑO 3 20 ]])</f>
        <v>0</v>
      </c>
      <c r="OB55" s="347">
        <f>VLOOKUP(Tabla1[[#This Row],[CÓDIGO DEL PRODUCTO Y/O SERVICIO ]],Tabla3[],17)</f>
        <v>0</v>
      </c>
      <c r="OC55" s="346">
        <f>Tabla1[[#This Row],[CANTIDADES A UTILIZAR  AÑO 3 20 ]]*(1+Tabla1[[#This Row],[CAMBIO PORCENTUAL EN UNIDADES VENDIDAS AÑO 4 20 ]])</f>
        <v>0</v>
      </c>
      <c r="OD55" s="347">
        <f>VLOOKUP(Tabla1[[#This Row],[CÓDIGO DEL PRODUCTO Y/O SERVICIO ]],Tabla3[],21)</f>
        <v>0</v>
      </c>
      <c r="OE55" s="346">
        <f>Tabla1[[#This Row],[CANTIDADES A UTILIZAR  AÑO 4 20 ]]*(1+Tabla1[[#This Row],[CAMBIO PORCENTUAL EN UNIDADES VENDIDAS AÑO 5 20 ]])</f>
        <v>0</v>
      </c>
      <c r="OF55" s="348">
        <f>IF(Tabla1[[#This Row],[CANTIDADES A UTILIZAR AÑO 1 20]]=0,0,Tabla1[[#This Row],[CANTIDADES A UTILIZAR AÑO 1 20]]*1/Tabla1[[#This Row],[UNIDADES PRODUCIDAS AÑO 1 20 ]])</f>
        <v>0</v>
      </c>
      <c r="OG55" s="348">
        <f>$D$32*(1+BASES!$E$10)</f>
        <v>0</v>
      </c>
      <c r="OH55" s="348">
        <f>Tabla1[[#This Row],[COSTO UNITARIO AÑO 2 20 ]]*(1+BASES!$F$10)</f>
        <v>0</v>
      </c>
      <c r="OI55" s="348">
        <f>Tabla1[[#This Row],[COSTO UNITARIO AÑO 3 20 ]]*(1+BASES!$G$10)</f>
        <v>0</v>
      </c>
      <c r="OJ55" s="348">
        <f>Tabla1[[#This Row],[COSTO UNITARIO AÑO 4 20 ]]*(1+BASES!$H$10)</f>
        <v>0</v>
      </c>
      <c r="OK55" s="348">
        <f>Tabla1[[#This Row],[COSTO POR UNIDAD DE PRODUCTO (20)]]*$D$32*VLOOKUP(Tabla1[[#This Row],[CÓDIGO DEL PRODUCTO Y/O SERVICIO ]],Tabla3[],3)</f>
        <v>0</v>
      </c>
      <c r="OL55" s="348">
        <f>Tabla1[[#This Row],[COSTO POR UNIDAD DE PRODUCTO (20)]]*Tabla1[[#This Row],[COSTO UNITARIO AÑO 2 20 ]]*VLOOKUP(Tabla1[[#This Row],[CÓDIGO DEL PRODUCTO Y/O SERVICIO ]],Tabla3[],6)</f>
        <v>0</v>
      </c>
      <c r="OM55" s="348">
        <f>Tabla1[[#This Row],[COSTO POR UNIDAD DE PRODUCTO (20)]]*Tabla1[[#This Row],[COSTO UNITARIO AÑO 3 20 ]]*VLOOKUP(Tabla1[[#This Row],[CÓDIGO DEL PRODUCTO Y/O SERVICIO ]],Tabla3[],10)</f>
        <v>0</v>
      </c>
      <c r="ON55" s="348">
        <f>Tabla1[[#This Row],[COSTO POR UNIDAD DE PRODUCTO (20)]]*Tabla1[[#This Row],[COSTO UNITARIO AÑO 4 20 ]]*VLOOKUP(Tabla1[[#This Row],[CÓDIGO DEL PRODUCTO Y/O SERVICIO ]],Tabla3[],14)</f>
        <v>0</v>
      </c>
      <c r="OO55" s="348">
        <f>Tabla1[[#This Row],[COSTO POR UNIDAD DE PRODUCTO (20)]]*Tabla1[[#This Row],[COSTO UNITARIO AÑO 5 20 ]]*VLOOKUP(Tabla1[[#This Row],[CÓDIGO DEL PRODUCTO Y/O SERVICIO ]],Tabla3[],18)</f>
        <v>0</v>
      </c>
      <c r="OP55"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c r="D56" s="72" t="str">
        <f>VLOOKUP(Tabla1[[#This Row],[CÓDIGO DEL PRODUCTO Y/O SERVICIO ]],Tabla3[],2,0)</f>
        <v xml:space="preserve">Seleccionar producto o servicio </v>
      </c>
      <c r="E56" s="72"/>
      <c r="F56" s="114">
        <f>VLOOKUP(Tabla1[[#This Row],[CÓDIGO DEL PRODUCTO Y/O SERVICIO ]],Tabla3[],3)</f>
        <v>0</v>
      </c>
      <c r="G56" s="114">
        <f>Tabla1[[#This Row],[UNIDADES PRODUCIDAS AÑO 1 ]]*F41</f>
        <v>0</v>
      </c>
      <c r="H56" s="112">
        <f>VLOOKUP(Tabla1[[#This Row],[CÓDIGO DEL PRODUCTO Y/O SERVICIO ]],Tabla3[],9)</f>
        <v>0</v>
      </c>
      <c r="I56" s="114">
        <f>Tabla1[[#This Row],[CANTIDADES A UTILIZAR EN EL AÑO 1]]*(1+Tabla1[[#This Row],[CAMBIO PORCENTUAL EN UNIDADES VENDIDAS AÑO 2]])</f>
        <v>0</v>
      </c>
      <c r="J56" s="112">
        <f>VLOOKUP(Tabla1[[#This Row],[CÓDIGO DEL PRODUCTO Y/O SERVICIO ]],Tabla3[],13)</f>
        <v>0</v>
      </c>
      <c r="K56" s="114">
        <f>Tabla1[[#This Row],[CANTIDADES A UTILIZAR EN EL AÑO 2]]*(1+Tabla1[[#This Row],[CAMBIO PORCENTUAL EN UNIDADES VENDIDAS AÑO 3]])</f>
        <v>0</v>
      </c>
      <c r="L56" s="112">
        <f>VLOOKUP(Tabla1[[#This Row],[CÓDIGO DEL PRODUCTO Y/O SERVICIO ]],Tabla3[],17)</f>
        <v>0</v>
      </c>
      <c r="M56" s="114">
        <f>Tabla1[[#This Row],[CANTIDADES A UTILIZAR EN EL AÑO 3]]*(1+Tabla1[[#This Row],[CAMBIO PORCENTUAL EN UNIDADES VENDIDAS AÑO 4]])</f>
        <v>0</v>
      </c>
      <c r="N56" s="112">
        <f>VLOOKUP(Tabla1[[#This Row],[CÓDIGO DEL PRODUCTO Y/O SERVICIO ]],Tabla3[],21)</f>
        <v>0</v>
      </c>
      <c r="O56" s="114">
        <f>Tabla1[[#This Row],[CANTIDADES A UTILIZAR EN EL AÑO 4]]*(1+Tabla1[[#This Row],[CAMBIO PORCENTUAL EN UNIDADES VENDIDAS AÑO 5]])</f>
        <v>0</v>
      </c>
      <c r="P56" s="359">
        <f>IF(Tabla1[[#This Row],[CANTIDADES A UTILIZAR EN EL AÑO 1]]=0,0,Tabla1[[#This Row],[CANTIDADES A UTILIZAR EN EL AÑO 1]]*1/Tabla1[[#This Row],[UNIDADES PRODUCIDAS AÑO 1 ]])</f>
        <v>0</v>
      </c>
      <c r="Q56" s="344">
        <f>$D$13*(1+BASES!$E$10)</f>
        <v>0</v>
      </c>
      <c r="R56" s="344">
        <f>Tabla1[[#This Row],[COSTO UNITARIO AÑO 2]]*(1+BASES!$F$10)</f>
        <v>0</v>
      </c>
      <c r="S56" s="344">
        <f>Tabla1[[#This Row],[COSTO UNITARIO AÑO 3]]*(1+BASES!$G$10)</f>
        <v>0</v>
      </c>
      <c r="T56" s="344">
        <f>Tabla1[[#This Row],[COSTO UNITARIO AÑO 4]]*(1+BASES!$H$10)</f>
        <v>0</v>
      </c>
      <c r="U56" s="344">
        <f>Tabla1[[#This Row],[COSTO POR UNIDAD DE PRODUCTO (1)]]*$D$13*VLOOKUP(Tabla1[[#This Row],[CÓDIGO DEL PRODUCTO Y/O SERVICIO ]],Tabla3[],3)</f>
        <v>0</v>
      </c>
      <c r="V56" s="344">
        <f>Tabla1[[#This Row],[COSTO POR UNIDAD DE PRODUCTO (1)]]*Tabla1[[#This Row],[COSTO UNITARIO AÑO 2]]*VLOOKUP(Tabla1[[#This Row],[CÓDIGO DEL PRODUCTO Y/O SERVICIO ]],Tabla3[],6)</f>
        <v>0</v>
      </c>
      <c r="W56" s="344">
        <f>Tabla1[[#This Row],[COSTO POR UNIDAD DE PRODUCTO (1)]]*Tabla1[[#This Row],[COSTO UNITARIO AÑO 3]]*VLOOKUP(Tabla1[[#This Row],[CÓDIGO DEL PRODUCTO Y/O SERVICIO ]],Tabla3[],10)</f>
        <v>0</v>
      </c>
      <c r="X56" s="344">
        <f>Tabla1[[#This Row],[COSTO POR UNIDAD DE PRODUCTO (1)]]*Tabla1[[#This Row],[COSTO UNITARIO AÑO 4]]*VLOOKUP(Tabla1[[#This Row],[CÓDIGO DEL PRODUCTO Y/O SERVICIO ]],Tabla3[],14)</f>
        <v>0</v>
      </c>
      <c r="Y56" s="344">
        <f>Tabla1[[#This Row],[COSTO POR UNIDAD DE PRODUCTO (1)]]*Tabla1[[#This Row],[COSTO UNITARIO AÑO 5]]*VLOOKUP(Tabla1[[#This Row],[CÓDIGO DEL PRODUCTO Y/O SERVICIO ]],Tabla3[],18)</f>
        <v>0</v>
      </c>
      <c r="Z56" s="345">
        <f>VLOOKUP(Tabla1[[#This Row],[CÓDIGO DEL PRODUCTO Y/O SERVICIO ]],Tabla3[],3)</f>
        <v>0</v>
      </c>
      <c r="AA56" s="114">
        <f>G41*Tabla1[[#This Row],[UNIDADES PRODUCIDAS AÑO 1 2]]</f>
        <v>0</v>
      </c>
      <c r="AB56" s="112">
        <f>VLOOKUP(Tabla1[[#This Row],[CÓDIGO DEL PRODUCTO Y/O SERVICIO ]],Tabla3[],9)</f>
        <v>0</v>
      </c>
      <c r="AC56" s="114">
        <f>Tabla1[[#This Row],[CANTIDADES A UTILIZAR EN EL AÑO 1 2]]*(1+Tabla1[[#This Row],[CAMBIO PORCENTUAL EN UNIDADES VENDIDAS AÑO 2 2]])</f>
        <v>0</v>
      </c>
      <c r="AD56" s="112">
        <f>VLOOKUP(Tabla1[[#This Row],[CÓDIGO DEL PRODUCTO Y/O SERVICIO ]],Tabla3[],13)</f>
        <v>0</v>
      </c>
      <c r="AE56" s="114">
        <f>Tabla1[[#This Row],[CANTIDADES A UTILIZAR  AÑO 2 2]]*(1+Tabla1[[#This Row],[CAMBIO PORCENTUAL EN UNIDADES VENDIDAS AÑO 3 2]])</f>
        <v>0</v>
      </c>
      <c r="AF56" s="112">
        <f>VLOOKUP(Tabla1[[#This Row],[CÓDIGO DEL PRODUCTO Y/O SERVICIO ]],Tabla3[],17)</f>
        <v>0</v>
      </c>
      <c r="AG56" s="114">
        <f>Tabla1[[#This Row],[CANTIDADES A UTILIZAR  AÑO 3 2]]*(1+Tabla1[[#This Row],[CAMBIO PORCENTUAL EN UNIDADES VENDIDAS AÑO 4 2]])</f>
        <v>0</v>
      </c>
      <c r="AH56" s="112">
        <f>VLOOKUP(Tabla1[[#This Row],[CÓDIGO DEL PRODUCTO Y/O SERVICIO ]],Tabla3[],21)</f>
        <v>0</v>
      </c>
      <c r="AI56" s="114">
        <f>Tabla1[[#This Row],[CANTIDADES A UTILIZAR  AÑO 4 2]]*(1+Tabla1[[#This Row],[CAMBIO PORCENTUAL EN UNIDADES VENDIDAS AÑO 5 2]])</f>
        <v>0</v>
      </c>
      <c r="AJ56" s="344">
        <f>IF(Tabla1[[#This Row],[CANTIDADES A UTILIZAR EN EL AÑO 1 2]]=0,0,Tabla1[[#This Row],[CANTIDADES A UTILIZAR EN EL AÑO 1 2]]*1/Tabla1[[#This Row],[UNIDADES PRODUCIDAS AÑO 1 2]])</f>
        <v>0</v>
      </c>
      <c r="AK56" s="344">
        <f>$D$14*(1+BASES!$E$10)</f>
        <v>0</v>
      </c>
      <c r="AL56" s="344">
        <f>Tabla1[[#This Row],[COSTO UNITARIO AÑO 2 2]]*(1+BASES!$F$10)</f>
        <v>0</v>
      </c>
      <c r="AM56" s="344">
        <f>Tabla1[[#This Row],[COSTO UNITARIO AÑO 3 2]]*(1+BASES!$G$10)</f>
        <v>0</v>
      </c>
      <c r="AN56" s="344">
        <f>Tabla1[[#This Row],[COSTO UNITARIO AÑO 4 2]]*(1+BASES!$H$10)</f>
        <v>0</v>
      </c>
      <c r="AO56" s="344">
        <f>Tabla1[[#This Row],[COSTO POR UNIDAD DE PRODUCTO (2)]]*$D$14*VLOOKUP(Tabla1[[#This Row],[CÓDIGO DEL PRODUCTO Y/O SERVICIO ]],Tabla3[],3)</f>
        <v>0</v>
      </c>
      <c r="AP56" s="344">
        <f>Tabla1[[#This Row],[COSTO POR UNIDAD DE PRODUCTO (2)]]*Tabla1[[#This Row],[COSTO UNITARIO AÑO 2 2]]*VLOOKUP(Tabla1[[#This Row],[CÓDIGO DEL PRODUCTO Y/O SERVICIO ]],Tabla3[],6)</f>
        <v>0</v>
      </c>
      <c r="AQ56" s="344">
        <f>Tabla1[[#This Row],[COSTO POR UNIDAD DE PRODUCTO (2)]]*Tabla1[[#This Row],[COSTO UNITARIO AÑO 3 2]]*VLOOKUP(Tabla1[[#This Row],[CÓDIGO DEL PRODUCTO Y/O SERVICIO ]],Tabla3[],10)</f>
        <v>0</v>
      </c>
      <c r="AR56" s="344">
        <f>Tabla1[[#This Row],[COSTO POR UNIDAD DE PRODUCTO (2)]]*Tabla1[[#This Row],[COSTO UNITARIO AÑO 4 2]]*VLOOKUP(Tabla1[[#This Row],[CÓDIGO DEL PRODUCTO Y/O SERVICIO ]],Tabla3[],14)</f>
        <v>0</v>
      </c>
      <c r="AS56" s="344">
        <f>Tabla1[[#This Row],[COSTO POR UNIDAD DE PRODUCTO (2)]]*Tabla1[[#This Row],[COSTO UNITARIO AÑO 5 2]]*VLOOKUP(Tabla1[[#This Row],[CÓDIGO DEL PRODUCTO Y/O SERVICIO ]],Tabla3[],18)</f>
        <v>0</v>
      </c>
      <c r="AT56" s="114">
        <f>VLOOKUP(Tabla1[[#This Row],[CÓDIGO DEL PRODUCTO Y/O SERVICIO ]],Tabla3[],3)</f>
        <v>0</v>
      </c>
      <c r="AU56" s="114">
        <f>H41*Tabla1[[#This Row],[UNIDADES PRODUCIDAS AÑO 1 3]]</f>
        <v>0</v>
      </c>
      <c r="AV56" s="112">
        <f>VLOOKUP(Tabla1[[#This Row],[CÓDIGO DEL PRODUCTO Y/O SERVICIO ]],Tabla3[],9)</f>
        <v>0</v>
      </c>
      <c r="AW56" s="114">
        <f>Tabla1[[#This Row],[CANTIDADES A UTILIZAR  AÑO 1 3]]*(1+Tabla1[[#This Row],[CAMBIO PORCENTUAL EN UNIDADES VENDIDAS AÑO 2 3]])</f>
        <v>0</v>
      </c>
      <c r="AX56" s="112">
        <f>VLOOKUP(Tabla1[[#This Row],[CÓDIGO DEL PRODUCTO Y/O SERVICIO ]],Tabla3[],13)</f>
        <v>0</v>
      </c>
      <c r="AY56" s="114">
        <f>Tabla1[[#This Row],[CANTIDADES A UTILIZAR  AÑO 2 3]]*(1+Tabla1[[#This Row],[CAMBIO PORCENTUAL EN UNIDADES VENDIDAS AÑO 3 3]])</f>
        <v>0</v>
      </c>
      <c r="AZ56" s="112">
        <f>VLOOKUP(Tabla1[[#This Row],[CÓDIGO DEL PRODUCTO Y/O SERVICIO ]],Tabla3[],17)</f>
        <v>0</v>
      </c>
      <c r="BA56" s="114">
        <f>Tabla1[[#This Row],[CANTIDADES A UTILIZAR  AÑO 3 3]]*(1+Tabla1[[#This Row],[CAMBIO PORCENTUAL EN UNIDADES VENDIDAS AÑO 4 3]])</f>
        <v>0</v>
      </c>
      <c r="BB56" s="112">
        <f>VLOOKUP(Tabla1[[#This Row],[CÓDIGO DEL PRODUCTO Y/O SERVICIO ]],Tabla3[],21)</f>
        <v>0</v>
      </c>
      <c r="BC56" s="114">
        <f>Tabla1[[#This Row],[CANTIDADES A UTILIZAR  AÑO 4 3]]*(1+Tabla1[[#This Row],[CAMBIO PORCENTUAL EN UNIDADES VENDIDAS AÑO 5 3]])</f>
        <v>0</v>
      </c>
      <c r="BD56" s="344">
        <f>IF(Tabla1[[#This Row],[CANTIDADES A UTILIZAR  AÑO 1 3]]=0,0,Tabla1[[#This Row],[CANTIDADES A UTILIZAR  AÑO 1 3]]*1/Tabla1[[#This Row],[UNIDADES PRODUCIDAS AÑO 1 3]])</f>
        <v>0</v>
      </c>
      <c r="BE56" s="344">
        <f>$D$15*(1+BASES!$E$10)</f>
        <v>0</v>
      </c>
      <c r="BF56" s="344">
        <f>Tabla1[[#This Row],[COSTO UNITARIO AÑO 2 3]]*(1+BASES!$F$10)</f>
        <v>0</v>
      </c>
      <c r="BG56" s="344">
        <f>Tabla1[[#This Row],[COSTO UNITARIO AÑO 3 3]]*(1+BASES!$G$10)</f>
        <v>0</v>
      </c>
      <c r="BH56" s="344">
        <f>Tabla1[[#This Row],[COSTO UNITARIO AÑO 4 3]]*(1+BASES!$H$10)</f>
        <v>0</v>
      </c>
      <c r="BI56" s="344">
        <f>Tabla1[[#This Row],[COSTO POR UNIDAD DE PRODUCTO (3)]]*$D$15*VLOOKUP(Tabla1[[#This Row],[CÓDIGO DEL PRODUCTO Y/O SERVICIO ]],Tabla3[],3)</f>
        <v>0</v>
      </c>
      <c r="BJ56" s="344">
        <f>Tabla1[[#This Row],[COSTO POR UNIDAD DE PRODUCTO (3)]]*Tabla1[[#This Row],[COSTO UNITARIO AÑO 2 3]]*VLOOKUP(Tabla1[[#This Row],[CÓDIGO DEL PRODUCTO Y/O SERVICIO ]],Tabla3[],6)</f>
        <v>0</v>
      </c>
      <c r="BK56" s="344">
        <f>Tabla1[[#This Row],[COSTO POR UNIDAD DE PRODUCTO (3)]]*Tabla1[[#This Row],[COSTO UNITARIO AÑO 3 3]]*VLOOKUP(Tabla1[[#This Row],[CÓDIGO DEL PRODUCTO Y/O SERVICIO ]],Tabla3[],10)</f>
        <v>0</v>
      </c>
      <c r="BL56" s="344">
        <f>Tabla1[[#This Row],[COSTO POR UNIDAD DE PRODUCTO (3)]]*Tabla1[[#This Row],[COSTO UNITARIO AÑO 4 3]]*VLOOKUP(Tabla1[[#This Row],[CÓDIGO DEL PRODUCTO Y/O SERVICIO ]],Tabla3[],14)</f>
        <v>0</v>
      </c>
      <c r="BM56" s="344">
        <f>Tabla1[[#This Row],[COSTO POR UNIDAD DE PRODUCTO (3)]]*Tabla1[[#This Row],[ COSTO UNITARIO AÑO 5 3]]*VLOOKUP(Tabla1[[#This Row],[CÓDIGO DEL PRODUCTO Y/O SERVICIO ]],Tabla3[],18)</f>
        <v>0</v>
      </c>
      <c r="BN56" s="114">
        <f>VLOOKUP(Tabla1[[#This Row],[CÓDIGO DEL PRODUCTO Y/O SERVICIO ]],Tabla3[],3)</f>
        <v>0</v>
      </c>
      <c r="BO56" s="114">
        <f>I41*Tabla1[[#This Row],[UNIDADES PRODUCIDAS AÑO 1 4]]</f>
        <v>0</v>
      </c>
      <c r="BP56" s="112">
        <f>VLOOKUP(Tabla1[[#This Row],[CÓDIGO DEL PRODUCTO Y/O SERVICIO ]],Tabla3[],9)</f>
        <v>0</v>
      </c>
      <c r="BQ56" s="114">
        <f>Tabla1[[#This Row],[CANTIDADES A UTILIZAR  AÑO 1 4]]*(1+Tabla1[[#This Row],[CAMBIO PORCENTUAL EN UNIDADES VENDIDAS AÑO 2 4]])</f>
        <v>0</v>
      </c>
      <c r="BR56" s="112">
        <f>VLOOKUP(Tabla1[[#This Row],[CÓDIGO DEL PRODUCTO Y/O SERVICIO ]],Tabla3[],13)</f>
        <v>0</v>
      </c>
      <c r="BS56" s="114">
        <f>Tabla1[[#This Row],[CANTIDADES A UTILIZAR  AÑO 2 4]]*(1+Tabla1[[#This Row],[CAMBIO PORCENTUAL EN UNIDADES VENDIDAS AÑO 3 4]])</f>
        <v>0</v>
      </c>
      <c r="BT56" s="112">
        <f>VLOOKUP(Tabla1[[#This Row],[CÓDIGO DEL PRODUCTO Y/O SERVICIO ]],Tabla3[],17)</f>
        <v>0</v>
      </c>
      <c r="BU56" s="114">
        <f>Tabla1[[#This Row],[CANTIDADES A UTILIZAR  AÑO 3 4]]*(1+Tabla1[[#This Row],[CAMBIO PORCENTUAL EN UNIDADES VENDIDAS AÑO 4 4]])</f>
        <v>0</v>
      </c>
      <c r="BV56" s="112">
        <f>VLOOKUP(Tabla1[[#This Row],[CÓDIGO DEL PRODUCTO Y/O SERVICIO ]],Tabla3[],21)</f>
        <v>0</v>
      </c>
      <c r="BW56" s="114">
        <f>Tabla1[[#This Row],[CANTIDADES A UTILIZAR  AÑO 4 4]]*(1+Tabla1[[#This Row],[CAMBIO PORCENTUAL EN UNIDADES VENDIDAS AÑO 5 4]])</f>
        <v>0</v>
      </c>
      <c r="BX56" s="344">
        <f>IF(Tabla1[[#This Row],[CANTIDADES A UTILIZAR  AÑO 1 4]]=0,0,Tabla1[[#This Row],[CANTIDADES A UTILIZAR  AÑO 1 4]]*1/Tabla1[[#This Row],[UNIDADES PRODUCIDAS AÑO 1 4]])</f>
        <v>0</v>
      </c>
      <c r="BY56" s="344">
        <f>$D$16*(1+BASES!$E$10)</f>
        <v>0</v>
      </c>
      <c r="BZ56" s="344">
        <f>Tabla1[[#This Row],[COSTO UNITARIO AÑO 2 4]]*(1+BASES!$F$10)</f>
        <v>0</v>
      </c>
      <c r="CA56" s="344">
        <f>Tabla1[[#This Row],[COSTO UNITARIO AÑO 3 4]]*(1+BASES!$G$10)</f>
        <v>0</v>
      </c>
      <c r="CB56" s="344">
        <f>Tabla1[[#This Row],[COSTO UNITARIO AÑO 4 4]]*(1+BASES!$H$10)</f>
        <v>0</v>
      </c>
      <c r="CC56" s="344">
        <f>Tabla1[[#This Row],[COSTO POR UNIDAD DE PRODUCTO (4) ]]*$D$16*VLOOKUP(Tabla1[[#This Row],[CÓDIGO DEL PRODUCTO Y/O SERVICIO ]],Tabla3[],3)</f>
        <v>0</v>
      </c>
      <c r="CD56" s="344">
        <f>Tabla1[[#This Row],[COSTO POR UNIDAD DE PRODUCTO (4) ]]*Tabla1[[#This Row],[COSTO UNITARIO AÑO 2 4]]*VLOOKUP(Tabla1[[#This Row],[CÓDIGO DEL PRODUCTO Y/O SERVICIO ]],Tabla3[],6)</f>
        <v>0</v>
      </c>
      <c r="CE56" s="344">
        <f>Tabla1[[#This Row],[COSTO POR UNIDAD DE PRODUCTO (4) ]]*Tabla1[[#This Row],[COSTO UNITARIO AÑO 3 4]]*VLOOKUP(Tabla1[[#This Row],[CÓDIGO DEL PRODUCTO Y/O SERVICIO ]],Tabla3[],10)</f>
        <v>0</v>
      </c>
      <c r="CF56" s="344">
        <f>Tabla1[[#This Row],[COSTO POR UNIDAD DE PRODUCTO (4) ]]*Tabla1[[#This Row],[COSTO UNITARIO AÑO 4 4]]*VLOOKUP(Tabla1[[#This Row],[CÓDIGO DEL PRODUCTO Y/O SERVICIO ]],Tabla3[],14)</f>
        <v>0</v>
      </c>
      <c r="CG56" s="344">
        <f>Tabla1[[#This Row],[COSTO POR UNIDAD DE PRODUCTO (4) ]]*Tabla1[[#This Row],[COSTO UNITARIO AÑO 5 4]]*VLOOKUP(Tabla1[[#This Row],[CÓDIGO DEL PRODUCTO Y/O SERVICIO ]],Tabla3[],18)</f>
        <v>0</v>
      </c>
      <c r="CH56" s="114">
        <f>VLOOKUP(Tabla1[[#This Row],[CÓDIGO DEL PRODUCTO Y/O SERVICIO ]],Tabla3[],3)</f>
        <v>0</v>
      </c>
      <c r="CI56" s="114">
        <f>Tabla1[[#This Row],[UNIDADES PRODUCIDAS AÑO 1 5]]*J41</f>
        <v>0</v>
      </c>
      <c r="CJ56" s="112">
        <f>VLOOKUP(Tabla1[[#This Row],[CÓDIGO DEL PRODUCTO Y/O SERVICIO ]],Tabla3[],9)</f>
        <v>0</v>
      </c>
      <c r="CK56" s="114">
        <f>Tabla1[[#This Row],[CANTIDADES A UTILIZAR  AÑO 1 5]]*(1+Tabla1[[#This Row],[CAMBIO PORCENTUAL EN UNIDADES VENDIDAS AÑO 2 5]])</f>
        <v>0</v>
      </c>
      <c r="CL56" s="112">
        <f>VLOOKUP(Tabla1[[#This Row],[CÓDIGO DEL PRODUCTO Y/O SERVICIO ]],Tabla3[],13)</f>
        <v>0</v>
      </c>
      <c r="CM56" s="114">
        <f>Tabla1[[#This Row],[CANTIDADES A UTILIZAR  AÑO 2 5]]*(1+Tabla1[[#This Row],[CAMBIO PORCENTUAL EN UNIDADES VENDIDAS AÑO 3 5]])</f>
        <v>0</v>
      </c>
      <c r="CN56" s="112">
        <f>VLOOKUP(Tabla1[[#This Row],[CÓDIGO DEL PRODUCTO Y/O SERVICIO ]],Tabla3[],17)</f>
        <v>0</v>
      </c>
      <c r="CO56" s="114">
        <f>Tabla1[[#This Row],[CANTIDADES A UTILIZAR  AÑO 3 5]]*(1+Tabla1[[#This Row],[CAMBIO PORCENTUAL EN UNIDADES VENDIDAS AÑO 4 5]])</f>
        <v>0</v>
      </c>
      <c r="CP56" s="112">
        <f>VLOOKUP(Tabla1[[#This Row],[CÓDIGO DEL PRODUCTO Y/O SERVICIO ]],Tabla3[],21)</f>
        <v>0</v>
      </c>
      <c r="CQ56" s="114">
        <f>Tabla1[[#This Row],[CANTIDADES A UTILIZAR  AÑO 4 5]]*(1+Tabla1[[#This Row],[CAMBIO PORCENTUAL EN UNIDADES VENDIDAS AÑO 5 5]])</f>
        <v>0</v>
      </c>
      <c r="CR56" s="344">
        <f>IF(Tabla1[[#This Row],[CANTIDADES A UTILIZAR  AÑO 1 5]]=0,0,Tabla1[[#This Row],[CANTIDADES A UTILIZAR  AÑO 1 5]]*1/Tabla1[[#This Row],[UNIDADES PRODUCIDAS AÑO 1 5]])</f>
        <v>0</v>
      </c>
      <c r="CS56" s="344">
        <f>$D$17*(1+BASES!$E$10)</f>
        <v>0</v>
      </c>
      <c r="CT56" s="344">
        <f>Tabla1[[#This Row],[COSTO UNITARIO AÑO 2 5]]*(1+BASES!$F$10)</f>
        <v>0</v>
      </c>
      <c r="CU56" s="344">
        <f>Tabla1[[#This Row],[COSTO UNITARIO AÑO 3 5]]*(1+BASES!$G$10)</f>
        <v>0</v>
      </c>
      <c r="CV56" s="344">
        <f>Tabla1[[#This Row],[COSTO UNITARIO AÑO 4 5]]*(1+BASES!$H$10)</f>
        <v>0</v>
      </c>
      <c r="CW56" s="344">
        <f>Tabla1[[#This Row],[COSTO POR UNIDAD DE PRODUCTO (5)]]*$D$17*VLOOKUP(Tabla1[[#This Row],[CÓDIGO DEL PRODUCTO Y/O SERVICIO ]],Tabla3[],3)</f>
        <v>0</v>
      </c>
      <c r="CX56" s="344">
        <f>Tabla1[[#This Row],[COSTO POR UNIDAD DE PRODUCTO (5)]]*Tabla1[[#This Row],[COSTO UNITARIO AÑO 2 5]]*VLOOKUP(Tabla1[[#This Row],[CÓDIGO DEL PRODUCTO Y/O SERVICIO ]],Tabla3[],6)</f>
        <v>0</v>
      </c>
      <c r="CY56" s="344">
        <f>Tabla1[[#This Row],[COSTO POR UNIDAD DE PRODUCTO (5)]]*Tabla1[[#This Row],[COSTO UNITARIO AÑO 3 5]]*VLOOKUP(Tabla1[[#This Row],[CÓDIGO DEL PRODUCTO Y/O SERVICIO ]],Tabla3[],10)</f>
        <v>0</v>
      </c>
      <c r="CZ56" s="344">
        <f>Tabla1[[#This Row],[COSTO POR UNIDAD DE PRODUCTO (5)]]*Tabla1[[#This Row],[COSTO UNITARIO AÑO 4 5]]*VLOOKUP(Tabla1[[#This Row],[CÓDIGO DEL PRODUCTO Y/O SERVICIO ]],Tabla3[],14)</f>
        <v>0</v>
      </c>
      <c r="DA56" s="344">
        <f>Tabla1[[#This Row],[COSTO POR UNIDAD DE PRODUCTO (5)]]*Tabla1[[#This Row],[COSTO UNITARIO AÑO 5 5 ]]*VLOOKUP(Tabla1[[#This Row],[CÓDIGO DEL PRODUCTO Y/O SERVICIO ]],Tabla3[],18)</f>
        <v>0</v>
      </c>
      <c r="DB56" s="114">
        <f>VLOOKUP(Tabla1[[#This Row],[CÓDIGO DEL PRODUCTO Y/O SERVICIO ]],Tabla3[],3)</f>
        <v>0</v>
      </c>
      <c r="DC56" s="114">
        <f>Tabla1[[#This Row],[UNIDADES PRODUCIDAS AÑO 1 6]]*K41</f>
        <v>0</v>
      </c>
      <c r="DD56" s="112">
        <f>VLOOKUP(Tabla1[[#This Row],[CÓDIGO DEL PRODUCTO Y/O SERVICIO ]],Tabla3[],9)</f>
        <v>0</v>
      </c>
      <c r="DE56" s="114">
        <f>Tabla1[[#This Row],[CANTIDADES A UTILIZAR  AÑO 1 6]]*(1+Tabla1[[#This Row],[CAMBIO PORCENTUAL EN UNIDADES VENDIDAS AÑO 2 6]])</f>
        <v>0</v>
      </c>
      <c r="DF56" s="112">
        <f>VLOOKUP(Tabla1[[#This Row],[CÓDIGO DEL PRODUCTO Y/O SERVICIO ]],Tabla3[],13)</f>
        <v>0</v>
      </c>
      <c r="DG56" s="114">
        <f>Tabla1[[#This Row],[CANTIDADES A UTILIZAR  AÑO 2 6]]*(1+Tabla1[[#This Row],[CAMBIO PORCENTUAL EN UNIDADES VENDIDAS AÑO 3 6]])</f>
        <v>0</v>
      </c>
      <c r="DH56" s="112">
        <f>VLOOKUP(Tabla1[[#This Row],[CÓDIGO DEL PRODUCTO Y/O SERVICIO ]],Tabla3[],17)</f>
        <v>0</v>
      </c>
      <c r="DI56" s="114">
        <f>Tabla1[[#This Row],[CANTIDADES A UTILIZAR  AÑO 3 6 ]]*(1+Tabla1[[#This Row],[CAMBIO PORCENTUAL EN UNIDADES VENDIDAS AÑO 4 6]])</f>
        <v>0</v>
      </c>
      <c r="DJ56" s="112">
        <f>VLOOKUP(Tabla1[[#This Row],[CÓDIGO DEL PRODUCTO Y/O SERVICIO ]],Tabla3[],21)</f>
        <v>0</v>
      </c>
      <c r="DK56" s="114">
        <f>Tabla1[[#This Row],[CANTIDADES A UTILIZAR  AÑO 4 6]]*(1+Tabla1[[#This Row],[CAMBIO PORCENTUAL EN UNIDADES VENDIDAS AÑO 5 6]])</f>
        <v>0</v>
      </c>
      <c r="DL56" s="344">
        <f>IF(Tabla1[[#This Row],[CANTIDADES A UTILIZAR  AÑO 1 6]]=0,0,Tabla1[[#This Row],[CANTIDADES A UTILIZAR  AÑO 1 6]]*1/Tabla1[[#This Row],[UNIDADES PRODUCIDAS AÑO 1 6]])</f>
        <v>0</v>
      </c>
      <c r="DM56" s="344">
        <f>$D$18*(1+BASES!$E$10)</f>
        <v>0</v>
      </c>
      <c r="DN56" s="344">
        <f>Tabla1[[#This Row],[COSTO UNITARIO AÑO 2 6]]*(1+BASES!$F$10)</f>
        <v>0</v>
      </c>
      <c r="DO56" s="344">
        <f>Tabla1[[#This Row],[COSTO UNITARIO AÑO 3 6]]*(1+BASES!$G$10)</f>
        <v>0</v>
      </c>
      <c r="DP56" s="344">
        <f>Tabla1[[#This Row],[COSTO UNITARIO AÑO 4 6 ]]*(1+BASES!$H$10)</f>
        <v>0</v>
      </c>
      <c r="DQ56" s="344">
        <f>Tabla1[[#This Row],[COSTO POR UNIDAD DE PRODUCTO (6)]]*$D$18*VLOOKUP(Tabla1[[#This Row],[CÓDIGO DEL PRODUCTO Y/O SERVICIO ]],Tabla3[],3)</f>
        <v>0</v>
      </c>
      <c r="DR56" s="344">
        <f>Tabla1[[#This Row],[COSTO POR UNIDAD DE PRODUCTO (6)]]*Tabla1[[#This Row],[COSTO UNITARIO AÑO 2 6]]*VLOOKUP(Tabla1[[#This Row],[CÓDIGO DEL PRODUCTO Y/O SERVICIO ]],Tabla3[],6)</f>
        <v>0</v>
      </c>
      <c r="DS56" s="344">
        <f>Tabla1[[#This Row],[COSTO POR UNIDAD DE PRODUCTO (6)]]*Tabla1[[#This Row],[COSTO UNITARIO AÑO 3 6]]*VLOOKUP(Tabla1[[#This Row],[CÓDIGO DEL PRODUCTO Y/O SERVICIO ]],Tabla3[],10)</f>
        <v>0</v>
      </c>
      <c r="DT56" s="344">
        <f>Tabla1[[#This Row],[COSTO POR UNIDAD DE PRODUCTO (6)]]*Tabla1[[#This Row],[COSTO UNITARIO AÑO 4 6 ]]*VLOOKUP(Tabla1[[#This Row],[CÓDIGO DEL PRODUCTO Y/O SERVICIO ]],Tabla3[],14)</f>
        <v>0</v>
      </c>
      <c r="DU56" s="344">
        <f>Tabla1[[#This Row],[COSTO POR UNIDAD DE PRODUCTO (6)]]*Tabla1[[#This Row],[COSTO UNITARIO AÑO 5 6]]*VLOOKUP(Tabla1[[#This Row],[CÓDIGO DEL PRODUCTO Y/O SERVICIO ]],Tabla3[],18)</f>
        <v>0</v>
      </c>
      <c r="DV56" s="114">
        <f>VLOOKUP(Tabla1[[#This Row],[CÓDIGO DEL PRODUCTO Y/O SERVICIO ]],Tabla3[],3)</f>
        <v>0</v>
      </c>
      <c r="DW56" s="114">
        <f>Tabla1[[#This Row],[UNIDADES PRODUCIDAS AÑO 1 7]]*L41</f>
        <v>0</v>
      </c>
      <c r="DX56" s="112">
        <f>VLOOKUP(Tabla1[[#This Row],[CÓDIGO DEL PRODUCTO Y/O SERVICIO ]],Tabla3[],9)</f>
        <v>0</v>
      </c>
      <c r="DY56" s="114">
        <f>Tabla1[[#This Row],[CANTIDADES A UTILIZAR  AÑO 1 7]]*(1+Tabla1[[#This Row],[CAMBIO PORCENTUAL EN UNIDADES VENDIDAS AÑO 2 7]])</f>
        <v>0</v>
      </c>
      <c r="DZ56" s="112">
        <f>VLOOKUP(Tabla1[[#This Row],[CÓDIGO DEL PRODUCTO Y/O SERVICIO ]],Tabla3[],13)</f>
        <v>0</v>
      </c>
      <c r="EA56" s="114">
        <f>Tabla1[[#This Row],[CANTIDADES A UTILIZAR  AÑO 2 7]]*(1+Tabla1[[#This Row],[CAMBIO PORCENTUAL EN UNIDADES VENDIDAS AÑO 3 7]])</f>
        <v>0</v>
      </c>
      <c r="EB56" s="112">
        <f>VLOOKUP(Tabla1[[#This Row],[CÓDIGO DEL PRODUCTO Y/O SERVICIO ]],Tabla3[],17)</f>
        <v>0</v>
      </c>
      <c r="EC56" s="114">
        <f>Tabla1[[#This Row],[CANTIDADES A UTILIZAR  AÑO 3 7 ]]*(1+Tabla1[[#This Row],[CAMBIO PORCENTUAL EN UNIDADES VENDIDAS AÑO 4 7]])</f>
        <v>0</v>
      </c>
      <c r="ED56" s="112">
        <f>VLOOKUP(Tabla1[[#This Row],[CÓDIGO DEL PRODUCTO Y/O SERVICIO ]],Tabla3[],21)</f>
        <v>0</v>
      </c>
      <c r="EE56" s="114">
        <f>Tabla1[[#This Row],[CANTIDADES A UTILIZAR  AÑO 4 7]]*(1+Tabla1[[#This Row],[CAMBIO PORCENTUAL EN UNIDADES VENDIDAS AÑO 5 7]])</f>
        <v>0</v>
      </c>
      <c r="EF56" s="344">
        <f>IF(Tabla1[[#This Row],[CANTIDADES A UTILIZAR  AÑO 1 7]]=0,0,Tabla1[[#This Row],[CANTIDADES A UTILIZAR  AÑO 1 7]]*1/Tabla1[[#This Row],[UNIDADES PRODUCIDAS AÑO 1 7]])</f>
        <v>0</v>
      </c>
      <c r="EG56" s="344">
        <f>$D$19*(1+BASES!$E$10)</f>
        <v>0</v>
      </c>
      <c r="EH56" s="344">
        <f>Tabla1[[#This Row],[COSTO UNITARIO AÑO 2 7]]*(1+BASES!$F$10)</f>
        <v>0</v>
      </c>
      <c r="EI56" s="344">
        <f>Tabla1[[#This Row],[COSTO UNITARIO AÑO 3 7]]*(1+BASES!$G$10)</f>
        <v>0</v>
      </c>
      <c r="EJ56" s="344">
        <f>Tabla1[[#This Row],[COSTO UNITARIO AÑO 4 7]]*(1+BASES!$H$10)</f>
        <v>0</v>
      </c>
      <c r="EK56" s="344">
        <f>Tabla1[[#This Row],[COSTO POR UNIDAD DE PRODUCTO (7)]]*$D$19*VLOOKUP(Tabla1[[#This Row],[CÓDIGO DEL PRODUCTO Y/O SERVICIO ]],Tabla3[],3)</f>
        <v>0</v>
      </c>
      <c r="EL56" s="344">
        <f>Tabla1[[#This Row],[COSTO POR UNIDAD DE PRODUCTO (7)]]*Tabla1[[#This Row],[COSTO UNITARIO AÑO 2 7]]*VLOOKUP(Tabla1[[#This Row],[CÓDIGO DEL PRODUCTO Y/O SERVICIO ]],Tabla3[],6)</f>
        <v>0</v>
      </c>
      <c r="EM56" s="344">
        <f>Tabla1[[#This Row],[COSTO POR UNIDAD DE PRODUCTO (7)]]*Tabla1[[#This Row],[COSTO UNITARIO AÑO 3 7]]*VLOOKUP(Tabla1[[#This Row],[CÓDIGO DEL PRODUCTO Y/O SERVICIO ]],Tabla3[],10)</f>
        <v>0</v>
      </c>
      <c r="EN56" s="344">
        <f>Tabla1[[#This Row],[COSTO POR UNIDAD DE PRODUCTO (7)]]*Tabla1[[#This Row],[COSTO UNITARIO AÑO 4 7]]*VLOOKUP(Tabla1[[#This Row],[CÓDIGO DEL PRODUCTO Y/O SERVICIO ]],Tabla3[],14)</f>
        <v>0</v>
      </c>
      <c r="EO56" s="344">
        <f>Tabla1[[#This Row],[COSTO POR UNIDAD DE PRODUCTO (7)]]*Tabla1[[#This Row],[COSTO UNITARIO AÑO 5 7]]*VLOOKUP(Tabla1[[#This Row],[CÓDIGO DEL PRODUCTO Y/O SERVICIO ]],Tabla3[],18)</f>
        <v>0</v>
      </c>
      <c r="EP56" s="114">
        <f>VLOOKUP(Tabla1[[#This Row],[CÓDIGO DEL PRODUCTO Y/O SERVICIO ]],Tabla3[],3)</f>
        <v>0</v>
      </c>
      <c r="EQ56" s="114">
        <f>Tabla1[[#This Row],[UNIDADES PRODUCIDAS AÑO 1 8]]*M41</f>
        <v>0</v>
      </c>
      <c r="ER56" s="112">
        <f>VLOOKUP(Tabla1[[#This Row],[CÓDIGO DEL PRODUCTO Y/O SERVICIO ]],Tabla3[],9)</f>
        <v>0</v>
      </c>
      <c r="ES56" s="114">
        <f>Tabla1[[#This Row],[CANTIDADES A UTILIZAR  AÑO 1 8]]*(1+Tabla1[[#This Row],[CAMBIO PORCENTUAL EN UNIDADES VENDIDAS AÑO 2 8]])</f>
        <v>0</v>
      </c>
      <c r="ET56" s="112">
        <f>VLOOKUP(Tabla1[[#This Row],[CÓDIGO DEL PRODUCTO Y/O SERVICIO ]],Tabla3[],13)</f>
        <v>0</v>
      </c>
      <c r="EU56" s="114">
        <f>Tabla1[[#This Row],[CANTIDADES A UTILIZAR  AÑO 2 8]]*(1+Tabla1[[#This Row],[CAMBIO PORCENTUAL EN UNIDADES VENDIDAS AÑO 3 8]])</f>
        <v>0</v>
      </c>
      <c r="EV56" s="112">
        <f>VLOOKUP(Tabla1[[#This Row],[CÓDIGO DEL PRODUCTO Y/O SERVICIO ]],Tabla3[],17)</f>
        <v>0</v>
      </c>
      <c r="EW56" s="114">
        <f>Tabla1[[#This Row],[CANTIDADES A UTILIZAR  AÑO 3 8]]*(1+Tabla1[[#This Row],[CAMBIO PORCENTUAL EN UNIDADES VENDIDAS AÑO 4 8]])</f>
        <v>0</v>
      </c>
      <c r="EX56" s="112">
        <f>VLOOKUP(Tabla1[[#This Row],[CÓDIGO DEL PRODUCTO Y/O SERVICIO ]],Tabla3[],21)</f>
        <v>0</v>
      </c>
      <c r="EY56" s="114">
        <f>Tabla1[[#This Row],[CANTIDADES A UTILIZAR  AÑO 4 8]]*(1+Tabla1[[#This Row],[CAMBIO PORCENTUAL EN UNIDADES VENDIDAS AÑO 5 8]])</f>
        <v>0</v>
      </c>
      <c r="EZ56" s="344">
        <f>IF(Tabla1[[#This Row],[CANTIDADES A UTILIZAR  AÑO 1 8]]=0,0,Tabla1[[#This Row],[CANTIDADES A UTILIZAR  AÑO 1 8]]*1/Tabla1[[#This Row],[UNIDADES PRODUCIDAS AÑO 1 8]])</f>
        <v>0</v>
      </c>
      <c r="FA56" s="344">
        <f>$D$20*(1+BASES!$E$10)</f>
        <v>0</v>
      </c>
      <c r="FB56" s="344">
        <f>Tabla1[[#This Row],[COSTO UNITARIO AÑO 2 8]]*(1+BASES!$F$10)</f>
        <v>0</v>
      </c>
      <c r="FC56" s="344">
        <f>Tabla1[[#This Row],[COSTO UNITARIO AÑO 3 8]]*(1+BASES!$G$10)</f>
        <v>0</v>
      </c>
      <c r="FD56" s="344">
        <f>Tabla1[[#This Row],[COSTO UNITARIO AÑO 4 8]]*(1+BASES!$H$10)</f>
        <v>0</v>
      </c>
      <c r="FE56" s="344">
        <f>Tabla1[[#This Row],[COSTO POR UNIDAD DE PRODUCTO (8)]]*$D$20*VLOOKUP(Tabla1[[#This Row],[CÓDIGO DEL PRODUCTO Y/O SERVICIO ]],Tabla3[],3)</f>
        <v>0</v>
      </c>
      <c r="FF56" s="344">
        <f>Tabla1[[#This Row],[COSTO POR UNIDAD DE PRODUCTO (8)]]*Tabla1[[#This Row],[COSTO UNITARIO AÑO 2 8]]*VLOOKUP(Tabla1[[#This Row],[CÓDIGO DEL PRODUCTO Y/O SERVICIO ]],Tabla3[],6)</f>
        <v>0</v>
      </c>
      <c r="FG56" s="344">
        <f>Tabla1[[#This Row],[COSTO POR UNIDAD DE PRODUCTO (8)]]*Tabla1[[#This Row],[COSTO UNITARIO AÑO 3 8]]*VLOOKUP(Tabla1[[#This Row],[CÓDIGO DEL PRODUCTO Y/O SERVICIO ]],Tabla3[],10)</f>
        <v>0</v>
      </c>
      <c r="FH56" s="344">
        <f>Tabla1[[#This Row],[COSTO POR UNIDAD DE PRODUCTO (8)]]*Tabla1[[#This Row],[COSTO UNITARIO AÑO 4 8]]*VLOOKUP(Tabla1[[#This Row],[CÓDIGO DEL PRODUCTO Y/O SERVICIO ]],Tabla3[],14)</f>
        <v>0</v>
      </c>
      <c r="FI56" s="344">
        <f>Tabla1[[#This Row],[COSTO POR UNIDAD DE PRODUCTO (8)]]*Tabla1[[#This Row],[COSTO UNITARIO AÑO 5 8]]*VLOOKUP(Tabla1[[#This Row],[CÓDIGO DEL PRODUCTO Y/O SERVICIO ]],Tabla3[],18)</f>
        <v>0</v>
      </c>
      <c r="FJ56" s="346">
        <f>VLOOKUP(Tabla1[[#This Row],[CÓDIGO DEL PRODUCTO Y/O SERVICIO ]],Tabla3[],3)</f>
        <v>0</v>
      </c>
      <c r="FK56" s="346">
        <f>Tabla1[[#This Row],[UNIDADES PRODUCIDAS AÑO 1 9 ]]*N41</f>
        <v>0</v>
      </c>
      <c r="FL56" s="347">
        <f>VLOOKUP(Tabla1[[#This Row],[CÓDIGO DEL PRODUCTO Y/O SERVICIO ]],Tabla3[],9)</f>
        <v>0</v>
      </c>
      <c r="FM56" s="346">
        <f>Tabla1[[#This Row],[CANTIDADES A UTILIZAR  AÑO 1 9]]*(1+Tabla1[[#This Row],[CAMBIO PORCENTUAL EN UNIDADES VENDIDAS AÑO 2 9]])</f>
        <v>0</v>
      </c>
      <c r="FN56" s="347">
        <f>VLOOKUP(Tabla1[[#This Row],[CÓDIGO DEL PRODUCTO Y/O SERVICIO ]],Tabla3[],13)</f>
        <v>0</v>
      </c>
      <c r="FO56" s="346">
        <f>Tabla1[[#This Row],[CANTIDADES A UTILIZAR  AÑO 2 9]]*(1+Tabla1[[#This Row],[CAMBIO PORCENTUAL EN UNIDADES VENDIDAS AÑO 3 9]])</f>
        <v>0</v>
      </c>
      <c r="FP56" s="347">
        <f>VLOOKUP(Tabla1[[#This Row],[CÓDIGO DEL PRODUCTO Y/O SERVICIO ]],Tabla3[],17)</f>
        <v>0</v>
      </c>
      <c r="FQ56" s="346">
        <f>Tabla1[[#This Row],[CANTIDADES A UTILIZAR  AÑO 3 9]]*(1+Tabla1[[#This Row],[CAMBIO PORCENTUAL EN UNIDADES VENDIDAS AÑO 4 9 ]])</f>
        <v>0</v>
      </c>
      <c r="FR56" s="347">
        <f>VLOOKUP(Tabla1[[#This Row],[CÓDIGO DEL PRODUCTO Y/O SERVICIO ]],Tabla3[],21)</f>
        <v>0</v>
      </c>
      <c r="FS56" s="346">
        <f>Tabla1[[#This Row],[CANTIDADES A UTILIZAR  AÑO 4  9]]*(1+Tabla1[[#This Row],[CAMBIO PORCENTUAL EN UNIDADES VENDIDAS AÑO 5 9]])</f>
        <v>0</v>
      </c>
      <c r="FT56" s="348">
        <f>IF(Tabla1[[#This Row],[CANTIDADES A UTILIZAR  AÑO 1 9]]=0,0,Tabla1[[#This Row],[CANTIDADES A UTILIZAR  AÑO 1 9]]*1/Tabla1[[#This Row],[UNIDADES PRODUCIDAS AÑO 1 9 ]])</f>
        <v>0</v>
      </c>
      <c r="FU56" s="348">
        <f>$D$21*(1+BASES!$E$10)</f>
        <v>0</v>
      </c>
      <c r="FV56" s="348">
        <f>Tabla1[[#This Row],[COSTO UNITARIO AÑO 2 9]]*(1+BASES!$F$10)</f>
        <v>0</v>
      </c>
      <c r="FW56" s="348">
        <f>Tabla1[[#This Row],[COSTO UNITARIO AÑO 3 9]]*(1+BASES!$G$10)</f>
        <v>0</v>
      </c>
      <c r="FX56" s="348">
        <f>Tabla1[[#This Row],[COSTO UNITARIO AÑO 4 9]]*(1+BASES!$H$10)</f>
        <v>0</v>
      </c>
      <c r="FY56" s="348">
        <f>Tabla1[[#This Row],[COSTO POR UNIDAD DE PRODUCTO (9)]]*$D$21*VLOOKUP(Tabla1[[#This Row],[CÓDIGO DEL PRODUCTO Y/O SERVICIO ]],Tabla3[],3)</f>
        <v>0</v>
      </c>
      <c r="FZ56" s="348">
        <f>Tabla1[[#This Row],[COSTO POR UNIDAD DE PRODUCTO (9)]]*Tabla1[[#This Row],[COSTO UNITARIO AÑO 2 9]]*VLOOKUP(Tabla1[[#This Row],[CÓDIGO DEL PRODUCTO Y/O SERVICIO ]],Tabla3[],6)</f>
        <v>0</v>
      </c>
      <c r="GA56" s="348">
        <f>Tabla1[[#This Row],[COSTO POR UNIDAD DE PRODUCTO (9)]]*Tabla1[[#This Row],[COSTO UNITARIO AÑO 3 9]]*VLOOKUP(Tabla1[[#This Row],[CÓDIGO DEL PRODUCTO Y/O SERVICIO ]],Tabla3[],10)</f>
        <v>0</v>
      </c>
      <c r="GB56" s="348">
        <f>Tabla1[[#This Row],[COSTO POR UNIDAD DE PRODUCTO (9)]]*Tabla1[[#This Row],[COSTO UNITARIO AÑO 4 9]]*VLOOKUP(Tabla1[[#This Row],[CÓDIGO DEL PRODUCTO Y/O SERVICIO ]],Tabla3[],14)</f>
        <v>0</v>
      </c>
      <c r="GC56" s="348">
        <f>Tabla1[[#This Row],[COSTO POR UNIDAD DE PRODUCTO (9)]]*Tabla1[[#This Row],[COSTO UNITARIO AÑO 5 9]]*VLOOKUP(Tabla1[[#This Row],[CÓDIGO DEL PRODUCTO Y/O SERVICIO ]],Tabla3[],18)</f>
        <v>0</v>
      </c>
      <c r="GD56" s="346">
        <f>VLOOKUP(Tabla1[[#This Row],[CÓDIGO DEL PRODUCTO Y/O SERVICIO ]],Tabla3[],3)</f>
        <v>0</v>
      </c>
      <c r="GE56" s="346">
        <f>Tabla1[[#This Row],[UNIDADES PRODUCIDAS AÑO 1 10]]*O41</f>
        <v>0</v>
      </c>
      <c r="GF56" s="347">
        <f>VLOOKUP(Tabla1[[#This Row],[CÓDIGO DEL PRODUCTO Y/O SERVICIO ]],Tabla3[],9)</f>
        <v>0</v>
      </c>
      <c r="GG56" s="346">
        <f>Tabla1[[#This Row],[CANTIDADES A UTILIZAR  AÑO 1 10]]*(1+Tabla1[[#This Row],[CAMBIO PORCENTUAL EN UNIDADES VENDIDAS AÑO 2 10 ]])</f>
        <v>0</v>
      </c>
      <c r="GH56" s="347">
        <f>VLOOKUP(Tabla1[[#This Row],[CÓDIGO DEL PRODUCTO Y/O SERVICIO ]],Tabla3[],13)</f>
        <v>0</v>
      </c>
      <c r="GI56" s="346">
        <f>Tabla1[[#This Row],[CANTIDADES A UTILIZAR  AÑO 2 10]]*(1+Tabla1[[#This Row],[CAMBIO PORCENTUAL EN UNIDADES VENDIDAS AÑO 3 10]])</f>
        <v>0</v>
      </c>
      <c r="GJ56" s="347">
        <f>VLOOKUP(Tabla1[[#This Row],[CÓDIGO DEL PRODUCTO Y/O SERVICIO ]],Tabla3[],17)</f>
        <v>0</v>
      </c>
      <c r="GK56" s="346">
        <f>Tabla1[[#This Row],[CANTIDADES A UTILIZAR AÑO 3 10 ]]*(1+Tabla1[[#This Row],[CAMBIO PORCENTUAL EN UNIDADES VENDIDAS AÑO 4 10]])</f>
        <v>0</v>
      </c>
      <c r="GL56" s="347">
        <f>VLOOKUP(Tabla1[[#This Row],[CÓDIGO DEL PRODUCTO Y/O SERVICIO ]],Tabla3[],21)</f>
        <v>0</v>
      </c>
      <c r="GM56" s="346">
        <f>Tabla1[[#This Row],[CANTIDADES A UTILIZAR  AÑO 4 10 ]]*(1+Tabla1[[#This Row],[CAMBIO PORCENTUAL EN UNIDADES VENDIDAS AÑO 5 10]])</f>
        <v>0</v>
      </c>
      <c r="GN56" s="348">
        <f>IF(Tabla1[[#This Row],[CANTIDADES A UTILIZAR  AÑO 1 10]]=0,0,Tabla1[[#This Row],[CANTIDADES A UTILIZAR  AÑO 1 10]]*1/Tabla1[[#This Row],[UNIDADES PRODUCIDAS AÑO 1 10]])</f>
        <v>0</v>
      </c>
      <c r="GO56" s="348">
        <f>$D$22*(1+BASES!$E$10)</f>
        <v>0</v>
      </c>
      <c r="GP56" s="348">
        <f>Tabla1[[#This Row],[COSTO UNITARIO AÑO 2 10 ]]*(1+BASES!$F$10)</f>
        <v>0</v>
      </c>
      <c r="GQ56" s="348">
        <f>Tabla1[[#This Row],[COSTO UNITARIO AÑO 3 10]]*(1+BASES!$G$10)</f>
        <v>0</v>
      </c>
      <c r="GR56" s="348">
        <f>Tabla1[[#This Row],[COSTO UNITARIO AÑO 4 10]]*(1+BASES!$H$10)</f>
        <v>0</v>
      </c>
      <c r="GS56" s="348">
        <f>Tabla1[[#This Row],[COSTO POR UNIDAD DE PRODUCTO (10)]]*$D$22*VLOOKUP(Tabla1[[#This Row],[CÓDIGO DEL PRODUCTO Y/O SERVICIO ]],Tabla3[],3)</f>
        <v>0</v>
      </c>
      <c r="GT56" s="348">
        <f>Tabla1[[#This Row],[COSTO POR UNIDAD DE PRODUCTO (10)]]*Tabla1[[#This Row],[COSTO UNITARIO AÑO 2 10 ]]*VLOOKUP(Tabla1[[#This Row],[CÓDIGO DEL PRODUCTO Y/O SERVICIO ]],Tabla3[],6)</f>
        <v>0</v>
      </c>
      <c r="GU56" s="348">
        <f>Tabla1[[#This Row],[COSTO POR UNIDAD DE PRODUCTO (10)]]*Tabla1[[#This Row],[COSTO UNITARIO AÑO 3 10]]*VLOOKUP(Tabla1[[#This Row],[CÓDIGO DEL PRODUCTO Y/O SERVICIO ]],Tabla3[],10)</f>
        <v>0</v>
      </c>
      <c r="GV56" s="348">
        <f>Tabla1[[#This Row],[COSTO POR UNIDAD DE PRODUCTO (10)]]*Tabla1[[#This Row],[COSTO UNITARIO AÑO 4 10]]*VLOOKUP(Tabla1[[#This Row],[CÓDIGO DEL PRODUCTO Y/O SERVICIO ]],Tabla3[],14)</f>
        <v>0</v>
      </c>
      <c r="GW56" s="348">
        <f>Tabla1[[#This Row],[COSTO POR UNIDAD DE PRODUCTO (10)]]*Tabla1[[#This Row],[COSTO UNITARIO AÑO 5 10 ]]*VLOOKUP(Tabla1[[#This Row],[CÓDIGO DEL PRODUCTO Y/O SERVICIO ]],Tabla3[],18)</f>
        <v>0</v>
      </c>
      <c r="GX56" s="346">
        <f>VLOOKUP(Tabla1[[#This Row],[CÓDIGO DEL PRODUCTO Y/O SERVICIO ]],Tabla3[],3)</f>
        <v>0</v>
      </c>
      <c r="GY56" s="346">
        <f>Tabla1[[#This Row],[UNIDADES PRODUCIDAS AÑO 1 11]]*P41</f>
        <v>0</v>
      </c>
      <c r="GZ56" s="347">
        <f>VLOOKUP(Tabla1[[#This Row],[CÓDIGO DEL PRODUCTO Y/O SERVICIO ]],Tabla3[],9)</f>
        <v>0</v>
      </c>
      <c r="HA56" s="346">
        <f>Tabla1[[#This Row],[CANTIDADES A UTILIZAR  AÑO 1 11 ]]*(1+Tabla1[[#This Row],[CAMBIO PORCENTUAL EN UNIDADES VENDIDAS AÑO 2 11 ]])</f>
        <v>0</v>
      </c>
      <c r="HB56" s="347">
        <f>VLOOKUP(Tabla1[[#This Row],[CÓDIGO DEL PRODUCTO Y/O SERVICIO ]],Tabla3[],13)</f>
        <v>0</v>
      </c>
      <c r="HC56" s="346">
        <f>Tabla1[[#This Row],[CANTIDADES A UTILIZAR  AÑO 2 11 ]]*(1+Tabla1[[#This Row],[CAMBIO PORCENTUAL EN UNIDADES VENDIDAS AÑO 3 11]])</f>
        <v>0</v>
      </c>
      <c r="HD56" s="347">
        <f>VLOOKUP(Tabla1[[#This Row],[CÓDIGO DEL PRODUCTO Y/O SERVICIO ]],Tabla3[],17)</f>
        <v>0</v>
      </c>
      <c r="HE56" s="346">
        <f>Tabla1[[#This Row],[CANTIDADES A UTILIZAR  AÑO 3 11]]*(1+Tabla1[[#This Row],[CAMBIO PORCENTUAL EN UNIDADES VENDIDAS AÑO 4 11]])</f>
        <v>0</v>
      </c>
      <c r="HF56" s="347">
        <f>VLOOKUP(Tabla1[[#This Row],[CÓDIGO DEL PRODUCTO Y/O SERVICIO ]],Tabla3[],21)</f>
        <v>0</v>
      </c>
      <c r="HG56" s="346">
        <f>Tabla1[[#This Row],[CANTIDADES A UTILIZAR  AÑO 4 11]]*(1+Tabla1[[#This Row],[CAMBIO PORCENTUAL EN UNIDADES VENDIDAS AÑO 5 11 ]])</f>
        <v>0</v>
      </c>
      <c r="HH56" s="348">
        <f>IF(Tabla1[[#This Row],[CANTIDADES A UTILIZAR  AÑO 1 11 ]]=0,0,Tabla1[[#This Row],[CANTIDADES A UTILIZAR  AÑO 1 11 ]]*1/Tabla1[[#This Row],[UNIDADES PRODUCIDAS AÑO 1 11]])</f>
        <v>0</v>
      </c>
      <c r="HI56" s="348">
        <f>$D$23*(1+BASES!$E$10)</f>
        <v>0</v>
      </c>
      <c r="HJ56" s="348">
        <f>Tabla1[[#This Row],[COSTO UNITARIO AÑO 2 11]]*(1+BASES!$F$10)</f>
        <v>0</v>
      </c>
      <c r="HK56" s="348">
        <f>Tabla1[[#This Row],[COSTO UNITARIO AÑO 3 11 ]]*(1+BASES!$G$10)</f>
        <v>0</v>
      </c>
      <c r="HL56" s="348">
        <f>Tabla1[[#This Row],[COSTO UNITARIO AÑO 4 11 ]]*(1+BASES!$H$10)</f>
        <v>0</v>
      </c>
      <c r="HM56" s="348">
        <f>Tabla1[[#This Row],[COSTO POR UNIDAD DE PRODUCTO (11)]]*$D$23*VLOOKUP(Tabla1[[#This Row],[CÓDIGO DEL PRODUCTO Y/O SERVICIO ]],Tabla3[],3)</f>
        <v>0</v>
      </c>
      <c r="HN56" s="348">
        <f>Tabla1[[#This Row],[COSTO POR UNIDAD DE PRODUCTO (11)]]*Tabla1[[#This Row],[COSTO UNITARIO AÑO 2 11]]*VLOOKUP(Tabla1[[#This Row],[CÓDIGO DEL PRODUCTO Y/O SERVICIO ]],Tabla3[],6)</f>
        <v>0</v>
      </c>
      <c r="HO56" s="348">
        <f>Tabla1[[#This Row],[COSTO POR UNIDAD DE PRODUCTO (11)]]*Tabla1[[#This Row],[COSTO UNITARIO AÑO 3 11 ]]*VLOOKUP(Tabla1[[#This Row],[CÓDIGO DEL PRODUCTO Y/O SERVICIO ]],Tabla3[],10)</f>
        <v>0</v>
      </c>
      <c r="HP56" s="348">
        <f>Tabla1[[#This Row],[COSTO POR UNIDAD DE PRODUCTO (11)]]*Tabla1[[#This Row],[COSTO UNITARIO AÑO 4 11 ]]*VLOOKUP(Tabla1[[#This Row],[CÓDIGO DEL PRODUCTO Y/O SERVICIO ]],Tabla3[],14)</f>
        <v>0</v>
      </c>
      <c r="HQ56" s="348">
        <f>Tabla1[[#This Row],[COSTO POR UNIDAD DE PRODUCTO (11)]]*Tabla1[[#This Row],[COSTO UNITARIO AÑO 5 11 ]]*VLOOKUP(Tabla1[[#This Row],[CÓDIGO DEL PRODUCTO Y/O SERVICIO ]],Tabla3[],18)</f>
        <v>0</v>
      </c>
      <c r="HR56" s="346">
        <f>VLOOKUP(Tabla1[[#This Row],[CÓDIGO DEL PRODUCTO Y/O SERVICIO ]],Tabla3[],3)</f>
        <v>0</v>
      </c>
      <c r="HS56" s="346">
        <f>Tabla1[[#This Row],[UNIDADES PRODUCIDAS AÑO 1 12]]*Q41</f>
        <v>0</v>
      </c>
      <c r="HT56" s="347">
        <f>VLOOKUP(Tabla1[[#This Row],[CÓDIGO DEL PRODUCTO Y/O SERVICIO ]],Tabla3[],9)</f>
        <v>0</v>
      </c>
      <c r="HU56" s="346">
        <f>Tabla1[[#This Row],[CANTIDADES A UTILIZAR  AÑO 1 12]]*(1+Tabla1[[#This Row],[CAMBIO PORCENTUAL EN UNIDADES VENDIDAS AÑO 2 12]])</f>
        <v>0</v>
      </c>
      <c r="HV56" s="347">
        <f>VLOOKUP(Tabla1[[#This Row],[CÓDIGO DEL PRODUCTO Y/O SERVICIO ]],Tabla3[],13)</f>
        <v>0</v>
      </c>
      <c r="HW56" s="346">
        <f>Tabla1[[#This Row],[CANTIDADES A UTILIZAR  AÑO 2 12]]*(1+Tabla1[[#This Row],[CAMBIO PORCENTUAL EN UNIDADES VENDIDAS AÑO 3 12]])</f>
        <v>0</v>
      </c>
      <c r="HX56" s="347">
        <f>VLOOKUP(Tabla1[[#This Row],[CÓDIGO DEL PRODUCTO Y/O SERVICIO ]],Tabla3[],17)</f>
        <v>0</v>
      </c>
      <c r="HY56" s="346">
        <f>Tabla1[[#This Row],[CANTIDADES A UTILIZAR  AÑO 3 12]]*(1+Tabla1[[#This Row],[CAMBIO PORCENTUAL EN UNIDADES VENDIDAS AÑO 4 12]])</f>
        <v>0</v>
      </c>
      <c r="HZ56" s="347">
        <f>VLOOKUP(Tabla1[[#This Row],[CÓDIGO DEL PRODUCTO Y/O SERVICIO ]],Tabla3[],21)</f>
        <v>0</v>
      </c>
      <c r="IA56" s="346">
        <f>Tabla1[[#This Row],[CANTIDADES A UTILIZAR  AÑO 4 12]]*(1+Tabla1[[#This Row],[CAMBIO PORCENTUAL EN UNIDADES VENDIDAS AÑO 5 12]])</f>
        <v>0</v>
      </c>
      <c r="IB56" s="348">
        <f>IF(Tabla1[[#This Row],[CANTIDADES A UTILIZAR  AÑO 1 12]]=0,0,Tabla1[[#This Row],[CANTIDADES A UTILIZAR  AÑO 1 12]]*1/Tabla1[[#This Row],[UNIDADES PRODUCIDAS AÑO 1 12]])</f>
        <v>0</v>
      </c>
      <c r="IC56" s="348">
        <f>$D$24*(1+BASES!$E$10)</f>
        <v>0</v>
      </c>
      <c r="ID56" s="348">
        <f>Tabla1[[#This Row],[COSTO UNITARIO AÑO 2 12]]*(1+BASES!$F$10)</f>
        <v>0</v>
      </c>
      <c r="IE56" s="348">
        <f>Tabla1[[#This Row],[COSTO UNITARIO AÑO 3 12]]*(1+BASES!$G$10)</f>
        <v>0</v>
      </c>
      <c r="IF56" s="348">
        <f>Tabla1[[#This Row],[COSTO UNITARIO AÑO 4 12]]*(1+BASES!$H$10)</f>
        <v>0</v>
      </c>
      <c r="IG56" s="348">
        <f>Tabla1[[#This Row],[COSTO POR UNIDAD DE PRODUCTO (12)]]*$D$24*VLOOKUP(Tabla1[[#This Row],[CÓDIGO DEL PRODUCTO Y/O SERVICIO ]],Tabla3[],3)</f>
        <v>0</v>
      </c>
      <c r="IH56" s="348">
        <f>Tabla1[[#This Row],[COSTO POR UNIDAD DE PRODUCTO (12)]]*Tabla1[[#This Row],[COSTO UNITARIO AÑO 2 12]]*VLOOKUP(Tabla1[[#This Row],[CÓDIGO DEL PRODUCTO Y/O SERVICIO ]],Tabla3[],6)</f>
        <v>0</v>
      </c>
      <c r="II56" s="348">
        <f>Tabla1[[#This Row],[COSTO POR UNIDAD DE PRODUCTO (12)]]*Tabla1[[#This Row],[COSTO UNITARIO AÑO 3 12]]*VLOOKUP(Tabla1[[#This Row],[CÓDIGO DEL PRODUCTO Y/O SERVICIO ]],Tabla3[],10)</f>
        <v>0</v>
      </c>
      <c r="IJ56" s="348">
        <f>Tabla1[[#This Row],[COSTO POR UNIDAD DE PRODUCTO (12)]]*Tabla1[[#This Row],[COSTO UNITARIO AÑO 4 12]]*VLOOKUP(Tabla1[[#This Row],[CÓDIGO DEL PRODUCTO Y/O SERVICIO ]],Tabla3[],14)</f>
        <v>0</v>
      </c>
      <c r="IK56" s="348">
        <f>Tabla1[[#This Row],[COSTO POR UNIDAD DE PRODUCTO (12)]]*Tabla1[[#This Row],[COSTO UNITARIO AÑO 5 12]]*VLOOKUP(Tabla1[[#This Row],[CÓDIGO DEL PRODUCTO Y/O SERVICIO ]],Tabla3[],18)</f>
        <v>0</v>
      </c>
      <c r="IL56" s="346">
        <f>VLOOKUP(Tabla1[[#This Row],[CÓDIGO DEL PRODUCTO Y/O SERVICIO ]],Tabla3[],3)</f>
        <v>0</v>
      </c>
      <c r="IM56" s="346">
        <f>Tabla1[[#This Row],[UNIDADES PRODUCIDAS AÑO 1 13]]*R41</f>
        <v>0</v>
      </c>
      <c r="IN56" s="347">
        <f>VLOOKUP(Tabla1[[#This Row],[CÓDIGO DEL PRODUCTO Y/O SERVICIO ]],Tabla3[],9)</f>
        <v>0</v>
      </c>
      <c r="IO56" s="346">
        <f>Tabla1[[#This Row],[CANTIDADES A UTILIZAR  AÑO 1 13]]*(1+Tabla1[[#This Row],[CAMBIO PORCENTUAL EN UNIDADES VENDIDAS AÑO 2 13]])</f>
        <v>0</v>
      </c>
      <c r="IP56" s="347">
        <f>VLOOKUP(Tabla1[[#This Row],[CÓDIGO DEL PRODUCTO Y/O SERVICIO ]],Tabla3[],13)</f>
        <v>0</v>
      </c>
      <c r="IQ56" s="346">
        <f>Tabla1[[#This Row],[CANTIDADES A UTILIZAR  AÑO 2 13]]*(1+Tabla1[[#This Row],[CAMBIO PORCENTUAL EN UNIDADES VENDIDAS AÑO 3 13]])</f>
        <v>0</v>
      </c>
      <c r="IR56" s="346">
        <f>VLOOKUP(Tabla1[[#This Row],[CÓDIGO DEL PRODUCTO Y/O SERVICIO ]],Tabla3[],17)</f>
        <v>0</v>
      </c>
      <c r="IS56" s="346">
        <f>Tabla1[[#This Row],[CANTIDADES A UTILIZAR  AÑO 3 13]]*(1+Tabla1[[#This Row],[CAMBIO PORCENTUAL EN UNIDADES VENDIDAS AÑO 4 13]])</f>
        <v>0</v>
      </c>
      <c r="IT56" s="347">
        <f>VLOOKUP(Tabla1[[#This Row],[CÓDIGO DEL PRODUCTO Y/O SERVICIO ]],Tabla3[],21)</f>
        <v>0</v>
      </c>
      <c r="IU56" s="346">
        <f>Tabla1[[#This Row],[CANTIDADES A UTILIZAR  AÑO 4 13]]*(1+Tabla1[[#This Row],[CAMBIO PORCENTUAL EN UNIDADES VENDIDAS AÑO 5 13]])</f>
        <v>0</v>
      </c>
      <c r="IV56" s="348">
        <f>IF(Tabla1[[#This Row],[CANTIDADES A UTILIZAR  AÑO 1 13]]=0,0,Tabla1[[#This Row],[CANTIDADES A UTILIZAR  AÑO 1 13]]*1/Tabla1[[#This Row],[UNIDADES PRODUCIDAS AÑO 1 13]])</f>
        <v>0</v>
      </c>
      <c r="IW56" s="348">
        <f>$D$25*(1+BASES!$E$10)</f>
        <v>0</v>
      </c>
      <c r="IX56" s="348">
        <f>Tabla1[[#This Row],[COSTO UNITARIO AÑO 2 13]]*(1+BASES!$F$10)</f>
        <v>0</v>
      </c>
      <c r="IY56" s="348">
        <f>Tabla1[[#This Row],[COSTO UNITARIO AÑO 3 13]]*(1+BASES!$G$10)</f>
        <v>0</v>
      </c>
      <c r="IZ56" s="348">
        <f>Tabla1[[#This Row],[COSTO UNITARIO AÑO 4 13]]*(1+BASES!$H$10)</f>
        <v>0</v>
      </c>
      <c r="JA56" s="348">
        <f>Tabla1[[#This Row],[COSTO POR UNIDAD DE PRODUCTO (13)]]*$D$25*VLOOKUP(Tabla1[[#This Row],[CÓDIGO DEL PRODUCTO Y/O SERVICIO ]],Tabla3[],3)</f>
        <v>0</v>
      </c>
      <c r="JB56" s="348">
        <f>Tabla1[[#This Row],[COSTO POR UNIDAD DE PRODUCTO (13)]]*Tabla1[[#This Row],[COSTO UNITARIO AÑO 2 13]]*VLOOKUP(Tabla1[[#This Row],[CÓDIGO DEL PRODUCTO Y/O SERVICIO ]],Tabla3[],6)</f>
        <v>0</v>
      </c>
      <c r="JC56" s="348">
        <f>Tabla1[[#This Row],[COSTO POR UNIDAD DE PRODUCTO (13)]]*Tabla1[[#This Row],[COSTO UNITARIO AÑO 3 13]]*VLOOKUP(Tabla1[[#This Row],[CÓDIGO DEL PRODUCTO Y/O SERVICIO ]],Tabla3[],10)</f>
        <v>0</v>
      </c>
      <c r="JD56" s="348">
        <f>Tabla1[[#This Row],[COSTO POR UNIDAD DE PRODUCTO (13)]]*Tabla1[[#This Row],[COSTO UNITARIO AÑO 4 13]]*VLOOKUP(Tabla1[[#This Row],[CÓDIGO DEL PRODUCTO Y/O SERVICIO ]],Tabla3[],14)</f>
        <v>0</v>
      </c>
      <c r="JE56" s="348">
        <f>Tabla1[[#This Row],[COSTO POR UNIDAD DE PRODUCTO (13)]]*Tabla1[[#This Row],[COSTO UNITARIO AÑO 5 13]]*VLOOKUP(Tabla1[[#This Row],[CÓDIGO DEL PRODUCTO Y/O SERVICIO ]],Tabla3[],18)</f>
        <v>0</v>
      </c>
      <c r="JF56" s="346">
        <f>VLOOKUP(Tabla1[[#This Row],[CÓDIGO DEL PRODUCTO Y/O SERVICIO ]],Tabla3[],3)</f>
        <v>0</v>
      </c>
      <c r="JG56" s="346">
        <f>Tabla1[[#This Row],[UNIDADES PRODUCIDAS AÑO 1 14]]*S41</f>
        <v>0</v>
      </c>
      <c r="JH56" s="347">
        <f>VLOOKUP(Tabla1[[#This Row],[CÓDIGO DEL PRODUCTO Y/O SERVICIO ]],Tabla3[],9)</f>
        <v>0</v>
      </c>
      <c r="JI56" s="346">
        <f>Tabla1[[#This Row],[CANTIDADES A UTILIZAR  AÑO 1 14]]*(1+Tabla1[[#This Row],[CAMBIO PORCENTUAL EN UNIDADES VENDIDAS AÑO 2 14]])</f>
        <v>0</v>
      </c>
      <c r="JJ56" s="347">
        <f>VLOOKUP(Tabla1[[#This Row],[CÓDIGO DEL PRODUCTO Y/O SERVICIO ]],Tabla3[],13)</f>
        <v>0</v>
      </c>
      <c r="JK56" s="346">
        <f>Tabla1[[#This Row],[CANTIDADES A UTILIZAR  AÑO 2 14]]*(1+Tabla1[[#This Row],[CAMBIO PORCENTUAL EN UNIDADES VENDIDAS AÑO 3 14]])</f>
        <v>0</v>
      </c>
      <c r="JL56" s="347">
        <f>VLOOKUP(Tabla1[[#This Row],[CÓDIGO DEL PRODUCTO Y/O SERVICIO ]],Tabla3[],17)</f>
        <v>0</v>
      </c>
      <c r="JM56" s="346">
        <f>Tabla1[[#This Row],[CANTIDADES A UTILIZAR AÑO 3 14]]*(1+Tabla1[[#This Row],[CAMBIO PORCENTUAL EN UNIDADES VENDIDAS AÑO 4 14]])</f>
        <v>0</v>
      </c>
      <c r="JN56" s="347">
        <f>VLOOKUP(Tabla1[[#This Row],[CÓDIGO DEL PRODUCTO Y/O SERVICIO ]],Tabla3[],21)</f>
        <v>0</v>
      </c>
      <c r="JO56" s="346">
        <f>Tabla1[[#This Row],[CANTIDADES A UTILIZAR  AÑO 4 14]]*(1+Tabla1[[#This Row],[CAMBIO PORCENTUAL EN UNIDADES VENDIDAS AÑO 5 14]])</f>
        <v>0</v>
      </c>
      <c r="JP56" s="348">
        <f>IF(Tabla1[[#This Row],[CANTIDADES A UTILIZAR  AÑO 1 14]]=0,0,Tabla1[[#This Row],[CANTIDADES A UTILIZAR  AÑO 1 14]]*1/Tabla1[[#This Row],[UNIDADES PRODUCIDAS AÑO 1 14]])</f>
        <v>0</v>
      </c>
      <c r="JQ56" s="348">
        <f>$D$26*(1+BASES!$E$10)</f>
        <v>0</v>
      </c>
      <c r="JR56" s="348">
        <f>Tabla1[[#This Row],[COSTO UNITARIO AÑO 2 14]]*(1+BASES!$F$10)</f>
        <v>0</v>
      </c>
      <c r="JS56" s="348">
        <f>Tabla1[[#This Row],[COSTO UNITARIO AÑO 3 14]]*(1+BASES!$G$10)</f>
        <v>0</v>
      </c>
      <c r="JT56" s="348">
        <f>Tabla1[[#This Row],[COSTO UNITARIO AÑO 4 14]]*(1+BASES!$H$10)</f>
        <v>0</v>
      </c>
      <c r="JU56" s="348">
        <f>Tabla1[[#This Row],[COSTO POR UNIDAD DE PRODUCTO (14)]]*$D$26*VLOOKUP(Tabla1[[#This Row],[CÓDIGO DEL PRODUCTO Y/O SERVICIO ]],Tabla3[],3)</f>
        <v>0</v>
      </c>
      <c r="JV56" s="348">
        <f>Tabla1[[#This Row],[COSTO POR UNIDAD DE PRODUCTO (14)]]*Tabla1[[#This Row],[COSTO UNITARIO AÑO 2 14]]*VLOOKUP(Tabla1[[#This Row],[CÓDIGO DEL PRODUCTO Y/O SERVICIO ]],Tabla3[],6)</f>
        <v>0</v>
      </c>
      <c r="JW56" s="348">
        <f>Tabla1[[#This Row],[COSTO POR UNIDAD DE PRODUCTO (14)]]*Tabla1[[#This Row],[COSTO UNITARIO AÑO 3 14]]*VLOOKUP(Tabla1[[#This Row],[CÓDIGO DEL PRODUCTO Y/O SERVICIO ]],Tabla3[],10)</f>
        <v>0</v>
      </c>
      <c r="JX56" s="348">
        <f>Tabla1[[#This Row],[COSTO POR UNIDAD DE PRODUCTO (14)]]*Tabla1[[#This Row],[COSTO UNITARIO AÑO 4 14]]*VLOOKUP(Tabla1[[#This Row],[CÓDIGO DEL PRODUCTO Y/O SERVICIO ]],Tabla3[],14)</f>
        <v>0</v>
      </c>
      <c r="JY56" s="348">
        <f>Tabla1[[#This Row],[COSTO POR UNIDAD DE PRODUCTO (14)]]*Tabla1[[#This Row],[COSTO UNITARIO AÑO 5 14]]*VLOOKUP(Tabla1[[#This Row],[CÓDIGO DEL PRODUCTO Y/O SERVICIO ]],Tabla3[],18)</f>
        <v>0</v>
      </c>
      <c r="JZ56" s="346">
        <f>VLOOKUP(Tabla1[[#This Row],[CÓDIGO DEL PRODUCTO Y/O SERVICIO ]],Tabla3[],3)</f>
        <v>0</v>
      </c>
      <c r="KA56" s="346">
        <f>Tabla1[[#This Row],[UNIDADES PRODUCIDAS AÑO 1 15]]*T41</f>
        <v>0</v>
      </c>
      <c r="KB56" s="347">
        <f>VLOOKUP(Tabla1[[#This Row],[CÓDIGO DEL PRODUCTO Y/O SERVICIO ]],Tabla3[],9)</f>
        <v>0</v>
      </c>
      <c r="KC56" s="346">
        <f>Tabla1[[#This Row],[CANTIDADES A UTILIZAR  AÑO 1 15]]*(1+Tabla1[[#This Row],[CAMBIO PORCENTUAL EN UNIDADES VENDIDAS AÑO 2 15]])</f>
        <v>0</v>
      </c>
      <c r="KD56" s="347">
        <f>VLOOKUP(Tabla1[[#This Row],[CÓDIGO DEL PRODUCTO Y/O SERVICIO ]],Tabla3[],13)</f>
        <v>0</v>
      </c>
      <c r="KE56" s="346">
        <f>Tabla1[[#This Row],[CANTIDADES A UTILIZAR  AÑO 2 15]]*(1+Tabla1[[#This Row],[CAMBIO PORCENTUAL EN UNIDADES VENDIDAS AÑO 3 15]])</f>
        <v>0</v>
      </c>
      <c r="KF56" s="347">
        <f>VLOOKUP(Tabla1[[#This Row],[CÓDIGO DEL PRODUCTO Y/O SERVICIO ]],Tabla3[],17)</f>
        <v>0</v>
      </c>
      <c r="KG56" s="346">
        <f>Tabla1[[#This Row],[CANTIDADES A UTILIZAR  AÑO 3 15]]*(1+Tabla1[[#This Row],[CAMBIO PORCENTUAL EN UNIDADES VENDIDAS AÑO 4 15]])</f>
        <v>0</v>
      </c>
      <c r="KH56" s="347">
        <f>VLOOKUP(Tabla1[[#This Row],[CÓDIGO DEL PRODUCTO Y/O SERVICIO ]],Tabla3[],21)</f>
        <v>0</v>
      </c>
      <c r="KI56" s="346">
        <f>Tabla1[[#This Row],[CANTIDADES A UTILIZAR  AÑO 4 15]]*(1+Tabla1[[#This Row],[CAMBIO PORCENTUAL EN UNIDADES VENDIDAS AÑO 5 15]])</f>
        <v>0</v>
      </c>
      <c r="KJ56" s="348">
        <f>IF(Tabla1[[#This Row],[CANTIDADES A UTILIZAR  AÑO 1 15]]=0,0,Tabla1[[#This Row],[CANTIDADES A UTILIZAR  AÑO 1 15]]*1/Tabla1[[#This Row],[UNIDADES PRODUCIDAS AÑO 1 15]])</f>
        <v>0</v>
      </c>
      <c r="KK56" s="348">
        <f>$D$27*(1+BASES!$E$10)</f>
        <v>0</v>
      </c>
      <c r="KL56" s="348">
        <f>Tabla1[[#This Row],[COSTO UNITARIO AÑO 2 15]]*(1+BASES!$F$10)</f>
        <v>0</v>
      </c>
      <c r="KM56" s="348">
        <f>Tabla1[[#This Row],[COSTO UNITARIO AÑO 3 15]]*(1+BASES!$G$10)</f>
        <v>0</v>
      </c>
      <c r="KN56" s="348">
        <f>Tabla1[[#This Row],[COSTO UNITARIO AÑO 4 15]]*(1+BASES!$H$10)</f>
        <v>0</v>
      </c>
      <c r="KO56" s="348">
        <f>Tabla1[[#This Row],[COSTO POR UNIDAD DE PRODUCTO (15)]]*$D$27*VLOOKUP(Tabla1[[#This Row],[CÓDIGO DEL PRODUCTO Y/O SERVICIO ]],Tabla3[],3)</f>
        <v>0</v>
      </c>
      <c r="KP56" s="348">
        <f>Tabla1[[#This Row],[COSTO POR UNIDAD DE PRODUCTO (15)]]*Tabla1[[#This Row],[COSTO UNITARIO AÑO 2 15]]*VLOOKUP(Tabla1[[#This Row],[CÓDIGO DEL PRODUCTO Y/O SERVICIO ]],Tabla3[],6)</f>
        <v>0</v>
      </c>
      <c r="KQ56" s="348">
        <f>Tabla1[[#This Row],[COSTO POR UNIDAD DE PRODUCTO (15)]]*Tabla1[[#This Row],[COSTO UNITARIO AÑO 3 15]]*VLOOKUP(Tabla1[[#This Row],[CÓDIGO DEL PRODUCTO Y/O SERVICIO ]],Tabla3[],10)</f>
        <v>0</v>
      </c>
      <c r="KR56" s="348">
        <f>Tabla1[[#This Row],[COSTO POR UNIDAD DE PRODUCTO (15)]]*Tabla1[[#This Row],[COSTO UNITARIO AÑO 4 15]]*VLOOKUP(Tabla1[[#This Row],[CÓDIGO DEL PRODUCTO Y/O SERVICIO ]],Tabla3[],14)</f>
        <v>0</v>
      </c>
      <c r="KS56" s="348">
        <f>Tabla1[[#This Row],[COSTO POR UNIDAD DE PRODUCTO (15)]]*Tabla1[[#This Row],[COSTO UNITARIO AÑO 5 15]]*VLOOKUP(Tabla1[[#This Row],[CÓDIGO DEL PRODUCTO Y/O SERVICIO ]],Tabla3[],18)</f>
        <v>0</v>
      </c>
      <c r="KT56" s="346">
        <f>VLOOKUP(Tabla1[[#This Row],[CÓDIGO DEL PRODUCTO Y/O SERVICIO ]],Tabla3[],3)</f>
        <v>0</v>
      </c>
      <c r="KU56" s="346">
        <f>Tabla1[[#This Row],[UNIDADES PRODUCIDAS AÑO 1 16]]*U41</f>
        <v>0</v>
      </c>
      <c r="KV56" s="347">
        <f>VLOOKUP(Tabla1[[#This Row],[CÓDIGO DEL PRODUCTO Y/O SERVICIO ]],Tabla3[],9)</f>
        <v>0</v>
      </c>
      <c r="KW56" s="346">
        <f>Tabla1[[#This Row],[CANTIDADES A UTILIZAR  AÑO 1 16]]*(1+Tabla1[[#This Row],[CAMBIO PORCENTUAL EN UNIDADES VENDIDAS AÑO 2 16]])</f>
        <v>0</v>
      </c>
      <c r="KX56" s="347">
        <f>VLOOKUP(Tabla1[[#This Row],[CÓDIGO DEL PRODUCTO Y/O SERVICIO ]],Tabla3[],13)</f>
        <v>0</v>
      </c>
      <c r="KY56" s="346">
        <f>Tabla1[[#This Row],[CANTIDADES A UTILIZAR  AÑO 2 16]]*(1+Tabla1[[#This Row],[CAMBIO PORCENTUAL EN UNIDADES VENDIDAS AÑO 3 16]])</f>
        <v>0</v>
      </c>
      <c r="KZ56" s="347">
        <f>VLOOKUP(Tabla1[[#This Row],[CÓDIGO DEL PRODUCTO Y/O SERVICIO ]],Tabla3[],17)</f>
        <v>0</v>
      </c>
      <c r="LA56" s="346">
        <f>Tabla1[[#This Row],[CANTIDADES A UTILIZAR  AÑO 3 16]]*(1+Tabla1[[#This Row],[CAMBIO PORCENTUAL EN UNIDADES VENDIDAS AÑO 4 16]])</f>
        <v>0</v>
      </c>
      <c r="LB56" s="347">
        <f>VLOOKUP(Tabla1[[#This Row],[CÓDIGO DEL PRODUCTO Y/O SERVICIO ]],Tabla3[],21)</f>
        <v>0</v>
      </c>
      <c r="LC56" s="346">
        <f>Tabla1[[#This Row],[CANTIDADES A UTILIZAR  AÑO 4 16]]*(1+Tabla1[[#This Row],[CAMBIO PORCENTUAL EN UNIDADES VENDIDAS AÑO 5 16]])</f>
        <v>0</v>
      </c>
      <c r="LD56" s="348">
        <f>IF(Tabla1[[#This Row],[CANTIDADES A UTILIZAR  AÑO 1 16]]=0,0,Tabla1[[#This Row],[CANTIDADES A UTILIZAR  AÑO 1 16]]*1/Tabla1[[#This Row],[UNIDADES PRODUCIDAS AÑO 1 16]])</f>
        <v>0</v>
      </c>
      <c r="LE56" s="348">
        <f>$D$28*(1+BASES!$E$10)</f>
        <v>0</v>
      </c>
      <c r="LF56" s="348">
        <f>Tabla1[[#This Row],[COSTO UNITARIO AÑO 2 16]]*(1+BASES!$F$10)</f>
        <v>0</v>
      </c>
      <c r="LG56" s="348">
        <f>Tabla1[[#This Row],[COSTO UNITARIO AÑO 3 16]]*(1+BASES!$G$10)</f>
        <v>0</v>
      </c>
      <c r="LH56" s="348">
        <f>Tabla1[[#This Row],[COSTO UNITARIO AÑO 4 16]]*(1+BASES!$H$10)</f>
        <v>0</v>
      </c>
      <c r="LI56" s="348">
        <f>Tabla1[[#This Row],[COSTO POR UNIDAD DE PRODUCTO (16)]]*$D$28*VLOOKUP(Tabla1[[#This Row],[CÓDIGO DEL PRODUCTO Y/O SERVICIO ]],Tabla3[],3)</f>
        <v>0</v>
      </c>
      <c r="LJ56" s="348">
        <f>Tabla1[[#This Row],[COSTO POR UNIDAD DE PRODUCTO (16)]]*Tabla1[[#This Row],[COSTO UNITARIO AÑO 2 16]]*VLOOKUP(Tabla1[[#This Row],[CÓDIGO DEL PRODUCTO Y/O SERVICIO ]],Tabla3[],6)</f>
        <v>0</v>
      </c>
      <c r="LK56" s="348">
        <f>Tabla1[[#This Row],[COSTO POR UNIDAD DE PRODUCTO (16)]]*Tabla1[[#This Row],[COSTO UNITARIO AÑO 3 16]]*VLOOKUP(Tabla1[[#This Row],[CÓDIGO DEL PRODUCTO Y/O SERVICIO ]],Tabla3[],10)</f>
        <v>0</v>
      </c>
      <c r="LL56" s="348">
        <f>Tabla1[[#This Row],[COSTO POR UNIDAD DE PRODUCTO (16)]]*Tabla1[[#This Row],[COSTO UNITARIO AÑO 4 16]]*VLOOKUP(Tabla1[[#This Row],[CÓDIGO DEL PRODUCTO Y/O SERVICIO ]],Tabla3[],14)</f>
        <v>0</v>
      </c>
      <c r="LM56" s="348">
        <f>Tabla1[[#This Row],[COSTO POR UNIDAD DE PRODUCTO (16)]]*Tabla1[[#This Row],[COSTO UNITARIO AÑO 5 16]]*VLOOKUP(Tabla1[[#This Row],[CÓDIGO DEL PRODUCTO Y/O SERVICIO ]],Tabla3[],18)</f>
        <v>0</v>
      </c>
      <c r="LN56" s="346">
        <f>VLOOKUP(Tabla1[[#This Row],[CÓDIGO DEL PRODUCTO Y/O SERVICIO ]],Tabla3[],3)</f>
        <v>0</v>
      </c>
      <c r="LO56" s="346">
        <f>Tabla1[[#This Row],[UNIDADES PRODUCIDAS AÑO 1 17]]*V41</f>
        <v>0</v>
      </c>
      <c r="LP56" s="347">
        <f>VLOOKUP(Tabla1[[#This Row],[CÓDIGO DEL PRODUCTO Y/O SERVICIO ]],Tabla3[],9)</f>
        <v>0</v>
      </c>
      <c r="LQ56" s="346">
        <f>Tabla1[[#This Row],[CANTIDADES A UTILIZAR  AÑO 1 17]]*(1+Tabla1[[#This Row],[CAMBIO PORCENTUAL EN UNIDADES VENDIDAS AÑO 2 17]])</f>
        <v>0</v>
      </c>
      <c r="LR56" s="347">
        <f>VLOOKUP(Tabla1[[#This Row],[CÓDIGO DEL PRODUCTO Y/O SERVICIO ]],Tabla3[],13)</f>
        <v>0</v>
      </c>
      <c r="LS56" s="346">
        <f>Tabla1[[#This Row],[CANTIDADES A UTILIZAR  AÑO 2 17]]*(1+Tabla1[[#This Row],[CAMBIO PORCENTUAL EN UNIDADES VENDIDAS AÑO 3 17]])</f>
        <v>0</v>
      </c>
      <c r="LT56" s="347">
        <f>VLOOKUP(Tabla1[[#This Row],[CÓDIGO DEL PRODUCTO Y/O SERVICIO ]],Tabla3[],17)</f>
        <v>0</v>
      </c>
      <c r="LU56" s="346">
        <f>Tabla1[[#This Row],[CANTIDADES A UTILIZAR  AÑO 3 17]]*(1+Tabla1[[#This Row],[CAMBIO PORCENTUAL EN UNIDADES VENDIDAS AÑO 4 17 ]])</f>
        <v>0</v>
      </c>
      <c r="LV56" s="347">
        <f>VLOOKUP(Tabla1[[#This Row],[CÓDIGO DEL PRODUCTO Y/O SERVICIO ]],Tabla3[],21)</f>
        <v>0</v>
      </c>
      <c r="LW56" s="346">
        <f>Tabla1[[#This Row],[CANTIDADES A UTILIZAR  AÑO 4 17]]*(1+Tabla1[[#This Row],[CAMBIO PORCENTUAL EN UNIDADES VENDIDAS AÑO 5 17]])</f>
        <v>0</v>
      </c>
      <c r="LX56" s="348">
        <f>IF(Tabla1[[#This Row],[CANTIDADES A UTILIZAR  AÑO 1 17]]=0,0,Tabla1[[#This Row],[CANTIDADES A UTILIZAR  AÑO 1 17]]*1/Tabla1[[#This Row],[UNIDADES PRODUCIDAS AÑO 1 17]])</f>
        <v>0</v>
      </c>
      <c r="LY56" s="348">
        <f>$D$29*(1+BASES!$E$10)</f>
        <v>0</v>
      </c>
      <c r="LZ56" s="348">
        <f>Tabla1[[#This Row],[COSTO UNITARIO AÑO 2 17]]*(1+BASES!$F$10)</f>
        <v>0</v>
      </c>
      <c r="MA56" s="348">
        <f>Tabla1[[#This Row],[COSTO UNITARIO AÑO 3 17]]*(1+BASES!$G$10)</f>
        <v>0</v>
      </c>
      <c r="MB56" s="348">
        <f>Tabla1[[#This Row],[COSTO UNITARIO AÑO 4 17]]*(1+BASES!$H$10)</f>
        <v>0</v>
      </c>
      <c r="MC56" s="348">
        <f>Tabla1[[#This Row],[COSTO POR UNIDAD DE PRODUCTO (17)]]*$D$29*VLOOKUP(Tabla1[[#This Row],[CÓDIGO DEL PRODUCTO Y/O SERVICIO ]],Tabla3[],3)</f>
        <v>0</v>
      </c>
      <c r="MD56" s="348">
        <f>Tabla1[[#This Row],[COSTO POR UNIDAD DE PRODUCTO (17)]]*Tabla1[[#This Row],[COSTO UNITARIO AÑO 2 17]]*VLOOKUP(Tabla1[[#This Row],[CÓDIGO DEL PRODUCTO Y/O SERVICIO ]],Tabla3[],6)</f>
        <v>0</v>
      </c>
      <c r="ME56" s="348">
        <f>Tabla1[[#This Row],[COSTO POR UNIDAD DE PRODUCTO (17)]]*Tabla1[[#This Row],[COSTO UNITARIO AÑO 3 17]]*VLOOKUP(Tabla1[[#This Row],[CÓDIGO DEL PRODUCTO Y/O SERVICIO ]],Tabla3[],10)</f>
        <v>0</v>
      </c>
      <c r="MF56" s="348">
        <f>Tabla1[[#This Row],[COSTO POR UNIDAD DE PRODUCTO (17)]]*Tabla1[[#This Row],[COSTO UNITARIO AÑO 4 17]]*VLOOKUP(Tabla1[[#This Row],[CÓDIGO DEL PRODUCTO Y/O SERVICIO ]],Tabla3[],14)</f>
        <v>0</v>
      </c>
      <c r="MG56" s="348">
        <f>Tabla1[[#This Row],[COSTO POR UNIDAD DE PRODUCTO (17)]]*Tabla1[[#This Row],[COSTO UNITARIO AÑO 5 17]]*VLOOKUP(Tabla1[[#This Row],[CÓDIGO DEL PRODUCTO Y/O SERVICIO ]],Tabla3[],18)</f>
        <v>0</v>
      </c>
      <c r="MH56" s="346">
        <f>VLOOKUP(Tabla1[[#This Row],[CÓDIGO DEL PRODUCTO Y/O SERVICIO ]],Tabla3[],3)</f>
        <v>0</v>
      </c>
      <c r="MI56" s="346">
        <f>Tabla1[[#This Row],[UNIDADES PRODUCIDAS AÑO 1 18 ]]*W41</f>
        <v>0</v>
      </c>
      <c r="MJ56" s="347">
        <f>VLOOKUP(Tabla1[[#This Row],[CÓDIGO DEL PRODUCTO Y/O SERVICIO ]],Tabla3[],9)</f>
        <v>0</v>
      </c>
      <c r="MK56" s="346">
        <f>Tabla1[[#This Row],[CANTIDADES A UTILIZAR  AÑO 1 18]]*(1+Tabla1[[#This Row],[CAMBIO PORCENTUAL EN UNIDADES VENDIDAS AÑO 2 18]])</f>
        <v>0</v>
      </c>
      <c r="ML56" s="347">
        <f>VLOOKUP(Tabla1[[#This Row],[CÓDIGO DEL PRODUCTO Y/O SERVICIO ]],Tabla3[],13)</f>
        <v>0</v>
      </c>
      <c r="MM56" s="346">
        <f>Tabla1[[#This Row],[CANTIDADES A UTILIZAR AÑO 2 18]]*(1+Tabla1[[#This Row],[CAMBIO PORCENTUAL EN UNIDADES VENDIDAS AÑO 3 18 ]])</f>
        <v>0</v>
      </c>
      <c r="MN56" s="347">
        <f>VLOOKUP(Tabla1[[#This Row],[CÓDIGO DEL PRODUCTO Y/O SERVICIO ]],Tabla3[],17)</f>
        <v>0</v>
      </c>
      <c r="MO56" s="346">
        <f>Tabla1[[#This Row],[CANTIDADES A UTILIZAR  AÑO 3 18]]*(1+Tabla1[[#This Row],[CAMBIO PORCENTUAL EN UNIDADES VENDIDAS AÑO 4 18]])</f>
        <v>0</v>
      </c>
      <c r="MP56" s="347">
        <f>VLOOKUP(Tabla1[[#This Row],[CÓDIGO DEL PRODUCTO Y/O SERVICIO ]],Tabla3[],21)</f>
        <v>0</v>
      </c>
      <c r="MQ56" s="346">
        <f>Tabla1[[#This Row],[CANTIDADES A UTILIZAR  AÑO 4 18 ]]*(1+Tabla1[[#This Row],[CAMBIO PORCENTUAL EN UNIDADES VENDIDAS AÑO 5 18 ]])</f>
        <v>0</v>
      </c>
      <c r="MR56" s="348">
        <f>IF(Tabla1[[#This Row],[CANTIDADES A UTILIZAR  AÑO 1 18]]=0,0,Tabla1[[#This Row],[CANTIDADES A UTILIZAR  AÑO 1 18]]*1/Tabla1[[#This Row],[UNIDADES PRODUCIDAS AÑO 1 18 ]])</f>
        <v>0</v>
      </c>
      <c r="MS56" s="348">
        <f>$D$30*(1+BASES!$E$10)</f>
        <v>0</v>
      </c>
      <c r="MT56" s="348">
        <f>Tabla1[[#This Row],[COSTO UNITARIO AÑO 2 18]]*(1+BASES!$F$10)</f>
        <v>0</v>
      </c>
      <c r="MU56" s="348">
        <f>Tabla1[[#This Row],[COSTO UNITARIO AÑO 3 18 ]]*(1+BASES!$G$10)</f>
        <v>0</v>
      </c>
      <c r="MV56" s="348">
        <f>Tabla1[[#This Row],[COSTO UNITARIO AÑO 4 18 ]]*(1+BASES!$H$10)</f>
        <v>0</v>
      </c>
      <c r="MW56" s="348">
        <f>Tabla1[[#This Row],[COSTO POR UNIDAD DE PRODUCTO (18)]]*$D$30*VLOOKUP(Tabla1[[#This Row],[CÓDIGO DEL PRODUCTO Y/O SERVICIO ]],Tabla3[],3)</f>
        <v>0</v>
      </c>
      <c r="MX56" s="348">
        <f>Tabla1[[#This Row],[COSTO POR UNIDAD DE PRODUCTO (18)]]*Tabla1[[#This Row],[COSTO UNITARIO AÑO 2 18]]*VLOOKUP(Tabla1[[#This Row],[CÓDIGO DEL PRODUCTO Y/O SERVICIO ]],Tabla3[],6)</f>
        <v>0</v>
      </c>
      <c r="MY56" s="348">
        <f>Tabla1[[#This Row],[COSTO POR UNIDAD DE PRODUCTO (18)]]*Tabla1[[#This Row],[COSTO UNITARIO AÑO 3 18 ]]*VLOOKUP(Tabla1[[#This Row],[CÓDIGO DEL PRODUCTO Y/O SERVICIO ]],Tabla3[],10)</f>
        <v>0</v>
      </c>
      <c r="MZ56" s="348">
        <f>Tabla1[[#This Row],[COSTO POR UNIDAD DE PRODUCTO (18)]]*Tabla1[[#This Row],[COSTO UNITARIO AÑO 4 18 ]]*VLOOKUP(Tabla1[[#This Row],[CÓDIGO DEL PRODUCTO Y/O SERVICIO ]],Tabla3[],14)</f>
        <v>0</v>
      </c>
      <c r="NA56" s="348">
        <f>Tabla1[[#This Row],[COSTO POR UNIDAD DE PRODUCTO (18)]]*Tabla1[[#This Row],[COSTO UNITARIO AÑO 5 18 ]]*VLOOKUP(Tabla1[[#This Row],[CÓDIGO DEL PRODUCTO Y/O SERVICIO ]],Tabla3[],18)</f>
        <v>0</v>
      </c>
      <c r="NB56" s="346">
        <f>VLOOKUP(Tabla1[[#This Row],[CÓDIGO DEL PRODUCTO Y/O SERVICIO ]],Tabla3[],3)</f>
        <v>0</v>
      </c>
      <c r="NC56" s="346">
        <f>Tabla1[[#This Row],[UNIDADES PRODUCIDAS AÑO 1 19]]*X41</f>
        <v>0</v>
      </c>
      <c r="ND56" s="347">
        <f>VLOOKUP(Tabla1[[#This Row],[CÓDIGO DEL PRODUCTO Y/O SERVICIO ]],Tabla3[],9)</f>
        <v>0</v>
      </c>
      <c r="NE56" s="346">
        <f>Tabla1[[#This Row],[CANTIDADES A UTILIZAR  AÑO 1 19 ]]*(1+Tabla1[[#This Row],[CAMBIO PORCENTUAL EN UNIDADES VENDIDAS AÑO 2 19]])</f>
        <v>0</v>
      </c>
      <c r="NF56" s="347">
        <f>VLOOKUP(Tabla1[[#This Row],[CÓDIGO DEL PRODUCTO Y/O SERVICIO ]],Tabla3[],13)</f>
        <v>0</v>
      </c>
      <c r="NG56" s="346">
        <f>Tabla1[[#This Row],[CANTIDADES A UTILIZAR  AÑO 2 19 ]]*(1+Tabla1[[#This Row],[CAMBIO PORCENTUAL EN UNIDADES VENDIDAS AÑO 3 19 ]])</f>
        <v>0</v>
      </c>
      <c r="NH56" s="347">
        <f>VLOOKUP(Tabla1[[#This Row],[CÓDIGO DEL PRODUCTO Y/O SERVICIO ]],Tabla3[],17)</f>
        <v>0</v>
      </c>
      <c r="NI56" s="346">
        <f>Tabla1[[#This Row],[CANTIDADES A UTILIZAR  AÑO 3 19 ]]*(1+Tabla1[[#This Row],[CAMBIO PORCENTUAL EN UNIDADES VENDIDAS AÑO 4 19 ]])</f>
        <v>0</v>
      </c>
      <c r="NJ56" s="347">
        <f>VLOOKUP(Tabla1[[#This Row],[CÓDIGO DEL PRODUCTO Y/O SERVICIO ]],Tabla3[],21)</f>
        <v>0</v>
      </c>
      <c r="NK56" s="346">
        <f>Tabla1[[#This Row],[CANTIDADES A UTILIZAR AÑO 4 19 ]]*(1+Tabla1[[#This Row],[CAMBIO PORCENTUAL EN UNIDADES VENDIDAS AÑO 5 19 ]])</f>
        <v>0</v>
      </c>
      <c r="NL56" s="348">
        <f>IF(Tabla1[[#This Row],[CANTIDADES A UTILIZAR  AÑO 1 19 ]]=0,0,Tabla1[[#This Row],[CANTIDADES A UTILIZAR  AÑO 1 19 ]]*1/Tabla1[[#This Row],[UNIDADES PRODUCIDAS AÑO 1 19]])</f>
        <v>0</v>
      </c>
      <c r="NM56" s="348">
        <f>$D$31*(1+BASES!$E$10)</f>
        <v>0</v>
      </c>
      <c r="NN56" s="348">
        <f>Tabla1[[#This Row],[COSTO UNITARIO AÑO 2 19 ]]*(1+BASES!$F$10)</f>
        <v>0</v>
      </c>
      <c r="NO56" s="348">
        <f>Tabla1[[#This Row],[COSTO UNITARIO AÑO 3 19 ]]*(1+BASES!$G$10)</f>
        <v>0</v>
      </c>
      <c r="NP56" s="348">
        <f>Tabla1[[#This Row],[COSTO UNITARIO AÑO 4 19 ]]*(1+BASES!$H$10)</f>
        <v>0</v>
      </c>
      <c r="NQ56" s="348">
        <f>Tabla1[[#This Row],[COSTO POR UNIDAD DE PRODUCTO (19)]]*$D$31*VLOOKUP(Tabla1[[#This Row],[CÓDIGO DEL PRODUCTO Y/O SERVICIO ]],Tabla3[],3)</f>
        <v>0</v>
      </c>
      <c r="NR56" s="348">
        <f>Tabla1[[#This Row],[COSTO POR UNIDAD DE PRODUCTO (19)]]*Tabla1[[#This Row],[COSTO UNITARIO AÑO 2 19 ]]*VLOOKUP(Tabla1[[#This Row],[CÓDIGO DEL PRODUCTO Y/O SERVICIO ]],Tabla3[],6)</f>
        <v>0</v>
      </c>
      <c r="NS56" s="348">
        <f>Tabla1[[#This Row],[COSTO POR UNIDAD DE PRODUCTO (19)]]*Tabla1[[#This Row],[COSTO UNITARIO AÑO 3 19 ]]*VLOOKUP(Tabla1[[#This Row],[CÓDIGO DEL PRODUCTO Y/O SERVICIO ]],Tabla3[],10)</f>
        <v>0</v>
      </c>
      <c r="NT56" s="348">
        <f>Tabla1[[#This Row],[COSTO POR UNIDAD DE PRODUCTO (19)]]*Tabla1[[#This Row],[COSTO UNITARIO AÑO 4 19 ]]*VLOOKUP(Tabla1[[#This Row],[CÓDIGO DEL PRODUCTO Y/O SERVICIO ]],Tabla3[],14)</f>
        <v>0</v>
      </c>
      <c r="NU56" s="348">
        <f>Tabla1[[#This Row],[COSTO POR UNIDAD DE PRODUCTO (19)]]*Tabla1[[#This Row],[COSTO UNITARIO AÑO 5 19 ]]*VLOOKUP(Tabla1[[#This Row],[CÓDIGO DEL PRODUCTO Y/O SERVICIO ]],Tabla3[],18)</f>
        <v>0</v>
      </c>
      <c r="NV56" s="346">
        <f>VLOOKUP(Tabla1[[#This Row],[CÓDIGO DEL PRODUCTO Y/O SERVICIO ]],Tabla3[],3)</f>
        <v>0</v>
      </c>
      <c r="NW56" s="346">
        <f>Tabla1[[#This Row],[UNIDADES PRODUCIDAS AÑO 1 20 ]]*Y41</f>
        <v>0</v>
      </c>
      <c r="NX56" s="347">
        <f>VLOOKUP(Tabla1[[#This Row],[CÓDIGO DEL PRODUCTO Y/O SERVICIO ]],Tabla3[],9)</f>
        <v>0</v>
      </c>
      <c r="NY56" s="346">
        <f>Tabla1[[#This Row],[CANTIDADES A UTILIZAR AÑO 1 20]]*(1+Tabla1[[#This Row],[CAMBIO PORCENTUAL EN UNIDADES VENDIDAS AÑO 2 20 ]])</f>
        <v>0</v>
      </c>
      <c r="NZ56" s="347">
        <f>VLOOKUP(Tabla1[[#This Row],[CÓDIGO DEL PRODUCTO Y/O SERVICIO ]],Tabla3[],13)</f>
        <v>0</v>
      </c>
      <c r="OA56" s="346">
        <f>Tabla1[[#This Row],[CANTIDADES A UTILIZAR  AÑO 2 20 ]]*(1+Tabla1[[#This Row],[CAMBIO PORCENTUAL EN UNIDADES VENDIDAS AÑO 3 20 ]])</f>
        <v>0</v>
      </c>
      <c r="OB56" s="347">
        <f>VLOOKUP(Tabla1[[#This Row],[CÓDIGO DEL PRODUCTO Y/O SERVICIO ]],Tabla3[],17)</f>
        <v>0</v>
      </c>
      <c r="OC56" s="346">
        <f>Tabla1[[#This Row],[CANTIDADES A UTILIZAR  AÑO 3 20 ]]*(1+Tabla1[[#This Row],[CAMBIO PORCENTUAL EN UNIDADES VENDIDAS AÑO 4 20 ]])</f>
        <v>0</v>
      </c>
      <c r="OD56" s="347">
        <f>VLOOKUP(Tabla1[[#This Row],[CÓDIGO DEL PRODUCTO Y/O SERVICIO ]],Tabla3[],21)</f>
        <v>0</v>
      </c>
      <c r="OE56" s="346">
        <f>Tabla1[[#This Row],[CANTIDADES A UTILIZAR  AÑO 4 20 ]]*(1+Tabla1[[#This Row],[CAMBIO PORCENTUAL EN UNIDADES VENDIDAS AÑO 5 20 ]])</f>
        <v>0</v>
      </c>
      <c r="OF56" s="348">
        <f>IF(Tabla1[[#This Row],[CANTIDADES A UTILIZAR AÑO 1 20]]=0,0,Tabla1[[#This Row],[CANTIDADES A UTILIZAR AÑO 1 20]]*1/Tabla1[[#This Row],[UNIDADES PRODUCIDAS AÑO 1 20 ]])</f>
        <v>0</v>
      </c>
      <c r="OG56" s="348">
        <f>$D$32*(1+BASES!$E$10)</f>
        <v>0</v>
      </c>
      <c r="OH56" s="348">
        <f>Tabla1[[#This Row],[COSTO UNITARIO AÑO 2 20 ]]*(1+BASES!$F$10)</f>
        <v>0</v>
      </c>
      <c r="OI56" s="348">
        <f>Tabla1[[#This Row],[COSTO UNITARIO AÑO 3 20 ]]*(1+BASES!$G$10)</f>
        <v>0</v>
      </c>
      <c r="OJ56" s="348">
        <f>Tabla1[[#This Row],[COSTO UNITARIO AÑO 4 20 ]]*(1+BASES!$H$10)</f>
        <v>0</v>
      </c>
      <c r="OK56" s="348">
        <f>Tabla1[[#This Row],[COSTO POR UNIDAD DE PRODUCTO (20)]]*$D$32*VLOOKUP(Tabla1[[#This Row],[CÓDIGO DEL PRODUCTO Y/O SERVICIO ]],Tabla3[],3)</f>
        <v>0</v>
      </c>
      <c r="OL56" s="348">
        <f>Tabla1[[#This Row],[COSTO POR UNIDAD DE PRODUCTO (20)]]*Tabla1[[#This Row],[COSTO UNITARIO AÑO 2 20 ]]*VLOOKUP(Tabla1[[#This Row],[CÓDIGO DEL PRODUCTO Y/O SERVICIO ]],Tabla3[],6)</f>
        <v>0</v>
      </c>
      <c r="OM56" s="348">
        <f>Tabla1[[#This Row],[COSTO POR UNIDAD DE PRODUCTO (20)]]*Tabla1[[#This Row],[COSTO UNITARIO AÑO 3 20 ]]*VLOOKUP(Tabla1[[#This Row],[CÓDIGO DEL PRODUCTO Y/O SERVICIO ]],Tabla3[],10)</f>
        <v>0</v>
      </c>
      <c r="ON56" s="348">
        <f>Tabla1[[#This Row],[COSTO POR UNIDAD DE PRODUCTO (20)]]*Tabla1[[#This Row],[COSTO UNITARIO AÑO 4 20 ]]*VLOOKUP(Tabla1[[#This Row],[CÓDIGO DEL PRODUCTO Y/O SERVICIO ]],Tabla3[],14)</f>
        <v>0</v>
      </c>
      <c r="OO56" s="348">
        <f>Tabla1[[#This Row],[COSTO POR UNIDAD DE PRODUCTO (20)]]*Tabla1[[#This Row],[COSTO UNITARIO AÑO 5 20 ]]*VLOOKUP(Tabla1[[#This Row],[CÓDIGO DEL PRODUCTO Y/O SERVICIO ]],Tabla3[],18)</f>
        <v>0</v>
      </c>
      <c r="OP56" s="348">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6" s="348">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6" s="348">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6" s="348">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6" s="348">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9" spans="3:410" x14ac:dyDescent="0.25">
      <c r="F59" s="326"/>
    </row>
    <row r="60" spans="3:410" x14ac:dyDescent="0.25">
      <c r="E60" s="326"/>
      <c r="F60" s="326"/>
    </row>
    <row r="63" spans="3:410" x14ac:dyDescent="0.25">
      <c r="C63" s="330"/>
      <c r="D63" s="330"/>
    </row>
    <row r="64" spans="3:410" x14ac:dyDescent="0.25">
      <c r="C64" s="330"/>
      <c r="D64" s="330"/>
    </row>
    <row r="65" spans="1:405" x14ac:dyDescent="0.25">
      <c r="C65" s="330"/>
      <c r="D65" s="330"/>
    </row>
    <row r="66" spans="1:405" ht="15.75" x14ac:dyDescent="0.25">
      <c r="C66" s="330"/>
      <c r="D66" s="330"/>
      <c r="U66" s="378"/>
      <c r="V66" s="378"/>
      <c r="W66" s="378"/>
      <c r="X66" s="378"/>
      <c r="Y66" s="378"/>
      <c r="AO66" s="378"/>
      <c r="AP66" s="378"/>
      <c r="AQ66" s="378"/>
      <c r="AR66" s="378"/>
      <c r="AS66" s="378"/>
    </row>
    <row r="67" spans="1:405" ht="15.75" hidden="1" x14ac:dyDescent="0.25">
      <c r="A67" s="7"/>
      <c r="B67" s="7"/>
      <c r="C67" s="379"/>
      <c r="D67" s="379"/>
      <c r="E67" s="7"/>
      <c r="F67" s="7"/>
      <c r="G67" s="7"/>
      <c r="H67" s="7"/>
      <c r="I67" s="7"/>
      <c r="J67" s="7"/>
      <c r="K67" s="7"/>
      <c r="L67" s="7"/>
      <c r="M67" s="7"/>
      <c r="N67" s="7"/>
      <c r="O67" s="7"/>
      <c r="P67" s="7"/>
      <c r="Q67" s="7"/>
      <c r="R67" s="7"/>
      <c r="S67" s="7"/>
      <c r="T67" s="7"/>
      <c r="U67" s="380">
        <f>SUM(Tabla1[AÑO 1])</f>
        <v>0</v>
      </c>
      <c r="V67" s="380">
        <f>SUM(Tabla1[AÑO 2])</f>
        <v>0</v>
      </c>
      <c r="W67" s="380">
        <f>SUM(Tabla1[[AÑO 3 ]])</f>
        <v>0</v>
      </c>
      <c r="X67" s="380">
        <f>SUM(Tabla1[[AÑO 4 ]])</f>
        <v>0</v>
      </c>
      <c r="Y67" s="380">
        <f>SUM(Tabla1[[AÑO 5 ]])</f>
        <v>0</v>
      </c>
      <c r="Z67" s="7"/>
      <c r="AA67" s="7"/>
      <c r="AB67" s="7"/>
      <c r="AC67" s="7"/>
      <c r="AD67" s="7"/>
      <c r="AE67" s="7"/>
      <c r="AF67" s="7"/>
      <c r="AG67" s="7"/>
      <c r="AH67" s="7"/>
      <c r="AI67" s="7"/>
      <c r="AJ67" s="7"/>
      <c r="AK67" s="7"/>
      <c r="AL67" s="7"/>
      <c r="AM67" s="7"/>
      <c r="AN67" s="7"/>
      <c r="AO67" s="380">
        <f>SUM(Tabla1[AÑO 1 2])</f>
        <v>0</v>
      </c>
      <c r="AP67" s="380">
        <f>SUM(Tabla1[AÑO 2 2])</f>
        <v>0</v>
      </c>
      <c r="AQ67" s="380">
        <f>SUM(Tabla1[AÑO 3 2])</f>
        <v>0</v>
      </c>
      <c r="AR67" s="380">
        <f>SUM(Tabla1[AÑO 4 2])</f>
        <v>0</v>
      </c>
      <c r="AS67" s="380">
        <f>SUM(Tabla1[AÑO 5 2])</f>
        <v>0</v>
      </c>
      <c r="AT67" s="7"/>
      <c r="AU67" s="7"/>
      <c r="AV67" s="7"/>
      <c r="AW67" s="7"/>
      <c r="AX67" s="7"/>
      <c r="AY67" s="7"/>
      <c r="AZ67" s="7"/>
      <c r="BA67" s="7"/>
      <c r="BB67" s="7"/>
      <c r="BC67" s="7"/>
      <c r="BD67" s="7"/>
      <c r="BE67" s="7"/>
      <c r="BF67" s="7"/>
      <c r="BG67" s="7"/>
      <c r="BH67" s="7"/>
      <c r="BI67" s="380">
        <f>SUM(Tabla1[AÑO 1 3])</f>
        <v>0</v>
      </c>
      <c r="BJ67" s="380">
        <f>SUM(Tabla1[AÑO 2 3])</f>
        <v>0</v>
      </c>
      <c r="BK67" s="380">
        <f>SUM(Tabla1[AÑO 3 3])</f>
        <v>0</v>
      </c>
      <c r="BL67" s="380">
        <f>SUM(Tabla1[AÑO 4 3])</f>
        <v>0</v>
      </c>
      <c r="BM67" s="380">
        <f>SUM(Tabla1[AÑO 5 3])</f>
        <v>0</v>
      </c>
      <c r="BN67" s="7"/>
      <c r="BO67" s="7"/>
      <c r="BP67" s="7"/>
      <c r="BQ67" s="7"/>
      <c r="BR67" s="7"/>
      <c r="BS67" s="7"/>
      <c r="BT67" s="7"/>
      <c r="BU67" s="7"/>
      <c r="BV67" s="7"/>
      <c r="BW67" s="7"/>
      <c r="BX67" s="7"/>
      <c r="BY67" s="7"/>
      <c r="BZ67" s="7"/>
      <c r="CA67" s="7"/>
      <c r="CB67" s="7"/>
      <c r="CC67" s="380">
        <f>SUM(Tabla1[AÑO 1 4])</f>
        <v>0</v>
      </c>
      <c r="CD67" s="380">
        <f>SUM(Tabla1[AÑO 2 4])</f>
        <v>0</v>
      </c>
      <c r="CE67" s="380">
        <f>SUM(Tabla1[AÑO 3 4])</f>
        <v>0</v>
      </c>
      <c r="CF67" s="380">
        <f>SUM(Tabla1[AÑO 4 4])</f>
        <v>0</v>
      </c>
      <c r="CG67" s="380">
        <f>SUM(Tabla1[AÑO 5 4])</f>
        <v>0</v>
      </c>
      <c r="CH67" s="7"/>
      <c r="CI67" s="7"/>
      <c r="CJ67" s="7"/>
      <c r="CK67" s="7"/>
      <c r="CL67" s="7"/>
      <c r="CM67" s="7"/>
      <c r="CN67" s="7"/>
      <c r="CO67" s="7"/>
      <c r="CP67" s="7"/>
      <c r="CQ67" s="7"/>
      <c r="CR67" s="7"/>
      <c r="CS67" s="7"/>
      <c r="CT67" s="7"/>
      <c r="CU67" s="7"/>
      <c r="CV67" s="7"/>
      <c r="CW67" s="380">
        <f>SUM(Tabla1[AÑO 1 5])</f>
        <v>0</v>
      </c>
      <c r="CX67" s="380">
        <f>SUM(Tabla1[AÑO 2 5])</f>
        <v>0</v>
      </c>
      <c r="CY67" s="380">
        <f>SUM(Tabla1[[AÑO 3 5 ]])</f>
        <v>0</v>
      </c>
      <c r="CZ67" s="380">
        <f>SUM(Tabla1[AÑO 4 5])</f>
        <v>0</v>
      </c>
      <c r="DA67" s="380">
        <f>SUM(Tabla1[AÑO 5 5])</f>
        <v>0</v>
      </c>
      <c r="DB67" s="7"/>
      <c r="DC67" s="7"/>
      <c r="DD67" s="7"/>
      <c r="DE67" s="7"/>
      <c r="DF67" s="7"/>
      <c r="DG67" s="7"/>
      <c r="DH67" s="7"/>
      <c r="DI67" s="7"/>
      <c r="DJ67" s="7"/>
      <c r="DK67" s="7"/>
      <c r="DL67" s="7"/>
      <c r="DM67" s="7"/>
      <c r="DN67" s="7"/>
      <c r="DO67" s="7"/>
      <c r="DP67" s="7"/>
      <c r="DQ67" s="380">
        <f>SUM(Tabla1[AÑO 1 6])</f>
        <v>0</v>
      </c>
      <c r="DR67" s="380">
        <f>SUM(Tabla1[AÑO 2 6])</f>
        <v>0</v>
      </c>
      <c r="DS67" s="380">
        <f>SUM(Tabla1[AÑO 3 6])</f>
        <v>0</v>
      </c>
      <c r="DT67" s="380">
        <f>SUM(Tabla1[AÑO 4 6])</f>
        <v>0</v>
      </c>
      <c r="DU67" s="380">
        <f>SUM(Tabla1[AÑO 5 6])</f>
        <v>0</v>
      </c>
      <c r="DV67" s="7"/>
      <c r="DW67" s="7"/>
      <c r="DX67" s="7"/>
      <c r="DY67" s="7"/>
      <c r="DZ67" s="7"/>
      <c r="EA67" s="7"/>
      <c r="EB67" s="7"/>
      <c r="EC67" s="7"/>
      <c r="ED67" s="7"/>
      <c r="EE67" s="7"/>
      <c r="EF67" s="7"/>
      <c r="EG67" s="7"/>
      <c r="EH67" s="7"/>
      <c r="EI67" s="7"/>
      <c r="EJ67" s="7"/>
      <c r="EK67" s="380">
        <f>SUM(Tabla1[AÑO 1 7])</f>
        <v>0</v>
      </c>
      <c r="EL67" s="380">
        <f>SUM(Tabla1[AÑO 2 7])</f>
        <v>0</v>
      </c>
      <c r="EM67" s="380">
        <f>SUM(Tabla1[AÑO 3 7])</f>
        <v>0</v>
      </c>
      <c r="EN67" s="380">
        <f>SUM(Tabla1[[AÑO 4 7 ]])</f>
        <v>0</v>
      </c>
      <c r="EO67" s="380">
        <f>SUM(Tabla1[AÑO 5 7])</f>
        <v>0</v>
      </c>
      <c r="EP67" s="7"/>
      <c r="EQ67" s="7"/>
      <c r="ER67" s="7"/>
      <c r="ES67" s="7"/>
      <c r="ET67" s="7"/>
      <c r="EU67" s="7"/>
      <c r="EV67" s="7"/>
      <c r="EW67" s="7"/>
      <c r="EX67" s="7"/>
      <c r="EY67" s="7"/>
      <c r="EZ67" s="7"/>
      <c r="FA67" s="7"/>
      <c r="FB67" s="7"/>
      <c r="FC67" s="7"/>
      <c r="FD67" s="7"/>
      <c r="FE67" s="380">
        <f>SUM(Tabla1[AÑO 1 8])</f>
        <v>0</v>
      </c>
      <c r="FF67" s="380">
        <f>SUM(Tabla1[AÑO 2 8])</f>
        <v>0</v>
      </c>
      <c r="FG67" s="380">
        <f>SUM(Tabla1[AÑO 3 8])</f>
        <v>0</v>
      </c>
      <c r="FH67" s="380">
        <f>SUM(Tabla1[AÑO 4 8])</f>
        <v>0</v>
      </c>
      <c r="FI67" s="380">
        <f>SUM(Tabla1[AÑO 5 8])</f>
        <v>0</v>
      </c>
      <c r="FJ67" s="7"/>
      <c r="FK67" s="7"/>
      <c r="FL67" s="7"/>
      <c r="FM67" s="7"/>
      <c r="FN67" s="7"/>
      <c r="FO67" s="7"/>
      <c r="FP67" s="7"/>
      <c r="FQ67" s="7"/>
      <c r="FR67" s="7"/>
      <c r="FS67" s="7"/>
      <c r="FT67" s="7"/>
      <c r="FU67" s="7"/>
      <c r="FV67" s="7"/>
      <c r="FW67" s="7"/>
      <c r="FX67" s="7"/>
      <c r="FY67" s="380">
        <f>SUM(Tabla1[AÑO 1 9])</f>
        <v>0</v>
      </c>
      <c r="FZ67" s="380">
        <f>SUM(Tabla1[[AÑO 2 9 ]])</f>
        <v>0</v>
      </c>
      <c r="GA67" s="380">
        <f>SUM(Tabla1[AÑO 3 9])</f>
        <v>0</v>
      </c>
      <c r="GB67" s="380">
        <f>SUM(Tabla1[[AÑO 4 9 ]])</f>
        <v>0</v>
      </c>
      <c r="GC67" s="380">
        <f>SUM(Tabla1[[AÑO 5 9 ]])</f>
        <v>0</v>
      </c>
      <c r="GD67" s="7"/>
      <c r="GE67" s="7"/>
      <c r="GF67" s="7"/>
      <c r="GG67" s="7"/>
      <c r="GH67" s="7"/>
      <c r="GI67" s="7"/>
      <c r="GJ67" s="7"/>
      <c r="GK67" s="7"/>
      <c r="GL67" s="7"/>
      <c r="GM67" s="7"/>
      <c r="GN67" s="7"/>
      <c r="GO67" s="7"/>
      <c r="GP67" s="7"/>
      <c r="GQ67" s="7"/>
      <c r="GR67" s="7"/>
      <c r="GS67" s="380">
        <f>SUM(Tabla1[[AÑO 1 10 ]])</f>
        <v>0</v>
      </c>
      <c r="GT67" s="380">
        <f>SUM(Tabla1[[AÑO 2 10 ]])</f>
        <v>0</v>
      </c>
      <c r="GU67" s="380">
        <f>SUM(Tabla1[[AÑO 3 10 ]])</f>
        <v>0</v>
      </c>
      <c r="GV67" s="380">
        <f>SUM(Tabla1[[AÑO 4 10 ]])</f>
        <v>0</v>
      </c>
      <c r="GW67" s="380">
        <f>SUM(Tabla1[[AÑO 5 10 ]])</f>
        <v>0</v>
      </c>
      <c r="GX67" s="7"/>
      <c r="GY67" s="7"/>
      <c r="GZ67" s="7"/>
      <c r="HA67" s="7"/>
      <c r="HB67" s="7"/>
      <c r="HC67" s="7"/>
      <c r="HD67" s="7"/>
      <c r="HE67" s="7"/>
      <c r="HF67" s="7"/>
      <c r="HG67" s="7"/>
      <c r="HH67" s="7"/>
      <c r="HI67" s="7"/>
      <c r="HJ67" s="7"/>
      <c r="HK67" s="7"/>
      <c r="HL67" s="7"/>
      <c r="HM67" s="380">
        <f>SUM(Tabla1[[AÑO 1 11 ]])</f>
        <v>0</v>
      </c>
      <c r="HN67" s="380">
        <f>SUM(Tabla1[[AÑO 2 11 ]])</f>
        <v>0</v>
      </c>
      <c r="HO67" s="380">
        <f>SUM(Tabla1[AÑO 3 11])</f>
        <v>0</v>
      </c>
      <c r="HP67" s="380">
        <f>SUM(Tabla1[[AÑO 4 11 ]])</f>
        <v>0</v>
      </c>
      <c r="HQ67" s="380">
        <f>SUM(Tabla1[[AÑO 5 11 ]])</f>
        <v>0</v>
      </c>
      <c r="HR67" s="7"/>
      <c r="HS67" s="7"/>
      <c r="HT67" s="7"/>
      <c r="HU67" s="7"/>
      <c r="HV67" s="7"/>
      <c r="HW67" s="7"/>
      <c r="HX67" s="7"/>
      <c r="HY67" s="7"/>
      <c r="HZ67" s="7"/>
      <c r="IA67" s="7"/>
      <c r="IB67" s="7"/>
      <c r="IC67" s="7"/>
      <c r="ID67" s="7"/>
      <c r="IE67" s="7"/>
      <c r="IF67" s="7"/>
      <c r="IG67" s="380">
        <f>SUM(Tabla1[AÑO 1 12])</f>
        <v>0</v>
      </c>
      <c r="IH67" s="380">
        <f>SUM(Tabla1[AÑO 2 12])</f>
        <v>0</v>
      </c>
      <c r="II67" s="380">
        <f>SUM(Tabla1[AÑO 3 12])</f>
        <v>0</v>
      </c>
      <c r="IJ67" s="380">
        <f>SUM(Tabla1[AÑO 4 12])</f>
        <v>0</v>
      </c>
      <c r="IK67" s="380">
        <f>SUM(Tabla1[AÑO 5 12])</f>
        <v>0</v>
      </c>
      <c r="IL67" s="7"/>
      <c r="IM67" s="7"/>
      <c r="IN67" s="7"/>
      <c r="IO67" s="7"/>
      <c r="IP67" s="7"/>
      <c r="IQ67" s="7"/>
      <c r="IR67" s="7"/>
      <c r="IS67" s="7"/>
      <c r="IT67" s="7"/>
      <c r="IU67" s="7"/>
      <c r="IV67" s="7"/>
      <c r="IW67" s="7"/>
      <c r="IX67" s="7"/>
      <c r="IY67" s="7"/>
      <c r="IZ67" s="7"/>
      <c r="JA67" s="380">
        <f>SUM(Tabla1[AÑO 1 13])</f>
        <v>0</v>
      </c>
      <c r="JB67" s="380">
        <f>SUM(Tabla1[AÑO 2 13])</f>
        <v>0</v>
      </c>
      <c r="JC67" s="380">
        <f>SUM(Tabla1[AÑO 3 13])</f>
        <v>0</v>
      </c>
      <c r="JD67" s="380">
        <f>SUM(Tabla1[AÑO 4 13])</f>
        <v>0</v>
      </c>
      <c r="JE67" s="380">
        <f>SUM(Tabla1[AÑO 5 13])</f>
        <v>0</v>
      </c>
      <c r="JF67" s="7"/>
      <c r="JG67" s="7"/>
      <c r="JH67" s="7"/>
      <c r="JI67" s="7"/>
      <c r="JJ67" s="7"/>
      <c r="JK67" s="7"/>
      <c r="JL67" s="7"/>
      <c r="JM67" s="7"/>
      <c r="JN67" s="7"/>
      <c r="JO67" s="7"/>
      <c r="JP67" s="7"/>
      <c r="JQ67" s="7"/>
      <c r="JR67" s="7"/>
      <c r="JS67" s="7"/>
      <c r="JT67" s="7"/>
      <c r="JU67" s="380">
        <f>SUM(Tabla1[AÑO 1 14])</f>
        <v>0</v>
      </c>
      <c r="JV67" s="380">
        <f>SUM(Tabla1[AÑO 2 14])</f>
        <v>0</v>
      </c>
      <c r="JW67" s="380">
        <f>SUM(Tabla1[AÑO 3 14])</f>
        <v>0</v>
      </c>
      <c r="JX67" s="380">
        <f>SUM(Tabla1[AÑO 4 14])</f>
        <v>0</v>
      </c>
      <c r="JY67" s="380">
        <f>SUM(Tabla1[AÑO 5 14])</f>
        <v>0</v>
      </c>
      <c r="JZ67" s="7"/>
      <c r="KA67" s="7"/>
      <c r="KB67" s="7"/>
      <c r="KC67" s="7"/>
      <c r="KD67" s="7"/>
      <c r="KE67" s="7"/>
      <c r="KF67" s="7"/>
      <c r="KG67" s="7"/>
      <c r="KH67" s="7"/>
      <c r="KI67" s="7"/>
      <c r="KJ67" s="7"/>
      <c r="KK67" s="7"/>
      <c r="KL67" s="7"/>
      <c r="KM67" s="7"/>
      <c r="KN67" s="7"/>
      <c r="KO67" s="380">
        <f>SUM(Tabla1[AÑO 1 15])</f>
        <v>0</v>
      </c>
      <c r="KP67" s="380">
        <f>SUM(Tabla1[AÑO 2 15])</f>
        <v>0</v>
      </c>
      <c r="KQ67" s="380">
        <f>SUM(Tabla1[AÑO 3 15])</f>
        <v>0</v>
      </c>
      <c r="KR67" s="380">
        <f>SUM(Tabla1[AÑO 4 15])</f>
        <v>0</v>
      </c>
      <c r="KS67" s="380">
        <f>SUM(Tabla1[AÑO 5 15])</f>
        <v>0</v>
      </c>
      <c r="KT67" s="7"/>
      <c r="KU67" s="7"/>
      <c r="KV67" s="7"/>
      <c r="KW67" s="7"/>
      <c r="KX67" s="7"/>
      <c r="KY67" s="7"/>
      <c r="KZ67" s="7"/>
      <c r="LA67" s="7"/>
      <c r="LB67" s="7"/>
      <c r="LC67" s="7"/>
      <c r="LD67" s="7"/>
      <c r="LE67" s="7"/>
      <c r="LF67" s="7"/>
      <c r="LG67" s="7"/>
      <c r="LH67" s="7"/>
      <c r="LI67" s="380">
        <f>SUM(Tabla1[AÑO 1 16])</f>
        <v>0</v>
      </c>
      <c r="LJ67" s="380">
        <f>SUM(Tabla1[AÑO 2 16])</f>
        <v>0</v>
      </c>
      <c r="LK67" s="380">
        <f>SUM(Tabla1[AÑO 3 16])</f>
        <v>0</v>
      </c>
      <c r="LL67" s="380">
        <f>SUM(Tabla1[AÑO 4 16])</f>
        <v>0</v>
      </c>
      <c r="LM67" s="380">
        <f>SUM(Tabla1[AÑO 5 16])</f>
        <v>0</v>
      </c>
      <c r="LN67" s="7"/>
      <c r="LO67" s="7"/>
      <c r="LP67" s="7"/>
      <c r="LQ67" s="7"/>
      <c r="LR67" s="7"/>
      <c r="LS67" s="7"/>
      <c r="LT67" s="7"/>
      <c r="LU67" s="7"/>
      <c r="LV67" s="7"/>
      <c r="LW67" s="7"/>
      <c r="LX67" s="7"/>
      <c r="LY67" s="7"/>
      <c r="LZ67" s="7"/>
      <c r="MA67" s="7"/>
      <c r="MB67" s="7"/>
      <c r="MC67" s="380">
        <f>SUM(Tabla1[AÑO 1 17])</f>
        <v>0</v>
      </c>
      <c r="MD67" s="380">
        <f>SUM(Tabla1[AÑO 2 17])</f>
        <v>0</v>
      </c>
      <c r="ME67" s="380">
        <f>SUM(Tabla1[AÑO 3 17])</f>
        <v>0</v>
      </c>
      <c r="MF67" s="380">
        <f>SUM(Tabla1[AÑO 4 17])</f>
        <v>0</v>
      </c>
      <c r="MG67" s="380">
        <f>SUM(Tabla1[AÑO 5 17])</f>
        <v>0</v>
      </c>
      <c r="MH67" s="7"/>
      <c r="MI67" s="7"/>
      <c r="MJ67" s="7"/>
      <c r="MK67" s="7"/>
      <c r="ML67" s="7"/>
      <c r="MM67" s="7"/>
      <c r="MN67" s="7"/>
      <c r="MO67" s="7"/>
      <c r="MP67" s="7"/>
      <c r="MQ67" s="7"/>
      <c r="MR67" s="7"/>
      <c r="MS67" s="7"/>
      <c r="MT67" s="7"/>
      <c r="MU67" s="7"/>
      <c r="MV67" s="7"/>
      <c r="MW67" s="380">
        <f>SUM(Tabla1[[AÑO 1 18 ]])</f>
        <v>0</v>
      </c>
      <c r="MX67" s="380">
        <f>SUM(Tabla1[[AÑO 2 18 ]])</f>
        <v>0</v>
      </c>
      <c r="MY67" s="380">
        <f>SUM(Tabla1[[AÑO 3 18 ]])</f>
        <v>0</v>
      </c>
      <c r="MZ67" s="380">
        <f>SUM(Tabla1[[AÑO 4 18 ]])</f>
        <v>0</v>
      </c>
      <c r="NA67" s="380">
        <f>SUM(Tabla1[[AÑO 5 18 ]])</f>
        <v>0</v>
      </c>
      <c r="NQ67" s="378">
        <f>SUM(Tabla1[[AÑO 1 19 ]])</f>
        <v>0</v>
      </c>
      <c r="NR67" s="378">
        <f>SUM(Tabla1[[AÑO 2 19 ]])</f>
        <v>0</v>
      </c>
      <c r="NS67" s="378">
        <f>SUM(Tabla1[[AÑO 3 19 ]])</f>
        <v>0</v>
      </c>
      <c r="NT67" s="378">
        <f>SUM(Tabla1[[AÑO 4 19 ]])</f>
        <v>0</v>
      </c>
      <c r="NU67" s="378">
        <f>SUM(Tabla1[[AÑO 5 19 ]])</f>
        <v>0</v>
      </c>
      <c r="OK67" s="378">
        <f>SUM(Tabla1[[AÑO 1 20 ]])</f>
        <v>0</v>
      </c>
      <c r="OL67" s="378">
        <f>SUM(Tabla1[[AÑO 2 20 ]])</f>
        <v>0</v>
      </c>
      <c r="OM67" s="378">
        <f>SUM(Tabla1[[AÑO 3 20 ]])</f>
        <v>0</v>
      </c>
      <c r="ON67" s="378">
        <f>SUM(Tabla1[[AÑO 4 20 ]])</f>
        <v>0</v>
      </c>
      <c r="OO67" s="378">
        <f>SUM(Tabla1[[AÑO 5 20 ]])</f>
        <v>0</v>
      </c>
    </row>
    <row r="68" spans="1:405" x14ac:dyDescent="0.25">
      <c r="C68" s="330"/>
      <c r="D68" s="330"/>
    </row>
    <row r="69" spans="1:405" x14ac:dyDescent="0.25">
      <c r="C69" s="330"/>
      <c r="D69" s="330"/>
    </row>
    <row r="70" spans="1:405" x14ac:dyDescent="0.25">
      <c r="C70" s="330"/>
      <c r="D70" s="330"/>
    </row>
    <row r="71" spans="1:405" x14ac:dyDescent="0.25">
      <c r="C71" s="330"/>
      <c r="D71" s="330"/>
    </row>
    <row r="72" spans="1:405" ht="15.75" x14ac:dyDescent="0.25">
      <c r="B72" s="69" t="s">
        <v>42</v>
      </c>
      <c r="C72" s="367" t="s">
        <v>440</v>
      </c>
      <c r="D72" s="330"/>
    </row>
    <row r="73" spans="1:405" ht="15.75" x14ac:dyDescent="0.25">
      <c r="B73" s="333"/>
      <c r="C73" s="364"/>
      <c r="D73" s="330"/>
    </row>
    <row r="74" spans="1:405" ht="15.75" x14ac:dyDescent="0.25">
      <c r="B74" s="336"/>
      <c r="C74" s="365"/>
      <c r="D74" s="330"/>
    </row>
    <row r="75" spans="1:405" ht="15.75" x14ac:dyDescent="0.25">
      <c r="B75" s="336"/>
      <c r="C75" s="365"/>
      <c r="D75" s="330"/>
    </row>
    <row r="76" spans="1:405" ht="15.75" x14ac:dyDescent="0.25">
      <c r="B76" s="336"/>
      <c r="C76" s="365"/>
      <c r="D76" s="330"/>
    </row>
    <row r="77" spans="1:405" ht="15.75" x14ac:dyDescent="0.25">
      <c r="B77" s="336"/>
      <c r="C77" s="365"/>
      <c r="D77" s="330"/>
    </row>
    <row r="78" spans="1:405" ht="15.75" x14ac:dyDescent="0.25">
      <c r="B78" s="336"/>
      <c r="C78" s="365"/>
      <c r="D78" s="330"/>
    </row>
    <row r="79" spans="1:405" ht="15.75" x14ac:dyDescent="0.25">
      <c r="B79" s="336"/>
      <c r="C79" s="365"/>
      <c r="D79" s="330"/>
    </row>
    <row r="80" spans="1:405" ht="15.75" x14ac:dyDescent="0.25">
      <c r="B80" s="336"/>
      <c r="C80" s="365"/>
      <c r="D80" s="330"/>
    </row>
    <row r="81" spans="2:29" ht="15.75" x14ac:dyDescent="0.25">
      <c r="B81" s="336"/>
      <c r="C81" s="365"/>
      <c r="D81" s="330"/>
    </row>
    <row r="82" spans="2:29" ht="15.75" x14ac:dyDescent="0.25">
      <c r="B82" s="339"/>
      <c r="C82" s="366"/>
      <c r="D82" s="330"/>
    </row>
    <row r="83" spans="2:29" x14ac:dyDescent="0.25">
      <c r="C83" s="330"/>
      <c r="D83" s="330"/>
    </row>
    <row r="84" spans="2:29" x14ac:dyDescent="0.25">
      <c r="C84" s="330"/>
      <c r="D84" s="330"/>
    </row>
    <row r="85" spans="2:29" x14ac:dyDescent="0.25">
      <c r="C85" s="330"/>
      <c r="D85" s="330"/>
    </row>
    <row r="86" spans="2:29" x14ac:dyDescent="0.25">
      <c r="C86" s="330"/>
      <c r="D86" s="330"/>
    </row>
    <row r="87" spans="2:29" x14ac:dyDescent="0.25">
      <c r="C87" s="330"/>
      <c r="D87" s="330"/>
    </row>
    <row r="88" spans="2:29" ht="15.75" x14ac:dyDescent="0.25">
      <c r="C88" s="330"/>
      <c r="D88" s="330"/>
      <c r="F88" s="609" t="s">
        <v>650</v>
      </c>
      <c r="G88" s="610"/>
      <c r="H88" s="610"/>
      <c r="I88" s="610"/>
      <c r="J88" s="610"/>
      <c r="K88" s="610"/>
      <c r="L88" s="610"/>
      <c r="M88" s="610"/>
      <c r="N88" s="610"/>
      <c r="O88" s="611"/>
      <c r="P88"/>
      <c r="Q88"/>
      <c r="R88"/>
      <c r="S88"/>
      <c r="T88"/>
      <c r="U88"/>
      <c r="V88"/>
      <c r="W88"/>
      <c r="X88"/>
      <c r="Y88"/>
      <c r="Z88"/>
      <c r="AA88"/>
      <c r="AB88"/>
      <c r="AC88"/>
    </row>
    <row r="89" spans="2:29" ht="15.75" x14ac:dyDescent="0.25">
      <c r="C89" s="367" t="s">
        <v>437</v>
      </c>
      <c r="D89" s="367" t="s">
        <v>438</v>
      </c>
      <c r="E89" s="52"/>
      <c r="F89" s="454" cm="1">
        <f t="array" ref="F89:O89">TRANSPOSE(Tabla4[[MANO DE OBRA DIRECTA ]])</f>
        <v>0</v>
      </c>
      <c r="G89" s="454">
        <v>0</v>
      </c>
      <c r="H89" s="454">
        <v>0</v>
      </c>
      <c r="I89" s="454">
        <v>0</v>
      </c>
      <c r="J89" s="454">
        <v>0</v>
      </c>
      <c r="K89" s="454">
        <v>0</v>
      </c>
      <c r="L89" s="454">
        <v>0</v>
      </c>
      <c r="M89" s="454">
        <v>0</v>
      </c>
      <c r="N89" s="454">
        <v>0</v>
      </c>
      <c r="O89" s="454">
        <v>0</v>
      </c>
      <c r="P89"/>
      <c r="Q89"/>
      <c r="R89"/>
      <c r="S89"/>
      <c r="T89"/>
      <c r="U89"/>
      <c r="V89"/>
      <c r="W89"/>
      <c r="X89"/>
      <c r="Y89"/>
      <c r="Z89"/>
      <c r="AA89"/>
      <c r="AB89"/>
      <c r="AC89"/>
    </row>
    <row r="90" spans="2:29" ht="15.75" x14ac:dyDescent="0.25">
      <c r="C90" s="435">
        <v>0</v>
      </c>
      <c r="D90" s="368" t="str">
        <f>VLOOKUP(Tabla10[[#This Row],[CÓDIGO DEL PRODUCTO Y/O SERVICIO ]],Tabla3[],2,0)</f>
        <v xml:space="preserve">Seleccionar producto o servicio </v>
      </c>
      <c r="E90" s="104"/>
      <c r="F90" s="71"/>
      <c r="G90" s="71"/>
      <c r="H90" s="71"/>
      <c r="I90" s="71"/>
      <c r="J90" s="71"/>
      <c r="K90" s="71"/>
      <c r="L90" s="71"/>
      <c r="M90" s="71"/>
      <c r="N90" s="71"/>
      <c r="O90" s="71"/>
      <c r="P90"/>
      <c r="Q90"/>
      <c r="R90"/>
      <c r="S90"/>
      <c r="T90"/>
      <c r="U90"/>
      <c r="V90"/>
      <c r="W90"/>
      <c r="X90"/>
      <c r="Y90"/>
      <c r="Z90"/>
      <c r="AA90"/>
      <c r="AB90"/>
      <c r="AC90"/>
    </row>
    <row r="91" spans="2:29" ht="15.75" x14ac:dyDescent="0.25">
      <c r="C91" s="361"/>
      <c r="D91" s="368" t="str">
        <f>VLOOKUP(Tabla10[[#This Row],[CÓDIGO DEL PRODUCTO Y/O SERVICIO ]],Tabla3[],2,0)</f>
        <v xml:space="preserve">Seleccionar producto o servicio </v>
      </c>
      <c r="E91" s="104"/>
      <c r="F91" s="71"/>
      <c r="G91" s="71"/>
      <c r="H91" s="71"/>
      <c r="I91" s="71"/>
      <c r="J91" s="71"/>
      <c r="K91" s="71"/>
      <c r="L91" s="71"/>
      <c r="M91" s="71"/>
      <c r="N91" s="71"/>
      <c r="O91" s="71"/>
      <c r="P91"/>
      <c r="Q91"/>
      <c r="R91"/>
      <c r="S91"/>
      <c r="T91"/>
      <c r="U91"/>
      <c r="V91"/>
      <c r="W91"/>
      <c r="X91"/>
      <c r="Y91"/>
      <c r="Z91"/>
      <c r="AA91"/>
      <c r="AB91"/>
      <c r="AC91"/>
    </row>
    <row r="92" spans="2:29" x14ac:dyDescent="0.25">
      <c r="C92" s="330"/>
      <c r="D92" s="330"/>
    </row>
    <row r="93" spans="2:29" x14ac:dyDescent="0.25">
      <c r="C93" s="330"/>
      <c r="D93" s="330"/>
    </row>
    <row r="94" spans="2:29" x14ac:dyDescent="0.25">
      <c r="C94" s="330"/>
      <c r="D94" s="330"/>
    </row>
    <row r="95" spans="2:29" x14ac:dyDescent="0.25">
      <c r="C95" s="330"/>
      <c r="D95" s="330"/>
    </row>
    <row r="96" spans="2:29" x14ac:dyDescent="0.25">
      <c r="C96" s="330"/>
      <c r="D96" s="330"/>
    </row>
    <row r="97" spans="3:210" x14ac:dyDescent="0.25">
      <c r="C97" s="330"/>
      <c r="D97" s="330"/>
    </row>
    <row r="98" spans="3:210" x14ac:dyDescent="0.25">
      <c r="C98" s="330"/>
      <c r="D98" s="330"/>
    </row>
    <row r="99" spans="3:210" x14ac:dyDescent="0.25">
      <c r="C99" s="330"/>
      <c r="D99" s="330"/>
    </row>
    <row r="100" spans="3:210" x14ac:dyDescent="0.25">
      <c r="C100" s="330"/>
      <c r="D100" s="330"/>
    </row>
    <row r="101" spans="3:210" x14ac:dyDescent="0.25">
      <c r="C101" s="330"/>
      <c r="D101" s="330"/>
    </row>
    <row r="102" spans="3:210" ht="15.75" customHeight="1" x14ac:dyDescent="0.25"/>
    <row r="103" spans="3:210" ht="15.75" customHeight="1" thickBot="1" x14ac:dyDescent="0.3"/>
    <row r="104" spans="3:210" ht="16.5" thickBot="1" x14ac:dyDescent="0.3">
      <c r="F104" s="563">
        <f>B73</f>
        <v>0</v>
      </c>
      <c r="G104" s="564"/>
      <c r="H104" s="564"/>
      <c r="I104" s="564"/>
      <c r="J104" s="564"/>
      <c r="K104" s="564"/>
      <c r="L104" s="564"/>
      <c r="M104" s="564"/>
      <c r="N104" s="564"/>
      <c r="O104" s="564"/>
      <c r="P104" s="564"/>
      <c r="Q104" s="564"/>
      <c r="R104" s="564"/>
      <c r="S104" s="564"/>
      <c r="T104" s="564"/>
      <c r="U104" s="564"/>
      <c r="V104" s="564"/>
      <c r="W104" s="564"/>
      <c r="X104" s="564"/>
      <c r="Y104" s="565"/>
      <c r="Z104" s="567">
        <f>B74</f>
        <v>0</v>
      </c>
      <c r="AA104" s="568"/>
      <c r="AB104" s="568"/>
      <c r="AC104" s="568"/>
      <c r="AD104" s="568"/>
      <c r="AE104" s="568"/>
      <c r="AF104" s="568"/>
      <c r="AG104" s="568"/>
      <c r="AH104" s="568"/>
      <c r="AI104" s="568"/>
      <c r="AJ104" s="568"/>
      <c r="AK104" s="568"/>
      <c r="AL104" s="568"/>
      <c r="AM104" s="568"/>
      <c r="AN104" s="568"/>
      <c r="AO104" s="568"/>
      <c r="AP104" s="568"/>
      <c r="AQ104" s="568"/>
      <c r="AR104" s="568"/>
      <c r="AS104" s="569"/>
      <c r="AT104" s="563">
        <f>B75</f>
        <v>0</v>
      </c>
      <c r="AU104" s="564"/>
      <c r="AV104" s="564"/>
      <c r="AW104" s="564"/>
      <c r="AX104" s="564"/>
      <c r="AY104" s="564"/>
      <c r="AZ104" s="564"/>
      <c r="BA104" s="564"/>
      <c r="BB104" s="564"/>
      <c r="BC104" s="564"/>
      <c r="BD104" s="564"/>
      <c r="BE104" s="564"/>
      <c r="BF104" s="564"/>
      <c r="BG104" s="564"/>
      <c r="BH104" s="564"/>
      <c r="BI104" s="564"/>
      <c r="BJ104" s="564"/>
      <c r="BK104" s="564"/>
      <c r="BL104" s="564"/>
      <c r="BM104" s="565"/>
      <c r="BN104" s="592">
        <f>B76</f>
        <v>0</v>
      </c>
      <c r="BO104" s="593"/>
      <c r="BP104" s="593"/>
      <c r="BQ104" s="593"/>
      <c r="BR104" s="593"/>
      <c r="BS104" s="593"/>
      <c r="BT104" s="593"/>
      <c r="BU104" s="593"/>
      <c r="BV104" s="593"/>
      <c r="BW104" s="593"/>
      <c r="BX104" s="593"/>
      <c r="BY104" s="593"/>
      <c r="BZ104" s="593"/>
      <c r="CA104" s="593"/>
      <c r="CB104" s="593"/>
      <c r="CC104" s="593"/>
      <c r="CD104" s="593"/>
      <c r="CE104" s="593"/>
      <c r="CF104" s="593"/>
      <c r="CG104" s="594"/>
      <c r="CH104" s="600">
        <f>B77</f>
        <v>0</v>
      </c>
      <c r="CI104" s="601"/>
      <c r="CJ104" s="601"/>
      <c r="CK104" s="601"/>
      <c r="CL104" s="601"/>
      <c r="CM104" s="601"/>
      <c r="CN104" s="601"/>
      <c r="CO104" s="601"/>
      <c r="CP104" s="601"/>
      <c r="CQ104" s="601"/>
      <c r="CR104" s="601"/>
      <c r="CS104" s="601"/>
      <c r="CT104" s="601"/>
      <c r="CU104" s="601"/>
      <c r="CV104" s="601"/>
      <c r="CW104" s="601"/>
      <c r="CX104" s="601"/>
      <c r="CY104" s="601"/>
      <c r="CZ104" s="601"/>
      <c r="DA104" s="602"/>
      <c r="DB104" s="638">
        <f>B78</f>
        <v>0</v>
      </c>
      <c r="DC104" s="639"/>
      <c r="DD104" s="639"/>
      <c r="DE104" s="639"/>
      <c r="DF104" s="639"/>
      <c r="DG104" s="639"/>
      <c r="DH104" s="639"/>
      <c r="DI104" s="639"/>
      <c r="DJ104" s="639"/>
      <c r="DK104" s="639"/>
      <c r="DL104" s="639"/>
      <c r="DM104" s="639"/>
      <c r="DN104" s="639"/>
      <c r="DO104" s="639"/>
      <c r="DP104" s="639"/>
      <c r="DQ104" s="639"/>
      <c r="DR104" s="639"/>
      <c r="DS104" s="639"/>
      <c r="DT104" s="639"/>
      <c r="DU104" s="640"/>
      <c r="DV104" s="600">
        <f>B79</f>
        <v>0</v>
      </c>
      <c r="DW104" s="601"/>
      <c r="DX104" s="601"/>
      <c r="DY104" s="601"/>
      <c r="DZ104" s="601"/>
      <c r="EA104" s="601"/>
      <c r="EB104" s="601"/>
      <c r="EC104" s="601"/>
      <c r="ED104" s="601"/>
      <c r="EE104" s="601"/>
      <c r="EF104" s="601"/>
      <c r="EG104" s="601"/>
      <c r="EH104" s="601"/>
      <c r="EI104" s="601"/>
      <c r="EJ104" s="601"/>
      <c r="EK104" s="601"/>
      <c r="EL104" s="601"/>
      <c r="EM104" s="601"/>
      <c r="EN104" s="601"/>
      <c r="EO104" s="602"/>
      <c r="EP104" s="635">
        <f>B80</f>
        <v>0</v>
      </c>
      <c r="EQ104" s="636"/>
      <c r="ER104" s="636"/>
      <c r="ES104" s="636"/>
      <c r="ET104" s="636"/>
      <c r="EU104" s="636"/>
      <c r="EV104" s="636"/>
      <c r="EW104" s="636"/>
      <c r="EX104" s="636"/>
      <c r="EY104" s="636"/>
      <c r="EZ104" s="636"/>
      <c r="FA104" s="636"/>
      <c r="FB104" s="636"/>
      <c r="FC104" s="636"/>
      <c r="FD104" s="636"/>
      <c r="FE104" s="636"/>
      <c r="FF104" s="636"/>
      <c r="FG104" s="636"/>
      <c r="FH104" s="636"/>
      <c r="FI104" s="637"/>
      <c r="FJ104" s="563">
        <f>B81</f>
        <v>0</v>
      </c>
      <c r="FK104" s="564"/>
      <c r="FL104" s="564"/>
      <c r="FM104" s="564"/>
      <c r="FN104" s="564"/>
      <c r="FO104" s="564"/>
      <c r="FP104" s="564"/>
      <c r="FQ104" s="564"/>
      <c r="FR104" s="564"/>
      <c r="FS104" s="564"/>
      <c r="FT104" s="564"/>
      <c r="FU104" s="564"/>
      <c r="FV104" s="564"/>
      <c r="FW104" s="564"/>
      <c r="FX104" s="564"/>
      <c r="FY104" s="564"/>
      <c r="FZ104" s="564"/>
      <c r="GA104" s="564"/>
      <c r="GB104" s="564"/>
      <c r="GC104" s="565"/>
      <c r="GD104" s="635">
        <f>B82</f>
        <v>0</v>
      </c>
      <c r="GE104" s="636"/>
      <c r="GF104" s="636"/>
      <c r="GG104" s="636"/>
      <c r="GH104" s="636"/>
      <c r="GI104" s="636"/>
      <c r="GJ104" s="636"/>
      <c r="GK104" s="636"/>
      <c r="GL104" s="636"/>
      <c r="GM104" s="636"/>
      <c r="GN104" s="636"/>
      <c r="GO104" s="636"/>
      <c r="GP104" s="636"/>
      <c r="GQ104" s="636"/>
      <c r="GR104" s="636"/>
      <c r="GS104" s="636"/>
      <c r="GT104" s="636"/>
      <c r="GU104" s="636"/>
      <c r="GV104" s="636"/>
      <c r="GW104" s="636"/>
      <c r="GX104" s="641" t="s">
        <v>872</v>
      </c>
      <c r="GY104" s="641"/>
      <c r="GZ104" s="641"/>
      <c r="HA104" s="641"/>
      <c r="HB104" s="641"/>
    </row>
    <row r="105" spans="3:210" ht="15.75" x14ac:dyDescent="0.25">
      <c r="F105" s="369"/>
      <c r="G105" s="369"/>
      <c r="H105" s="369"/>
      <c r="I105" s="369"/>
      <c r="J105" s="369"/>
      <c r="K105" s="369"/>
      <c r="L105" s="369"/>
      <c r="M105" s="369"/>
      <c r="N105" s="369"/>
      <c r="O105" s="369"/>
      <c r="P105" s="562" t="s">
        <v>443</v>
      </c>
      <c r="Q105" s="562"/>
      <c r="R105" s="562"/>
      <c r="S105" s="562"/>
      <c r="T105" s="562"/>
      <c r="U105" s="562" t="s">
        <v>444</v>
      </c>
      <c r="V105" s="562"/>
      <c r="W105" s="562"/>
      <c r="X105" s="562"/>
      <c r="Y105" s="562"/>
      <c r="Z105" s="370"/>
      <c r="AA105" s="370"/>
      <c r="AB105" s="370"/>
      <c r="AC105" s="370"/>
      <c r="AD105" s="370"/>
      <c r="AE105" s="370"/>
      <c r="AF105" s="370"/>
      <c r="AG105" s="370"/>
      <c r="AH105" s="370"/>
      <c r="AI105" s="370"/>
      <c r="AJ105" s="566" t="s">
        <v>443</v>
      </c>
      <c r="AK105" s="566"/>
      <c r="AL105" s="566"/>
      <c r="AM105" s="566"/>
      <c r="AN105" s="566"/>
      <c r="AO105" s="566" t="s">
        <v>444</v>
      </c>
      <c r="AP105" s="566"/>
      <c r="AQ105" s="566"/>
      <c r="AR105" s="566"/>
      <c r="AS105" s="566"/>
      <c r="AT105" s="595"/>
      <c r="AU105" s="596"/>
      <c r="AV105" s="596"/>
      <c r="AW105" s="596"/>
      <c r="AX105" s="596"/>
      <c r="AY105" s="596"/>
      <c r="AZ105" s="596"/>
      <c r="BA105" s="596"/>
      <c r="BB105" s="596"/>
      <c r="BC105" s="597"/>
      <c r="BD105" s="598" t="s">
        <v>443</v>
      </c>
      <c r="BE105" s="598"/>
      <c r="BF105" s="598"/>
      <c r="BG105" s="598"/>
      <c r="BH105" s="598"/>
      <c r="BI105" s="598" t="s">
        <v>444</v>
      </c>
      <c r="BJ105" s="598"/>
      <c r="BK105" s="598"/>
      <c r="BL105" s="598"/>
      <c r="BM105" s="598"/>
      <c r="BN105" s="606"/>
      <c r="BO105" s="607"/>
      <c r="BP105" s="607"/>
      <c r="BQ105" s="607"/>
      <c r="BR105" s="607"/>
      <c r="BS105" s="607"/>
      <c r="BT105" s="607"/>
      <c r="BU105" s="607"/>
      <c r="BV105" s="607"/>
      <c r="BW105" s="608"/>
      <c r="BX105" s="586" t="s">
        <v>443</v>
      </c>
      <c r="BY105" s="587"/>
      <c r="BZ105" s="587"/>
      <c r="CA105" s="587"/>
      <c r="CB105" s="587"/>
      <c r="CC105" s="590" t="s">
        <v>626</v>
      </c>
      <c r="CD105" s="591"/>
      <c r="CE105" s="591"/>
      <c r="CF105" s="591"/>
      <c r="CG105" s="591"/>
      <c r="CH105" s="599"/>
      <c r="CI105" s="599"/>
      <c r="CJ105" s="599"/>
      <c r="CK105" s="599"/>
      <c r="CL105" s="599"/>
      <c r="CM105" s="599"/>
      <c r="CN105" s="599"/>
      <c r="CO105" s="599"/>
      <c r="CP105" s="599"/>
      <c r="CQ105" s="599"/>
      <c r="CR105" s="603" t="s">
        <v>560</v>
      </c>
      <c r="CS105" s="604"/>
      <c r="CT105" s="604"/>
      <c r="CU105" s="604"/>
      <c r="CV105" s="605"/>
      <c r="CW105" s="598" t="s">
        <v>626</v>
      </c>
      <c r="CX105" s="599"/>
      <c r="CY105" s="599"/>
      <c r="CZ105" s="599"/>
      <c r="DA105" s="599"/>
      <c r="DB105" s="591"/>
      <c r="DC105" s="591"/>
      <c r="DD105" s="591"/>
      <c r="DE105" s="591"/>
      <c r="DF105" s="591"/>
      <c r="DG105" s="591"/>
      <c r="DH105" s="591"/>
      <c r="DI105" s="591"/>
      <c r="DJ105" s="591"/>
      <c r="DK105" s="591"/>
      <c r="DL105" s="590" t="s">
        <v>560</v>
      </c>
      <c r="DM105" s="591"/>
      <c r="DN105" s="591"/>
      <c r="DO105" s="591"/>
      <c r="DP105" s="591"/>
      <c r="DQ105" s="590" t="s">
        <v>444</v>
      </c>
      <c r="DR105" s="591"/>
      <c r="DS105" s="591"/>
      <c r="DT105" s="591"/>
      <c r="DU105" s="591"/>
      <c r="DV105" s="599"/>
      <c r="DW105" s="599"/>
      <c r="DX105" s="599"/>
      <c r="DY105" s="599"/>
      <c r="DZ105" s="599"/>
      <c r="EA105" s="599"/>
      <c r="EB105" s="599"/>
      <c r="EC105" s="599"/>
      <c r="ED105" s="599"/>
      <c r="EE105" s="599"/>
      <c r="EF105" s="599"/>
      <c r="EG105" s="598" t="s">
        <v>560</v>
      </c>
      <c r="EH105" s="599"/>
      <c r="EI105" s="599"/>
      <c r="EJ105" s="599"/>
      <c r="EK105" s="598" t="s">
        <v>626</v>
      </c>
      <c r="EL105" s="599"/>
      <c r="EM105" s="599"/>
      <c r="EN105" s="599"/>
      <c r="EO105" s="599"/>
      <c r="EP105" s="587"/>
      <c r="EQ105" s="587"/>
      <c r="ER105" s="587"/>
      <c r="ES105" s="587"/>
      <c r="ET105" s="587"/>
      <c r="EU105" s="587"/>
      <c r="EV105" s="587"/>
      <c r="EW105" s="587"/>
      <c r="EX105" s="587"/>
      <c r="EY105" s="587"/>
      <c r="EZ105" s="586" t="s">
        <v>560</v>
      </c>
      <c r="FA105" s="587"/>
      <c r="FB105" s="587"/>
      <c r="FC105" s="587"/>
      <c r="FD105" s="587"/>
      <c r="FE105" s="586" t="s">
        <v>444</v>
      </c>
      <c r="FF105" s="587"/>
      <c r="FG105" s="587"/>
      <c r="FH105" s="587"/>
      <c r="FI105" s="587"/>
      <c r="FJ105" s="599"/>
      <c r="FK105" s="599"/>
      <c r="FL105" s="599"/>
      <c r="FM105" s="599"/>
      <c r="FN105" s="599"/>
      <c r="FO105" s="599"/>
      <c r="FP105" s="599"/>
      <c r="FQ105" s="599"/>
      <c r="FR105" s="599"/>
      <c r="FS105" s="599"/>
      <c r="FT105" s="598" t="s">
        <v>560</v>
      </c>
      <c r="FU105" s="599"/>
      <c r="FV105" s="599"/>
      <c r="FW105" s="599"/>
      <c r="FX105" s="599"/>
      <c r="FY105" s="598" t="s">
        <v>626</v>
      </c>
      <c r="FZ105" s="599"/>
      <c r="GA105" s="599"/>
      <c r="GB105" s="599"/>
      <c r="GC105" s="599"/>
      <c r="GD105" s="587"/>
      <c r="GE105" s="587"/>
      <c r="GF105" s="587"/>
      <c r="GG105" s="587"/>
      <c r="GH105" s="587"/>
      <c r="GI105" s="587"/>
      <c r="GJ105" s="587"/>
      <c r="GK105" s="587"/>
      <c r="GL105" s="587"/>
      <c r="GM105" s="587"/>
      <c r="GN105" s="586" t="s">
        <v>560</v>
      </c>
      <c r="GO105" s="587"/>
      <c r="GP105" s="587"/>
      <c r="GQ105" s="587"/>
      <c r="GR105" s="587"/>
      <c r="GS105" s="586" t="s">
        <v>626</v>
      </c>
      <c r="GT105" s="587"/>
      <c r="GU105" s="587"/>
      <c r="GV105" s="587"/>
      <c r="GW105" s="606"/>
      <c r="GX105" s="641"/>
      <c r="GY105" s="641"/>
      <c r="GZ105" s="641"/>
      <c r="HA105" s="641"/>
      <c r="HB105" s="641"/>
    </row>
    <row r="106" spans="3:210" ht="45" customHeight="1" x14ac:dyDescent="0.25">
      <c r="C106" s="367" t="s">
        <v>437</v>
      </c>
      <c r="D106" s="367" t="s">
        <v>438</v>
      </c>
      <c r="E106" s="52" t="s">
        <v>442</v>
      </c>
      <c r="F106" s="371" t="s">
        <v>652</v>
      </c>
      <c r="G106" s="371" t="s">
        <v>653</v>
      </c>
      <c r="H106" s="371" t="s">
        <v>654</v>
      </c>
      <c r="I106" s="371" t="s">
        <v>655</v>
      </c>
      <c r="J106" s="371" t="s">
        <v>656</v>
      </c>
      <c r="K106" s="371" t="s">
        <v>657</v>
      </c>
      <c r="L106" s="371" t="s">
        <v>658</v>
      </c>
      <c r="M106" s="371" t="s">
        <v>659</v>
      </c>
      <c r="N106" s="371" t="s">
        <v>660</v>
      </c>
      <c r="O106" s="371" t="s">
        <v>661</v>
      </c>
      <c r="P106" s="371" t="s">
        <v>449</v>
      </c>
      <c r="Q106" s="371" t="s">
        <v>662</v>
      </c>
      <c r="R106" s="371" t="s">
        <v>663</v>
      </c>
      <c r="S106" s="371" t="s">
        <v>664</v>
      </c>
      <c r="T106" s="371" t="s">
        <v>665</v>
      </c>
      <c r="U106" s="371" t="s">
        <v>666</v>
      </c>
      <c r="V106" s="371" t="s">
        <v>667</v>
      </c>
      <c r="W106" s="371" t="s">
        <v>668</v>
      </c>
      <c r="X106" s="371" t="s">
        <v>669</v>
      </c>
      <c r="Y106" s="371" t="s">
        <v>670</v>
      </c>
      <c r="Z106" s="372" t="s">
        <v>457</v>
      </c>
      <c r="AA106" s="372" t="s">
        <v>672</v>
      </c>
      <c r="AB106" s="372" t="s">
        <v>673</v>
      </c>
      <c r="AC106" s="372" t="s">
        <v>674</v>
      </c>
      <c r="AD106" s="372" t="s">
        <v>675</v>
      </c>
      <c r="AE106" s="372" t="s">
        <v>676</v>
      </c>
      <c r="AF106" s="372" t="s">
        <v>677</v>
      </c>
      <c r="AG106" s="372" t="s">
        <v>678</v>
      </c>
      <c r="AH106" s="372" t="s">
        <v>679</v>
      </c>
      <c r="AI106" s="372" t="s">
        <v>680</v>
      </c>
      <c r="AJ106" s="372" t="s">
        <v>671</v>
      </c>
      <c r="AK106" s="372" t="s">
        <v>681</v>
      </c>
      <c r="AL106" s="372" t="s">
        <v>682</v>
      </c>
      <c r="AM106" s="372" t="s">
        <v>683</v>
      </c>
      <c r="AN106" s="372" t="s">
        <v>684</v>
      </c>
      <c r="AO106" s="372" t="s">
        <v>686</v>
      </c>
      <c r="AP106" s="372" t="s">
        <v>685</v>
      </c>
      <c r="AQ106" s="372" t="s">
        <v>463</v>
      </c>
      <c r="AR106" s="372" t="s">
        <v>464</v>
      </c>
      <c r="AS106" s="372" t="s">
        <v>465</v>
      </c>
      <c r="AT106" s="371" t="s">
        <v>466</v>
      </c>
      <c r="AU106" s="371" t="s">
        <v>687</v>
      </c>
      <c r="AV106" s="371" t="s">
        <v>688</v>
      </c>
      <c r="AW106" s="371" t="s">
        <v>689</v>
      </c>
      <c r="AX106" s="371" t="s">
        <v>690</v>
      </c>
      <c r="AY106" s="371" t="s">
        <v>691</v>
      </c>
      <c r="AZ106" s="371" t="s">
        <v>471</v>
      </c>
      <c r="BA106" s="371" t="s">
        <v>692</v>
      </c>
      <c r="BB106" s="371" t="s">
        <v>693</v>
      </c>
      <c r="BC106" s="371" t="s">
        <v>694</v>
      </c>
      <c r="BD106" s="371" t="s">
        <v>720</v>
      </c>
      <c r="BE106" s="371" t="s">
        <v>695</v>
      </c>
      <c r="BF106" s="371" t="s">
        <v>696</v>
      </c>
      <c r="BG106" s="371" t="s">
        <v>697</v>
      </c>
      <c r="BH106" s="371" t="s">
        <v>721</v>
      </c>
      <c r="BI106" s="371" t="s">
        <v>698</v>
      </c>
      <c r="BJ106" s="371" t="s">
        <v>699</v>
      </c>
      <c r="BK106" s="371" t="s">
        <v>700</v>
      </c>
      <c r="BL106" s="371" t="s">
        <v>701</v>
      </c>
      <c r="BM106" s="371" t="s">
        <v>476</v>
      </c>
      <c r="BN106" s="372" t="s">
        <v>477</v>
      </c>
      <c r="BO106" s="372" t="s">
        <v>702</v>
      </c>
      <c r="BP106" s="372" t="s">
        <v>478</v>
      </c>
      <c r="BQ106" s="372" t="s">
        <v>479</v>
      </c>
      <c r="BR106" s="372" t="s">
        <v>480</v>
      </c>
      <c r="BS106" s="372" t="s">
        <v>703</v>
      </c>
      <c r="BT106" s="372" t="s">
        <v>704</v>
      </c>
      <c r="BU106" s="372" t="s">
        <v>482</v>
      </c>
      <c r="BV106" s="372" t="s">
        <v>483</v>
      </c>
      <c r="BW106" s="372" t="s">
        <v>705</v>
      </c>
      <c r="BX106" s="372" t="s">
        <v>722</v>
      </c>
      <c r="BY106" s="372" t="s">
        <v>485</v>
      </c>
      <c r="BZ106" s="372" t="s">
        <v>706</v>
      </c>
      <c r="CA106" s="372" t="s">
        <v>486</v>
      </c>
      <c r="CB106" s="372" t="s">
        <v>707</v>
      </c>
      <c r="CC106" s="372" t="s">
        <v>487</v>
      </c>
      <c r="CD106" s="372" t="s">
        <v>488</v>
      </c>
      <c r="CE106" s="372" t="s">
        <v>489</v>
      </c>
      <c r="CF106" s="372" t="s">
        <v>708</v>
      </c>
      <c r="CG106" s="372" t="s">
        <v>490</v>
      </c>
      <c r="CH106" s="371" t="s">
        <v>709</v>
      </c>
      <c r="CI106" s="371" t="s">
        <v>492</v>
      </c>
      <c r="CJ106" s="371" t="s">
        <v>493</v>
      </c>
      <c r="CK106" s="371" t="s">
        <v>494</v>
      </c>
      <c r="CL106" s="371" t="s">
        <v>710</v>
      </c>
      <c r="CM106" s="371" t="s">
        <v>711</v>
      </c>
      <c r="CN106" s="371" t="s">
        <v>712</v>
      </c>
      <c r="CO106" s="371" t="s">
        <v>713</v>
      </c>
      <c r="CP106" s="371" t="s">
        <v>497</v>
      </c>
      <c r="CQ106" s="371" t="s">
        <v>498</v>
      </c>
      <c r="CR106" s="371" t="s">
        <v>723</v>
      </c>
      <c r="CS106" s="371" t="s">
        <v>714</v>
      </c>
      <c r="CT106" s="371" t="s">
        <v>715</v>
      </c>
      <c r="CU106" s="371" t="s">
        <v>716</v>
      </c>
      <c r="CV106" s="371" t="s">
        <v>717</v>
      </c>
      <c r="CW106" s="371" t="s">
        <v>503</v>
      </c>
      <c r="CX106" s="371" t="s">
        <v>499</v>
      </c>
      <c r="CY106" s="371" t="s">
        <v>718</v>
      </c>
      <c r="CZ106" s="371" t="s">
        <v>504</v>
      </c>
      <c r="DA106" s="371" t="s">
        <v>719</v>
      </c>
      <c r="DB106" s="372" t="s">
        <v>724</v>
      </c>
      <c r="DC106" s="372" t="s">
        <v>508</v>
      </c>
      <c r="DD106" s="372" t="s">
        <v>509</v>
      </c>
      <c r="DE106" s="372" t="s">
        <v>725</v>
      </c>
      <c r="DF106" s="372" t="s">
        <v>726</v>
      </c>
      <c r="DG106" s="372" t="s">
        <v>727</v>
      </c>
      <c r="DH106" s="372" t="s">
        <v>511</v>
      </c>
      <c r="DI106" s="372" t="s">
        <v>512</v>
      </c>
      <c r="DJ106" s="372" t="s">
        <v>513</v>
      </c>
      <c r="DK106" s="372" t="s">
        <v>514</v>
      </c>
      <c r="DL106" s="372" t="s">
        <v>760</v>
      </c>
      <c r="DM106" s="372" t="s">
        <v>728</v>
      </c>
      <c r="DN106" s="372" t="s">
        <v>516</v>
      </c>
      <c r="DO106" s="372" t="s">
        <v>729</v>
      </c>
      <c r="DP106" s="372" t="s">
        <v>517</v>
      </c>
      <c r="DQ106" s="372" t="s">
        <v>518</v>
      </c>
      <c r="DR106" s="372" t="s">
        <v>519</v>
      </c>
      <c r="DS106" s="372" t="s">
        <v>520</v>
      </c>
      <c r="DT106" s="372" t="s">
        <v>521</v>
      </c>
      <c r="DU106" s="372" t="s">
        <v>522</v>
      </c>
      <c r="DV106" s="371" t="s">
        <v>524</v>
      </c>
      <c r="DW106" s="371" t="s">
        <v>730</v>
      </c>
      <c r="DX106" s="371" t="s">
        <v>526</v>
      </c>
      <c r="DY106" s="371" t="s">
        <v>527</v>
      </c>
      <c r="DZ106" s="371" t="s">
        <v>731</v>
      </c>
      <c r="EA106" s="371" t="s">
        <v>732</v>
      </c>
      <c r="EB106" s="371" t="s">
        <v>529</v>
      </c>
      <c r="EC106" s="371" t="s">
        <v>530</v>
      </c>
      <c r="ED106" s="371" t="s">
        <v>531</v>
      </c>
      <c r="EE106" s="371" t="s">
        <v>532</v>
      </c>
      <c r="EF106" s="371" t="s">
        <v>761</v>
      </c>
      <c r="EG106" s="371" t="s">
        <v>533</v>
      </c>
      <c r="EH106" s="371" t="s">
        <v>534</v>
      </c>
      <c r="EI106" s="371" t="s">
        <v>535</v>
      </c>
      <c r="EJ106" s="371" t="s">
        <v>536</v>
      </c>
      <c r="EK106" s="371" t="s">
        <v>537</v>
      </c>
      <c r="EL106" s="371" t="s">
        <v>733</v>
      </c>
      <c r="EM106" s="371" t="s">
        <v>539</v>
      </c>
      <c r="EN106" s="371" t="s">
        <v>734</v>
      </c>
      <c r="EO106" s="371" t="s">
        <v>735</v>
      </c>
      <c r="EP106" s="372" t="s">
        <v>542</v>
      </c>
      <c r="EQ106" s="372" t="s">
        <v>543</v>
      </c>
      <c r="ER106" s="372" t="s">
        <v>736</v>
      </c>
      <c r="ES106" s="372" t="s">
        <v>545</v>
      </c>
      <c r="ET106" s="372" t="s">
        <v>546</v>
      </c>
      <c r="EU106" s="372" t="s">
        <v>547</v>
      </c>
      <c r="EV106" s="372" t="s">
        <v>548</v>
      </c>
      <c r="EW106" s="372" t="s">
        <v>549</v>
      </c>
      <c r="EX106" s="372" t="s">
        <v>550</v>
      </c>
      <c r="EY106" s="372" t="s">
        <v>737</v>
      </c>
      <c r="EZ106" s="372" t="s">
        <v>762</v>
      </c>
      <c r="FA106" s="372" t="s">
        <v>551</v>
      </c>
      <c r="FB106" s="372" t="s">
        <v>552</v>
      </c>
      <c r="FC106" s="372" t="s">
        <v>553</v>
      </c>
      <c r="FD106" s="372" t="s">
        <v>738</v>
      </c>
      <c r="FE106" s="372" t="s">
        <v>739</v>
      </c>
      <c r="FF106" s="372" t="s">
        <v>555</v>
      </c>
      <c r="FG106" s="372" t="s">
        <v>556</v>
      </c>
      <c r="FH106" s="372" t="s">
        <v>557</v>
      </c>
      <c r="FI106" s="372" t="s">
        <v>558</v>
      </c>
      <c r="FJ106" s="371" t="s">
        <v>740</v>
      </c>
      <c r="FK106" s="371" t="s">
        <v>562</v>
      </c>
      <c r="FL106" s="371" t="s">
        <v>563</v>
      </c>
      <c r="FM106" s="371" t="s">
        <v>741</v>
      </c>
      <c r="FN106" s="371" t="s">
        <v>564</v>
      </c>
      <c r="FO106" s="371" t="s">
        <v>565</v>
      </c>
      <c r="FP106" s="371" t="s">
        <v>742</v>
      </c>
      <c r="FQ106" s="371" t="s">
        <v>743</v>
      </c>
      <c r="FR106" s="371" t="s">
        <v>567</v>
      </c>
      <c r="FS106" s="371" t="s">
        <v>568</v>
      </c>
      <c r="FT106" s="371" t="s">
        <v>763</v>
      </c>
      <c r="FU106" s="371" t="s">
        <v>569</v>
      </c>
      <c r="FV106" s="371" t="s">
        <v>570</v>
      </c>
      <c r="FW106" s="371" t="s">
        <v>571</v>
      </c>
      <c r="FX106" s="371" t="s">
        <v>572</v>
      </c>
      <c r="FY106" s="371" t="s">
        <v>573</v>
      </c>
      <c r="FZ106" s="371" t="s">
        <v>744</v>
      </c>
      <c r="GA106" s="371" t="s">
        <v>574</v>
      </c>
      <c r="GB106" s="371" t="s">
        <v>745</v>
      </c>
      <c r="GC106" s="371" t="s">
        <v>746</v>
      </c>
      <c r="GD106" s="372" t="s">
        <v>576</v>
      </c>
      <c r="GE106" s="372" t="s">
        <v>577</v>
      </c>
      <c r="GF106" s="372" t="s">
        <v>747</v>
      </c>
      <c r="GG106" s="372" t="s">
        <v>579</v>
      </c>
      <c r="GH106" s="372" t="s">
        <v>580</v>
      </c>
      <c r="GI106" s="372" t="s">
        <v>748</v>
      </c>
      <c r="GJ106" s="372" t="s">
        <v>749</v>
      </c>
      <c r="GK106" s="372" t="s">
        <v>750</v>
      </c>
      <c r="GL106" s="372" t="s">
        <v>583</v>
      </c>
      <c r="GM106" s="372" t="s">
        <v>751</v>
      </c>
      <c r="GN106" s="372" t="s">
        <v>764</v>
      </c>
      <c r="GO106" s="372" t="s">
        <v>752</v>
      </c>
      <c r="GP106" s="372" t="s">
        <v>753</v>
      </c>
      <c r="GQ106" s="372" t="s">
        <v>584</v>
      </c>
      <c r="GR106" s="372" t="s">
        <v>754</v>
      </c>
      <c r="GS106" s="372" t="s">
        <v>755</v>
      </c>
      <c r="GT106" s="372" t="s">
        <v>756</v>
      </c>
      <c r="GU106" s="372" t="s">
        <v>757</v>
      </c>
      <c r="GV106" s="372" t="s">
        <v>758</v>
      </c>
      <c r="GW106" s="382" t="s">
        <v>759</v>
      </c>
      <c r="GX106" s="420" t="s">
        <v>878</v>
      </c>
      <c r="GY106" s="420" t="s">
        <v>879</v>
      </c>
      <c r="GZ106" s="420" t="s">
        <v>880</v>
      </c>
      <c r="HA106" s="419" t="s">
        <v>882</v>
      </c>
      <c r="HB106" s="420" t="s">
        <v>881</v>
      </c>
    </row>
    <row r="107" spans="3:210" ht="15.75" x14ac:dyDescent="0.25">
      <c r="C107" s="436">
        <v>0</v>
      </c>
      <c r="D107" s="373" t="str">
        <f>VLOOKUP(Tabla16[[#This Row],[CÓDIGO DEL PRODUCTO Y/O SERVICIO ]],Tabla3[],2,0)</f>
        <v xml:space="preserve">Seleccionar producto o servicio </v>
      </c>
      <c r="E107" s="72"/>
      <c r="F107" s="72">
        <f>VLOOKUP(Tabla16[[#This Row],[CÓDIGO DEL PRODUCTO Y/O SERVICIO ]],Tabla3[],3)</f>
        <v>0</v>
      </c>
      <c r="G107" s="72">
        <f>Tabla16[[#This Row],[UNIDADES PRODUCIDAS AÑO 1 1]]*F90</f>
        <v>0</v>
      </c>
      <c r="H107" s="112">
        <f>VLOOKUP(Tabla16[[#This Row],[CÓDIGO DEL PRODUCTO Y/O SERVICIO ]],Tabla3[],9)</f>
        <v>0</v>
      </c>
      <c r="I107" s="72">
        <f>Tabla16[[#This Row],[CANTIDADES A UTILIZAR EN EL AÑO 1 1]]*(1+Tabla16[[#This Row],[CAMBIO PORCENTUAL EN UNIDADES VENDIDAS AÑO 2 1]])</f>
        <v>0</v>
      </c>
      <c r="J107" s="112">
        <f>VLOOKUP(Tabla16[[#This Row],[CÓDIGO DEL PRODUCTO Y/O SERVICIO ]],Tabla3[],13)</f>
        <v>0</v>
      </c>
      <c r="K107" s="72">
        <f>Tabla16[[#This Row],[CANTIDADES  A UTILIZAR EN EL AÑO 2 1]]*(1+Tabla16[[#This Row],[CAMBIO PORCENTUAL EN UNIDADES VENDIDAS AÑO 3 1]])</f>
        <v>0</v>
      </c>
      <c r="L107" s="112">
        <f>VLOOKUP(Tabla16[[#This Row],[CÓDIGO DEL PRODUCTO Y/O SERVICIO ]],Tabla3[],17)</f>
        <v>0</v>
      </c>
      <c r="M107" s="72">
        <f>Tabla16[[#This Row],[CANTIDADES A UTILIZAR EN EL AÑO 3 1]]*(1+Tabla16[[#This Row],[CAMBIO PORCENTUAL EN UNIDADES VENDIDAS AÑO 4 1]])</f>
        <v>0</v>
      </c>
      <c r="N107" s="112">
        <f>VLOOKUP(Tabla16[[#This Row],[CÓDIGO DEL PRODUCTO Y/O SERVICIO ]],Tabla3[],21)</f>
        <v>0</v>
      </c>
      <c r="O107" s="72">
        <f>Tabla16[[#This Row],[CANTIDADES A UTILIZAR EN EL AÑO 4 1 ]]*(1+Tabla16[[#This Row],[CAMBIO PORCENTUAL EN UNIDADES VENDIDAS AÑO 5 1]])</f>
        <v>0</v>
      </c>
      <c r="P107" s="344">
        <f>IF(Tabla16[[#This Row],[CANTIDADES A UTILIZAR EN EL AÑO 1 1]]=0,0,Tabla16[[#This Row],[CANTIDADES A UTILIZAR EN EL AÑO 1 1]]*1/Tabla16[[#This Row],[UNIDADES PRODUCIDAS AÑO 1 1]])</f>
        <v>0</v>
      </c>
      <c r="Q107" s="344">
        <f>$C$73*(1+BASES!$E$10)</f>
        <v>0</v>
      </c>
      <c r="R107" s="344">
        <f>Tabla16[[#This Row],[COSTO UNITARIO AÑO 2 1]]*(1+BASES!$F$10)</f>
        <v>0</v>
      </c>
      <c r="S107" s="344">
        <f>Tabla16[[#This Row],[COSTO UNITARIO AÑO 3 1]]*(1+BASES!$G$10)</f>
        <v>0</v>
      </c>
      <c r="T107" s="344">
        <f>Tabla16[[#This Row],[COSTO UNITARIO AÑO 4 1]]*(1+BASES!$H$10)</f>
        <v>0</v>
      </c>
      <c r="U107" s="344">
        <f>Tabla16[[#This Row],[COSTO POR UNIDAD DE PRODUCTO (1)]]*$C$73*VLOOKUP(Tabla16[[#This Row],[CÓDIGO DEL PRODUCTO Y/O SERVICIO ]],Tabla3[],3)</f>
        <v>0</v>
      </c>
      <c r="V107" s="344">
        <f>Tabla16[[#This Row],[COSTO POR UNIDAD DE PRODUCTO (1)]]*Tabla16[[#This Row],[COSTO UNITARIO AÑO 2 1]]*VLOOKUP(Tabla16[[#This Row],[CÓDIGO DEL PRODUCTO Y/O SERVICIO ]],Tabla3[],6)</f>
        <v>0</v>
      </c>
      <c r="W107" s="344">
        <f>Tabla16[[#This Row],[COSTO POR UNIDAD DE PRODUCTO (1)]]*Tabla16[[#This Row],[COSTO UNITARIO AÑO 3 1]]*VLOOKUP(Tabla16[[#This Row],[CÓDIGO DEL PRODUCTO Y/O SERVICIO ]],Tabla3[],10)</f>
        <v>0</v>
      </c>
      <c r="X107" s="344">
        <f>Tabla16[[#This Row],[COSTO POR UNIDAD DE PRODUCTO (1)]]*Tabla16[[#This Row],[COSTO UNITARIO AÑO 4 1]]*VLOOKUP(Tabla16[[#This Row],[CÓDIGO DEL PRODUCTO Y/O SERVICIO ]],Tabla3[],14)</f>
        <v>0</v>
      </c>
      <c r="Y107" s="344">
        <f>Tabla16[[#This Row],[COSTO POR UNIDAD DE PRODUCTO (1)]]*Tabla16[[#This Row],[COSTO UNITARIO AÑO 5 1]]*VLOOKUP(Tabla16[[#This Row],[CÓDIGO DEL PRODUCTO Y/O SERVICIO ]],Tabla3[],18)</f>
        <v>0</v>
      </c>
      <c r="Z107" s="114">
        <f>VLOOKUP(Tabla16[[#This Row],[CÓDIGO DEL PRODUCTO Y/O SERVICIO ]],Tabla3[],3)</f>
        <v>0</v>
      </c>
      <c r="AA107" s="114">
        <f>Tabla16[[#This Row],[UNIDADES PRODUCIDAS AÑO 1 2]]*G90</f>
        <v>0</v>
      </c>
      <c r="AB107" s="112">
        <f>VLOOKUP(Tabla16[[#This Row],[CÓDIGO DEL PRODUCTO Y/O SERVICIO ]],Tabla3[],9)</f>
        <v>0</v>
      </c>
      <c r="AC107" s="114">
        <f>Tabla16[[#This Row],[CANTIDADES A UTILIZAR EN EL AÑO 1 2]]*(1+Tabla16[[#This Row],[CAMBIO PORCENTUAL EN UNIDADES VENDIDAS AÑO 2 2]])</f>
        <v>0</v>
      </c>
      <c r="AD107" s="112">
        <f>VLOOKUP(Tabla16[[#This Row],[CÓDIGO DEL PRODUCTO Y/O SERVICIO ]],Tabla3[],13)</f>
        <v>0</v>
      </c>
      <c r="AE107" s="114">
        <f>Tabla16[[#This Row],[CANTIDADES A UTILIZAR EN EL AÑO 2 2]]*(1+Tabla16[[#This Row],[CAMBIO PORCENTUAL EN UNIDADES VENDIDAS AÑO 3 2 ]])</f>
        <v>0</v>
      </c>
      <c r="AF107" s="112">
        <f>VLOOKUP(Tabla16[[#This Row],[CÓDIGO DEL PRODUCTO Y/O SERVICIO ]],Tabla3[],17)</f>
        <v>0</v>
      </c>
      <c r="AG107" s="114">
        <f>Tabla16[[#This Row],[CANTIDADES A UTILIZAR EN EL AÑO 3 2]]*(1+Tabla16[[#This Row],[CAMBIO PORCENTUAL EN UNIDADES VENDIDAS AÑO 4 2]])</f>
        <v>0</v>
      </c>
      <c r="AH107" s="112">
        <f>VLOOKUP(Tabla16[[#This Row],[CÓDIGO DEL PRODUCTO Y/O SERVICIO ]],Tabla3[],21)</f>
        <v>0</v>
      </c>
      <c r="AI107" s="114">
        <f>Tabla16[[#This Row],[CANTIDADES A UTILIZAR EN EL AÑO 4 2]]*(1+Tabla16[[#This Row],[CAMBIO PORCENTUAL EN UNIDADES VENDIDAS AÑO 5 2]])</f>
        <v>0</v>
      </c>
      <c r="AJ107" s="344">
        <f>IF(Tabla16[[#This Row],[CANTIDADES A UTILIZAR EN EL AÑO 1 2]]=0,0,Tabla16[[#This Row],[CANTIDADES A UTILIZAR EN EL AÑO 1 2]]*1/Tabla16[[#This Row],[UNIDADES PRODUCIDAS AÑO 1 2]])</f>
        <v>0</v>
      </c>
      <c r="AK107" s="344">
        <f>$C$74*(1+BASES!$E$10)</f>
        <v>0</v>
      </c>
      <c r="AL107" s="344">
        <f>Tabla16[[#This Row],[COSTO UNITARIO AÑO 2 2]]*(1+BASES!$F$10)</f>
        <v>0</v>
      </c>
      <c r="AM107" s="344">
        <f>Tabla16[[#This Row],[COSTO UNITARIO AÑO 3 2]]*(1+BASES!$G$10)</f>
        <v>0</v>
      </c>
      <c r="AN107" s="344">
        <f>Tabla16[[#This Row],[COSTO UNITARIO AÑO 4 2]]*(1+BASES!$H$10)</f>
        <v>0</v>
      </c>
      <c r="AO107" s="344">
        <f>Tabla16[[#This Row],[COSTO POR UNIDAD DE PRODUCTO (2) ]]*$C$74*VLOOKUP(Tabla16[[#This Row],[CÓDIGO DEL PRODUCTO Y/O SERVICIO ]],Tabla3[],3)</f>
        <v>0</v>
      </c>
      <c r="AP107" s="344">
        <f>Tabla16[[#This Row],[COSTO POR UNIDAD DE PRODUCTO (2) ]]*Tabla16[[#This Row],[COSTO UNITARIO AÑO 2 2]]*VLOOKUP(Tabla16[[#This Row],[CÓDIGO DEL PRODUCTO Y/O SERVICIO ]],Tabla3[],6)</f>
        <v>0</v>
      </c>
      <c r="AQ107" s="344">
        <f>Tabla16[[#This Row],[COSTO POR UNIDAD DE PRODUCTO (2) ]]*Tabla16[[#This Row],[COSTO UNITARIO AÑO 3 2]]*VLOOKUP(Tabla16[[#This Row],[CÓDIGO DEL PRODUCTO Y/O SERVICIO ]],Tabla3[],10)</f>
        <v>0</v>
      </c>
      <c r="AR107" s="344">
        <f>Tabla16[[#This Row],[COSTO POR UNIDAD DE PRODUCTO (2) ]]*Tabla16[[#This Row],[COSTO UNITARIO AÑO 4 2]]*VLOOKUP(Tabla16[[#This Row],[CÓDIGO DEL PRODUCTO Y/O SERVICIO ]],Tabla3[],14)</f>
        <v>0</v>
      </c>
      <c r="AS107" s="344">
        <f>Tabla16[[#This Row],[COSTO POR UNIDAD DE PRODUCTO (2) ]]*Tabla16[[#This Row],[COSTO UNITARIO AÑO 5 2 ]]*VLOOKUP(Tabla16[[#This Row],[CÓDIGO DEL PRODUCTO Y/O SERVICIO ]],Tabla3[],18)</f>
        <v>0</v>
      </c>
      <c r="AT107" s="114">
        <f>VLOOKUP(Tabla16[[#This Row],[CÓDIGO DEL PRODUCTO Y/O SERVICIO ]],Tabla3[],3)</f>
        <v>0</v>
      </c>
      <c r="AU107" s="114">
        <f>Tabla16[[#This Row],[UNIDADES PRODUCIDAS AÑO 1 3]]*H90</f>
        <v>0</v>
      </c>
      <c r="AV107" s="112">
        <f>VLOOKUP(Tabla16[[#This Row],[CÓDIGO DEL PRODUCTO Y/O SERVICIO ]],Tabla3[],9)</f>
        <v>0</v>
      </c>
      <c r="AW107" s="114">
        <f>Tabla16[[#This Row],[CANTIDADES A UTILIZAR EN EL AÑO 1 3]]*(1+Tabla16[[#This Row],[CAMBIO PORCENTUAL EN UNIDADES VENDIDAS AÑO 2 3]])</f>
        <v>0</v>
      </c>
      <c r="AX107" s="112">
        <f>VLOOKUP(Tabla16[[#This Row],[CÓDIGO DEL PRODUCTO Y/O SERVICIO ]],Tabla3[],13)</f>
        <v>0</v>
      </c>
      <c r="AY107" s="114">
        <f>Tabla16[[#This Row],[CANTIDADES A UTILIZAR EN EL AÑO 2 3]]*(1+Tabla16[[#This Row],[CAMBIO PORCENTUAL EN UNIDADES VENDIDAS AÑO 3 3]])</f>
        <v>0</v>
      </c>
      <c r="AZ107" s="112">
        <f>VLOOKUP(Tabla16[[#This Row],[CÓDIGO DEL PRODUCTO Y/O SERVICIO ]],Tabla3[],17)</f>
        <v>0</v>
      </c>
      <c r="BA107" s="114">
        <f>Tabla16[[#This Row],[CANTIDADES A UTILIZAR EN EL AÑO 3 3]]*(1+Tabla16[[#This Row],[CAMBIO PORCENTUAL EN UNIDADES VENDIDAS AÑO 4 3]])</f>
        <v>0</v>
      </c>
      <c r="BB107" s="112">
        <f>VLOOKUP(Tabla16[[#This Row],[CÓDIGO DEL PRODUCTO Y/O SERVICIO ]],Tabla3[],21)</f>
        <v>0</v>
      </c>
      <c r="BC107" s="114">
        <f>Tabla16[[#This Row],[CANTIDADES A UTILIZAR EN EL AÑO 4 3]]*(1+Tabla16[[#This Row],[CAMBIO PORCENTUAL EN UNIDADES VENDIDAS AÑO 5 3]])</f>
        <v>0</v>
      </c>
      <c r="BD107" s="344">
        <f>IF(Tabla16[[#This Row],[CANTIDADES A UTILIZAR EN EL AÑO 1 3]]=0,0,Tabla16[[#This Row],[CANTIDADES A UTILIZAR EN EL AÑO 1 3]]*1/Tabla16[[#This Row],[UNIDADES PRODUCIDAS AÑO 1 3]])</f>
        <v>0</v>
      </c>
      <c r="BE107" s="344">
        <f>$C$75*(1+BASES!$E$10)</f>
        <v>0</v>
      </c>
      <c r="BF107" s="344">
        <f>Tabla16[[#This Row],[COSTO UNITARIO AÑO 2 3]]*(1+BASES!$F$10)</f>
        <v>0</v>
      </c>
      <c r="BG107" s="344">
        <f>Tabla16[[#This Row],[COSTO UNITARIO AÑO 3 3]]*(1+BASES!$G$10)</f>
        <v>0</v>
      </c>
      <c r="BH107" s="344">
        <f>Tabla16[[#This Row],[COSTO UNITARIO AÑO 4 3]]*(1+BASES!$H$10)</f>
        <v>0</v>
      </c>
      <c r="BI107" s="344">
        <f>Tabla16[[#This Row],[COSTO POR UNIDAD DE PRODUCTO (3) ]]*$C$75*VLOOKUP(Tabla16[[#This Row],[CÓDIGO DEL PRODUCTO Y/O SERVICIO ]],Tabla3[],3)</f>
        <v>0</v>
      </c>
      <c r="BJ107" s="344">
        <f>Tabla16[[#This Row],[COSTO POR UNIDAD DE PRODUCTO (3) ]]*Tabla16[[#This Row],[COSTO UNITARIO AÑO 2 3]]*VLOOKUP(Tabla16[[#This Row],[CÓDIGO DEL PRODUCTO Y/O SERVICIO ]],Tabla3[],6)</f>
        <v>0</v>
      </c>
      <c r="BK107" s="344">
        <f>Tabla16[[#This Row],[COSTO POR UNIDAD DE PRODUCTO (3) ]]*Tabla16[[#This Row],[COSTO UNITARIO AÑO 3 3]]*VLOOKUP(Tabla16[[#This Row],[CÓDIGO DEL PRODUCTO Y/O SERVICIO ]],Tabla3[],10)</f>
        <v>0</v>
      </c>
      <c r="BL107" s="344">
        <f>Tabla16[[#This Row],[COSTO POR UNIDAD DE PRODUCTO (3) ]]*Tabla16[[#This Row],[COSTO UNITARIO AÑO 4 3]]*VLOOKUP(Tabla16[[#This Row],[CÓDIGO DEL PRODUCTO Y/O SERVICIO ]],Tabla3[],14)</f>
        <v>0</v>
      </c>
      <c r="BM107" s="344">
        <f>Tabla16[[#This Row],[COSTO POR UNIDAD DE PRODUCTO (3) ]]*Tabla16[[#This Row],[COSTO UNITARIO AÑO 5 3]]*VLOOKUP(Tabla16[[#This Row],[CÓDIGO DEL PRODUCTO Y/O SERVICIO ]],Tabla3[],18)</f>
        <v>0</v>
      </c>
      <c r="BN107" s="114">
        <f>VLOOKUP(Tabla16[[#This Row],[CÓDIGO DEL PRODUCTO Y/O SERVICIO ]],Tabla3[],3)</f>
        <v>0</v>
      </c>
      <c r="BO107" s="114">
        <f>Tabla16[[#This Row],[UNIDADES PRODUCIDAS AÑO 1 4]]*I90</f>
        <v>0</v>
      </c>
      <c r="BP107" s="112">
        <f>VLOOKUP(Tabla16[[#This Row],[CÓDIGO DEL PRODUCTO Y/O SERVICIO ]],Tabla3[],9)</f>
        <v>0</v>
      </c>
      <c r="BQ107" s="114">
        <f>Tabla16[[#This Row],[CANTIDADES A UTILIZAR EN EL AÑO 1 4]]*(1+Tabla16[[#This Row],[CAMBIO PORCENTUAL EN UNIDADES VENDIDAS AÑO 2 4]])</f>
        <v>0</v>
      </c>
      <c r="BR107" s="112">
        <f>VLOOKUP(Tabla16[[#This Row],[CÓDIGO DEL PRODUCTO Y/O SERVICIO ]],Tabla3[],13)</f>
        <v>0</v>
      </c>
      <c r="BS107" s="114">
        <f>Tabla16[[#This Row],[CANTIDADES A UTILIZAR EN EL AÑO 2 4]]*(1+Tabla16[[#This Row],[CAMBIO PORCENTUAL EN UNIDADES VENDIDAS AÑO 3 4]])</f>
        <v>0</v>
      </c>
      <c r="BT107" s="112">
        <f>VLOOKUP(Tabla16[[#This Row],[CÓDIGO DEL PRODUCTO Y/O SERVICIO ]],Tabla3[],17)</f>
        <v>0</v>
      </c>
      <c r="BU107" s="114">
        <f>Tabla16[[#This Row],[CANTIDADES A UTILIZAR EN EL AÑO 3 4]]*(1+Tabla16[[#This Row],[CAMBIO PORCENTUAL EN UNIDADES VENDIDAS AÑO 4 4]])</f>
        <v>0</v>
      </c>
      <c r="BV107" s="112">
        <f>VLOOKUP(Tabla16[[#This Row],[CÓDIGO DEL PRODUCTO Y/O SERVICIO ]],Tabla3[],21)</f>
        <v>0</v>
      </c>
      <c r="BW107" s="114">
        <f>Tabla16[[#This Row],[CANTIDADES A UTILIZAR EN EL AÑO 4 4]]*(1+Tabla16[[#This Row],[CAMBIO PORCENTUAL EN UNIDADES VENDIDAS AÑO 5 4]])</f>
        <v>0</v>
      </c>
      <c r="BX107" s="344">
        <f>IF(Tabla16[[#This Row],[CANTIDADES A UTILIZAR EN EL AÑO 1 4]]=0,0,Tabla16[[#This Row],[CANTIDADES A UTILIZAR EN EL AÑO 1 4]]*1/Tabla16[[#This Row],[UNIDADES PRODUCIDAS AÑO 1 4]])</f>
        <v>0</v>
      </c>
      <c r="BY107" s="344">
        <f>$C$76*(1+BASES!$E$10)</f>
        <v>0</v>
      </c>
      <c r="BZ107" s="344">
        <f>Tabla16[[#This Row],[COSTO UNITARIO AÑO 2 4]]*(1+BASES!$F$10)</f>
        <v>0</v>
      </c>
      <c r="CA107" s="344">
        <f>Tabla16[[#This Row],[COSTO UNITARIO AÑO 3 4 ]]*(1+BASES!$G$10)</f>
        <v>0</v>
      </c>
      <c r="CB107" s="344">
        <f>Tabla16[[#This Row],[COSTO UNITARIO AÑO 4 4]]*(1+BASES!$H$10)</f>
        <v>0</v>
      </c>
      <c r="CC107" s="344">
        <f>Tabla16[[#This Row],[COSTO POR UNIDAD DE PRODUCTO (4)]]*$C$76*VLOOKUP(Tabla16[[#This Row],[CÓDIGO DEL PRODUCTO Y/O SERVICIO ]],Tabla3[],3)</f>
        <v>0</v>
      </c>
      <c r="CD107" s="344">
        <f>Tabla16[[#This Row],[COSTO POR UNIDAD DE PRODUCTO (4)]]*Tabla16[[#This Row],[COSTO UNITARIO AÑO 2 4]]*VLOOKUP(Tabla16[[#This Row],[CÓDIGO DEL PRODUCTO Y/O SERVICIO ]],Tabla3[],6)</f>
        <v>0</v>
      </c>
      <c r="CE107" s="344">
        <f>Tabla16[[#This Row],[COSTO POR UNIDAD DE PRODUCTO (4)]]*Tabla16[[#This Row],[COSTO UNITARIO AÑO 3 4 ]]*VLOOKUP(Tabla16[[#This Row],[CÓDIGO DEL PRODUCTO Y/O SERVICIO ]],Tabla3[],10)</f>
        <v>0</v>
      </c>
      <c r="CF107" s="344">
        <f>Tabla16[[#This Row],[COSTO POR UNIDAD DE PRODUCTO (4)]]*Tabla16[[#This Row],[COSTO UNITARIO AÑO 4 4]]*VLOOKUP(Tabla16[[#This Row],[CÓDIGO DEL PRODUCTO Y/O SERVICIO ]],Tabla3[],14)</f>
        <v>0</v>
      </c>
      <c r="CG107" s="344">
        <f>Tabla16[[#This Row],[COSTO POR UNIDAD DE PRODUCTO (4)]]*Tabla16[[#This Row],[COSTO UNITARIO AÑO 5 4 ]]*VLOOKUP(Tabla16[[#This Row],[CÓDIGO DEL PRODUCTO Y/O SERVICIO ]],Tabla3[],18)</f>
        <v>0</v>
      </c>
      <c r="CH107" s="114">
        <f>VLOOKUP(Tabla16[[#This Row],[CÓDIGO DEL PRODUCTO Y/O SERVICIO ]],Tabla3[],3)</f>
        <v>0</v>
      </c>
      <c r="CI107" s="114">
        <f>Tabla16[[#This Row],[UNIDADES PRODUCIDAS AÑO 1 5]]*J90</f>
        <v>0</v>
      </c>
      <c r="CJ107" s="112">
        <f>VLOOKUP(Tabla16[[#This Row],[CÓDIGO DEL PRODUCTO Y/O SERVICIO ]],Tabla3[],9)</f>
        <v>0</v>
      </c>
      <c r="CK107" s="114">
        <f>Tabla16[[#This Row],[CANTIDADES A UTILIZAR EN EL AÑO 1 5]]*(1+Tabla16[[#This Row],[CAMBIO PORCENTUAL EN UNIDADES VENDIDAS AÑO 2 5]])</f>
        <v>0</v>
      </c>
      <c r="CL107" s="112">
        <f>VLOOKUP(Tabla16[[#This Row],[CÓDIGO DEL PRODUCTO Y/O SERVICIO ]],Tabla3[],13)</f>
        <v>0</v>
      </c>
      <c r="CM107" s="114">
        <f>Tabla16[[#This Row],[CANTIDADES A UTILIZAR EN EL AÑO 2 5]]*(1+Tabla16[[#This Row],[CAMBIO PORCENTUAL EN UNIDADES VENDIDAS AÑO 3 5]])</f>
        <v>0</v>
      </c>
      <c r="CN107" s="112">
        <f>VLOOKUP(Tabla16[[#This Row],[CÓDIGO DEL PRODUCTO Y/O SERVICIO ]],Tabla3[],17)</f>
        <v>0</v>
      </c>
      <c r="CO107" s="114">
        <f>Tabla16[[#This Row],[CANTIDADES A UTILIZAR EN EL AÑO 3 5 ]]*(1+Tabla16[[#This Row],[CAMBIO PORCENTUAL EN UNIDADES VENDIDAS AÑO 4 5]])</f>
        <v>0</v>
      </c>
      <c r="CP107" s="112">
        <f>VLOOKUP(Tabla16[[#This Row],[CÓDIGO DEL PRODUCTO Y/O SERVICIO ]],Tabla3[],21)</f>
        <v>0</v>
      </c>
      <c r="CQ107" s="114">
        <f>Tabla16[[#This Row],[CANTIDADES A UTILIZAR EN EL AÑO 4 5]]*(1+Tabla16[[#This Row],[CAMBIO PORCENTUAL EN UNIDADES VENDIDAS AÑO 5 5]])</f>
        <v>0</v>
      </c>
      <c r="CR107" s="344">
        <f>IF(Tabla16[[#This Row],[CANTIDADES A UTILIZAR EN EL AÑO 1 5]]=0,0,Tabla16[[#This Row],[CANTIDADES A UTILIZAR EN EL AÑO 1 5]]*1/Tabla16[[#This Row],[UNIDADES PRODUCIDAS AÑO 1 5]])</f>
        <v>0</v>
      </c>
      <c r="CS107" s="344">
        <f>$C$77*(1+BASES!$E$10)</f>
        <v>0</v>
      </c>
      <c r="CT107" s="344">
        <f>Tabla16[[#This Row],[COSTO UNITARIO AÑO 2 5]]*(1+BASES!$F$10)</f>
        <v>0</v>
      </c>
      <c r="CU107" s="344">
        <f>Tabla16[[#This Row],[COSTO UNITARIO AÑO 3 5]]*(1+BASES!$G$10)</f>
        <v>0</v>
      </c>
      <c r="CV107" s="344">
        <f>Tabla16[[#This Row],[COSTO UNITARIO AÑO 4 5]]*(1+BASES!$H$10)</f>
        <v>0</v>
      </c>
      <c r="CW107" s="344">
        <f>Tabla16[[#This Row],[COSTO POR UNIDAD DE PRODUCTO (5) ]]*$C$77*VLOOKUP(Tabla16[[#This Row],[CÓDIGO DEL PRODUCTO Y/O SERVICIO ]],Tabla3[],3)</f>
        <v>0</v>
      </c>
      <c r="CX107" s="344">
        <f>Tabla16[[#This Row],[COSTO POR UNIDAD DE PRODUCTO (5) ]]*Tabla16[[#This Row],[COSTO UNITARIO AÑO 2 5]]*VLOOKUP(Tabla16[[#This Row],[CÓDIGO DEL PRODUCTO Y/O SERVICIO ]],Tabla3[],6)</f>
        <v>0</v>
      </c>
      <c r="CY107" s="344">
        <f>Tabla16[[#This Row],[COSTO POR UNIDAD DE PRODUCTO (5) ]]*Tabla16[[#This Row],[COSTO UNITARIO AÑO 3 5]]*VLOOKUP(Tabla16[[#This Row],[CÓDIGO DEL PRODUCTO Y/O SERVICIO ]],Tabla3[],10)</f>
        <v>0</v>
      </c>
      <c r="CZ107" s="344">
        <f>Tabla16[[#This Row],[COSTO POR UNIDAD DE PRODUCTO (5) ]]*Tabla16[[#This Row],[COSTO UNITARIO AÑO 4 5]]*VLOOKUP(Tabla16[[#This Row],[CÓDIGO DEL PRODUCTO Y/O SERVICIO ]],Tabla3[],14)</f>
        <v>0</v>
      </c>
      <c r="DA107" s="344">
        <f>Tabla16[[#This Row],[COSTO POR UNIDAD DE PRODUCTO (5) ]]*Tabla16[[#This Row],[COSTO UNITARIO AÑO 5 5]]*VLOOKUP(Tabla16[[#This Row],[CÓDIGO DEL PRODUCTO Y/O SERVICIO ]],Tabla3[],18)</f>
        <v>0</v>
      </c>
      <c r="DB107" s="114">
        <f>VLOOKUP(Tabla16[[#This Row],[CÓDIGO DEL PRODUCTO Y/O SERVICIO ]],Tabla3[],3)</f>
        <v>0</v>
      </c>
      <c r="DC107" s="114">
        <f>Tabla16[[#This Row],[UNIDADES PRODUCIDAS AÑO 1 6]]*K90</f>
        <v>0</v>
      </c>
      <c r="DD107" s="112">
        <f>VLOOKUP(Tabla16[[#This Row],[CÓDIGO DEL PRODUCTO Y/O SERVICIO ]],Tabla3[],9)</f>
        <v>0</v>
      </c>
      <c r="DE107" s="114">
        <f>Tabla16[[#This Row],[CANTIDADES A UTILIZAR EN EL AÑO 1 6]]*(1+Tabla16[[#This Row],[CAMBIO PORCENTUAL EN UNIDADES VENDIDAS AÑO 2 6]])</f>
        <v>0</v>
      </c>
      <c r="DF107" s="112">
        <f>VLOOKUP(Tabla16[[#This Row],[CÓDIGO DEL PRODUCTO Y/O SERVICIO ]],Tabla3[],13)</f>
        <v>0</v>
      </c>
      <c r="DG107" s="114">
        <f>Tabla16[[#This Row],[CANTIDADES A UTILIZAR EN EL AÑO 2 6]]*(1+Tabla16[[#This Row],[CAMBIO PORCENTUAL EN UNIDADES VENDIDAS AÑO 3 6]])</f>
        <v>0</v>
      </c>
      <c r="DH107" s="112">
        <f>VLOOKUP(Tabla16[[#This Row],[CÓDIGO DEL PRODUCTO Y/O SERVICIO ]],Tabla3[],17)</f>
        <v>0</v>
      </c>
      <c r="DI107" s="114">
        <f>Tabla16[[#This Row],[CANTIDADES A UTILIZAR EN EL AÑO 3 6]]*(1+Tabla16[[#This Row],[CAMBIO PORCENTUAL EN UNIDADES VENDIDAS AÑO 4 6]])</f>
        <v>0</v>
      </c>
      <c r="DJ107" s="112">
        <f>VLOOKUP(Tabla16[[#This Row],[CÓDIGO DEL PRODUCTO Y/O SERVICIO ]],Tabla3[],21)</f>
        <v>0</v>
      </c>
      <c r="DK107" s="114">
        <f>Tabla16[[#This Row],[CANTIDADES A UTILIZAR EN EL AÑO 4 6]]*(1+Tabla16[[#This Row],[CAMBIO PORCENTUAL EN UNIDADES VENDIDAS AÑO 5 6]])</f>
        <v>0</v>
      </c>
      <c r="DL107" s="344">
        <f>IF(Tabla16[[#This Row],[CANTIDADES A UTILIZAR EN EL AÑO 1 6]]=0,0,Tabla16[[#This Row],[CANTIDADES A UTILIZAR EN EL AÑO 1 6]]*1/Tabla16[[#This Row],[UNIDADES PRODUCIDAS AÑO 1 6]])</f>
        <v>0</v>
      </c>
      <c r="DM107" s="344">
        <f>$C$78*(1+BASES!$E$10)</f>
        <v>0</v>
      </c>
      <c r="DN107" s="344">
        <f>Tabla16[[#This Row],[COSTO UNITARIO AÑO 2 6]]*(1+BASES!$F$10)</f>
        <v>0</v>
      </c>
      <c r="DO107" s="344">
        <f>Tabla16[[#This Row],[COSTO UNITARIO AÑO 3 6]]*(1+BASES!$G$10)</f>
        <v>0</v>
      </c>
      <c r="DP107" s="344">
        <f>Tabla16[[#This Row],[COSTO UNITARIO AÑO 4 6]]*(1+BASES!$H$10)</f>
        <v>0</v>
      </c>
      <c r="DQ107" s="344">
        <f>Tabla16[[#This Row],[COSTO POR UNIDAD DE PRODUCTO (6) ]]*$C$78*VLOOKUP(Tabla16[[#This Row],[CÓDIGO DEL PRODUCTO Y/O SERVICIO ]],Tabla3[],3)</f>
        <v>0</v>
      </c>
      <c r="DR107" s="344">
        <f>Tabla16[[#This Row],[COSTO POR UNIDAD DE PRODUCTO (6) ]]*Tabla16[[#This Row],[COSTO UNITARIO AÑO 2 6]]*VLOOKUP(Tabla16[[#This Row],[CÓDIGO DEL PRODUCTO Y/O SERVICIO ]],Tabla3[],6)</f>
        <v>0</v>
      </c>
      <c r="DS107" s="344">
        <f>Tabla16[[#This Row],[COSTO POR UNIDAD DE PRODUCTO (6) ]]*Tabla16[[#This Row],[COSTO UNITARIO AÑO 3 6]]*VLOOKUP(Tabla16[[#This Row],[CÓDIGO DEL PRODUCTO Y/O SERVICIO ]],Tabla3[],10)</f>
        <v>0</v>
      </c>
      <c r="DT107" s="344">
        <f>Tabla16[[#This Row],[COSTO POR UNIDAD DE PRODUCTO (6) ]]*Tabla16[[#This Row],[COSTO UNITARIO AÑO 4 6]]*VLOOKUP(Tabla16[[#This Row],[CÓDIGO DEL PRODUCTO Y/O SERVICIO ]],Tabla3[],14)</f>
        <v>0</v>
      </c>
      <c r="DU107" s="344">
        <f>Tabla16[[#This Row],[COSTO POR UNIDAD DE PRODUCTO (6) ]]*Tabla16[[#This Row],[COSTO UNITARIO AÑO 5 6]]*VLOOKUP(Tabla16[[#This Row],[CÓDIGO DEL PRODUCTO Y/O SERVICIO ]],Tabla3[],18)</f>
        <v>0</v>
      </c>
      <c r="DV107" s="114">
        <f>VLOOKUP(Tabla16[[#This Row],[CÓDIGO DEL PRODUCTO Y/O SERVICIO ]],Tabla3[],3)</f>
        <v>0</v>
      </c>
      <c r="DW107" s="114">
        <f>Tabla16[[#This Row],[UNIDADES PRODUCIDAS AÑO 1 7]]*L90</f>
        <v>0</v>
      </c>
      <c r="DX107" s="112">
        <f>VLOOKUP(Tabla16[[#This Row],[CÓDIGO DEL PRODUCTO Y/O SERVICIO ]],Tabla3[],9)</f>
        <v>0</v>
      </c>
      <c r="DY107" s="114">
        <f>Tabla16[[#This Row],[CANTIDADES A UTILIZAR EN EL AÑO 1 7]]*(1+Tabla16[[#This Row],[CAMBIO PORCENTUAL EN UNIDADES VENDIDAS AÑO 2 7]])</f>
        <v>0</v>
      </c>
      <c r="DZ107" s="112">
        <f>VLOOKUP(Tabla16[[#This Row],[CÓDIGO DEL PRODUCTO Y/O SERVICIO ]],Tabla3[],13)</f>
        <v>0</v>
      </c>
      <c r="EA107" s="114">
        <f>Tabla16[[#This Row],[CANTIDADES A UTILIZAR EN EL AÑO 2 7]]*(1+Tabla16[[#This Row],[CAMBIO PORCENTUAL EN UNIDADES VENDIDAS AÑO 3 7]])</f>
        <v>0</v>
      </c>
      <c r="EB107" s="112">
        <f>VLOOKUP(Tabla16[[#This Row],[CÓDIGO DEL PRODUCTO Y/O SERVICIO ]],Tabla3[],17)</f>
        <v>0</v>
      </c>
      <c r="EC107" s="114">
        <f>Tabla16[[#This Row],[CANTIDADES A UTILIZAR EN EL AÑO 3 7]]*(1+Tabla16[[#This Row],[CAMBIO PORCENTUAL EN UNIDADES VENDIDAS AÑO 4 7]])</f>
        <v>0</v>
      </c>
      <c r="ED107" s="112">
        <f>VLOOKUP(Tabla16[[#This Row],[CÓDIGO DEL PRODUCTO Y/O SERVICIO ]],Tabla3[],21)</f>
        <v>0</v>
      </c>
      <c r="EE107" s="114">
        <f>Tabla16[[#This Row],[CANTIDADES A UTILIZAR EN EL AÑO 4 7]]*(1+Tabla16[[#This Row],[CAMBIO PORCENTUAL EN UNIDADES VENDIDAS AÑO 5 7]])</f>
        <v>0</v>
      </c>
      <c r="EF107" s="344">
        <f>IF(Tabla16[[#This Row],[CANTIDADES A UTILIZAR EN EL AÑO 1 7]]=0,0,Tabla16[[#This Row],[CANTIDADES A UTILIZAR EN EL AÑO 1 7]]*1/Tabla16[[#This Row],[UNIDADES PRODUCIDAS AÑO 1 7]])</f>
        <v>0</v>
      </c>
      <c r="EG107" s="344">
        <f>$C$79*(1+BASES!$E$10)</f>
        <v>0</v>
      </c>
      <c r="EH107" s="344">
        <f>Tabla16[[#This Row],[COSTO UNITARIO AÑO 2 7]]*(1+BASES!$F$10)</f>
        <v>0</v>
      </c>
      <c r="EI107" s="344">
        <f>Tabla16[[#This Row],[COSTO UNITARIO AÑO 3 7]]*(1+BASES!$G$10)</f>
        <v>0</v>
      </c>
      <c r="EJ107" s="344">
        <f>Tabla16[[#This Row],[COSTO UNITARIO AÑO 4 7]]*(1+BASES!$H$10)</f>
        <v>0</v>
      </c>
      <c r="EK107" s="344">
        <f>Tabla16[[#This Row],[COSTO POR UNIDAD DE PRODUCTO (7) ]]*$C$79*VLOOKUP(Tabla16[[#This Row],[CÓDIGO DEL PRODUCTO Y/O SERVICIO ]],Tabla3[],3)</f>
        <v>0</v>
      </c>
      <c r="EL107" s="344">
        <f>Tabla16[[#This Row],[COSTO POR UNIDAD DE PRODUCTO (7) ]]*Tabla16[[#This Row],[COSTO UNITARIO AÑO 2 7]]*VLOOKUP(Tabla16[[#This Row],[CÓDIGO DEL PRODUCTO Y/O SERVICIO ]],Tabla3[],6)</f>
        <v>0</v>
      </c>
      <c r="EM107" s="344">
        <f>Tabla16[[#This Row],[COSTO POR UNIDAD DE PRODUCTO (7) ]]*Tabla16[[#This Row],[COSTO UNITARIO AÑO 3 7]]*VLOOKUP(Tabla16[[#This Row],[CÓDIGO DEL PRODUCTO Y/O SERVICIO ]],Tabla3[],10)</f>
        <v>0</v>
      </c>
      <c r="EN107" s="344">
        <f>Tabla16[[#This Row],[COSTO POR UNIDAD DE PRODUCTO (7) ]]*Tabla16[[#This Row],[COSTO UNITARIO AÑO 4 7]]*VLOOKUP(Tabla16[[#This Row],[CÓDIGO DEL PRODUCTO Y/O SERVICIO ]],Tabla3[],14)</f>
        <v>0</v>
      </c>
      <c r="EO107" s="344">
        <f>Tabla16[[#This Row],[COSTO POR UNIDAD DE PRODUCTO (7) ]]*Tabla16[[#This Row],[COSTO UNITARIO AÑO 5 7]]*VLOOKUP(Tabla16[[#This Row],[CÓDIGO DEL PRODUCTO Y/O SERVICIO ]],Tabla3[],18)</f>
        <v>0</v>
      </c>
      <c r="EP107" s="114">
        <f>VLOOKUP(Tabla16[[#This Row],[CÓDIGO DEL PRODUCTO Y/O SERVICIO ]],Tabla3[],3)</f>
        <v>0</v>
      </c>
      <c r="EQ107" s="114">
        <f>Tabla16[[#This Row],[UNIDADES PRODUCIDAS AÑO 1 8]]*M90</f>
        <v>0</v>
      </c>
      <c r="ER107" s="112">
        <f>VLOOKUP(Tabla16[[#This Row],[CÓDIGO DEL PRODUCTO Y/O SERVICIO ]],Tabla3[],9)</f>
        <v>0</v>
      </c>
      <c r="ES107" s="114">
        <f>Tabla16[[#This Row],[CANTIDADES A UTILIZAR EN EL AÑO 1 8]]*(1+Tabla16[[#This Row],[CAMBIO PORCENTUAL EN UNIDADES VENDIDAS AÑO 2 8]])</f>
        <v>0</v>
      </c>
      <c r="ET107" s="112">
        <f>VLOOKUP(Tabla16[[#This Row],[CÓDIGO DEL PRODUCTO Y/O SERVICIO ]],Tabla3[],13)</f>
        <v>0</v>
      </c>
      <c r="EU107" s="114">
        <f>Tabla16[[#This Row],[CANTIDADES A UTILIZAR EN EL AÑO 2 8]]*(1+Tabla16[[#This Row],[CAMBIO PORCENTUAL EN UNIDADES VENDIDAS AÑO 3 8]])</f>
        <v>0</v>
      </c>
      <c r="EV107" s="112">
        <f>VLOOKUP(Tabla16[[#This Row],[CÓDIGO DEL PRODUCTO Y/O SERVICIO ]],Tabla3[],17)</f>
        <v>0</v>
      </c>
      <c r="EW107" s="114">
        <f>Tabla16[[#This Row],[CANTIDADES A UTILIZAR EN EL AÑO 3 8]]*(1+Tabla16[[#This Row],[CAMBIO PORCENTUAL EN UNIDADES VENDIDAS AÑO 4 8]])</f>
        <v>0</v>
      </c>
      <c r="EX107" s="112">
        <f>VLOOKUP(Tabla16[[#This Row],[CÓDIGO DEL PRODUCTO Y/O SERVICIO ]],Tabla3[],21)</f>
        <v>0</v>
      </c>
      <c r="EY107" s="114">
        <f>Tabla16[[#This Row],[CANTIDADES A UTILIZAR EN EL AÑO 4 8]]*(1+Tabla16[[#This Row],[CAMBIO PORCENTUAL EN UNIDADES VENDIDAS AÑO 5 8]])</f>
        <v>0</v>
      </c>
      <c r="EZ107" s="344">
        <f>IF(Tabla16[[#This Row],[CANTIDADES A UTILIZAR EN EL AÑO 1 8]]=0,0,Tabla16[[#This Row],[CANTIDADES A UTILIZAR EN EL AÑO 1 8]]*1/Tabla16[[#This Row],[UNIDADES PRODUCIDAS AÑO 1 8]])</f>
        <v>0</v>
      </c>
      <c r="FA107" s="344">
        <f>$C$80*(1+BASES!$E$10)</f>
        <v>0</v>
      </c>
      <c r="FB107" s="344">
        <f>Tabla16[[#This Row],[COSTO UNITARIO AÑO 2 8]]*(1+BASES!$F$10)</f>
        <v>0</v>
      </c>
      <c r="FC107" s="344">
        <f>Tabla16[[#This Row],[COSTO UNITARIO AÑO 3 8]]*(1+BASES!$G$10)</f>
        <v>0</v>
      </c>
      <c r="FD107" s="344">
        <f>Tabla16[[#This Row],[COSTO UNITARIO AÑO 4 8]]*(1+BASES!$H$10)</f>
        <v>0</v>
      </c>
      <c r="FE107" s="344">
        <f>Tabla16[[#This Row],[COSTO POR UNIDAD DE PRODUCTO (8) ]]*$C$80*VLOOKUP(Tabla16[[#This Row],[CÓDIGO DEL PRODUCTO Y/O SERVICIO ]],Tabla3[],3)</f>
        <v>0</v>
      </c>
      <c r="FF107" s="344">
        <f>Tabla16[[#This Row],[COSTO POR UNIDAD DE PRODUCTO (8) ]]*Tabla16[[#This Row],[COSTO UNITARIO AÑO 2 8]]*VLOOKUP(Tabla16[[#This Row],[CÓDIGO DEL PRODUCTO Y/O SERVICIO ]],Tabla3[],6)</f>
        <v>0</v>
      </c>
      <c r="FG107" s="344">
        <f>Tabla16[[#This Row],[COSTO POR UNIDAD DE PRODUCTO (8) ]]*Tabla16[[#This Row],[COSTO UNITARIO AÑO 3 8]]*VLOOKUP(Tabla16[[#This Row],[CÓDIGO DEL PRODUCTO Y/O SERVICIO ]],Tabla3[],10)</f>
        <v>0</v>
      </c>
      <c r="FH107" s="344">
        <f>Tabla16[[#This Row],[COSTO POR UNIDAD DE PRODUCTO (8) ]]*Tabla16[[#This Row],[COSTO UNITARIO AÑO 4 8]]*VLOOKUP(Tabla16[[#This Row],[CÓDIGO DEL PRODUCTO Y/O SERVICIO ]],Tabla3[],14)</f>
        <v>0</v>
      </c>
      <c r="FI107" s="344">
        <f>Tabla16[[#This Row],[COSTO POR UNIDAD DE PRODUCTO (8) ]]*Tabla16[[#This Row],[COSTO UNITARIO AÑO 5 8]]*VLOOKUP(Tabla16[[#This Row],[CÓDIGO DEL PRODUCTO Y/O SERVICIO ]],Tabla3[],18)</f>
        <v>0</v>
      </c>
      <c r="FJ107" s="114">
        <f>VLOOKUP(Tabla16[[#This Row],[CÓDIGO DEL PRODUCTO Y/O SERVICIO ]],Tabla3[],3)</f>
        <v>0</v>
      </c>
      <c r="FK107" s="114">
        <f>Tabla16[[#This Row],[UNIDADES PRODUCIDAS AÑO 1 9]]*N90</f>
        <v>0</v>
      </c>
      <c r="FL107" s="112">
        <f>VLOOKUP(Tabla16[[#This Row],[CÓDIGO DEL PRODUCTO Y/O SERVICIO ]],Tabla3[],9)</f>
        <v>0</v>
      </c>
      <c r="FM107" s="114">
        <f>Tabla16[[#This Row],[CANTIDADES A UTILIZAR EN EL AÑO 1 9]]*(1+Tabla16[[#This Row],[CAMBIO PORCENTUAL EN UNIDADES VENDIDAS AÑO 2 9]])</f>
        <v>0</v>
      </c>
      <c r="FN107" s="112">
        <f>VLOOKUP(Tabla16[[#This Row],[CÓDIGO DEL PRODUCTO Y/O SERVICIO ]],Tabla3[],13)</f>
        <v>0</v>
      </c>
      <c r="FO107" s="114">
        <f>Tabla16[[#This Row],[CANTIDADES A UTILIZAR EN EL AÑO 2 9]]*(1+Tabla16[[#This Row],[CAMBIO PORCENTUAL EN UNIDADES VENDIDAS AÑO 3 9]])</f>
        <v>0</v>
      </c>
      <c r="FP107" s="112">
        <f>VLOOKUP(Tabla16[[#This Row],[CÓDIGO DEL PRODUCTO Y/O SERVICIO ]],Tabla3[],17)</f>
        <v>0</v>
      </c>
      <c r="FQ107" s="114">
        <f>Tabla16[[#This Row],[CANTIDADES A UTILIZAR EN EL AÑO 3 9]]*(1+Tabla16[[#This Row],[CAMBIO PORCENTUAL EN UNIDADES VENDIDAS AÑO 4 9]])</f>
        <v>0</v>
      </c>
      <c r="FR107" s="112">
        <f>VLOOKUP(Tabla16[[#This Row],[CÓDIGO DEL PRODUCTO Y/O SERVICIO ]],Tabla3[],21)</f>
        <v>0</v>
      </c>
      <c r="FS107" s="114">
        <f>Tabla16[[#This Row],[CANTIDADES A UTILIZAR EN EL AÑO 4 9]]*(1+Tabla16[[#This Row],[CAMBIO PORCENTUAL EN UNIDADES VENDIDAS AÑO 5 9]])</f>
        <v>0</v>
      </c>
      <c r="FT107" s="344">
        <f>IF(Tabla16[[#This Row],[CANTIDADES A UTILIZAR EN EL AÑO 1 9]]=0,0,Tabla16[[#This Row],[CANTIDADES A UTILIZAR EN EL AÑO 1 9]]*1/Tabla16[[#This Row],[UNIDADES PRODUCIDAS AÑO 1 9]])</f>
        <v>0</v>
      </c>
      <c r="FU107" s="344">
        <f>$C$81*(1+BASES!$E$10)</f>
        <v>0</v>
      </c>
      <c r="FV107" s="344">
        <f>Tabla16[[#This Row],[COSTO UNITARIO AÑO 2 9]]*(1+BASES!$F$10)</f>
        <v>0</v>
      </c>
      <c r="FW107" s="344">
        <f>Tabla16[[#This Row],[COSTO UNITARIO AÑO 3 9]]*(1+BASES!$G$10)</f>
        <v>0</v>
      </c>
      <c r="FX107" s="344">
        <f>Tabla16[[#This Row],[COSTO UNITARIO AÑO 4 9]]*(1+BASES!$H$10)</f>
        <v>0</v>
      </c>
      <c r="FY107" s="344">
        <f>Tabla16[[#This Row],[COSTO POR UNIDAD DE PRODUCTO (9) ]]*$C$81*VLOOKUP(Tabla16[[#This Row],[CÓDIGO DEL PRODUCTO Y/O SERVICIO ]],Tabla3[],3)</f>
        <v>0</v>
      </c>
      <c r="FZ107" s="344">
        <f>Tabla16[[#This Row],[COSTO POR UNIDAD DE PRODUCTO (9) ]]*Tabla16[[#This Row],[COSTO UNITARIO AÑO 2 9]]*VLOOKUP(Tabla16[[#This Row],[CÓDIGO DEL PRODUCTO Y/O SERVICIO ]],Tabla3[],6)</f>
        <v>0</v>
      </c>
      <c r="GA107" s="344">
        <f>Tabla16[[#This Row],[COSTO POR UNIDAD DE PRODUCTO (9) ]]*Tabla16[[#This Row],[COSTO UNITARIO AÑO 3 9]]*VLOOKUP(Tabla16[[#This Row],[CÓDIGO DEL PRODUCTO Y/O SERVICIO ]],Tabla3[],10)</f>
        <v>0</v>
      </c>
      <c r="GB107" s="344">
        <f>Tabla16[[#This Row],[COSTO POR UNIDAD DE PRODUCTO (9) ]]*Tabla16[[#This Row],[COSTO UNITARIO AÑO 4 9]]*VLOOKUP(Tabla16[[#This Row],[CÓDIGO DEL PRODUCTO Y/O SERVICIO ]],Tabla3[],14)</f>
        <v>0</v>
      </c>
      <c r="GC107" s="344">
        <f>Tabla16[[#This Row],[COSTO POR UNIDAD DE PRODUCTO (9) ]]*Tabla16[[#This Row],[COSTO UNITARIO AÑO 5 9]]*VLOOKUP(Tabla16[[#This Row],[CÓDIGO DEL PRODUCTO Y/O SERVICIO ]],Tabla3[],18)</f>
        <v>0</v>
      </c>
      <c r="GD107" s="114">
        <f>VLOOKUP(Tabla16[[#This Row],[CÓDIGO DEL PRODUCTO Y/O SERVICIO ]],Tabla3[],3)</f>
        <v>0</v>
      </c>
      <c r="GE107" s="114">
        <f>Tabla16[[#This Row],[UNIDADES PRODUCIDAS AÑO 1 10]]*O90</f>
        <v>0</v>
      </c>
      <c r="GF107" s="112">
        <f>VLOOKUP(Tabla16[[#This Row],[CÓDIGO DEL PRODUCTO Y/O SERVICIO ]],Tabla3[],9)</f>
        <v>0</v>
      </c>
      <c r="GG107" s="114">
        <f>Tabla16[[#This Row],[CANTIDADES A UTILIZAR EN EL AÑO 1 10]]*(1+Tabla16[[#This Row],[CAMBIO PORCENTUAL EN UNIDADES VENDIDAS AÑO 2 10]])</f>
        <v>0</v>
      </c>
      <c r="GH107" s="112">
        <f>VLOOKUP(Tabla16[[#This Row],[CÓDIGO DEL PRODUCTO Y/O SERVICIO ]],Tabla3[],13)</f>
        <v>0</v>
      </c>
      <c r="GI107" s="114">
        <f>Tabla16[[#This Row],[CANTIDADES A UTILIZAR EN EL AÑO 2 10]]*(1+Tabla16[[#This Row],[CAMBIO PORCENTUAL EN UNIDADES VENDIDAS AÑO 3 10]])</f>
        <v>0</v>
      </c>
      <c r="GJ107" s="112">
        <f>VLOOKUP(Tabla16[[#This Row],[CÓDIGO DEL PRODUCTO Y/O SERVICIO ]],Tabla3[],17)</f>
        <v>0</v>
      </c>
      <c r="GK107" s="114">
        <f>Tabla16[[#This Row],[CANTIDADES A UTILIZAR EN EL AÑO 3 10]]*(1+Tabla16[[#This Row],[CAMBIO PORCENTUAL EN UNIDADES VENDIDAS AÑO 4 10 ]])</f>
        <v>0</v>
      </c>
      <c r="GL107" s="112">
        <f>VLOOKUP(Tabla16[[#This Row],[CÓDIGO DEL PRODUCTO Y/O SERVICIO ]],Tabla3[],21)</f>
        <v>0</v>
      </c>
      <c r="GM107" s="114">
        <f>Tabla16[[#This Row],[CANTIDADES A UTILIZAR EN EL AÑO 4 10]]*(1+Tabla16[[#This Row],[CAMBIO PORCENTUAL EN UNIDADES VENDIDAS AÑO 5 10]])</f>
        <v>0</v>
      </c>
      <c r="GN107" s="344">
        <f>IF(Tabla16[[#This Row],[CANTIDADES A UTILIZAR EN EL AÑO 1 10]]=0,0,Tabla16[[#This Row],[CANTIDADES A UTILIZAR EN EL AÑO 1 10]]*1/Tabla16[[#This Row],[UNIDADES PRODUCIDAS AÑO 1 10]])</f>
        <v>0</v>
      </c>
      <c r="GO107" s="344">
        <f>$C$82*(1+BASES!$E$10)</f>
        <v>0</v>
      </c>
      <c r="GP107" s="344">
        <f>Tabla16[[#This Row],[COSTO UNITARIO AÑO 2 10]]*(1+BASES!$F$10)</f>
        <v>0</v>
      </c>
      <c r="GQ107" s="344">
        <f>Tabla16[[#This Row],[COSTO UNITARIO AÑO 3 10]]*(1+BASES!$G$10)</f>
        <v>0</v>
      </c>
      <c r="GR107" s="344">
        <f>Tabla16[[#This Row],[COSTO UNITARIO AÑO 4 10]]*(1+BASES!$H$10)</f>
        <v>0</v>
      </c>
      <c r="GS107" s="344">
        <f>Tabla16[[#This Row],[COSTO POR UNIDAD DE PRODUCTO (10) ]]*C82*VLOOKUP(Tabla16[[#This Row],[CÓDIGO DEL PRODUCTO Y/O SERVICIO ]],Tabla3[],3)</f>
        <v>0</v>
      </c>
      <c r="GT107" s="344">
        <f>Tabla16[[#This Row],[COSTO POR UNIDAD DE PRODUCTO (10) ]]*Tabla16[[#This Row],[COSTO UNITARIO AÑO 2 10]]*VLOOKUP(Tabla16[[#This Row],[CÓDIGO DEL PRODUCTO Y/O SERVICIO ]],Tabla3[],6)</f>
        <v>0</v>
      </c>
      <c r="GU107" s="344">
        <f>Tabla16[[#This Row],[COSTO POR UNIDAD DE PRODUCTO (10) ]]*Tabla16[[#This Row],[COSTO UNITARIO AÑO 3 10]]*VLOOKUP(Tabla16[[#This Row],[CÓDIGO DEL PRODUCTO Y/O SERVICIO ]],Tabla3[],10)</f>
        <v>0</v>
      </c>
      <c r="GV107" s="344">
        <f>Tabla16[[#This Row],[COSTO POR UNIDAD DE PRODUCTO (10) ]]*Tabla16[[#This Row],[COSTO UNITARIO AÑO 4 10]]*VLOOKUP(Tabla16[[#This Row],[CÓDIGO DEL PRODUCTO Y/O SERVICIO ]],Tabla3[],14)</f>
        <v>0</v>
      </c>
      <c r="GW107" s="344">
        <f>Tabla16[[#This Row],[COSTO POR UNIDAD DE PRODUCTO (10) ]]*Tabla16[[#This Row],[COSTO UNITARIO AÑO 5 10]]*VLOOKUP(Tabla16[[#This Row],[CÓDIGO DEL PRODUCTO Y/O SERVICIO ]],Tabla3[],18)</f>
        <v>0</v>
      </c>
      <c r="GX107" s="381">
        <f>Tabla16[[#This Row],[AÑO 1 10]]+Tabla16[[#This Row],[AÑO 1 9]]+Tabla16[[#This Row],[AÑO 1 8]]+Tabla16[[#This Row],[AÑO 1 7]]+Tabla16[[#This Row],[AÑO 1 6]]+Tabla16[[#This Row],[AÑO 1 5]]+Tabla16[[#This Row],[AÑO 1 4]]+Tabla16[[#This Row],[AÑO 1 3]]+Tabla16[[#This Row],[AÑO 1 2]]+Tabla16[[#This Row],[AÑO 1 1]]</f>
        <v>0</v>
      </c>
      <c r="GY107" s="381">
        <f>Tabla16[[#This Row],[AÑO 2 10]]+Tabla16[[#This Row],[AÑO 2 9]]+Tabla16[[#This Row],[AÑO 2 8]]+Tabla16[[#This Row],[AÑO 2 7]]+Tabla16[[#This Row],[AÑO 2 6]]+Tabla16[[#This Row],[AÑO 2 5]]+Tabla16[[#This Row],[AÑO 2 4]]+Tabla16[[#This Row],[AÑO 2 3]]+Tabla16[[#This Row],[AÑO 2 2]]+Tabla16[[#This Row],[AÑO 2 1]]</f>
        <v>0</v>
      </c>
      <c r="GZ107" s="381">
        <f>Tabla16[[#This Row],[AÑO 3 10]]+Tabla16[[#This Row],[AÑO 3 9]]+Tabla16[[#This Row],[AÑO 3 8]]+Tabla16[[#This Row],[AÑO 3 7]]+Tabla16[[#This Row],[AÑO 3 6]]+Tabla16[[#This Row],[AÑO 3 5]]+Tabla16[[#This Row],[AÑO 3 4]]+Tabla16[[#This Row],[AÑO 3 3]]+Tabla16[[#This Row],[AÑO 3 2]]+Tabla16[[#This Row],[AÑO 3 1]]</f>
        <v>0</v>
      </c>
      <c r="HA107" s="381">
        <f>Tabla16[[#This Row],[AÑO 4 10]]+Tabla16[[#This Row],[AÑO 4 9]]+Tabla16[[#This Row],[AÑO 4 8]]+Tabla16[[#This Row],[AÑO 4 7]]+Tabla16[[#This Row],[AÑO 4 6]]+Tabla16[[#This Row],[AÑO 4 5]]+Tabla16[[#This Row],[AÑO 4 4 ]]+Tabla16[[#This Row],[AÑO 4 3]]+Tabla16[[#This Row],[AÑO 4 2]]+Tabla16[[#This Row],[AÑO 4 1]]</f>
        <v>0</v>
      </c>
      <c r="HB107" s="381">
        <f>Tabla16[[#This Row],[AÑO 5 10]]+Tabla16[[#This Row],[AÑO 5 9]]+Tabla16[[#This Row],[AÑO 5 8]]+Tabla16[[#This Row],[AÑO 5 7]]+Tabla16[[#This Row],[AÑO 5 6]]+Tabla16[[#This Row],[AÑO 5 5]]+Tabla16[[#This Row],[AÑO 5 4]]+Tabla16[[#This Row],[AÑO 5 3]]+Tabla16[[#This Row],[AÑO 5 2]]+Tabla16[[#This Row],[AÑO 5 1]]</f>
        <v>0</v>
      </c>
    </row>
    <row r="108" spans="3:210" ht="15.75" x14ac:dyDescent="0.25">
      <c r="C108" s="362"/>
      <c r="D108" s="451" t="str">
        <f>VLOOKUP(Tabla16[[#This Row],[CÓDIGO DEL PRODUCTO Y/O SERVICIO ]],Tabla3[],2,0)</f>
        <v xml:space="preserve">Seleccionar producto o servicio </v>
      </c>
      <c r="E108" s="72"/>
      <c r="F108" s="359">
        <f>VLOOKUP(Tabla16[[#This Row],[CÓDIGO DEL PRODUCTO Y/O SERVICIO ]],Tabla3[],3)</f>
        <v>0</v>
      </c>
      <c r="G108" s="359">
        <f>Tabla16[[#This Row],[UNIDADES PRODUCIDAS AÑO 1 1]]*F91</f>
        <v>0</v>
      </c>
      <c r="H108" s="112">
        <f>VLOOKUP(Tabla16[[#This Row],[CÓDIGO DEL PRODUCTO Y/O SERVICIO ]],Tabla3[],9)</f>
        <v>0</v>
      </c>
      <c r="I108" s="359">
        <f>Tabla16[[#This Row],[CANTIDADES A UTILIZAR EN EL AÑO 1 1]]*(1+Tabla16[[#This Row],[CAMBIO PORCENTUAL EN UNIDADES VENDIDAS AÑO 2 1]])</f>
        <v>0</v>
      </c>
      <c r="J108" s="112">
        <f>VLOOKUP(Tabla16[[#This Row],[CÓDIGO DEL PRODUCTO Y/O SERVICIO ]],Tabla3[],13)</f>
        <v>0</v>
      </c>
      <c r="K108" s="359">
        <f>Tabla16[[#This Row],[CANTIDADES  A UTILIZAR EN EL AÑO 2 1]]*(1+Tabla16[[#This Row],[CAMBIO PORCENTUAL EN UNIDADES VENDIDAS AÑO 3 1]])</f>
        <v>0</v>
      </c>
      <c r="L108" s="112">
        <f>VLOOKUP(Tabla16[[#This Row],[CÓDIGO DEL PRODUCTO Y/O SERVICIO ]],Tabla3[],17)</f>
        <v>0</v>
      </c>
      <c r="M108" s="359">
        <f>Tabla16[[#This Row],[CANTIDADES A UTILIZAR EN EL AÑO 3 1]]*(1+Tabla16[[#This Row],[CAMBIO PORCENTUAL EN UNIDADES VENDIDAS AÑO 4 1]])</f>
        <v>0</v>
      </c>
      <c r="N108" s="112">
        <f>VLOOKUP(Tabla16[[#This Row],[CÓDIGO DEL PRODUCTO Y/O SERVICIO ]],Tabla3[],21)</f>
        <v>0</v>
      </c>
      <c r="O108" s="359">
        <f>Tabla16[[#This Row],[CANTIDADES A UTILIZAR EN EL AÑO 4 1 ]]*(1+Tabla16[[#This Row],[CAMBIO PORCENTUAL EN UNIDADES VENDIDAS AÑO 5 1]])</f>
        <v>0</v>
      </c>
      <c r="P108" s="344">
        <f>IF(Tabla16[[#This Row],[CANTIDADES A UTILIZAR EN EL AÑO 1 1]]=0,0,Tabla16[[#This Row],[CANTIDADES A UTILIZAR EN EL AÑO 1 1]]*1/Tabla16[[#This Row],[UNIDADES PRODUCIDAS AÑO 1 1]])</f>
        <v>0</v>
      </c>
      <c r="Q108" s="344">
        <f>$C$73*(1+BASES!$E$10)</f>
        <v>0</v>
      </c>
      <c r="R108" s="344">
        <f>Tabla16[[#This Row],[COSTO UNITARIO AÑO 2 1]]*(1+BASES!$F$10)</f>
        <v>0</v>
      </c>
      <c r="S108" s="344">
        <f>Tabla16[[#This Row],[COSTO UNITARIO AÑO 3 1]]*(1+BASES!$G$10)</f>
        <v>0</v>
      </c>
      <c r="T108" s="344">
        <f>Tabla16[[#This Row],[COSTO UNITARIO AÑO 4 1]]*(1+BASES!$H$10)</f>
        <v>0</v>
      </c>
      <c r="U108" s="344">
        <f>Tabla16[[#This Row],[COSTO POR UNIDAD DE PRODUCTO (1)]]*$C$73*VLOOKUP(Tabla16[[#This Row],[CÓDIGO DEL PRODUCTO Y/O SERVICIO ]],Tabla3[],3)</f>
        <v>0</v>
      </c>
      <c r="V108" s="344">
        <f>Tabla16[[#This Row],[COSTO POR UNIDAD DE PRODUCTO (1)]]*Tabla16[[#This Row],[COSTO UNITARIO AÑO 2 1]]*VLOOKUP(Tabla16[[#This Row],[CÓDIGO DEL PRODUCTO Y/O SERVICIO ]],Tabla3[],6)</f>
        <v>0</v>
      </c>
      <c r="W108" s="344">
        <f>Tabla16[[#This Row],[COSTO POR UNIDAD DE PRODUCTO (1)]]*Tabla16[[#This Row],[COSTO UNITARIO AÑO 3 1]]*VLOOKUP(Tabla16[[#This Row],[CÓDIGO DEL PRODUCTO Y/O SERVICIO ]],Tabla3[],10)</f>
        <v>0</v>
      </c>
      <c r="X108" s="344">
        <f>Tabla16[[#This Row],[COSTO POR UNIDAD DE PRODUCTO (1)]]*Tabla16[[#This Row],[COSTO UNITARIO AÑO 4 1]]*VLOOKUP(Tabla16[[#This Row],[CÓDIGO DEL PRODUCTO Y/O SERVICIO ]],Tabla3[],14)</f>
        <v>0</v>
      </c>
      <c r="Y108" s="344">
        <f>Tabla16[[#This Row],[COSTO POR UNIDAD DE PRODUCTO (1)]]*Tabla16[[#This Row],[COSTO UNITARIO AÑO 5 1]]*VLOOKUP(Tabla16[[#This Row],[CÓDIGO DEL PRODUCTO Y/O SERVICIO ]],Tabla3[],18)</f>
        <v>0</v>
      </c>
      <c r="Z108" s="114">
        <f>VLOOKUP(Tabla16[[#This Row],[CÓDIGO DEL PRODUCTO Y/O SERVICIO ]],Tabla3[],3)</f>
        <v>0</v>
      </c>
      <c r="AA108" s="114">
        <f>Tabla16[[#This Row],[UNIDADES PRODUCIDAS AÑO 1 2]]*G91</f>
        <v>0</v>
      </c>
      <c r="AB108" s="112">
        <f>VLOOKUP(Tabla16[[#This Row],[CÓDIGO DEL PRODUCTO Y/O SERVICIO ]],Tabla3[],9)</f>
        <v>0</v>
      </c>
      <c r="AC108" s="114">
        <f>Tabla16[[#This Row],[CANTIDADES A UTILIZAR EN EL AÑO 1 2]]*(1+Tabla16[[#This Row],[CAMBIO PORCENTUAL EN UNIDADES VENDIDAS AÑO 2 2]])</f>
        <v>0</v>
      </c>
      <c r="AD108" s="112">
        <f>VLOOKUP(Tabla16[[#This Row],[CÓDIGO DEL PRODUCTO Y/O SERVICIO ]],Tabla3[],13)</f>
        <v>0</v>
      </c>
      <c r="AE108" s="114">
        <f>Tabla16[[#This Row],[CANTIDADES A UTILIZAR EN EL AÑO 2 2]]*(1+Tabla16[[#This Row],[CAMBIO PORCENTUAL EN UNIDADES VENDIDAS AÑO 3 2 ]])</f>
        <v>0</v>
      </c>
      <c r="AF108" s="112">
        <f>VLOOKUP(Tabla16[[#This Row],[CÓDIGO DEL PRODUCTO Y/O SERVICIO ]],Tabla3[],17)</f>
        <v>0</v>
      </c>
      <c r="AG108" s="114">
        <f>Tabla16[[#This Row],[CANTIDADES A UTILIZAR EN EL AÑO 3 2]]*(1+Tabla16[[#This Row],[CAMBIO PORCENTUAL EN UNIDADES VENDIDAS AÑO 4 2]])</f>
        <v>0</v>
      </c>
      <c r="AH108" s="112">
        <f>VLOOKUP(Tabla16[[#This Row],[CÓDIGO DEL PRODUCTO Y/O SERVICIO ]],Tabla3[],21)</f>
        <v>0</v>
      </c>
      <c r="AI108" s="114">
        <f>Tabla16[[#This Row],[CANTIDADES A UTILIZAR EN EL AÑO 4 2]]*(1+Tabla16[[#This Row],[CAMBIO PORCENTUAL EN UNIDADES VENDIDAS AÑO 5 2]])</f>
        <v>0</v>
      </c>
      <c r="AJ108" s="344">
        <f>IF(Tabla16[[#This Row],[CANTIDADES A UTILIZAR EN EL AÑO 1 2]]=0,0,Tabla16[[#This Row],[CANTIDADES A UTILIZAR EN EL AÑO 1 2]]*1/Tabla16[[#This Row],[UNIDADES PRODUCIDAS AÑO 1 2]])</f>
        <v>0</v>
      </c>
      <c r="AK108" s="344">
        <f>$C$74*(1+BASES!$E$10)</f>
        <v>0</v>
      </c>
      <c r="AL108" s="344">
        <f>Tabla16[[#This Row],[COSTO UNITARIO AÑO 2 2]]*(1+BASES!$F$10)</f>
        <v>0</v>
      </c>
      <c r="AM108" s="344">
        <f>Tabla16[[#This Row],[COSTO UNITARIO AÑO 3 2]]*(1+BASES!$G$10)</f>
        <v>0</v>
      </c>
      <c r="AN108" s="344">
        <f>Tabla16[[#This Row],[COSTO UNITARIO AÑO 4 2]]*(1+BASES!$H$10)</f>
        <v>0</v>
      </c>
      <c r="AO108" s="344">
        <f>Tabla16[[#This Row],[COSTO POR UNIDAD DE PRODUCTO (2) ]]*$C$74*VLOOKUP(Tabla16[[#This Row],[CÓDIGO DEL PRODUCTO Y/O SERVICIO ]],Tabla3[],3)</f>
        <v>0</v>
      </c>
      <c r="AP108" s="344">
        <f>Tabla16[[#This Row],[COSTO POR UNIDAD DE PRODUCTO (2) ]]*Tabla16[[#This Row],[COSTO UNITARIO AÑO 2 2]]*VLOOKUP(Tabla16[[#This Row],[CÓDIGO DEL PRODUCTO Y/O SERVICIO ]],Tabla3[],6)</f>
        <v>0</v>
      </c>
      <c r="AQ108" s="344">
        <f>Tabla16[[#This Row],[COSTO POR UNIDAD DE PRODUCTO (2) ]]*Tabla16[[#This Row],[COSTO UNITARIO AÑO 3 2]]*VLOOKUP(Tabla16[[#This Row],[CÓDIGO DEL PRODUCTO Y/O SERVICIO ]],Tabla3[],10)</f>
        <v>0</v>
      </c>
      <c r="AR108" s="344">
        <f>Tabla16[[#This Row],[COSTO POR UNIDAD DE PRODUCTO (2) ]]*Tabla16[[#This Row],[COSTO UNITARIO AÑO 4 2]]*VLOOKUP(Tabla16[[#This Row],[CÓDIGO DEL PRODUCTO Y/O SERVICIO ]],Tabla3[],14)</f>
        <v>0</v>
      </c>
      <c r="AS108" s="344">
        <f>Tabla16[[#This Row],[COSTO POR UNIDAD DE PRODUCTO (2) ]]*Tabla16[[#This Row],[COSTO UNITARIO AÑO 5 2 ]]*VLOOKUP(Tabla16[[#This Row],[CÓDIGO DEL PRODUCTO Y/O SERVICIO ]],Tabla3[],18)</f>
        <v>0</v>
      </c>
      <c r="AT108" s="114">
        <f>VLOOKUP(Tabla16[[#This Row],[CÓDIGO DEL PRODUCTO Y/O SERVICIO ]],Tabla3[],3)</f>
        <v>0</v>
      </c>
      <c r="AU108" s="114">
        <f>Tabla16[[#This Row],[UNIDADES PRODUCIDAS AÑO 1 3]]*H91</f>
        <v>0</v>
      </c>
      <c r="AV108" s="112">
        <f>VLOOKUP(Tabla16[[#This Row],[CÓDIGO DEL PRODUCTO Y/O SERVICIO ]],Tabla3[],9)</f>
        <v>0</v>
      </c>
      <c r="AW108" s="114">
        <f>Tabla16[[#This Row],[CANTIDADES A UTILIZAR EN EL AÑO 1 3]]*(1+Tabla16[[#This Row],[CAMBIO PORCENTUAL EN UNIDADES VENDIDAS AÑO 2 3]])</f>
        <v>0</v>
      </c>
      <c r="AX108" s="112">
        <f>VLOOKUP(Tabla16[[#This Row],[CÓDIGO DEL PRODUCTO Y/O SERVICIO ]],Tabla3[],13)</f>
        <v>0</v>
      </c>
      <c r="AY108" s="114">
        <f>Tabla16[[#This Row],[CANTIDADES A UTILIZAR EN EL AÑO 2 3]]*(1+Tabla16[[#This Row],[CAMBIO PORCENTUAL EN UNIDADES VENDIDAS AÑO 3 3]])</f>
        <v>0</v>
      </c>
      <c r="AZ108" s="112">
        <f>VLOOKUP(Tabla16[[#This Row],[CÓDIGO DEL PRODUCTO Y/O SERVICIO ]],Tabla3[],17)</f>
        <v>0</v>
      </c>
      <c r="BA108" s="114">
        <f>Tabla16[[#This Row],[CANTIDADES A UTILIZAR EN EL AÑO 3 3]]*(1+Tabla16[[#This Row],[CAMBIO PORCENTUAL EN UNIDADES VENDIDAS AÑO 4 3]])</f>
        <v>0</v>
      </c>
      <c r="BB108" s="112">
        <f>VLOOKUP(Tabla16[[#This Row],[CÓDIGO DEL PRODUCTO Y/O SERVICIO ]],Tabla3[],21)</f>
        <v>0</v>
      </c>
      <c r="BC108" s="114">
        <f>Tabla16[[#This Row],[CANTIDADES A UTILIZAR EN EL AÑO 4 3]]*(1+Tabla16[[#This Row],[CAMBIO PORCENTUAL EN UNIDADES VENDIDAS AÑO 5 3]])</f>
        <v>0</v>
      </c>
      <c r="BD108" s="344">
        <f>IF(Tabla16[[#This Row],[CANTIDADES A UTILIZAR EN EL AÑO 1 3]]=0,0,Tabla16[[#This Row],[CANTIDADES A UTILIZAR EN EL AÑO 1 3]]*1/Tabla16[[#This Row],[UNIDADES PRODUCIDAS AÑO 1 3]])</f>
        <v>0</v>
      </c>
      <c r="BE108" s="344">
        <f>$C$75*(1+BASES!$E$10)</f>
        <v>0</v>
      </c>
      <c r="BF108" s="344">
        <f>Tabla16[[#This Row],[COSTO UNITARIO AÑO 2 3]]*(1+BASES!$F$10)</f>
        <v>0</v>
      </c>
      <c r="BG108" s="344">
        <f>Tabla16[[#This Row],[COSTO UNITARIO AÑO 3 3]]*(1+BASES!$G$10)</f>
        <v>0</v>
      </c>
      <c r="BH108" s="344">
        <f>Tabla16[[#This Row],[COSTO UNITARIO AÑO 4 3]]*(1+BASES!$H$10)</f>
        <v>0</v>
      </c>
      <c r="BI108" s="344">
        <f>Tabla16[[#This Row],[COSTO POR UNIDAD DE PRODUCTO (3) ]]*$C$75*VLOOKUP(Tabla16[[#This Row],[CÓDIGO DEL PRODUCTO Y/O SERVICIO ]],Tabla3[],3)</f>
        <v>0</v>
      </c>
      <c r="BJ108" s="344">
        <f>Tabla16[[#This Row],[COSTO POR UNIDAD DE PRODUCTO (3) ]]*Tabla16[[#This Row],[COSTO UNITARIO AÑO 2 3]]*VLOOKUP(Tabla16[[#This Row],[CÓDIGO DEL PRODUCTO Y/O SERVICIO ]],Tabla3[],6)</f>
        <v>0</v>
      </c>
      <c r="BK108" s="344">
        <f>Tabla16[[#This Row],[COSTO POR UNIDAD DE PRODUCTO (3) ]]*Tabla16[[#This Row],[COSTO UNITARIO AÑO 3 3]]*VLOOKUP(Tabla16[[#This Row],[CÓDIGO DEL PRODUCTO Y/O SERVICIO ]],Tabla3[],10)</f>
        <v>0</v>
      </c>
      <c r="BL108" s="344">
        <f>Tabla16[[#This Row],[COSTO POR UNIDAD DE PRODUCTO (3) ]]*Tabla16[[#This Row],[COSTO UNITARIO AÑO 4 3]]*VLOOKUP(Tabla16[[#This Row],[CÓDIGO DEL PRODUCTO Y/O SERVICIO ]],Tabla3[],14)</f>
        <v>0</v>
      </c>
      <c r="BM108" s="344">
        <f>Tabla16[[#This Row],[COSTO POR UNIDAD DE PRODUCTO (3) ]]*Tabla16[[#This Row],[COSTO UNITARIO AÑO 5 3]]*VLOOKUP(Tabla16[[#This Row],[CÓDIGO DEL PRODUCTO Y/O SERVICIO ]],Tabla3[],18)</f>
        <v>0</v>
      </c>
      <c r="BN108" s="114">
        <f>VLOOKUP(Tabla16[[#This Row],[CÓDIGO DEL PRODUCTO Y/O SERVICIO ]],Tabla3[],3)</f>
        <v>0</v>
      </c>
      <c r="BO108" s="114">
        <f>Tabla16[[#This Row],[UNIDADES PRODUCIDAS AÑO 1 4]]*I91</f>
        <v>0</v>
      </c>
      <c r="BP108" s="112">
        <f>VLOOKUP(Tabla16[[#This Row],[CÓDIGO DEL PRODUCTO Y/O SERVICIO ]],Tabla3[],9)</f>
        <v>0</v>
      </c>
      <c r="BQ108" s="114">
        <f>Tabla16[[#This Row],[CANTIDADES A UTILIZAR EN EL AÑO 1 4]]*(1+Tabla16[[#This Row],[CAMBIO PORCENTUAL EN UNIDADES VENDIDAS AÑO 2 4]])</f>
        <v>0</v>
      </c>
      <c r="BR108" s="112">
        <f>VLOOKUP(Tabla16[[#This Row],[CÓDIGO DEL PRODUCTO Y/O SERVICIO ]],Tabla3[],13)</f>
        <v>0</v>
      </c>
      <c r="BS108" s="114">
        <f>Tabla16[[#This Row],[CANTIDADES A UTILIZAR EN EL AÑO 2 4]]*(1+Tabla16[[#This Row],[CAMBIO PORCENTUAL EN UNIDADES VENDIDAS AÑO 3 4]])</f>
        <v>0</v>
      </c>
      <c r="BT108" s="112">
        <f>VLOOKUP(Tabla16[[#This Row],[CÓDIGO DEL PRODUCTO Y/O SERVICIO ]],Tabla3[],17)</f>
        <v>0</v>
      </c>
      <c r="BU108" s="114">
        <f>Tabla16[[#This Row],[CANTIDADES A UTILIZAR EN EL AÑO 3 4]]*(1+Tabla16[[#This Row],[CAMBIO PORCENTUAL EN UNIDADES VENDIDAS AÑO 4 4]])</f>
        <v>0</v>
      </c>
      <c r="BV108" s="112">
        <f>VLOOKUP(Tabla16[[#This Row],[CÓDIGO DEL PRODUCTO Y/O SERVICIO ]],Tabla3[],21)</f>
        <v>0</v>
      </c>
      <c r="BW108" s="114">
        <f>Tabla16[[#This Row],[CANTIDADES A UTILIZAR EN EL AÑO 4 4]]*(1+Tabla16[[#This Row],[CAMBIO PORCENTUAL EN UNIDADES VENDIDAS AÑO 5 4]])</f>
        <v>0</v>
      </c>
      <c r="BX108" s="344">
        <f>IF(Tabla16[[#This Row],[CANTIDADES A UTILIZAR EN EL AÑO 1 4]]=0,0,Tabla16[[#This Row],[CANTIDADES A UTILIZAR EN EL AÑO 1 4]]*1/Tabla16[[#This Row],[UNIDADES PRODUCIDAS AÑO 1 4]])</f>
        <v>0</v>
      </c>
      <c r="BY108" s="344">
        <f>$C$76*(1+BASES!$E$10)</f>
        <v>0</v>
      </c>
      <c r="BZ108" s="344">
        <f>Tabla16[[#This Row],[COSTO UNITARIO AÑO 2 4]]*(1+BASES!$F$10)</f>
        <v>0</v>
      </c>
      <c r="CA108" s="344">
        <f>Tabla16[[#This Row],[COSTO UNITARIO AÑO 3 4 ]]*(1+BASES!$G$10)</f>
        <v>0</v>
      </c>
      <c r="CB108" s="344">
        <f>Tabla16[[#This Row],[COSTO UNITARIO AÑO 4 4]]*(1+BASES!$H$10)</f>
        <v>0</v>
      </c>
      <c r="CC108" s="344">
        <f>Tabla16[[#This Row],[COSTO POR UNIDAD DE PRODUCTO (4)]]*$C$76*VLOOKUP(Tabla16[[#This Row],[CÓDIGO DEL PRODUCTO Y/O SERVICIO ]],Tabla3[],3)</f>
        <v>0</v>
      </c>
      <c r="CD108" s="344">
        <f>Tabla16[[#This Row],[COSTO POR UNIDAD DE PRODUCTO (4)]]*Tabla16[[#This Row],[COSTO UNITARIO AÑO 2 4]]*VLOOKUP(Tabla16[[#This Row],[CÓDIGO DEL PRODUCTO Y/O SERVICIO ]],Tabla3[],6)</f>
        <v>0</v>
      </c>
      <c r="CE108" s="344">
        <f>Tabla16[[#This Row],[COSTO POR UNIDAD DE PRODUCTO (4)]]*Tabla16[[#This Row],[COSTO UNITARIO AÑO 3 4 ]]*VLOOKUP(Tabla16[[#This Row],[CÓDIGO DEL PRODUCTO Y/O SERVICIO ]],Tabla3[],10)</f>
        <v>0</v>
      </c>
      <c r="CF108" s="344">
        <f>Tabla16[[#This Row],[COSTO POR UNIDAD DE PRODUCTO (4)]]*Tabla16[[#This Row],[COSTO UNITARIO AÑO 4 4]]*VLOOKUP(Tabla16[[#This Row],[CÓDIGO DEL PRODUCTO Y/O SERVICIO ]],Tabla3[],14)</f>
        <v>0</v>
      </c>
      <c r="CG108" s="344">
        <f>Tabla16[[#This Row],[COSTO POR UNIDAD DE PRODUCTO (4)]]*Tabla16[[#This Row],[COSTO UNITARIO AÑO 5 4 ]]*VLOOKUP(Tabla16[[#This Row],[CÓDIGO DEL PRODUCTO Y/O SERVICIO ]],Tabla3[],18)</f>
        <v>0</v>
      </c>
      <c r="CH108" s="114">
        <f>VLOOKUP(Tabla16[[#This Row],[CÓDIGO DEL PRODUCTO Y/O SERVICIO ]],Tabla3[],3)</f>
        <v>0</v>
      </c>
      <c r="CI108" s="114">
        <f>Tabla16[[#This Row],[UNIDADES PRODUCIDAS AÑO 1 5]]*J91</f>
        <v>0</v>
      </c>
      <c r="CJ108" s="112">
        <f>VLOOKUP(Tabla16[[#This Row],[CÓDIGO DEL PRODUCTO Y/O SERVICIO ]],Tabla3[],9)</f>
        <v>0</v>
      </c>
      <c r="CK108" s="114">
        <f>Tabla16[[#This Row],[CANTIDADES A UTILIZAR EN EL AÑO 1 5]]*(1+Tabla16[[#This Row],[CAMBIO PORCENTUAL EN UNIDADES VENDIDAS AÑO 2 5]])</f>
        <v>0</v>
      </c>
      <c r="CL108" s="112">
        <f>VLOOKUP(Tabla16[[#This Row],[CÓDIGO DEL PRODUCTO Y/O SERVICIO ]],Tabla3[],13)</f>
        <v>0</v>
      </c>
      <c r="CM108" s="114">
        <f>Tabla16[[#This Row],[CANTIDADES A UTILIZAR EN EL AÑO 2 5]]*(1+Tabla16[[#This Row],[CAMBIO PORCENTUAL EN UNIDADES VENDIDAS AÑO 3 5]])</f>
        <v>0</v>
      </c>
      <c r="CN108" s="112">
        <f>VLOOKUP(Tabla16[[#This Row],[CÓDIGO DEL PRODUCTO Y/O SERVICIO ]],Tabla3[],17)</f>
        <v>0</v>
      </c>
      <c r="CO108" s="114">
        <f>Tabla16[[#This Row],[CANTIDADES A UTILIZAR EN EL AÑO 3 5 ]]*(1+Tabla16[[#This Row],[CAMBIO PORCENTUAL EN UNIDADES VENDIDAS AÑO 4 5]])</f>
        <v>0</v>
      </c>
      <c r="CP108" s="112">
        <f>VLOOKUP(Tabla16[[#This Row],[CÓDIGO DEL PRODUCTO Y/O SERVICIO ]],Tabla3[],21)</f>
        <v>0</v>
      </c>
      <c r="CQ108" s="114">
        <f>Tabla16[[#This Row],[CANTIDADES A UTILIZAR EN EL AÑO 4 5]]*(1+Tabla16[[#This Row],[CAMBIO PORCENTUAL EN UNIDADES VENDIDAS AÑO 5 5]])</f>
        <v>0</v>
      </c>
      <c r="CR108" s="344">
        <f>IF(Tabla16[[#This Row],[CANTIDADES A UTILIZAR EN EL AÑO 1 5]]=0,0,Tabla16[[#This Row],[CANTIDADES A UTILIZAR EN EL AÑO 1 5]]*1/Tabla16[[#This Row],[UNIDADES PRODUCIDAS AÑO 1 5]])</f>
        <v>0</v>
      </c>
      <c r="CS108" s="344">
        <f>$C$77*(1+BASES!$E$10)</f>
        <v>0</v>
      </c>
      <c r="CT108" s="344">
        <f>Tabla16[[#This Row],[COSTO UNITARIO AÑO 2 5]]*(1+BASES!$F$10)</f>
        <v>0</v>
      </c>
      <c r="CU108" s="344">
        <f>Tabla16[[#This Row],[COSTO UNITARIO AÑO 3 5]]*(1+BASES!$G$10)</f>
        <v>0</v>
      </c>
      <c r="CV108" s="344">
        <f>Tabla16[[#This Row],[COSTO UNITARIO AÑO 4 5]]*(1+BASES!$H$10)</f>
        <v>0</v>
      </c>
      <c r="CW108" s="344">
        <f>Tabla16[[#This Row],[COSTO POR UNIDAD DE PRODUCTO (5) ]]*$C$77*VLOOKUP(Tabla16[[#This Row],[CÓDIGO DEL PRODUCTO Y/O SERVICIO ]],Tabla3[],3)</f>
        <v>0</v>
      </c>
      <c r="CX108" s="344">
        <f>Tabla16[[#This Row],[COSTO POR UNIDAD DE PRODUCTO (5) ]]*Tabla16[[#This Row],[COSTO UNITARIO AÑO 2 5]]*VLOOKUP(Tabla16[[#This Row],[CÓDIGO DEL PRODUCTO Y/O SERVICIO ]],Tabla3[],6)</f>
        <v>0</v>
      </c>
      <c r="CY108" s="344">
        <f>Tabla16[[#This Row],[COSTO POR UNIDAD DE PRODUCTO (5) ]]*Tabla16[[#This Row],[COSTO UNITARIO AÑO 3 5]]*VLOOKUP(Tabla16[[#This Row],[CÓDIGO DEL PRODUCTO Y/O SERVICIO ]],Tabla3[],10)</f>
        <v>0</v>
      </c>
      <c r="CZ108" s="344">
        <f>Tabla16[[#This Row],[COSTO POR UNIDAD DE PRODUCTO (5) ]]*Tabla16[[#This Row],[COSTO UNITARIO AÑO 4 5]]*VLOOKUP(Tabla16[[#This Row],[CÓDIGO DEL PRODUCTO Y/O SERVICIO ]],Tabla3[],14)</f>
        <v>0</v>
      </c>
      <c r="DA108" s="344">
        <f>Tabla16[[#This Row],[COSTO POR UNIDAD DE PRODUCTO (5) ]]*Tabla16[[#This Row],[COSTO UNITARIO AÑO 5 5]]*VLOOKUP(Tabla16[[#This Row],[CÓDIGO DEL PRODUCTO Y/O SERVICIO ]],Tabla3[],18)</f>
        <v>0</v>
      </c>
      <c r="DB108" s="114">
        <f>VLOOKUP(Tabla16[[#This Row],[CÓDIGO DEL PRODUCTO Y/O SERVICIO ]],Tabla3[],3)</f>
        <v>0</v>
      </c>
      <c r="DC108" s="114">
        <f>Tabla16[[#This Row],[UNIDADES PRODUCIDAS AÑO 1 6]]*K91</f>
        <v>0</v>
      </c>
      <c r="DD108" s="112">
        <f>VLOOKUP(Tabla16[[#This Row],[CÓDIGO DEL PRODUCTO Y/O SERVICIO ]],Tabla3[],9)</f>
        <v>0</v>
      </c>
      <c r="DE108" s="114">
        <f>Tabla16[[#This Row],[CANTIDADES A UTILIZAR EN EL AÑO 1 6]]*(1+Tabla16[[#This Row],[CAMBIO PORCENTUAL EN UNIDADES VENDIDAS AÑO 2 6]])</f>
        <v>0</v>
      </c>
      <c r="DF108" s="112">
        <f>VLOOKUP(Tabla16[[#This Row],[CÓDIGO DEL PRODUCTO Y/O SERVICIO ]],Tabla3[],13)</f>
        <v>0</v>
      </c>
      <c r="DG108" s="114">
        <f>Tabla16[[#This Row],[CANTIDADES A UTILIZAR EN EL AÑO 2 6]]*(1+Tabla16[[#This Row],[CAMBIO PORCENTUAL EN UNIDADES VENDIDAS AÑO 3 6]])</f>
        <v>0</v>
      </c>
      <c r="DH108" s="112">
        <f>VLOOKUP(Tabla16[[#This Row],[CÓDIGO DEL PRODUCTO Y/O SERVICIO ]],Tabla3[],17)</f>
        <v>0</v>
      </c>
      <c r="DI108" s="114">
        <f>Tabla16[[#This Row],[CANTIDADES A UTILIZAR EN EL AÑO 3 6]]*(1+Tabla16[[#This Row],[CAMBIO PORCENTUAL EN UNIDADES VENDIDAS AÑO 4 6]])</f>
        <v>0</v>
      </c>
      <c r="DJ108" s="112">
        <f>VLOOKUP(Tabla16[[#This Row],[CÓDIGO DEL PRODUCTO Y/O SERVICIO ]],Tabla3[],21)</f>
        <v>0</v>
      </c>
      <c r="DK108" s="114">
        <f>Tabla16[[#This Row],[CANTIDADES A UTILIZAR EN EL AÑO 4 6]]*(1+Tabla16[[#This Row],[CAMBIO PORCENTUAL EN UNIDADES VENDIDAS AÑO 5 6]])</f>
        <v>0</v>
      </c>
      <c r="DL108" s="344">
        <f>IF(Tabla16[[#This Row],[CANTIDADES A UTILIZAR EN EL AÑO 1 6]]=0,0,Tabla16[[#This Row],[CANTIDADES A UTILIZAR EN EL AÑO 1 6]]*1/Tabla16[[#This Row],[UNIDADES PRODUCIDAS AÑO 1 6]])</f>
        <v>0</v>
      </c>
      <c r="DM108" s="344">
        <f>$C$78*(1+BASES!$E$10)</f>
        <v>0</v>
      </c>
      <c r="DN108" s="344">
        <f>Tabla16[[#This Row],[COSTO UNITARIO AÑO 2 6]]*(1+BASES!$F$10)</f>
        <v>0</v>
      </c>
      <c r="DO108" s="344">
        <f>Tabla16[[#This Row],[COSTO UNITARIO AÑO 3 6]]*(1+BASES!$G$10)</f>
        <v>0</v>
      </c>
      <c r="DP108" s="344">
        <f>Tabla16[[#This Row],[COSTO UNITARIO AÑO 4 6]]*(1+BASES!$H$10)</f>
        <v>0</v>
      </c>
      <c r="DQ108" s="344">
        <f>Tabla16[[#This Row],[COSTO POR UNIDAD DE PRODUCTO (6) ]]*$C$78*VLOOKUP(Tabla16[[#This Row],[CÓDIGO DEL PRODUCTO Y/O SERVICIO ]],Tabla3[],3)</f>
        <v>0</v>
      </c>
      <c r="DR108" s="344">
        <f>Tabla16[[#This Row],[COSTO POR UNIDAD DE PRODUCTO (6) ]]*Tabla16[[#This Row],[COSTO UNITARIO AÑO 2 6]]*VLOOKUP(Tabla16[[#This Row],[CÓDIGO DEL PRODUCTO Y/O SERVICIO ]],Tabla3[],6)</f>
        <v>0</v>
      </c>
      <c r="DS108" s="344">
        <f>Tabla16[[#This Row],[COSTO POR UNIDAD DE PRODUCTO (6) ]]*Tabla16[[#This Row],[COSTO UNITARIO AÑO 3 6]]*VLOOKUP(Tabla16[[#This Row],[CÓDIGO DEL PRODUCTO Y/O SERVICIO ]],Tabla3[],10)</f>
        <v>0</v>
      </c>
      <c r="DT108" s="344">
        <f>Tabla16[[#This Row],[COSTO POR UNIDAD DE PRODUCTO (6) ]]*Tabla16[[#This Row],[COSTO UNITARIO AÑO 4 6]]*VLOOKUP(Tabla16[[#This Row],[CÓDIGO DEL PRODUCTO Y/O SERVICIO ]],Tabla3[],14)</f>
        <v>0</v>
      </c>
      <c r="DU108" s="344">
        <f>Tabla16[[#This Row],[COSTO POR UNIDAD DE PRODUCTO (6) ]]*Tabla16[[#This Row],[COSTO UNITARIO AÑO 5 6]]*VLOOKUP(Tabla16[[#This Row],[CÓDIGO DEL PRODUCTO Y/O SERVICIO ]],Tabla3[],18)</f>
        <v>0</v>
      </c>
      <c r="DV108" s="114">
        <f>VLOOKUP(Tabla16[[#This Row],[CÓDIGO DEL PRODUCTO Y/O SERVICIO ]],Tabla3[],3)</f>
        <v>0</v>
      </c>
      <c r="DW108" s="114">
        <f>Tabla16[[#This Row],[UNIDADES PRODUCIDAS AÑO 1 7]]*L91</f>
        <v>0</v>
      </c>
      <c r="DX108" s="112">
        <f>VLOOKUP(Tabla16[[#This Row],[CÓDIGO DEL PRODUCTO Y/O SERVICIO ]],Tabla3[],9)</f>
        <v>0</v>
      </c>
      <c r="DY108" s="114">
        <f>Tabla16[[#This Row],[CANTIDADES A UTILIZAR EN EL AÑO 1 7]]*(1+Tabla16[[#This Row],[CAMBIO PORCENTUAL EN UNIDADES VENDIDAS AÑO 2 7]])</f>
        <v>0</v>
      </c>
      <c r="DZ108" s="112">
        <f>VLOOKUP(Tabla16[[#This Row],[CÓDIGO DEL PRODUCTO Y/O SERVICIO ]],Tabla3[],13)</f>
        <v>0</v>
      </c>
      <c r="EA108" s="114">
        <f>Tabla16[[#This Row],[CANTIDADES A UTILIZAR EN EL AÑO 2 7]]*(1+Tabla16[[#This Row],[CAMBIO PORCENTUAL EN UNIDADES VENDIDAS AÑO 3 7]])</f>
        <v>0</v>
      </c>
      <c r="EB108" s="112">
        <f>VLOOKUP(Tabla16[[#This Row],[CÓDIGO DEL PRODUCTO Y/O SERVICIO ]],Tabla3[],17)</f>
        <v>0</v>
      </c>
      <c r="EC108" s="114">
        <f>Tabla16[[#This Row],[CANTIDADES A UTILIZAR EN EL AÑO 3 7]]*(1+Tabla16[[#This Row],[CAMBIO PORCENTUAL EN UNIDADES VENDIDAS AÑO 4 7]])</f>
        <v>0</v>
      </c>
      <c r="ED108" s="112">
        <f>VLOOKUP(Tabla16[[#This Row],[CÓDIGO DEL PRODUCTO Y/O SERVICIO ]],Tabla3[],21)</f>
        <v>0</v>
      </c>
      <c r="EE108" s="114">
        <f>Tabla16[[#This Row],[CANTIDADES A UTILIZAR EN EL AÑO 4 7]]*(1+Tabla16[[#This Row],[CAMBIO PORCENTUAL EN UNIDADES VENDIDAS AÑO 5 7]])</f>
        <v>0</v>
      </c>
      <c r="EF108" s="344">
        <f>IF(Tabla16[[#This Row],[CANTIDADES A UTILIZAR EN EL AÑO 1 7]]=0,0,Tabla16[[#This Row],[CANTIDADES A UTILIZAR EN EL AÑO 1 7]]*1/Tabla16[[#This Row],[UNIDADES PRODUCIDAS AÑO 1 7]])</f>
        <v>0</v>
      </c>
      <c r="EG108" s="344">
        <f>$C$79*(1+BASES!$E$10)</f>
        <v>0</v>
      </c>
      <c r="EH108" s="344">
        <f>Tabla16[[#This Row],[COSTO UNITARIO AÑO 2 7]]*(1+BASES!$F$10)</f>
        <v>0</v>
      </c>
      <c r="EI108" s="344">
        <f>Tabla16[[#This Row],[COSTO UNITARIO AÑO 3 7]]*(1+BASES!$G$10)</f>
        <v>0</v>
      </c>
      <c r="EJ108" s="344">
        <f>Tabla16[[#This Row],[COSTO UNITARIO AÑO 4 7]]*(1+BASES!$H$10)</f>
        <v>0</v>
      </c>
      <c r="EK108" s="344">
        <f>Tabla16[[#This Row],[COSTO POR UNIDAD DE PRODUCTO (7) ]]*$C$79*VLOOKUP(Tabla16[[#This Row],[CÓDIGO DEL PRODUCTO Y/O SERVICIO ]],Tabla3[],3)</f>
        <v>0</v>
      </c>
      <c r="EL108" s="344">
        <f>Tabla16[[#This Row],[COSTO POR UNIDAD DE PRODUCTO (7) ]]*Tabla16[[#This Row],[COSTO UNITARIO AÑO 2 7]]*VLOOKUP(Tabla16[[#This Row],[CÓDIGO DEL PRODUCTO Y/O SERVICIO ]],Tabla3[],6)</f>
        <v>0</v>
      </c>
      <c r="EM108" s="344">
        <f>Tabla16[[#This Row],[COSTO POR UNIDAD DE PRODUCTO (7) ]]*Tabla16[[#This Row],[COSTO UNITARIO AÑO 3 7]]*VLOOKUP(Tabla16[[#This Row],[CÓDIGO DEL PRODUCTO Y/O SERVICIO ]],Tabla3[],10)</f>
        <v>0</v>
      </c>
      <c r="EN108" s="344">
        <f>Tabla16[[#This Row],[COSTO POR UNIDAD DE PRODUCTO (7) ]]*Tabla16[[#This Row],[COSTO UNITARIO AÑO 4 7]]*VLOOKUP(Tabla16[[#This Row],[CÓDIGO DEL PRODUCTO Y/O SERVICIO ]],Tabla3[],14)</f>
        <v>0</v>
      </c>
      <c r="EO108" s="344">
        <f>Tabla16[[#This Row],[COSTO POR UNIDAD DE PRODUCTO (7) ]]*Tabla16[[#This Row],[COSTO UNITARIO AÑO 5 7]]*VLOOKUP(Tabla16[[#This Row],[CÓDIGO DEL PRODUCTO Y/O SERVICIO ]],Tabla3[],18)</f>
        <v>0</v>
      </c>
      <c r="EP108" s="114">
        <f>VLOOKUP(Tabla16[[#This Row],[CÓDIGO DEL PRODUCTO Y/O SERVICIO ]],Tabla3[],3)</f>
        <v>0</v>
      </c>
      <c r="EQ108" s="114">
        <f>Tabla16[[#This Row],[UNIDADES PRODUCIDAS AÑO 1 8]]*M91</f>
        <v>0</v>
      </c>
      <c r="ER108" s="112">
        <f>VLOOKUP(Tabla16[[#This Row],[CÓDIGO DEL PRODUCTO Y/O SERVICIO ]],Tabla3[],9)</f>
        <v>0</v>
      </c>
      <c r="ES108" s="114">
        <f>Tabla16[[#This Row],[CANTIDADES A UTILIZAR EN EL AÑO 1 8]]*(1+Tabla16[[#This Row],[CAMBIO PORCENTUAL EN UNIDADES VENDIDAS AÑO 2 8]])</f>
        <v>0</v>
      </c>
      <c r="ET108" s="112">
        <f>VLOOKUP(Tabla16[[#This Row],[CÓDIGO DEL PRODUCTO Y/O SERVICIO ]],Tabla3[],13)</f>
        <v>0</v>
      </c>
      <c r="EU108" s="114">
        <f>Tabla16[[#This Row],[CANTIDADES A UTILIZAR EN EL AÑO 2 8]]*(1+Tabla16[[#This Row],[CAMBIO PORCENTUAL EN UNIDADES VENDIDAS AÑO 3 8]])</f>
        <v>0</v>
      </c>
      <c r="EV108" s="112">
        <f>VLOOKUP(Tabla16[[#This Row],[CÓDIGO DEL PRODUCTO Y/O SERVICIO ]],Tabla3[],17)</f>
        <v>0</v>
      </c>
      <c r="EW108" s="114">
        <f>Tabla16[[#This Row],[CANTIDADES A UTILIZAR EN EL AÑO 3 8]]*(1+Tabla16[[#This Row],[CAMBIO PORCENTUAL EN UNIDADES VENDIDAS AÑO 4 8]])</f>
        <v>0</v>
      </c>
      <c r="EX108" s="112">
        <f>VLOOKUP(Tabla16[[#This Row],[CÓDIGO DEL PRODUCTO Y/O SERVICIO ]],Tabla3[],21)</f>
        <v>0</v>
      </c>
      <c r="EY108" s="114">
        <f>Tabla16[[#This Row],[CANTIDADES A UTILIZAR EN EL AÑO 4 8]]*(1+Tabla16[[#This Row],[CAMBIO PORCENTUAL EN UNIDADES VENDIDAS AÑO 5 8]])</f>
        <v>0</v>
      </c>
      <c r="EZ108" s="344">
        <f>IF(Tabla16[[#This Row],[CANTIDADES A UTILIZAR EN EL AÑO 1 8]]=0,0,Tabla16[[#This Row],[CANTIDADES A UTILIZAR EN EL AÑO 1 8]]*1/Tabla16[[#This Row],[UNIDADES PRODUCIDAS AÑO 1 8]])</f>
        <v>0</v>
      </c>
      <c r="FA108" s="344">
        <f>$C$80*(1+BASES!$E$10)</f>
        <v>0</v>
      </c>
      <c r="FB108" s="344">
        <f>Tabla16[[#This Row],[COSTO UNITARIO AÑO 2 8]]*(1+BASES!$F$10)</f>
        <v>0</v>
      </c>
      <c r="FC108" s="344">
        <f>Tabla16[[#This Row],[COSTO UNITARIO AÑO 3 8]]*(1+BASES!$G$10)</f>
        <v>0</v>
      </c>
      <c r="FD108" s="344">
        <f>Tabla16[[#This Row],[COSTO UNITARIO AÑO 4 8]]*(1+BASES!$H$10)</f>
        <v>0</v>
      </c>
      <c r="FE108" s="344">
        <f>Tabla16[[#This Row],[COSTO POR UNIDAD DE PRODUCTO (8) ]]*$C$80*VLOOKUP(Tabla16[[#This Row],[CÓDIGO DEL PRODUCTO Y/O SERVICIO ]],Tabla3[],3)</f>
        <v>0</v>
      </c>
      <c r="FF108" s="344">
        <f>Tabla16[[#This Row],[COSTO POR UNIDAD DE PRODUCTO (8) ]]*Tabla16[[#This Row],[COSTO UNITARIO AÑO 2 8]]*VLOOKUP(Tabla16[[#This Row],[CÓDIGO DEL PRODUCTO Y/O SERVICIO ]],Tabla3[],6)</f>
        <v>0</v>
      </c>
      <c r="FG108" s="344">
        <f>Tabla16[[#This Row],[COSTO POR UNIDAD DE PRODUCTO (8) ]]*Tabla16[[#This Row],[COSTO UNITARIO AÑO 3 8]]*VLOOKUP(Tabla16[[#This Row],[CÓDIGO DEL PRODUCTO Y/O SERVICIO ]],Tabla3[],10)</f>
        <v>0</v>
      </c>
      <c r="FH108" s="344">
        <f>Tabla16[[#This Row],[COSTO POR UNIDAD DE PRODUCTO (8) ]]*Tabla16[[#This Row],[COSTO UNITARIO AÑO 4 8]]*VLOOKUP(Tabla16[[#This Row],[CÓDIGO DEL PRODUCTO Y/O SERVICIO ]],Tabla3[],14)</f>
        <v>0</v>
      </c>
      <c r="FI108" s="344">
        <f>Tabla16[[#This Row],[COSTO POR UNIDAD DE PRODUCTO (8) ]]*Tabla16[[#This Row],[COSTO UNITARIO AÑO 5 8]]*VLOOKUP(Tabla16[[#This Row],[CÓDIGO DEL PRODUCTO Y/O SERVICIO ]],Tabla3[],18)</f>
        <v>0</v>
      </c>
      <c r="FJ108" s="114">
        <f>VLOOKUP(Tabla16[[#This Row],[CÓDIGO DEL PRODUCTO Y/O SERVICIO ]],Tabla3[],3)</f>
        <v>0</v>
      </c>
      <c r="FK108" s="114">
        <f>Tabla16[[#This Row],[UNIDADES PRODUCIDAS AÑO 1 9]]*N91</f>
        <v>0</v>
      </c>
      <c r="FL108" s="112">
        <f>VLOOKUP(Tabla16[[#This Row],[CÓDIGO DEL PRODUCTO Y/O SERVICIO ]],Tabla3[],9)</f>
        <v>0</v>
      </c>
      <c r="FM108" s="114">
        <f>Tabla16[[#This Row],[CANTIDADES A UTILIZAR EN EL AÑO 1 9]]*(1+Tabla16[[#This Row],[CAMBIO PORCENTUAL EN UNIDADES VENDIDAS AÑO 2 9]])</f>
        <v>0</v>
      </c>
      <c r="FN108" s="112">
        <f>VLOOKUP(Tabla16[[#This Row],[CÓDIGO DEL PRODUCTO Y/O SERVICIO ]],Tabla3[],13)</f>
        <v>0</v>
      </c>
      <c r="FO108" s="114">
        <f>Tabla16[[#This Row],[CANTIDADES A UTILIZAR EN EL AÑO 2 9]]*(1+Tabla16[[#This Row],[CAMBIO PORCENTUAL EN UNIDADES VENDIDAS AÑO 3 9]])</f>
        <v>0</v>
      </c>
      <c r="FP108" s="112">
        <f>VLOOKUP(Tabla16[[#This Row],[CÓDIGO DEL PRODUCTO Y/O SERVICIO ]],Tabla3[],17)</f>
        <v>0</v>
      </c>
      <c r="FQ108" s="114">
        <f>Tabla16[[#This Row],[CANTIDADES A UTILIZAR EN EL AÑO 3 9]]*(1+Tabla16[[#This Row],[CAMBIO PORCENTUAL EN UNIDADES VENDIDAS AÑO 4 9]])</f>
        <v>0</v>
      </c>
      <c r="FR108" s="112">
        <f>VLOOKUP(Tabla16[[#This Row],[CÓDIGO DEL PRODUCTO Y/O SERVICIO ]],Tabla3[],21)</f>
        <v>0</v>
      </c>
      <c r="FS108" s="114">
        <f>Tabla16[[#This Row],[CANTIDADES A UTILIZAR EN EL AÑO 4 9]]*(1+Tabla16[[#This Row],[CAMBIO PORCENTUAL EN UNIDADES VENDIDAS AÑO 5 9]])</f>
        <v>0</v>
      </c>
      <c r="FT108" s="344">
        <f>IF(Tabla16[[#This Row],[CANTIDADES A UTILIZAR EN EL AÑO 1 9]]=0,0,Tabla16[[#This Row],[CANTIDADES A UTILIZAR EN EL AÑO 1 9]]*1/Tabla16[[#This Row],[UNIDADES PRODUCIDAS AÑO 1 9]])</f>
        <v>0</v>
      </c>
      <c r="FU108" s="344">
        <f>$C$81*(1+BASES!$E$10)</f>
        <v>0</v>
      </c>
      <c r="FV108" s="344">
        <f>Tabla16[[#This Row],[COSTO UNITARIO AÑO 2 9]]*(1+BASES!$F$10)</f>
        <v>0</v>
      </c>
      <c r="FW108" s="344">
        <f>Tabla16[[#This Row],[COSTO UNITARIO AÑO 3 9]]*(1+BASES!$G$10)</f>
        <v>0</v>
      </c>
      <c r="FX108" s="344">
        <f>Tabla16[[#This Row],[COSTO UNITARIO AÑO 4 9]]*(1+BASES!$H$10)</f>
        <v>0</v>
      </c>
      <c r="FY108" s="344">
        <f>Tabla16[[#This Row],[COSTO POR UNIDAD DE PRODUCTO (9) ]]*$C$81*VLOOKUP(Tabla16[[#This Row],[CÓDIGO DEL PRODUCTO Y/O SERVICIO ]],Tabla3[],3)</f>
        <v>0</v>
      </c>
      <c r="FZ108" s="344">
        <f>Tabla16[[#This Row],[COSTO POR UNIDAD DE PRODUCTO (9) ]]*Tabla16[[#This Row],[COSTO UNITARIO AÑO 2 9]]*VLOOKUP(Tabla16[[#This Row],[CÓDIGO DEL PRODUCTO Y/O SERVICIO ]],Tabla3[],6)</f>
        <v>0</v>
      </c>
      <c r="GA108" s="344">
        <f>Tabla16[[#This Row],[COSTO POR UNIDAD DE PRODUCTO (9) ]]*Tabla16[[#This Row],[COSTO UNITARIO AÑO 3 9]]*VLOOKUP(Tabla16[[#This Row],[CÓDIGO DEL PRODUCTO Y/O SERVICIO ]],Tabla3[],10)</f>
        <v>0</v>
      </c>
      <c r="GB108" s="344">
        <f>Tabla16[[#This Row],[COSTO POR UNIDAD DE PRODUCTO (9) ]]*Tabla16[[#This Row],[COSTO UNITARIO AÑO 4 9]]*VLOOKUP(Tabla16[[#This Row],[CÓDIGO DEL PRODUCTO Y/O SERVICIO ]],Tabla3[],14)</f>
        <v>0</v>
      </c>
      <c r="GC108" s="344">
        <f>Tabla16[[#This Row],[COSTO POR UNIDAD DE PRODUCTO (9) ]]*Tabla16[[#This Row],[COSTO UNITARIO AÑO 5 9]]*VLOOKUP(Tabla16[[#This Row],[CÓDIGO DEL PRODUCTO Y/O SERVICIO ]],Tabla3[],18)</f>
        <v>0</v>
      </c>
      <c r="GD108" s="114">
        <f>VLOOKUP(Tabla16[[#This Row],[CÓDIGO DEL PRODUCTO Y/O SERVICIO ]],Tabla3[],3)</f>
        <v>0</v>
      </c>
      <c r="GE108" s="114">
        <f>Tabla16[[#This Row],[UNIDADES PRODUCIDAS AÑO 1 10]]*O91</f>
        <v>0</v>
      </c>
      <c r="GF108" s="112">
        <f>VLOOKUP(Tabla16[[#This Row],[CÓDIGO DEL PRODUCTO Y/O SERVICIO ]],Tabla3[],9)</f>
        <v>0</v>
      </c>
      <c r="GG108" s="114">
        <f>Tabla16[[#This Row],[CANTIDADES A UTILIZAR EN EL AÑO 1 10]]*(1+Tabla16[[#This Row],[CAMBIO PORCENTUAL EN UNIDADES VENDIDAS AÑO 2 10]])</f>
        <v>0</v>
      </c>
      <c r="GH108" s="112">
        <f>VLOOKUP(Tabla16[[#This Row],[CÓDIGO DEL PRODUCTO Y/O SERVICIO ]],Tabla3[],13)</f>
        <v>0</v>
      </c>
      <c r="GI108" s="114">
        <f>Tabla16[[#This Row],[CANTIDADES A UTILIZAR EN EL AÑO 2 10]]*(1+Tabla16[[#This Row],[CAMBIO PORCENTUAL EN UNIDADES VENDIDAS AÑO 3 10]])</f>
        <v>0</v>
      </c>
      <c r="GJ108" s="112">
        <f>VLOOKUP(Tabla16[[#This Row],[CÓDIGO DEL PRODUCTO Y/O SERVICIO ]],Tabla3[],17)</f>
        <v>0</v>
      </c>
      <c r="GK108" s="114">
        <f>Tabla16[[#This Row],[CANTIDADES A UTILIZAR EN EL AÑO 3 10]]*(1+Tabla16[[#This Row],[CAMBIO PORCENTUAL EN UNIDADES VENDIDAS AÑO 4 10 ]])</f>
        <v>0</v>
      </c>
      <c r="GL108" s="112">
        <f>VLOOKUP(Tabla16[[#This Row],[CÓDIGO DEL PRODUCTO Y/O SERVICIO ]],Tabla3[],21)</f>
        <v>0</v>
      </c>
      <c r="GM108" s="114">
        <f>Tabla16[[#This Row],[CANTIDADES A UTILIZAR EN EL AÑO 4 10]]*(1+Tabla16[[#This Row],[CAMBIO PORCENTUAL EN UNIDADES VENDIDAS AÑO 5 10]])</f>
        <v>0</v>
      </c>
      <c r="GN108" s="344">
        <f>IF(Tabla16[[#This Row],[CANTIDADES A UTILIZAR EN EL AÑO 1 10]]=0,0,Tabla16[[#This Row],[CANTIDADES A UTILIZAR EN EL AÑO 1 10]]*1/Tabla16[[#This Row],[UNIDADES PRODUCIDAS AÑO 1 10]])</f>
        <v>0</v>
      </c>
      <c r="GO108" s="344">
        <f>$C$82*(1+BASES!$E$10)</f>
        <v>0</v>
      </c>
      <c r="GP108" s="344">
        <f>Tabla16[[#This Row],[COSTO UNITARIO AÑO 2 10]]*(1+BASES!$F$10)</f>
        <v>0</v>
      </c>
      <c r="GQ108" s="344">
        <f>Tabla16[[#This Row],[COSTO UNITARIO AÑO 3 10]]*(1+BASES!$G$10)</f>
        <v>0</v>
      </c>
      <c r="GR108" s="344">
        <f>Tabla16[[#This Row],[COSTO UNITARIO AÑO 4 10]]*(1+BASES!$H$10)</f>
        <v>0</v>
      </c>
      <c r="GS108" s="344">
        <f>Tabla16[[#This Row],[COSTO POR UNIDAD DE PRODUCTO (10) ]]*C83*VLOOKUP(Tabla16[[#This Row],[CÓDIGO DEL PRODUCTO Y/O SERVICIO ]],Tabla3[],3)</f>
        <v>0</v>
      </c>
      <c r="GT108" s="344">
        <f>Tabla16[[#This Row],[COSTO POR UNIDAD DE PRODUCTO (10) ]]*Tabla16[[#This Row],[COSTO UNITARIO AÑO 2 10]]*VLOOKUP(Tabla16[[#This Row],[CÓDIGO DEL PRODUCTO Y/O SERVICIO ]],Tabla3[],6)</f>
        <v>0</v>
      </c>
      <c r="GU108" s="344">
        <f>Tabla16[[#This Row],[COSTO POR UNIDAD DE PRODUCTO (10) ]]*Tabla16[[#This Row],[COSTO UNITARIO AÑO 3 10]]*VLOOKUP(Tabla16[[#This Row],[CÓDIGO DEL PRODUCTO Y/O SERVICIO ]],Tabla3[],10)</f>
        <v>0</v>
      </c>
      <c r="GV108" s="344">
        <f>Tabla16[[#This Row],[COSTO POR UNIDAD DE PRODUCTO (10) ]]*Tabla16[[#This Row],[COSTO UNITARIO AÑO 4 10]]*VLOOKUP(Tabla16[[#This Row],[CÓDIGO DEL PRODUCTO Y/O SERVICIO ]],Tabla3[],14)</f>
        <v>0</v>
      </c>
      <c r="GW108" s="344">
        <f>Tabla16[[#This Row],[COSTO POR UNIDAD DE PRODUCTO (10) ]]*Tabla16[[#This Row],[COSTO UNITARIO AÑO 5 10]]*VLOOKUP(Tabla16[[#This Row],[CÓDIGO DEL PRODUCTO Y/O SERVICIO ]],Tabla3[],18)</f>
        <v>0</v>
      </c>
      <c r="GX108" s="381">
        <f>Tabla16[[#This Row],[AÑO 1 10]]+Tabla16[[#This Row],[AÑO 1 9]]+Tabla16[[#This Row],[AÑO 1 8]]+Tabla16[[#This Row],[AÑO 1 7]]+Tabla16[[#This Row],[AÑO 1 6]]+Tabla16[[#This Row],[AÑO 1 5]]+Tabla16[[#This Row],[AÑO 1 4]]+Tabla16[[#This Row],[AÑO 1 3]]+Tabla16[[#This Row],[AÑO 1 2]]+Tabla16[[#This Row],[AÑO 1 1]]</f>
        <v>0</v>
      </c>
      <c r="GY108" s="381">
        <f>Tabla16[[#This Row],[AÑO 2 10]]+Tabla16[[#This Row],[AÑO 2 9]]+Tabla16[[#This Row],[AÑO 2 8]]+Tabla16[[#This Row],[AÑO 2 7]]+Tabla16[[#This Row],[AÑO 2 6]]+Tabla16[[#This Row],[AÑO 2 5]]+Tabla16[[#This Row],[AÑO 2 4]]+Tabla16[[#This Row],[AÑO 2 3]]+Tabla16[[#This Row],[AÑO 2 2]]+Tabla16[[#This Row],[AÑO 2 1]]</f>
        <v>0</v>
      </c>
      <c r="GZ108" s="381">
        <f>Tabla16[[#This Row],[AÑO 3 10]]+Tabla16[[#This Row],[AÑO 3 9]]+Tabla16[[#This Row],[AÑO 3 8]]+Tabla16[[#This Row],[AÑO 3 7]]+Tabla16[[#This Row],[AÑO 3 6]]+Tabla16[[#This Row],[AÑO 3 5]]+Tabla16[[#This Row],[AÑO 3 4]]+Tabla16[[#This Row],[AÑO 3 3]]+Tabla16[[#This Row],[AÑO 3 2]]+Tabla16[[#This Row],[AÑO 3 1]]</f>
        <v>0</v>
      </c>
      <c r="HA108" s="381">
        <f>Tabla16[[#This Row],[AÑO 4 10]]+Tabla16[[#This Row],[AÑO 4 9]]+Tabla16[[#This Row],[AÑO 4 8]]+Tabla16[[#This Row],[AÑO 4 7]]+Tabla16[[#This Row],[AÑO 4 6]]+Tabla16[[#This Row],[AÑO 4 5]]+Tabla16[[#This Row],[AÑO 4 4 ]]+Tabla16[[#This Row],[AÑO 4 3]]+Tabla16[[#This Row],[AÑO 4 2]]+Tabla16[[#This Row],[AÑO 4 1]]</f>
        <v>0</v>
      </c>
      <c r="HB108" s="381">
        <f>Tabla16[[#This Row],[AÑO 5 10]]+Tabla16[[#This Row],[AÑO 5 9]]+Tabla16[[#This Row],[AÑO 5 8]]+Tabla16[[#This Row],[AÑO 5 7]]+Tabla16[[#This Row],[AÑO 5 6]]+Tabla16[[#This Row],[AÑO 5 5]]+Tabla16[[#This Row],[AÑO 5 4]]+Tabla16[[#This Row],[AÑO 5 3]]+Tabla16[[#This Row],[AÑO 5 2]]+Tabla16[[#This Row],[AÑO 5 1]]</f>
        <v>0</v>
      </c>
    </row>
    <row r="109" spans="3:210" x14ac:dyDescent="0.25">
      <c r="C109" s="330"/>
      <c r="D109" s="330"/>
    </row>
    <row r="110" spans="3:210" x14ac:dyDescent="0.25">
      <c r="C110" s="330"/>
      <c r="D110" s="330"/>
    </row>
    <row r="111" spans="3:210" x14ac:dyDescent="0.25">
      <c r="C111" s="330"/>
      <c r="D111" s="330"/>
    </row>
    <row r="112" spans="3:210" x14ac:dyDescent="0.25">
      <c r="C112" s="330"/>
      <c r="D112" s="330"/>
    </row>
    <row r="113" spans="2:205" x14ac:dyDescent="0.25">
      <c r="C113" s="330"/>
      <c r="D113" s="330"/>
    </row>
    <row r="114" spans="2:205" x14ac:dyDescent="0.25">
      <c r="C114" s="330"/>
      <c r="D114" s="330"/>
    </row>
    <row r="115" spans="2:205" x14ac:dyDescent="0.25">
      <c r="C115" s="330"/>
      <c r="D115" s="330"/>
    </row>
    <row r="116" spans="2:205" x14ac:dyDescent="0.25">
      <c r="C116" s="330"/>
      <c r="D116" s="330"/>
    </row>
    <row r="117" spans="2:205" x14ac:dyDescent="0.25">
      <c r="C117" s="330"/>
      <c r="D117" s="330"/>
    </row>
    <row r="118" spans="2:205" x14ac:dyDescent="0.25">
      <c r="C118" s="330"/>
      <c r="D118" s="330"/>
    </row>
    <row r="119" spans="2:205" s="7" customFormat="1" ht="15.75" hidden="1" x14ac:dyDescent="0.25">
      <c r="C119" s="379"/>
      <c r="D119" s="379"/>
      <c r="U119" s="380">
        <f>SUM(Tabla16[AÑO 1 1])</f>
        <v>0</v>
      </c>
      <c r="V119" s="380">
        <f>SUM(Tabla16[AÑO 2 1])</f>
        <v>0</v>
      </c>
      <c r="W119" s="380">
        <f>SUM(Tabla16[AÑO 3 1])</f>
        <v>0</v>
      </c>
      <c r="X119" s="380">
        <f>SUM(Tabla16[AÑO 4 1])</f>
        <v>0</v>
      </c>
      <c r="Y119" s="380">
        <f>SUM(Tabla16[AÑO 5 1])</f>
        <v>0</v>
      </c>
      <c r="AO119" s="380">
        <f>SUM(Tabla16[AÑO 1 2])</f>
        <v>0</v>
      </c>
      <c r="AP119" s="380">
        <f>SUM(Tabla16[AÑO 2 2])</f>
        <v>0</v>
      </c>
      <c r="AQ119" s="380">
        <f>SUM(Tabla16[AÑO 3 2])</f>
        <v>0</v>
      </c>
      <c r="AR119" s="380">
        <f>SUM(Tabla16[AÑO 4 2])</f>
        <v>0</v>
      </c>
      <c r="AS119" s="380">
        <f>SUM(Tabla16[AÑO 5 2])</f>
        <v>0</v>
      </c>
      <c r="BI119" s="380">
        <f>SUM(Tabla16[AÑO 1 3])</f>
        <v>0</v>
      </c>
      <c r="BJ119" s="380">
        <f>SUM(Tabla16[AÑO 2 3])</f>
        <v>0</v>
      </c>
      <c r="BK119" s="380">
        <f>SUM(Tabla16[AÑO 3 3])</f>
        <v>0</v>
      </c>
      <c r="BL119" s="380">
        <f>SUM(Tabla16[AÑO 4 3])</f>
        <v>0</v>
      </c>
      <c r="BM119" s="380">
        <f>SUM(Tabla16[AÑO 5 3])</f>
        <v>0</v>
      </c>
      <c r="CC119" s="380">
        <f>SUM(Tabla16[AÑO 1 4])</f>
        <v>0</v>
      </c>
      <c r="CD119" s="380">
        <f>SUM(Tabla16[AÑO 2 4])</f>
        <v>0</v>
      </c>
      <c r="CE119" s="380">
        <f>SUM(Tabla16[AÑO 3 4])</f>
        <v>0</v>
      </c>
      <c r="CF119" s="380">
        <f>SUM(Tabla16[[AÑO 4 4 ]])</f>
        <v>0</v>
      </c>
      <c r="CG119" s="380">
        <f>SUM(Tabla16[AÑO 5 4])</f>
        <v>0</v>
      </c>
      <c r="CW119" s="380">
        <f>SUM(Tabla16[AÑO 1 5])</f>
        <v>0</v>
      </c>
      <c r="CX119" s="380">
        <f>SUM(Tabla16[AÑO 2 5])</f>
        <v>0</v>
      </c>
      <c r="CY119" s="380">
        <f>SUM(Tabla16[AÑO 3 5])</f>
        <v>0</v>
      </c>
      <c r="CZ119" s="380">
        <f>SUM(Tabla16[AÑO 4 5])</f>
        <v>0</v>
      </c>
      <c r="DA119" s="380">
        <f>SUM(Tabla16[AÑO 5 5])</f>
        <v>0</v>
      </c>
      <c r="DQ119" s="380">
        <f>SUM(Tabla16[AÑO 1 6])</f>
        <v>0</v>
      </c>
      <c r="DR119" s="380">
        <f>SUM(Tabla16[AÑO 2 6])</f>
        <v>0</v>
      </c>
      <c r="DS119" s="380">
        <f>SUM(Tabla16[AÑO 3 6])</f>
        <v>0</v>
      </c>
      <c r="DT119" s="380">
        <f>SUM(Tabla16[AÑO 4 6])</f>
        <v>0</v>
      </c>
      <c r="DU119" s="380">
        <f>SUM(Tabla16[AÑO 5 6])</f>
        <v>0</v>
      </c>
      <c r="EK119" s="380">
        <f>SUM(Tabla16[AÑO 1 7])</f>
        <v>0</v>
      </c>
      <c r="EL119" s="380">
        <f>SUM(Tabla16[AÑO 2 7])</f>
        <v>0</v>
      </c>
      <c r="EM119" s="380">
        <f>SUM(Tabla16[AÑO 3 7])</f>
        <v>0</v>
      </c>
      <c r="EN119" s="380">
        <f>SUM(Tabla16[AÑO 4 7])</f>
        <v>0</v>
      </c>
      <c r="EO119" s="380">
        <f>SUM(Tabla16[AÑO 5 7])</f>
        <v>0</v>
      </c>
      <c r="FE119" s="380">
        <f>SUM(Tabla16[AÑO 1 8])</f>
        <v>0</v>
      </c>
      <c r="FF119" s="380">
        <f>SUM(Tabla16[AÑO 2 8])</f>
        <v>0</v>
      </c>
      <c r="FG119" s="380">
        <f>SUM(Tabla16[AÑO 3 8])</f>
        <v>0</v>
      </c>
      <c r="FH119" s="380">
        <f>SUM(Tabla16[AÑO 4 8])</f>
        <v>0</v>
      </c>
      <c r="FI119" s="380">
        <f>SUM(Tabla16[AÑO 5 8])</f>
        <v>0</v>
      </c>
      <c r="FY119" s="380">
        <f>SUM(Tabla16[AÑO 1 9])</f>
        <v>0</v>
      </c>
      <c r="FZ119" s="380">
        <f>SUM(Tabla16[AÑO 2 9])</f>
        <v>0</v>
      </c>
      <c r="GA119" s="380">
        <f>SUM(Tabla16[AÑO 3 9])</f>
        <v>0</v>
      </c>
      <c r="GB119" s="380">
        <f>SUM(Tabla16[AÑO 4 9])</f>
        <v>0</v>
      </c>
      <c r="GC119" s="380">
        <f>SUM(Tabla16[AÑO 5 9])</f>
        <v>0</v>
      </c>
      <c r="GS119" s="380">
        <f>SUM(Tabla16[AÑO 1 10])</f>
        <v>0</v>
      </c>
      <c r="GT119" s="380">
        <f>SUM(Tabla16[AÑO 2 10])</f>
        <v>0</v>
      </c>
      <c r="GU119" s="380">
        <f>SUM(Tabla16[AÑO 3 10])</f>
        <v>0</v>
      </c>
      <c r="GV119" s="380">
        <f>SUM(Tabla16[AÑO 4 10])</f>
        <v>0</v>
      </c>
      <c r="GW119" s="380">
        <f>SUM(Tabla16[AÑO 5 10])</f>
        <v>0</v>
      </c>
    </row>
    <row r="120" spans="2:205" s="7" customFormat="1" ht="15.75" x14ac:dyDescent="0.25">
      <c r="C120" s="379"/>
      <c r="D120" s="379"/>
      <c r="U120" s="380"/>
      <c r="V120" s="380"/>
      <c r="W120" s="380"/>
      <c r="X120" s="380"/>
      <c r="Y120" s="380"/>
      <c r="AO120" s="380"/>
      <c r="AP120" s="380"/>
      <c r="AQ120" s="380"/>
      <c r="AR120" s="380"/>
      <c r="AS120" s="380"/>
      <c r="BI120" s="380"/>
      <c r="BJ120" s="380"/>
      <c r="BK120" s="380"/>
      <c r="BL120" s="380"/>
      <c r="BM120" s="380"/>
      <c r="CC120" s="380"/>
      <c r="CD120" s="380"/>
      <c r="CE120" s="380"/>
      <c r="CF120" s="380"/>
      <c r="CG120" s="380"/>
      <c r="CW120" s="380"/>
      <c r="CX120" s="380"/>
      <c r="CY120" s="380"/>
      <c r="CZ120" s="380"/>
      <c r="DA120" s="380"/>
      <c r="DQ120" s="380"/>
      <c r="DR120" s="380"/>
      <c r="DS120" s="380"/>
      <c r="DT120" s="380"/>
      <c r="DU120" s="380"/>
      <c r="EK120" s="380"/>
      <c r="EL120" s="380"/>
      <c r="EM120" s="380"/>
      <c r="EN120" s="380"/>
      <c r="EO120" s="380"/>
      <c r="FE120" s="380"/>
      <c r="FF120" s="380"/>
      <c r="FG120" s="380"/>
      <c r="FH120" s="380"/>
      <c r="FI120" s="380"/>
      <c r="FY120" s="380"/>
      <c r="FZ120" s="380"/>
      <c r="GA120" s="380"/>
      <c r="GB120" s="380"/>
      <c r="GC120" s="380"/>
      <c r="GS120" s="380"/>
      <c r="GT120" s="380"/>
      <c r="GU120" s="380"/>
      <c r="GV120" s="380"/>
      <c r="GW120" s="380"/>
    </row>
    <row r="121" spans="2:205" x14ac:dyDescent="0.25">
      <c r="C121" s="330"/>
      <c r="D121" s="330"/>
    </row>
    <row r="122" spans="2:205" x14ac:dyDescent="0.25">
      <c r="C122" s="330"/>
      <c r="D122" s="330"/>
    </row>
    <row r="123" spans="2:205" x14ac:dyDescent="0.25">
      <c r="C123" s="330"/>
      <c r="D123" s="330"/>
    </row>
    <row r="124" spans="2:205" x14ac:dyDescent="0.25">
      <c r="C124" s="330"/>
      <c r="D124" s="330"/>
    </row>
    <row r="125" spans="2:205" x14ac:dyDescent="0.25">
      <c r="C125" s="330"/>
      <c r="D125" s="330"/>
    </row>
    <row r="126" spans="2:205" x14ac:dyDescent="0.25">
      <c r="C126" s="330"/>
      <c r="D126" s="330"/>
    </row>
    <row r="127" spans="2:205" ht="15.75" x14ac:dyDescent="0.25">
      <c r="B127" s="69" t="s">
        <v>651</v>
      </c>
      <c r="C127" s="367" t="s">
        <v>440</v>
      </c>
      <c r="D127" s="330"/>
    </row>
    <row r="128" spans="2:205" ht="15.75" x14ac:dyDescent="0.25">
      <c r="B128" s="333"/>
      <c r="C128" s="364"/>
      <c r="D128" s="330"/>
    </row>
    <row r="129" spans="2:15" ht="15.75" x14ac:dyDescent="0.25">
      <c r="B129" s="336"/>
      <c r="C129" s="365"/>
      <c r="D129" s="330"/>
    </row>
    <row r="130" spans="2:15" ht="15.75" x14ac:dyDescent="0.25">
      <c r="B130" s="336"/>
      <c r="C130" s="365"/>
      <c r="D130" s="330"/>
    </row>
    <row r="131" spans="2:15" ht="15.75" x14ac:dyDescent="0.25">
      <c r="B131" s="336"/>
      <c r="C131" s="365"/>
      <c r="D131" s="330"/>
    </row>
    <row r="132" spans="2:15" ht="15.75" x14ac:dyDescent="0.25">
      <c r="B132" s="336"/>
      <c r="C132" s="365"/>
      <c r="D132" s="330"/>
    </row>
    <row r="133" spans="2:15" ht="15.75" x14ac:dyDescent="0.25">
      <c r="B133" s="336"/>
      <c r="C133" s="365"/>
      <c r="D133" s="330"/>
    </row>
    <row r="134" spans="2:15" ht="15.75" x14ac:dyDescent="0.25">
      <c r="B134" s="336"/>
      <c r="C134" s="365"/>
      <c r="D134" s="330"/>
    </row>
    <row r="135" spans="2:15" ht="15.75" x14ac:dyDescent="0.25">
      <c r="B135" s="336"/>
      <c r="C135" s="365"/>
      <c r="D135" s="330"/>
    </row>
    <row r="136" spans="2:15" ht="15.75" x14ac:dyDescent="0.25">
      <c r="B136" s="336"/>
      <c r="C136" s="365"/>
      <c r="D136" s="330"/>
    </row>
    <row r="137" spans="2:15" ht="15.75" x14ac:dyDescent="0.25">
      <c r="B137" s="339"/>
      <c r="C137" s="366"/>
      <c r="D137" s="330"/>
    </row>
    <row r="138" spans="2:15" x14ac:dyDescent="0.25">
      <c r="C138" s="330"/>
      <c r="D138" s="330"/>
    </row>
    <row r="139" spans="2:15" x14ac:dyDescent="0.25">
      <c r="C139" s="330"/>
      <c r="D139" s="330"/>
    </row>
    <row r="140" spans="2:15" x14ac:dyDescent="0.25">
      <c r="C140" s="330"/>
      <c r="D140" s="330"/>
    </row>
    <row r="141" spans="2:15" x14ac:dyDescent="0.25">
      <c r="C141" s="330"/>
      <c r="D141" s="330"/>
    </row>
    <row r="142" spans="2:15" x14ac:dyDescent="0.25">
      <c r="C142" s="330"/>
      <c r="D142" s="330"/>
    </row>
    <row r="143" spans="2:15" ht="15.75" x14ac:dyDescent="0.25">
      <c r="C143" s="330"/>
      <c r="D143" s="330"/>
      <c r="F143" s="589" t="s">
        <v>650</v>
      </c>
      <c r="G143" s="589"/>
      <c r="H143" s="589"/>
      <c r="I143" s="589"/>
      <c r="J143" s="589"/>
      <c r="K143" s="589"/>
      <c r="L143" s="589"/>
      <c r="M143" s="589"/>
      <c r="N143" s="589"/>
      <c r="O143" s="589"/>
    </row>
    <row r="144" spans="2:15" ht="15.75" x14ac:dyDescent="0.25">
      <c r="C144" s="367" t="s">
        <v>437</v>
      </c>
      <c r="D144" s="367" t="s">
        <v>438</v>
      </c>
      <c r="E144" s="52"/>
      <c r="F144" s="374" cm="1">
        <f t="array" ref="F144:O144">TRANSPOSE(Tabla13[COSTO INDIRECTO])</f>
        <v>0</v>
      </c>
      <c r="G144" s="374">
        <v>0</v>
      </c>
      <c r="H144" s="374">
        <v>0</v>
      </c>
      <c r="I144" s="374">
        <v>0</v>
      </c>
      <c r="J144" s="374">
        <v>0</v>
      </c>
      <c r="K144" s="374">
        <v>0</v>
      </c>
      <c r="L144" s="374">
        <v>0</v>
      </c>
      <c r="M144" s="374">
        <v>0</v>
      </c>
      <c r="N144" s="374">
        <v>0</v>
      </c>
      <c r="O144" s="374">
        <v>0</v>
      </c>
    </row>
    <row r="145" spans="3:15" ht="15.75" x14ac:dyDescent="0.25">
      <c r="C145" s="435">
        <v>0</v>
      </c>
      <c r="D145" s="368" t="str">
        <f>VLOOKUP(Tabla14[[#This Row],[CÓDIGO DEL PRODUCTO Y/O SERVICIO ]],Tabla3[],2,0)</f>
        <v xml:space="preserve">Seleccionar producto o servicio </v>
      </c>
      <c r="E145" s="104"/>
      <c r="F145" s="71"/>
      <c r="G145" s="71"/>
      <c r="H145" s="71"/>
      <c r="I145" s="71"/>
      <c r="J145" s="71"/>
      <c r="K145" s="71"/>
      <c r="L145" s="71"/>
      <c r="M145" s="71"/>
      <c r="N145" s="71"/>
      <c r="O145" s="71"/>
    </row>
    <row r="146" spans="3:15" ht="15.75" x14ac:dyDescent="0.25">
      <c r="C146" s="361"/>
      <c r="D146" s="368" t="str">
        <f>VLOOKUP(Tabla14[[#This Row],[CÓDIGO DEL PRODUCTO Y/O SERVICIO ]],Tabla3[],2,0)</f>
        <v xml:space="preserve">Seleccionar producto o servicio </v>
      </c>
      <c r="E146" s="104"/>
      <c r="F146" s="71"/>
      <c r="G146" s="71"/>
      <c r="H146" s="71"/>
      <c r="I146" s="71"/>
      <c r="J146" s="71"/>
      <c r="K146" s="71"/>
      <c r="L146" s="71"/>
      <c r="M146" s="71"/>
      <c r="N146" s="71"/>
      <c r="O146" s="71"/>
    </row>
    <row r="147" spans="3:15" x14ac:dyDescent="0.25">
      <c r="C147" s="330"/>
      <c r="D147" s="330"/>
    </row>
    <row r="148" spans="3:15" x14ac:dyDescent="0.25">
      <c r="C148" s="330"/>
      <c r="D148" s="330"/>
    </row>
    <row r="149" spans="3:15" x14ac:dyDescent="0.25">
      <c r="C149" s="330"/>
      <c r="D149" s="330"/>
    </row>
    <row r="150" spans="3:15" x14ac:dyDescent="0.25">
      <c r="C150" s="330"/>
      <c r="D150" s="330"/>
    </row>
    <row r="151" spans="3:15" x14ac:dyDescent="0.25">
      <c r="C151" s="330"/>
      <c r="D151" s="330"/>
    </row>
    <row r="152" spans="3:15" x14ac:dyDescent="0.25">
      <c r="C152" s="330"/>
      <c r="D152" s="330"/>
    </row>
    <row r="153" spans="3:15" x14ac:dyDescent="0.25">
      <c r="C153" s="330"/>
      <c r="D153" s="330"/>
    </row>
    <row r="154" spans="3:15" x14ac:dyDescent="0.25">
      <c r="C154" s="330"/>
      <c r="D154" s="330"/>
    </row>
    <row r="155" spans="3:15" x14ac:dyDescent="0.25">
      <c r="C155" s="330"/>
      <c r="D155" s="330"/>
    </row>
    <row r="156" spans="3:15" x14ac:dyDescent="0.25">
      <c r="C156" s="330"/>
      <c r="D156" s="330"/>
    </row>
    <row r="157" spans="3:15" x14ac:dyDescent="0.25">
      <c r="C157" s="330"/>
      <c r="D157" s="330"/>
    </row>
    <row r="158" spans="3:15" x14ac:dyDescent="0.25">
      <c r="C158" s="330"/>
      <c r="D158" s="330"/>
    </row>
    <row r="159" spans="3:15" x14ac:dyDescent="0.25">
      <c r="C159" s="330"/>
      <c r="D159" s="330"/>
    </row>
    <row r="160" spans="3:15" ht="15.75" thickBot="1" x14ac:dyDescent="0.3">
      <c r="C160" s="330"/>
      <c r="D160" s="330"/>
    </row>
    <row r="161" spans="3:210" ht="16.5" thickBot="1" x14ac:dyDescent="0.3">
      <c r="C161" s="330"/>
      <c r="D161" s="330"/>
      <c r="F161" s="563">
        <f>B128</f>
        <v>0</v>
      </c>
      <c r="G161" s="564"/>
      <c r="H161" s="564"/>
      <c r="I161" s="564"/>
      <c r="J161" s="564"/>
      <c r="K161" s="564"/>
      <c r="L161" s="564"/>
      <c r="M161" s="564"/>
      <c r="N161" s="564"/>
      <c r="O161" s="564"/>
      <c r="P161" s="564"/>
      <c r="Q161" s="564"/>
      <c r="R161" s="564"/>
      <c r="S161" s="564"/>
      <c r="T161" s="564"/>
      <c r="U161" s="564"/>
      <c r="V161" s="564"/>
      <c r="W161" s="564"/>
      <c r="X161" s="564"/>
      <c r="Y161" s="565"/>
      <c r="Z161" s="567">
        <f>B129</f>
        <v>0</v>
      </c>
      <c r="AA161" s="568"/>
      <c r="AB161" s="568"/>
      <c r="AC161" s="568"/>
      <c r="AD161" s="568"/>
      <c r="AE161" s="568"/>
      <c r="AF161" s="568"/>
      <c r="AG161" s="568"/>
      <c r="AH161" s="568"/>
      <c r="AI161" s="568"/>
      <c r="AJ161" s="568"/>
      <c r="AK161" s="568"/>
      <c r="AL161" s="568"/>
      <c r="AM161" s="568"/>
      <c r="AN161" s="568"/>
      <c r="AO161" s="568"/>
      <c r="AP161" s="568"/>
      <c r="AQ161" s="568"/>
      <c r="AR161" s="568"/>
      <c r="AS161" s="569"/>
      <c r="AT161" s="571">
        <f>B130</f>
        <v>0</v>
      </c>
      <c r="AU161" s="572"/>
      <c r="AV161" s="572"/>
      <c r="AW161" s="572"/>
      <c r="AX161" s="572"/>
      <c r="AY161" s="572"/>
      <c r="AZ161" s="572"/>
      <c r="BA161" s="572"/>
      <c r="BB161" s="572"/>
      <c r="BC161" s="572"/>
      <c r="BD161" s="572"/>
      <c r="BE161" s="572"/>
      <c r="BF161" s="572"/>
      <c r="BG161" s="572"/>
      <c r="BH161" s="572"/>
      <c r="BI161" s="572"/>
      <c r="BJ161" s="572"/>
      <c r="BK161" s="572"/>
      <c r="BL161" s="572"/>
      <c r="BM161" s="573"/>
      <c r="BN161" s="567">
        <f>B131</f>
        <v>0</v>
      </c>
      <c r="BO161" s="568"/>
      <c r="BP161" s="568"/>
      <c r="BQ161" s="568"/>
      <c r="BR161" s="568"/>
      <c r="BS161" s="568"/>
      <c r="BT161" s="568"/>
      <c r="BU161" s="568"/>
      <c r="BV161" s="568"/>
      <c r="BW161" s="568"/>
      <c r="BX161" s="568"/>
      <c r="BY161" s="568"/>
      <c r="BZ161" s="568"/>
      <c r="CA161" s="568"/>
      <c r="CB161" s="568"/>
      <c r="CC161" s="568"/>
      <c r="CD161" s="568"/>
      <c r="CE161" s="568"/>
      <c r="CF161" s="568"/>
      <c r="CG161" s="569"/>
      <c r="CH161" s="563">
        <f>B132</f>
        <v>0</v>
      </c>
      <c r="CI161" s="564"/>
      <c r="CJ161" s="564"/>
      <c r="CK161" s="564"/>
      <c r="CL161" s="564"/>
      <c r="CM161" s="564"/>
      <c r="CN161" s="564"/>
      <c r="CO161" s="564"/>
      <c r="CP161" s="564"/>
      <c r="CQ161" s="564"/>
      <c r="CR161" s="564"/>
      <c r="CS161" s="564"/>
      <c r="CT161" s="564"/>
      <c r="CU161" s="564"/>
      <c r="CV161" s="564"/>
      <c r="CW161" s="564"/>
      <c r="CX161" s="564"/>
      <c r="CY161" s="564"/>
      <c r="CZ161" s="564"/>
      <c r="DA161" s="565"/>
      <c r="DB161" s="567">
        <f>B133</f>
        <v>0</v>
      </c>
      <c r="DC161" s="568"/>
      <c r="DD161" s="568"/>
      <c r="DE161" s="568"/>
      <c r="DF161" s="568"/>
      <c r="DG161" s="568"/>
      <c r="DH161" s="568"/>
      <c r="DI161" s="568"/>
      <c r="DJ161" s="568"/>
      <c r="DK161" s="568"/>
      <c r="DL161" s="568"/>
      <c r="DM161" s="568"/>
      <c r="DN161" s="568"/>
      <c r="DO161" s="568"/>
      <c r="DP161" s="568"/>
      <c r="DQ161" s="568"/>
      <c r="DR161" s="568"/>
      <c r="DS161" s="568"/>
      <c r="DT161" s="568"/>
      <c r="DU161" s="569"/>
      <c r="DV161" s="563">
        <f>B134</f>
        <v>0</v>
      </c>
      <c r="DW161" s="564"/>
      <c r="DX161" s="564"/>
      <c r="DY161" s="564"/>
      <c r="DZ161" s="564"/>
      <c r="EA161" s="564"/>
      <c r="EB161" s="564"/>
      <c r="EC161" s="564"/>
      <c r="ED161" s="564"/>
      <c r="EE161" s="564"/>
      <c r="EF161" s="564"/>
      <c r="EG161" s="564"/>
      <c r="EH161" s="564"/>
      <c r="EI161" s="564"/>
      <c r="EJ161" s="564"/>
      <c r="EK161" s="564"/>
      <c r="EL161" s="564"/>
      <c r="EM161" s="564"/>
      <c r="EN161" s="564"/>
      <c r="EO161" s="565"/>
      <c r="EP161" s="567">
        <f>B135</f>
        <v>0</v>
      </c>
      <c r="EQ161" s="568"/>
      <c r="ER161" s="568"/>
      <c r="ES161" s="568"/>
      <c r="ET161" s="568"/>
      <c r="EU161" s="568"/>
      <c r="EV161" s="568"/>
      <c r="EW161" s="568"/>
      <c r="EX161" s="568"/>
      <c r="EY161" s="568"/>
      <c r="EZ161" s="568"/>
      <c r="FA161" s="568"/>
      <c r="FB161" s="568"/>
      <c r="FC161" s="568"/>
      <c r="FD161" s="568"/>
      <c r="FE161" s="568"/>
      <c r="FF161" s="568"/>
      <c r="FG161" s="568"/>
      <c r="FH161" s="568"/>
      <c r="FI161" s="569"/>
      <c r="FJ161" s="563">
        <f>B136</f>
        <v>0</v>
      </c>
      <c r="FK161" s="564"/>
      <c r="FL161" s="564"/>
      <c r="FM161" s="564"/>
      <c r="FN161" s="564"/>
      <c r="FO161" s="564"/>
      <c r="FP161" s="564"/>
      <c r="FQ161" s="564"/>
      <c r="FR161" s="564"/>
      <c r="FS161" s="564"/>
      <c r="FT161" s="564"/>
      <c r="FU161" s="564"/>
      <c r="FV161" s="564"/>
      <c r="FW161" s="564"/>
      <c r="FX161" s="564"/>
      <c r="FY161" s="564"/>
      <c r="FZ161" s="564"/>
      <c r="GA161" s="564"/>
      <c r="GB161" s="564"/>
      <c r="GC161" s="565"/>
      <c r="GD161" s="567">
        <f>B137</f>
        <v>0</v>
      </c>
      <c r="GE161" s="568"/>
      <c r="GF161" s="568"/>
      <c r="GG161" s="568"/>
      <c r="GH161" s="568"/>
      <c r="GI161" s="568"/>
      <c r="GJ161" s="568"/>
      <c r="GK161" s="568"/>
      <c r="GL161" s="568"/>
      <c r="GM161" s="568"/>
      <c r="GN161" s="568"/>
      <c r="GO161" s="568"/>
      <c r="GP161" s="568"/>
      <c r="GQ161" s="568"/>
      <c r="GR161" s="568"/>
      <c r="GS161" s="568"/>
      <c r="GT161" s="568"/>
      <c r="GU161" s="568"/>
      <c r="GV161" s="568"/>
      <c r="GW161" s="568"/>
      <c r="GX161" s="641" t="s">
        <v>872</v>
      </c>
      <c r="GY161" s="641"/>
      <c r="GZ161" s="641"/>
      <c r="HA161" s="641"/>
      <c r="HB161" s="641"/>
    </row>
    <row r="162" spans="3:210" ht="15.75" x14ac:dyDescent="0.25">
      <c r="F162" s="375"/>
      <c r="G162" s="369"/>
      <c r="H162" s="369"/>
      <c r="I162" s="369"/>
      <c r="J162" s="369"/>
      <c r="K162" s="369"/>
      <c r="L162" s="369"/>
      <c r="M162" s="369"/>
      <c r="N162" s="369"/>
      <c r="O162" s="369"/>
      <c r="P162" s="562" t="s">
        <v>443</v>
      </c>
      <c r="Q162" s="562"/>
      <c r="R162" s="562"/>
      <c r="S162" s="562"/>
      <c r="T162" s="562"/>
      <c r="U162" s="562" t="s">
        <v>444</v>
      </c>
      <c r="V162" s="562"/>
      <c r="W162" s="562"/>
      <c r="X162" s="562"/>
      <c r="Y162" s="562"/>
      <c r="Z162" s="370"/>
      <c r="AA162" s="370"/>
      <c r="AB162" s="370"/>
      <c r="AC162" s="370"/>
      <c r="AD162" s="370"/>
      <c r="AE162" s="370"/>
      <c r="AF162" s="370"/>
      <c r="AG162" s="370"/>
      <c r="AH162" s="370"/>
      <c r="AI162" s="370"/>
      <c r="AJ162" s="566" t="s">
        <v>443</v>
      </c>
      <c r="AK162" s="566"/>
      <c r="AL162" s="566"/>
      <c r="AM162" s="566"/>
      <c r="AN162" s="566"/>
      <c r="AO162" s="566" t="s">
        <v>444</v>
      </c>
      <c r="AP162" s="566"/>
      <c r="AQ162" s="566"/>
      <c r="AR162" s="566"/>
      <c r="AS162" s="566"/>
      <c r="AT162" s="376"/>
      <c r="AU162" s="376"/>
      <c r="AV162" s="376"/>
      <c r="AW162" s="376"/>
      <c r="AX162" s="376"/>
      <c r="AY162" s="376"/>
      <c r="AZ162" s="376"/>
      <c r="BA162" s="376"/>
      <c r="BB162" s="376"/>
      <c r="BC162" s="376"/>
      <c r="BD162" s="570" t="s">
        <v>443</v>
      </c>
      <c r="BE162" s="570"/>
      <c r="BF162" s="570"/>
      <c r="BG162" s="570"/>
      <c r="BH162" s="570"/>
      <c r="BI162" s="570" t="s">
        <v>444</v>
      </c>
      <c r="BJ162" s="570"/>
      <c r="BK162" s="570"/>
      <c r="BL162" s="570"/>
      <c r="BM162" s="570"/>
      <c r="BN162" s="370"/>
      <c r="BO162" s="370"/>
      <c r="BP162" s="370"/>
      <c r="BQ162" s="370"/>
      <c r="BR162" s="370"/>
      <c r="BS162" s="370"/>
      <c r="BT162" s="370"/>
      <c r="BU162" s="370"/>
      <c r="BV162" s="370"/>
      <c r="BW162" s="370"/>
      <c r="BX162" s="566" t="s">
        <v>443</v>
      </c>
      <c r="BY162" s="566"/>
      <c r="BZ162" s="566"/>
      <c r="CA162" s="566"/>
      <c r="CB162" s="566"/>
      <c r="CC162" s="566" t="s">
        <v>444</v>
      </c>
      <c r="CD162" s="566"/>
      <c r="CE162" s="566"/>
      <c r="CF162" s="566"/>
      <c r="CG162" s="566"/>
      <c r="CH162" s="369"/>
      <c r="CI162" s="369"/>
      <c r="CJ162" s="369"/>
      <c r="CK162" s="369"/>
      <c r="CL162" s="369"/>
      <c r="CM162" s="369"/>
      <c r="CN162" s="369"/>
      <c r="CO162" s="369"/>
      <c r="CP162" s="369"/>
      <c r="CQ162" s="369"/>
      <c r="CR162" s="562" t="s">
        <v>443</v>
      </c>
      <c r="CS162" s="562"/>
      <c r="CT162" s="562"/>
      <c r="CU162" s="562"/>
      <c r="CV162" s="562"/>
      <c r="CW162" s="562" t="s">
        <v>444</v>
      </c>
      <c r="CX162" s="562"/>
      <c r="CY162" s="562"/>
      <c r="CZ162" s="562"/>
      <c r="DA162" s="562"/>
      <c r="DB162" s="370"/>
      <c r="DC162" s="370"/>
      <c r="DD162" s="370"/>
      <c r="DE162" s="370"/>
      <c r="DF162" s="370"/>
      <c r="DG162" s="370"/>
      <c r="DH162" s="370"/>
      <c r="DI162" s="370"/>
      <c r="DJ162" s="370"/>
      <c r="DK162" s="370"/>
      <c r="DL162" s="566" t="s">
        <v>443</v>
      </c>
      <c r="DM162" s="566"/>
      <c r="DN162" s="566"/>
      <c r="DO162" s="566"/>
      <c r="DP162" s="566"/>
      <c r="DQ162" s="566" t="s">
        <v>444</v>
      </c>
      <c r="DR162" s="566"/>
      <c r="DS162" s="566"/>
      <c r="DT162" s="566"/>
      <c r="DU162" s="566"/>
      <c r="DV162" s="369"/>
      <c r="DW162" s="369"/>
      <c r="DX162" s="369"/>
      <c r="DY162" s="369"/>
      <c r="DZ162" s="369"/>
      <c r="EA162" s="369"/>
      <c r="EB162" s="369"/>
      <c r="EC162" s="369"/>
      <c r="ED162" s="369"/>
      <c r="EE162" s="369"/>
      <c r="EF162" s="562" t="s">
        <v>443</v>
      </c>
      <c r="EG162" s="562"/>
      <c r="EH162" s="562"/>
      <c r="EI162" s="562"/>
      <c r="EJ162" s="562"/>
      <c r="EK162" s="562" t="s">
        <v>444</v>
      </c>
      <c r="EL162" s="562"/>
      <c r="EM162" s="562"/>
      <c r="EN162" s="562"/>
      <c r="EO162" s="562"/>
      <c r="EP162" s="370"/>
      <c r="EQ162" s="370"/>
      <c r="ER162" s="370"/>
      <c r="ES162" s="370"/>
      <c r="ET162" s="370"/>
      <c r="EU162" s="370"/>
      <c r="EV162" s="370"/>
      <c r="EW162" s="370"/>
      <c r="EX162" s="370"/>
      <c r="EY162" s="370"/>
      <c r="EZ162" s="566" t="s">
        <v>443</v>
      </c>
      <c r="FA162" s="566"/>
      <c r="FB162" s="566"/>
      <c r="FC162" s="566"/>
      <c r="FD162" s="566"/>
      <c r="FE162" s="566" t="s">
        <v>444</v>
      </c>
      <c r="FF162" s="566"/>
      <c r="FG162" s="566"/>
      <c r="FH162" s="566"/>
      <c r="FI162" s="566"/>
      <c r="FJ162" s="369"/>
      <c r="FK162" s="369"/>
      <c r="FL162" s="369"/>
      <c r="FM162" s="369"/>
      <c r="FN162" s="369"/>
      <c r="FO162" s="369"/>
      <c r="FP162" s="369"/>
      <c r="FQ162" s="369"/>
      <c r="FR162" s="369"/>
      <c r="FS162" s="369"/>
      <c r="FT162" s="562" t="s">
        <v>443</v>
      </c>
      <c r="FU162" s="562"/>
      <c r="FV162" s="562"/>
      <c r="FW162" s="562"/>
      <c r="FX162" s="562"/>
      <c r="FY162" s="562" t="s">
        <v>444</v>
      </c>
      <c r="FZ162" s="562"/>
      <c r="GA162" s="562"/>
      <c r="GB162" s="562"/>
      <c r="GC162" s="562"/>
      <c r="GD162" s="370"/>
      <c r="GE162" s="370"/>
      <c r="GF162" s="370"/>
      <c r="GG162" s="370"/>
      <c r="GH162" s="370"/>
      <c r="GI162" s="370"/>
      <c r="GJ162" s="370"/>
      <c r="GK162" s="370"/>
      <c r="GL162" s="370"/>
      <c r="GM162" s="370"/>
      <c r="GN162" s="566" t="s">
        <v>560</v>
      </c>
      <c r="GO162" s="566"/>
      <c r="GP162" s="566"/>
      <c r="GQ162" s="566"/>
      <c r="GR162" s="566"/>
      <c r="GS162" s="566" t="s">
        <v>444</v>
      </c>
      <c r="GT162" s="566"/>
      <c r="GU162" s="566"/>
      <c r="GV162" s="566"/>
      <c r="GW162" s="643"/>
      <c r="GX162" s="641"/>
      <c r="GY162" s="641"/>
      <c r="GZ162" s="641"/>
      <c r="HA162" s="641"/>
      <c r="HB162" s="641"/>
    </row>
    <row r="163" spans="3:210" ht="45" customHeight="1" x14ac:dyDescent="0.25">
      <c r="C163" s="367" t="s">
        <v>437</v>
      </c>
      <c r="D163" s="367" t="s">
        <v>438</v>
      </c>
      <c r="E163" s="360" t="s">
        <v>442</v>
      </c>
      <c r="F163" s="371" t="s">
        <v>765</v>
      </c>
      <c r="G163" s="371" t="s">
        <v>653</v>
      </c>
      <c r="H163" s="371" t="s">
        <v>766</v>
      </c>
      <c r="I163" s="371" t="s">
        <v>767</v>
      </c>
      <c r="J163" s="371" t="s">
        <v>768</v>
      </c>
      <c r="K163" s="371" t="s">
        <v>769</v>
      </c>
      <c r="L163" s="371" t="s">
        <v>658</v>
      </c>
      <c r="M163" s="371" t="s">
        <v>770</v>
      </c>
      <c r="N163" s="371" t="s">
        <v>771</v>
      </c>
      <c r="O163" s="371" t="s">
        <v>772</v>
      </c>
      <c r="P163" s="371" t="s">
        <v>449</v>
      </c>
      <c r="Q163" s="371" t="s">
        <v>773</v>
      </c>
      <c r="R163" s="371" t="s">
        <v>774</v>
      </c>
      <c r="S163" s="371" t="s">
        <v>775</v>
      </c>
      <c r="T163" s="371" t="s">
        <v>776</v>
      </c>
      <c r="U163" s="371" t="s">
        <v>666</v>
      </c>
      <c r="V163" s="371" t="s">
        <v>777</v>
      </c>
      <c r="W163" s="371" t="s">
        <v>778</v>
      </c>
      <c r="X163" s="371" t="s">
        <v>779</v>
      </c>
      <c r="Y163" s="371" t="s">
        <v>780</v>
      </c>
      <c r="Z163" s="372" t="s">
        <v>457</v>
      </c>
      <c r="AA163" s="372" t="s">
        <v>781</v>
      </c>
      <c r="AB163" s="372" t="s">
        <v>782</v>
      </c>
      <c r="AC163" s="372" t="s">
        <v>783</v>
      </c>
      <c r="AD163" s="372" t="s">
        <v>784</v>
      </c>
      <c r="AE163" s="372" t="s">
        <v>785</v>
      </c>
      <c r="AF163" s="372" t="s">
        <v>677</v>
      </c>
      <c r="AG163" s="372" t="s">
        <v>678</v>
      </c>
      <c r="AH163" s="372" t="s">
        <v>679</v>
      </c>
      <c r="AI163" s="372" t="s">
        <v>786</v>
      </c>
      <c r="AJ163" s="372" t="s">
        <v>448</v>
      </c>
      <c r="AK163" s="372" t="s">
        <v>681</v>
      </c>
      <c r="AL163" s="372" t="s">
        <v>787</v>
      </c>
      <c r="AM163" s="372" t="s">
        <v>788</v>
      </c>
      <c r="AN163" s="372" t="s">
        <v>789</v>
      </c>
      <c r="AO163" s="372" t="s">
        <v>462</v>
      </c>
      <c r="AP163" s="372" t="s">
        <v>790</v>
      </c>
      <c r="AQ163" s="372" t="s">
        <v>791</v>
      </c>
      <c r="AR163" s="372" t="s">
        <v>792</v>
      </c>
      <c r="AS163" s="372" t="s">
        <v>793</v>
      </c>
      <c r="AT163" s="371" t="s">
        <v>466</v>
      </c>
      <c r="AU163" s="371" t="s">
        <v>467</v>
      </c>
      <c r="AV163" s="371" t="s">
        <v>468</v>
      </c>
      <c r="AW163" s="371" t="s">
        <v>689</v>
      </c>
      <c r="AX163" s="371" t="s">
        <v>690</v>
      </c>
      <c r="AY163" s="371" t="s">
        <v>470</v>
      </c>
      <c r="AZ163" s="371" t="s">
        <v>471</v>
      </c>
      <c r="BA163" s="371" t="s">
        <v>472</v>
      </c>
      <c r="BB163" s="371" t="s">
        <v>473</v>
      </c>
      <c r="BC163" s="371" t="s">
        <v>794</v>
      </c>
      <c r="BD163" s="371" t="s">
        <v>455</v>
      </c>
      <c r="BE163" s="371" t="s">
        <v>795</v>
      </c>
      <c r="BF163" s="371" t="s">
        <v>796</v>
      </c>
      <c r="BG163" s="371" t="s">
        <v>797</v>
      </c>
      <c r="BH163" s="371" t="s">
        <v>798</v>
      </c>
      <c r="BI163" s="371" t="s">
        <v>474</v>
      </c>
      <c r="BJ163" s="371" t="s">
        <v>475</v>
      </c>
      <c r="BK163" s="371" t="s">
        <v>799</v>
      </c>
      <c r="BL163" s="371" t="s">
        <v>800</v>
      </c>
      <c r="BM163" s="371" t="s">
        <v>801</v>
      </c>
      <c r="BN163" s="372" t="s">
        <v>802</v>
      </c>
      <c r="BO163" s="372" t="s">
        <v>702</v>
      </c>
      <c r="BP163" s="372" t="s">
        <v>478</v>
      </c>
      <c r="BQ163" s="372" t="s">
        <v>803</v>
      </c>
      <c r="BR163" s="372" t="s">
        <v>480</v>
      </c>
      <c r="BS163" s="372" t="s">
        <v>804</v>
      </c>
      <c r="BT163" s="372" t="s">
        <v>805</v>
      </c>
      <c r="BU163" s="372" t="s">
        <v>806</v>
      </c>
      <c r="BV163" s="372" t="s">
        <v>807</v>
      </c>
      <c r="BW163" s="372" t="s">
        <v>484</v>
      </c>
      <c r="BX163" s="372" t="s">
        <v>722</v>
      </c>
      <c r="BY163" s="372" t="s">
        <v>808</v>
      </c>
      <c r="BZ163" s="372" t="s">
        <v>809</v>
      </c>
      <c r="CA163" s="372" t="s">
        <v>810</v>
      </c>
      <c r="CB163" s="372" t="s">
        <v>811</v>
      </c>
      <c r="CC163" s="372" t="s">
        <v>812</v>
      </c>
      <c r="CD163" s="372" t="s">
        <v>813</v>
      </c>
      <c r="CE163" s="372" t="s">
        <v>814</v>
      </c>
      <c r="CF163" s="372" t="s">
        <v>708</v>
      </c>
      <c r="CG163" s="372" t="s">
        <v>815</v>
      </c>
      <c r="CH163" s="371" t="s">
        <v>709</v>
      </c>
      <c r="CI163" s="371" t="s">
        <v>492</v>
      </c>
      <c r="CJ163" s="371" t="s">
        <v>816</v>
      </c>
      <c r="CK163" s="371" t="s">
        <v>494</v>
      </c>
      <c r="CL163" s="371" t="s">
        <v>817</v>
      </c>
      <c r="CM163" s="371" t="s">
        <v>818</v>
      </c>
      <c r="CN163" s="371" t="s">
        <v>819</v>
      </c>
      <c r="CO163" s="371" t="s">
        <v>820</v>
      </c>
      <c r="CP163" s="371" t="s">
        <v>497</v>
      </c>
      <c r="CQ163" s="371" t="s">
        <v>821</v>
      </c>
      <c r="CR163" s="371" t="s">
        <v>491</v>
      </c>
      <c r="CS163" s="371" t="s">
        <v>500</v>
      </c>
      <c r="CT163" s="371" t="s">
        <v>501</v>
      </c>
      <c r="CU163" s="371" t="s">
        <v>502</v>
      </c>
      <c r="CV163" s="371" t="s">
        <v>822</v>
      </c>
      <c r="CW163" s="371" t="s">
        <v>503</v>
      </c>
      <c r="CX163" s="371" t="s">
        <v>499</v>
      </c>
      <c r="CY163" s="371" t="s">
        <v>823</v>
      </c>
      <c r="CZ163" s="371" t="s">
        <v>504</v>
      </c>
      <c r="DA163" s="371" t="s">
        <v>505</v>
      </c>
      <c r="DB163" s="372" t="s">
        <v>507</v>
      </c>
      <c r="DC163" s="372" t="s">
        <v>824</v>
      </c>
      <c r="DD163" s="372" t="s">
        <v>509</v>
      </c>
      <c r="DE163" s="372" t="s">
        <v>725</v>
      </c>
      <c r="DF163" s="372" t="s">
        <v>726</v>
      </c>
      <c r="DG163" s="372" t="s">
        <v>825</v>
      </c>
      <c r="DH163" s="372" t="s">
        <v>511</v>
      </c>
      <c r="DI163" s="372" t="s">
        <v>512</v>
      </c>
      <c r="DJ163" s="372" t="s">
        <v>513</v>
      </c>
      <c r="DK163" s="372" t="s">
        <v>826</v>
      </c>
      <c r="DL163" s="372" t="s">
        <v>506</v>
      </c>
      <c r="DM163" s="372" t="s">
        <v>515</v>
      </c>
      <c r="DN163" s="372" t="s">
        <v>516</v>
      </c>
      <c r="DO163" s="372" t="s">
        <v>827</v>
      </c>
      <c r="DP163" s="372" t="s">
        <v>517</v>
      </c>
      <c r="DQ163" s="372" t="s">
        <v>828</v>
      </c>
      <c r="DR163" s="372" t="s">
        <v>519</v>
      </c>
      <c r="DS163" s="372" t="s">
        <v>829</v>
      </c>
      <c r="DT163" s="372" t="s">
        <v>521</v>
      </c>
      <c r="DU163" s="372" t="s">
        <v>522</v>
      </c>
      <c r="DV163" s="371" t="s">
        <v>524</v>
      </c>
      <c r="DW163" s="371" t="s">
        <v>525</v>
      </c>
      <c r="DX163" s="371" t="s">
        <v>526</v>
      </c>
      <c r="DY163" s="371" t="s">
        <v>527</v>
      </c>
      <c r="DZ163" s="371" t="s">
        <v>830</v>
      </c>
      <c r="EA163" s="371" t="s">
        <v>831</v>
      </c>
      <c r="EB163" s="371" t="s">
        <v>529</v>
      </c>
      <c r="EC163" s="371" t="s">
        <v>530</v>
      </c>
      <c r="ED163" s="371" t="s">
        <v>531</v>
      </c>
      <c r="EE163" s="371" t="s">
        <v>532</v>
      </c>
      <c r="EF163" s="371" t="s">
        <v>523</v>
      </c>
      <c r="EG163" s="371" t="s">
        <v>533</v>
      </c>
      <c r="EH163" s="371" t="s">
        <v>832</v>
      </c>
      <c r="EI163" s="371" t="s">
        <v>833</v>
      </c>
      <c r="EJ163" s="371" t="s">
        <v>536</v>
      </c>
      <c r="EK163" s="371" t="s">
        <v>834</v>
      </c>
      <c r="EL163" s="371" t="s">
        <v>538</v>
      </c>
      <c r="EM163" s="371" t="s">
        <v>539</v>
      </c>
      <c r="EN163" s="371" t="s">
        <v>734</v>
      </c>
      <c r="EO163" s="371" t="s">
        <v>540</v>
      </c>
      <c r="EP163" s="372" t="s">
        <v>542</v>
      </c>
      <c r="EQ163" s="372" t="s">
        <v>835</v>
      </c>
      <c r="ER163" s="372" t="s">
        <v>836</v>
      </c>
      <c r="ES163" s="372" t="s">
        <v>545</v>
      </c>
      <c r="ET163" s="372" t="s">
        <v>837</v>
      </c>
      <c r="EU163" s="372" t="s">
        <v>547</v>
      </c>
      <c r="EV163" s="372" t="s">
        <v>548</v>
      </c>
      <c r="EW163" s="372" t="s">
        <v>549</v>
      </c>
      <c r="EX163" s="372" t="s">
        <v>838</v>
      </c>
      <c r="EY163" s="372" t="s">
        <v>737</v>
      </c>
      <c r="EZ163" s="372" t="s">
        <v>541</v>
      </c>
      <c r="FA163" s="372" t="s">
        <v>551</v>
      </c>
      <c r="FB163" s="372" t="s">
        <v>552</v>
      </c>
      <c r="FC163" s="372" t="s">
        <v>553</v>
      </c>
      <c r="FD163" s="372" t="s">
        <v>738</v>
      </c>
      <c r="FE163" s="372" t="s">
        <v>554</v>
      </c>
      <c r="FF163" s="372" t="s">
        <v>555</v>
      </c>
      <c r="FG163" s="372" t="s">
        <v>556</v>
      </c>
      <c r="FH163" s="372" t="s">
        <v>557</v>
      </c>
      <c r="FI163" s="372" t="s">
        <v>839</v>
      </c>
      <c r="FJ163" s="371" t="s">
        <v>561</v>
      </c>
      <c r="FK163" s="371" t="s">
        <v>562</v>
      </c>
      <c r="FL163" s="371" t="s">
        <v>840</v>
      </c>
      <c r="FM163" s="371" t="s">
        <v>841</v>
      </c>
      <c r="FN163" s="371" t="s">
        <v>842</v>
      </c>
      <c r="FO163" s="371" t="s">
        <v>843</v>
      </c>
      <c r="FP163" s="371" t="s">
        <v>566</v>
      </c>
      <c r="FQ163" s="371" t="s">
        <v>743</v>
      </c>
      <c r="FR163" s="371" t="s">
        <v>567</v>
      </c>
      <c r="FS163" s="371" t="s">
        <v>844</v>
      </c>
      <c r="FT163" s="371" t="s">
        <v>559</v>
      </c>
      <c r="FU163" s="371" t="s">
        <v>845</v>
      </c>
      <c r="FV163" s="371" t="s">
        <v>846</v>
      </c>
      <c r="FW163" s="371" t="s">
        <v>847</v>
      </c>
      <c r="FX163" s="371" t="s">
        <v>572</v>
      </c>
      <c r="FY163" s="371" t="s">
        <v>848</v>
      </c>
      <c r="FZ163" s="371" t="s">
        <v>849</v>
      </c>
      <c r="GA163" s="371" t="s">
        <v>574</v>
      </c>
      <c r="GB163" s="371" t="s">
        <v>745</v>
      </c>
      <c r="GC163" s="371" t="s">
        <v>746</v>
      </c>
      <c r="GD163" s="372" t="s">
        <v>850</v>
      </c>
      <c r="GE163" s="372" t="s">
        <v>851</v>
      </c>
      <c r="GF163" s="372" t="s">
        <v>578</v>
      </c>
      <c r="GG163" s="372" t="s">
        <v>579</v>
      </c>
      <c r="GH163" s="372" t="s">
        <v>852</v>
      </c>
      <c r="GI163" s="372" t="s">
        <v>748</v>
      </c>
      <c r="GJ163" s="372" t="s">
        <v>853</v>
      </c>
      <c r="GK163" s="372" t="s">
        <v>582</v>
      </c>
      <c r="GL163" s="372" t="s">
        <v>854</v>
      </c>
      <c r="GM163" s="372" t="s">
        <v>855</v>
      </c>
      <c r="GN163" s="372" t="s">
        <v>575</v>
      </c>
      <c r="GO163" s="372" t="s">
        <v>856</v>
      </c>
      <c r="GP163" s="372" t="s">
        <v>857</v>
      </c>
      <c r="GQ163" s="372" t="s">
        <v>584</v>
      </c>
      <c r="GR163" s="372" t="s">
        <v>585</v>
      </c>
      <c r="GS163" s="372" t="s">
        <v>586</v>
      </c>
      <c r="GT163" s="372" t="s">
        <v>858</v>
      </c>
      <c r="GU163" s="372" t="s">
        <v>859</v>
      </c>
      <c r="GV163" s="372" t="s">
        <v>587</v>
      </c>
      <c r="GW163" s="382" t="s">
        <v>588</v>
      </c>
      <c r="GX163" s="419" t="s">
        <v>883</v>
      </c>
      <c r="GY163" s="419" t="s">
        <v>884</v>
      </c>
      <c r="GZ163" s="419" t="s">
        <v>885</v>
      </c>
      <c r="HA163" s="419" t="s">
        <v>882</v>
      </c>
      <c r="HB163" s="419" t="s">
        <v>886</v>
      </c>
    </row>
    <row r="164" spans="3:210" ht="15.75" x14ac:dyDescent="0.25">
      <c r="C164" s="67">
        <v>0</v>
      </c>
      <c r="D164" s="72" t="str">
        <f>VLOOKUP(Tabla12[[#This Row],[CÓDIGO DEL PRODUCTO Y/O SERVICIO ]],Tabla3[],2,0)</f>
        <v xml:space="preserve">Seleccionar producto o servicio </v>
      </c>
      <c r="E164" s="72"/>
      <c r="F164" s="72">
        <f>VLOOKUP(Tabla12[[#This Row],[CÓDIGO DEL PRODUCTO Y/O SERVICIO ]],Tabla3[],3)</f>
        <v>0</v>
      </c>
      <c r="G164" s="72">
        <f>Tabla12[[#This Row],[UNIDADES PRODUCIDAS AÑO 1 1 ]]*$F$145</f>
        <v>0</v>
      </c>
      <c r="H164" s="112">
        <f>VLOOKUP(Tabla12[[#This Row],[CÓDIGO DEL PRODUCTO Y/O SERVICIO ]],Tabla3[],9)</f>
        <v>0</v>
      </c>
      <c r="I164" s="72">
        <f>Tabla12[[#This Row],[CANTIDADES A UTILIZAR EN EL AÑO 1 1]]*(1+Tabla12[[#This Row],[CAMBIO PORCENTUAL EN UNIDADES VENDIDAS AÑO 2 1 ]])</f>
        <v>0</v>
      </c>
      <c r="J164" s="112">
        <f>VLOOKUP(Tabla12[[#This Row],[CÓDIGO DEL PRODUCTO Y/O SERVICIO ]],Tabla3[],13)</f>
        <v>0</v>
      </c>
      <c r="K164" s="72">
        <f>Tabla12[[#This Row],[CANTIDADES A UTILIZAR EN EL AÑO 2 1]]*(1+Tabla12[[#This Row],[CAMBIO PORCENTUAL EN UNIDADES VENDIDAS AÑO 3 1 ]])</f>
        <v>0</v>
      </c>
      <c r="L164" s="112">
        <f>VLOOKUP(Tabla12[[#This Row],[CÓDIGO DEL PRODUCTO Y/O SERVICIO ]],Tabla3[],17)</f>
        <v>0</v>
      </c>
      <c r="M164" s="72">
        <f>Tabla12[[#This Row],[CANTIDADES A UTILIZAR EN EL AÑO 3 1 ]]*(1+Tabla12[[#This Row],[CAMBIO PORCENTUAL EN UNIDADES VENDIDAS AÑO 4 1]])</f>
        <v>0</v>
      </c>
      <c r="N164" s="112">
        <f>VLOOKUP(Tabla12[[#This Row],[CÓDIGO DEL PRODUCTO Y/O SERVICIO ]],Tabla3[],21)</f>
        <v>0</v>
      </c>
      <c r="O164" s="72">
        <f>Tabla12[[#This Row],[CANTIDADES A UTILIZAR EN EL AÑO 4 1 ]]*(1+Tabla12[[#This Row],[CAMBIO PORCENTUAL EN UNIDADES VENDIDAS AÑO 5 1 ]])</f>
        <v>0</v>
      </c>
      <c r="P164" s="344">
        <f>IF(Tabla12[[#This Row],[CANTIDADES A UTILIZAR EN EL AÑO 1 1]]=0,0,Tabla12[[#This Row],[CANTIDADES A UTILIZAR EN EL AÑO 1 1]]*1/Tabla12[[#This Row],[UNIDADES PRODUCIDAS AÑO 1 1 ]])</f>
        <v>0</v>
      </c>
      <c r="Q164" s="344">
        <f>$C$128*(1+BASES!$E$10)</f>
        <v>0</v>
      </c>
      <c r="R164" s="344">
        <f>Tabla12[[#This Row],[COSTO UNITARIO AÑO 2 1 ]]*(1+BASES!$F$10)</f>
        <v>0</v>
      </c>
      <c r="S164" s="344">
        <f>Tabla12[[#This Row],[COSTO UNITARIO AÑO 3 1 ]]*(1+BASES!$G$10)</f>
        <v>0</v>
      </c>
      <c r="T164" s="344">
        <f>Tabla12[[#This Row],[COSTO UNITARIO AÑO 4 1 ]]*(1+BASES!$H$10)</f>
        <v>0</v>
      </c>
      <c r="U164" s="344">
        <f>Tabla12[[#This Row],[COSTO POR UNIDAD DE PRODUCTO (1)]]*$C$128*VLOOKUP(Tabla12[[#This Row],[CÓDIGO DEL PRODUCTO Y/O SERVICIO ]],Tabla3[],3)</f>
        <v>0</v>
      </c>
      <c r="V164" s="344">
        <f>Tabla12[[#This Row],[COSTO POR UNIDAD DE PRODUCTO (1)]]*Tabla12[[#This Row],[COSTO UNITARIO AÑO 2 1 ]]*VLOOKUP(Tabla12[[#This Row],[CÓDIGO DEL PRODUCTO Y/O SERVICIO ]],Tabla3[],6)</f>
        <v>0</v>
      </c>
      <c r="W164" s="344">
        <f>Tabla12[[#This Row],[COSTO POR UNIDAD DE PRODUCTO (1)]]*Tabla12[[#This Row],[COSTO UNITARIO AÑO 3 1 ]]*VLOOKUP(Tabla12[[#This Row],[CÓDIGO DEL PRODUCTO Y/O SERVICIO ]],Tabla3[],10)</f>
        <v>0</v>
      </c>
      <c r="X164" s="344">
        <f>Tabla12[[#This Row],[COSTO POR UNIDAD DE PRODUCTO (1)]]*Tabla12[[#This Row],[COSTO UNITARIO AÑO 4 1 ]]*VLOOKUP(Tabla12[[#This Row],[CÓDIGO DEL PRODUCTO Y/O SERVICIO ]],Tabla3[],14)</f>
        <v>0</v>
      </c>
      <c r="Y164" s="344">
        <f>Tabla12[[#This Row],[COSTO POR UNIDAD DE PRODUCTO (1)]]*Tabla12[[#This Row],[COSTO UNITARIO AÑO 5 1 ]]*VLOOKUP(Tabla12[[#This Row],[CÓDIGO DEL PRODUCTO Y/O SERVICIO ]],Tabla3[],18)</f>
        <v>0</v>
      </c>
      <c r="Z164" s="114">
        <f>VLOOKUP(Tabla12[[#This Row],[CÓDIGO DEL PRODUCTO Y/O SERVICIO ]],Tabla3[],3)</f>
        <v>0</v>
      </c>
      <c r="AA164" s="114">
        <f>Tabla12[[#This Row],[UNIDADES PRODUCIDAS AÑO 1 2]]*G145</f>
        <v>0</v>
      </c>
      <c r="AB164" s="112">
        <f>VLOOKUP(Tabla12[[#This Row],[CÓDIGO DEL PRODUCTO Y/O SERVICIO ]],Tabla3[],9)</f>
        <v>0</v>
      </c>
      <c r="AC164" s="114">
        <f>Tabla12[[#This Row],[CANTIDADES A UTILIZAR EN EL AÑO 1 2 ]]*(1+Tabla12[[#This Row],[CAMBIO PORCENTUAL EN UNIDADES VENDIDAS AÑO 2 2 ]])</f>
        <v>0</v>
      </c>
      <c r="AD164" s="112">
        <f>VLOOKUP(Tabla12[[#This Row],[CÓDIGO DEL PRODUCTO Y/O SERVICIO ]],Tabla3[],13)</f>
        <v>0</v>
      </c>
      <c r="AE164" s="114">
        <f>Tabla12[[#This Row],[CANTIDADES A UTILIZAR EN EL AÑO 2 2 ]]*(1+Tabla12[[#This Row],[CAMBIO PORCENTUAL EN UNIDADES VENDIDAS AÑO 3 2]])</f>
        <v>0</v>
      </c>
      <c r="AF164" s="112">
        <f>VLOOKUP(Tabla12[[#This Row],[CÓDIGO DEL PRODUCTO Y/O SERVICIO ]],Tabla3[],17)</f>
        <v>0</v>
      </c>
      <c r="AG164" s="114">
        <f>Tabla12[[#This Row],[CANTIDADES A UTILIZAR EN EL AÑO 3 2]]*(1+Tabla12[[#This Row],[CAMBIO PORCENTUAL EN UNIDADES VENDIDAS AÑO 4 2]])</f>
        <v>0</v>
      </c>
      <c r="AH164" s="112">
        <f>VLOOKUP(Tabla12[[#This Row],[CÓDIGO DEL PRODUCTO Y/O SERVICIO ]],Tabla3[],21)</f>
        <v>0</v>
      </c>
      <c r="AI164" s="114">
        <f>Tabla12[[#This Row],[CANTIDADES A UTILIZAR EN EL AÑO 4 2]]*(1+Tabla12[[#This Row],[CAMBIO PORCENTUAL EN UNIDADES VENDIDAS AÑO 5 2]])</f>
        <v>0</v>
      </c>
      <c r="AJ164" s="344">
        <f>IF(Tabla12[[#This Row],[CANTIDADES A UTILIZAR EN EL AÑO 1 2 ]]=0,0,Tabla12[[#This Row],[CANTIDADES A UTILIZAR EN EL AÑO 1 2 ]]*1/Tabla12[[#This Row],[UNIDADES PRODUCIDAS AÑO 1 2]])</f>
        <v>0</v>
      </c>
      <c r="AK164" s="344">
        <f>$C$129*(1+BASES!$E$10)</f>
        <v>0</v>
      </c>
      <c r="AL164" s="344">
        <f>Tabla12[[#This Row],[COSTO UNITARIO AÑO 2 2]]*(1+BASES!$F$10)</f>
        <v>0</v>
      </c>
      <c r="AM164" s="344">
        <f>Tabla12[[#This Row],[COSTO UNITARIO AÑO 3 2 ]]*(1+BASES!$G$10)</f>
        <v>0</v>
      </c>
      <c r="AN164" s="344">
        <f>Tabla12[[#This Row],[COSTO UNITARIO AÑO 4 2 ]]*(1+BASES!$H$10)</f>
        <v>0</v>
      </c>
      <c r="AO164" s="344">
        <f>Tabla12[[#This Row],[COSTO POR UNIDAD DE PRODUCTO (2)]]*$C$129*VLOOKUP(Tabla12[[#This Row],[CÓDIGO DEL PRODUCTO Y/O SERVICIO ]],Tabla3[],3)</f>
        <v>0</v>
      </c>
      <c r="AP164" s="344">
        <f>Tabla12[[#This Row],[COSTO POR UNIDAD DE PRODUCTO (2)]]*Tabla12[[#This Row],[COSTO UNITARIO AÑO 2 2]]*VLOOKUP(Tabla12[[#This Row],[CÓDIGO DEL PRODUCTO Y/O SERVICIO ]],Tabla3[],6)</f>
        <v>0</v>
      </c>
      <c r="AQ164" s="344">
        <f>Tabla12[[#This Row],[COSTO POR UNIDAD DE PRODUCTO (2)]]*Tabla12[[#This Row],[COSTO UNITARIO AÑO 3 2 ]]*VLOOKUP(Tabla12[[#This Row],[CÓDIGO DEL PRODUCTO Y/O SERVICIO ]],Tabla3[],10)</f>
        <v>0</v>
      </c>
      <c r="AR164" s="344">
        <f>Tabla12[[#This Row],[COSTO POR UNIDAD DE PRODUCTO (2)]]*Tabla12[[#This Row],[COSTO UNITARIO AÑO 4 2 ]]*VLOOKUP(Tabla12[[#This Row],[CÓDIGO DEL PRODUCTO Y/O SERVICIO ]],Tabla3[],14)</f>
        <v>0</v>
      </c>
      <c r="AS164" s="344">
        <f>Tabla12[[#This Row],[COSTO POR UNIDAD DE PRODUCTO (2)]]*Tabla12[[#This Row],[COSTO UNITARIO AÑO 5 2 ]]*VLOOKUP(Tabla12[[#This Row],[CÓDIGO DEL PRODUCTO Y/O SERVICIO ]],Tabla3[],18)</f>
        <v>0</v>
      </c>
      <c r="AT164" s="114">
        <f>VLOOKUP(Tabla12[[#This Row],[CÓDIGO DEL PRODUCTO Y/O SERVICIO ]],Tabla3[],3)</f>
        <v>0</v>
      </c>
      <c r="AU164" s="114">
        <f>Tabla12[[#This Row],[UNIDADES PRODUCIDAS AÑO 1 3]]*H145</f>
        <v>0</v>
      </c>
      <c r="AV164" s="112">
        <f>VLOOKUP(Tabla12[[#This Row],[CÓDIGO DEL PRODUCTO Y/O SERVICIO ]],Tabla3[],9)</f>
        <v>0</v>
      </c>
      <c r="AW164" s="114">
        <f>Tabla12[[#This Row],[CANTIDADES A UTILIZAR EN EL AÑO 1 3]]*(1+Tabla12[[#This Row],[CAMBIO PORCENTUAL EN UNIDADES VENDIDAS AÑO 2 3]])</f>
        <v>0</v>
      </c>
      <c r="AX164" s="112">
        <f>VLOOKUP(Tabla12[[#This Row],[CÓDIGO DEL PRODUCTO Y/O SERVICIO ]],Tabla3[],13)</f>
        <v>0</v>
      </c>
      <c r="AY164" s="114">
        <f>Tabla12[[#This Row],[CANTIDADES A UTILIZAR EN EL AÑO 2 3]]*(1+Tabla12[[#This Row],[CAMBIO PORCENTUAL EN UNIDADES VENDIDAS AÑO 3 3]])</f>
        <v>0</v>
      </c>
      <c r="AZ164" s="112">
        <f>VLOOKUP(Tabla12[[#This Row],[CÓDIGO DEL PRODUCTO Y/O SERVICIO ]],Tabla3[],17)</f>
        <v>0</v>
      </c>
      <c r="BA164" s="114">
        <f>Tabla12[[#This Row],[CANTIDADES A UTILIZAR EN EL AÑO 3 3]]*(1+Tabla12[[#This Row],[CAMBIO PORCENTUAL EN UNIDADES VENDIDAS AÑO 4 3]])</f>
        <v>0</v>
      </c>
      <c r="BB164" s="112">
        <f>VLOOKUP(Tabla12[[#This Row],[CÓDIGO DEL PRODUCTO Y/O SERVICIO ]],Tabla3[],21)</f>
        <v>0</v>
      </c>
      <c r="BC164" s="114">
        <f>Tabla12[[#This Row],[CANTIDADES A UTILIZAR EN EL AÑO 4 3]]*(1+Tabla12[[#This Row],[CAMBIO PORCENTUAL EN UNIDADES VENDIDAS AÑO 5 3]])</f>
        <v>0</v>
      </c>
      <c r="BD164" s="344">
        <f>IF(Tabla12[[#This Row],[CANTIDADES A UTILIZAR EN EL AÑO 1 3]]=0,0,Tabla12[[#This Row],[CANTIDADES A UTILIZAR EN EL AÑO 1 3]]*1/Tabla12[[#This Row],[UNIDADES PRODUCIDAS AÑO 1 3]])</f>
        <v>0</v>
      </c>
      <c r="BE164" s="344">
        <f>$C$130*(1+BASES!$E$10)</f>
        <v>0</v>
      </c>
      <c r="BF164" s="344">
        <f>Tabla12[[#This Row],[COSTO UNITARIO AÑO 2 3]]*(1+BASES!$F$10)</f>
        <v>0</v>
      </c>
      <c r="BG164" s="344">
        <f>Tabla12[[#This Row],[COSTO UNITARIO AÑO 3 3 ]]*(1+BASES!$G$10)</f>
        <v>0</v>
      </c>
      <c r="BH164" s="344">
        <f>Tabla12[[#This Row],[COSTO UNITARIO AÑO 4 3]]*(1+BASES!$H$10)</f>
        <v>0</v>
      </c>
      <c r="BI164" s="344">
        <f>Tabla12[[#This Row],[COSTO POR UNIDAD DE PRODUCTO (3)]]*$C$130*VLOOKUP(Tabla12[[#This Row],[CÓDIGO DEL PRODUCTO Y/O SERVICIO ]],Tabla3[],3)</f>
        <v>0</v>
      </c>
      <c r="BJ164" s="344">
        <f>Tabla12[[#This Row],[COSTO POR UNIDAD DE PRODUCTO (3)]]*Tabla12[[#This Row],[COSTO UNITARIO AÑO 2 3]]*VLOOKUP(Tabla12[[#This Row],[CÓDIGO DEL PRODUCTO Y/O SERVICIO ]],Tabla3[],6)</f>
        <v>0</v>
      </c>
      <c r="BK164" s="344">
        <f>Tabla12[[#This Row],[COSTO POR UNIDAD DE PRODUCTO (3)]]*Tabla12[[#This Row],[COSTO UNITARIO AÑO 3 3 ]]*VLOOKUP(Tabla12[[#This Row],[CÓDIGO DEL PRODUCTO Y/O SERVICIO ]],Tabla3[],10)</f>
        <v>0</v>
      </c>
      <c r="BL164" s="344">
        <f>Tabla12[[#This Row],[COSTO POR UNIDAD DE PRODUCTO (3)]]*Tabla12[[#This Row],[COSTO UNITARIO AÑO 4 3]]*VLOOKUP(Tabla12[[#This Row],[CÓDIGO DEL PRODUCTO Y/O SERVICIO ]],Tabla3[],14)</f>
        <v>0</v>
      </c>
      <c r="BM164" s="344">
        <f>Tabla12[[#This Row],[COSTO POR UNIDAD DE PRODUCTO (3)]]*Tabla12[[#This Row],[COSTO UNITARIO AÑO 5 3 ]]*VLOOKUP(Tabla12[[#This Row],[CÓDIGO DEL PRODUCTO Y/O SERVICIO ]],Tabla3[],18)</f>
        <v>0</v>
      </c>
      <c r="BN164" s="114">
        <f>VLOOKUP(Tabla12[[#This Row],[CÓDIGO DEL PRODUCTO Y/O SERVICIO ]],Tabla3[],3)</f>
        <v>0</v>
      </c>
      <c r="BO164" s="114">
        <f>Tabla12[[#This Row],[UNIDADES PRODUCIDAS AÑO 1 4]]*I145</f>
        <v>0</v>
      </c>
      <c r="BP164" s="112">
        <f>VLOOKUP(Tabla12[[#This Row],[CÓDIGO DEL PRODUCTO Y/O SERVICIO ]],Tabla3[],9)</f>
        <v>0</v>
      </c>
      <c r="BQ164" s="114">
        <f>Tabla12[[#This Row],[CANTIDADES A UTILIZAR EN EL AÑO 1 4]]*(1+Tabla12[[#This Row],[CAMBIO PORCENTUAL EN UNIDADES VENDIDAS AÑO 2 4]])</f>
        <v>0</v>
      </c>
      <c r="BR164" s="112">
        <f>VLOOKUP(Tabla12[[#This Row],[CÓDIGO DEL PRODUCTO Y/O SERVICIO ]],Tabla3[],13)</f>
        <v>0</v>
      </c>
      <c r="BS164" s="114">
        <f>Tabla12[[#This Row],[CANTIDADES A UTILIZAR EN EL AÑO 2 4]]*(1+Tabla12[[#This Row],[CAMBIO PORCENTUAL EN UNIDADES VENDIDAS AÑO 3 4]])</f>
        <v>0</v>
      </c>
      <c r="BT164" s="112">
        <f>VLOOKUP(Tabla12[[#This Row],[CÓDIGO DEL PRODUCTO Y/O SERVICIO ]],Tabla3[],17)</f>
        <v>0</v>
      </c>
      <c r="BU164" s="114">
        <f>Tabla12[[#This Row],[CANTIDADES A UTILIZAR EN EL AÑO 3 4 ]]*(1+Tabla12[[#This Row],[CAMBIO PORCENTUAL EN UNIDADES VENDIDAS AÑO 4 4 ]])</f>
        <v>0</v>
      </c>
      <c r="BV164" s="112">
        <f>VLOOKUP(Tabla12[[#This Row],[CÓDIGO DEL PRODUCTO Y/O SERVICIO ]],Tabla3[],21)</f>
        <v>0</v>
      </c>
      <c r="BW164" s="114">
        <f>Tabla12[[#This Row],[CANTIDADES A UTILIZAR EN EL AÑO 4 4 ]]*(1+Tabla12[[#This Row],[CAMBIO PORCENTUAL EN UNIDADES VENDIDAS AÑO 5 4 ]])</f>
        <v>0</v>
      </c>
      <c r="BX164" s="344">
        <f>IF(Tabla12[[#This Row],[CANTIDADES A UTILIZAR EN EL AÑO 1 4]]=0,0,Tabla12[[#This Row],[CANTIDADES A UTILIZAR EN EL AÑO 1 4]]*1/Tabla12[[#This Row],[UNIDADES PRODUCIDAS AÑO 1 4]])</f>
        <v>0</v>
      </c>
      <c r="BY164" s="344">
        <f>$C$131*(1+BASES!$E$10)</f>
        <v>0</v>
      </c>
      <c r="BZ164" s="344">
        <f>Tabla12[[#This Row],[COSTO UNITARIO AÑO 2 4 ]]*(1+BASES!$F$10)</f>
        <v>0</v>
      </c>
      <c r="CA164" s="344">
        <f>Tabla12[[#This Row],[COSTO UNITARIO AÑO 3 4 ]]*(1+BASES!$G$10)</f>
        <v>0</v>
      </c>
      <c r="CB164" s="344">
        <f>Tabla12[[#This Row],[COSTO UNITARIO AÑO 4 4 ]]*(1+BASES!$H$10)</f>
        <v>0</v>
      </c>
      <c r="CC164" s="344">
        <f>Tabla12[[#This Row],[COSTO POR UNIDAD DE PRODUCTO (4)]]*$C$131*VLOOKUP(Tabla12[[#This Row],[CÓDIGO DEL PRODUCTO Y/O SERVICIO ]],Tabla3[],3)</f>
        <v>0</v>
      </c>
      <c r="CD164" s="344">
        <f>Tabla12[[#This Row],[COSTO POR UNIDAD DE PRODUCTO (4)]]*Tabla12[[#This Row],[COSTO UNITARIO AÑO 2 4 ]]*VLOOKUP(Tabla12[[#This Row],[CÓDIGO DEL PRODUCTO Y/O SERVICIO ]],Tabla3[],6)</f>
        <v>0</v>
      </c>
      <c r="CE164" s="344">
        <f>Tabla12[[#This Row],[COSTO POR UNIDAD DE PRODUCTO (4)]]*Tabla12[[#This Row],[COSTO UNITARIO AÑO 3 4 ]]*VLOOKUP(Tabla12[[#This Row],[CÓDIGO DEL PRODUCTO Y/O SERVICIO ]],Tabla3[],10)</f>
        <v>0</v>
      </c>
      <c r="CF164" s="344">
        <f>Tabla12[[#This Row],[COSTO POR UNIDAD DE PRODUCTO (4)]]*Tabla12[[#This Row],[COSTO UNITARIO AÑO 4 4 ]]*VLOOKUP(Tabla12[[#This Row],[CÓDIGO DEL PRODUCTO Y/O SERVICIO ]],Tabla3[],14)</f>
        <v>0</v>
      </c>
      <c r="CG164" s="344">
        <f>Tabla12[[#This Row],[COSTO POR UNIDAD DE PRODUCTO (4)]]*Tabla12[[#This Row],[COSTO UNITARIO AÑO 5 4 ]]*VLOOKUP(Tabla12[[#This Row],[CÓDIGO DEL PRODUCTO Y/O SERVICIO ]],Tabla3[],18)</f>
        <v>0</v>
      </c>
      <c r="CH164" s="114">
        <f>VLOOKUP(Tabla12[[#This Row],[CÓDIGO DEL PRODUCTO Y/O SERVICIO ]],Tabla3[],3)</f>
        <v>0</v>
      </c>
      <c r="CI164" s="114">
        <f>Tabla12[[#This Row],[UNIDADES PRODUCIDAS AÑO 1 5]]*J145</f>
        <v>0</v>
      </c>
      <c r="CJ164" s="112">
        <f>VLOOKUP(Tabla12[[#This Row],[CÓDIGO DEL PRODUCTO Y/O SERVICIO ]],Tabla3[],9)</f>
        <v>0</v>
      </c>
      <c r="CK164" s="114">
        <f>Tabla12[[#This Row],[CANTIDADES A UTILIZAR EN EL AÑO 1 5]]*(1+Tabla12[[#This Row],[CAMBIO PORCENTUAL EN UNIDADES VENDIDAS AÑO 2 5 ]])</f>
        <v>0</v>
      </c>
      <c r="CL164" s="112">
        <f>VLOOKUP(Tabla12[[#This Row],[CÓDIGO DEL PRODUCTO Y/O SERVICIO ]],Tabla3[],13)</f>
        <v>0</v>
      </c>
      <c r="CM164" s="114">
        <f>Tabla12[[#This Row],[CANTIDADES A UTILIZAR EN EL AÑO 2 5]]*(1+Tabla12[[#This Row],[CAMBIO PORCENTUAL EN UNIDADES VENDIDAS AÑO 3 5 ]])</f>
        <v>0</v>
      </c>
      <c r="CN164" s="112">
        <f>VLOOKUP(Tabla12[[#This Row],[CÓDIGO DEL PRODUCTO Y/O SERVICIO ]],Tabla3[],17)</f>
        <v>0</v>
      </c>
      <c r="CO164" s="114">
        <f>Tabla12[[#This Row],[CANTIDADES A UTILIZAR EN EL AÑO 3 5 ]]*(1+Tabla12[[#This Row],[CAMBIO PORCENTUAL EN UNIDADES VENDIDAS AÑO 4 5 ]])</f>
        <v>0</v>
      </c>
      <c r="CP164" s="112">
        <f>VLOOKUP(Tabla12[[#This Row],[CÓDIGO DEL PRODUCTO Y/O SERVICIO ]],Tabla3[],21)</f>
        <v>0</v>
      </c>
      <c r="CQ164" s="114">
        <f>Tabla12[[#This Row],[CANTIDADES A UTILIZAR EN EL AÑO 4 5 ]]*(1+Tabla12[[#This Row],[CAMBIO PORCENTUAL EN UNIDADES VENDIDAS AÑO 5 5]])</f>
        <v>0</v>
      </c>
      <c r="CR164" s="344">
        <f>IF(Tabla12[[#This Row],[CANTIDADES A UTILIZAR EN EL AÑO 1 5]]=0,0,Tabla12[[#This Row],[CANTIDADES A UTILIZAR EN EL AÑO 1 5]]*1/Tabla12[[#This Row],[UNIDADES PRODUCIDAS AÑO 1 5]])</f>
        <v>0</v>
      </c>
      <c r="CS164" s="344">
        <f>$C$132*(1+BASES!$E$10)</f>
        <v>0</v>
      </c>
      <c r="CT164" s="344">
        <f>Tabla12[[#This Row],[COSTO UNITARIO AÑO 2 5]]*(1+BASES!$F$10)</f>
        <v>0</v>
      </c>
      <c r="CU164" s="344">
        <f>Tabla12[[#This Row],[COSTO UNITARIO AÑO 3 5]]*(1+BASES!$G$10)</f>
        <v>0</v>
      </c>
      <c r="CV164" s="344">
        <f>Tabla12[[#This Row],[COSTO UNITARIO AÑO 4 5]]*(1+BASES!$H$10)</f>
        <v>0</v>
      </c>
      <c r="CW164" s="344">
        <f>Tabla12[[#This Row],[COSTO POR UNIDAD DE PRODUCTO (5)]]*$C$132*VLOOKUP(Tabla12[[#This Row],[CÓDIGO DEL PRODUCTO Y/O SERVICIO ]],Tabla3[],3)</f>
        <v>0</v>
      </c>
      <c r="CX164" s="344">
        <f>Tabla12[[#This Row],[COSTO POR UNIDAD DE PRODUCTO (5)]]*Tabla12[[#This Row],[COSTO UNITARIO AÑO 2 5]]*VLOOKUP(Tabla12[[#This Row],[CÓDIGO DEL PRODUCTO Y/O SERVICIO ]],Tabla3[],6)</f>
        <v>0</v>
      </c>
      <c r="CY164" s="344">
        <f>Tabla12[[#This Row],[COSTO POR UNIDAD DE PRODUCTO (5)]]*Tabla12[[#This Row],[COSTO UNITARIO AÑO 3 5]]*VLOOKUP(Tabla12[[#This Row],[CÓDIGO DEL PRODUCTO Y/O SERVICIO ]],Tabla3[],10)</f>
        <v>0</v>
      </c>
      <c r="CZ164" s="344">
        <f>Tabla12[[#This Row],[COSTO POR UNIDAD DE PRODUCTO (5)]]*Tabla12[[#This Row],[COSTO UNITARIO AÑO 4 5]]*VLOOKUP(Tabla12[[#This Row],[CÓDIGO DEL PRODUCTO Y/O SERVICIO ]],Tabla3[],14)</f>
        <v>0</v>
      </c>
      <c r="DA164" s="344">
        <f>Tabla12[[#This Row],[COSTO POR UNIDAD DE PRODUCTO (5)]]*Tabla12[[#This Row],[COSTO UNITARIO AÑO 5 5 ]]*VLOOKUP(Tabla12[[#This Row],[CÓDIGO DEL PRODUCTO Y/O SERVICIO ]],Tabla3[],18)</f>
        <v>0</v>
      </c>
      <c r="DB164" s="114">
        <f>VLOOKUP(Tabla12[[#This Row],[CÓDIGO DEL PRODUCTO Y/O SERVICIO ]],Tabla3[],3)</f>
        <v>0</v>
      </c>
      <c r="DC164" s="114">
        <f>Tabla12[[#This Row],[UNIDADES PRODUCIDAS AÑO 1 6]]*K145</f>
        <v>0</v>
      </c>
      <c r="DD164" s="112">
        <f>VLOOKUP(Tabla12[[#This Row],[CÓDIGO DEL PRODUCTO Y/O SERVICIO ]],Tabla3[],9)</f>
        <v>0</v>
      </c>
      <c r="DE164" s="114">
        <f>Tabla12[[#This Row],[CANTIDADES A UTILIZAR EN EL AÑO 1 6]]*(1+Tabla12[[#This Row],[CAMBIO PORCENTUAL EN UNIDADES VENDIDAS AÑO 2 6]])</f>
        <v>0</v>
      </c>
      <c r="DF164" s="112">
        <f>VLOOKUP(Tabla12[[#This Row],[CÓDIGO DEL PRODUCTO Y/O SERVICIO ]],Tabla3[],13)</f>
        <v>0</v>
      </c>
      <c r="DG164" s="114">
        <f>Tabla12[[#This Row],[CANTIDADES A UTILIZAR EN EL AÑO 2 6]]*(1+Tabla12[[#This Row],[CAMBIO PORCENTUAL EN UNIDADES VENDIDAS AÑO 3 6]])</f>
        <v>0</v>
      </c>
      <c r="DH164" s="112">
        <f>VLOOKUP(Tabla12[[#This Row],[CÓDIGO DEL PRODUCTO Y/O SERVICIO ]],Tabla3[],17)</f>
        <v>0</v>
      </c>
      <c r="DI164" s="114">
        <f>Tabla12[[#This Row],[CANTIDADES A UTILIZAR EN EL AÑO 3 6]]*(1+Tabla12[[#This Row],[CAMBIO PORCENTUAL EN UNIDADES VENDIDAS AÑO 4 6]])</f>
        <v>0</v>
      </c>
      <c r="DJ164" s="112">
        <f>VLOOKUP(Tabla12[[#This Row],[CÓDIGO DEL PRODUCTO Y/O SERVICIO ]],Tabla3[],21)</f>
        <v>0</v>
      </c>
      <c r="DK164" s="114">
        <f>Tabla12[[#This Row],[CANTIDADES A UTILIZAR EN EL AÑO 4 6]]*(1+Tabla12[[#This Row],[CAMBIO PORCENTUAL EN UNIDADES VENDIDAS AÑO 5 6]])</f>
        <v>0</v>
      </c>
      <c r="DL164" s="344">
        <f>IF(Tabla12[[#This Row],[CANTIDADES A UTILIZAR EN EL AÑO 1 6]]=0,0,Tabla12[[#This Row],[CANTIDADES A UTILIZAR EN EL AÑO 1 6]]*1/Tabla12[[#This Row],[UNIDADES PRODUCIDAS AÑO 1 6]])</f>
        <v>0</v>
      </c>
      <c r="DM164" s="344">
        <f>$C$133*(1+BASES!$E$10)</f>
        <v>0</v>
      </c>
      <c r="DN164" s="344">
        <f>Tabla12[[#This Row],[COSTO UNITARIO AÑO 2 6]]*(1+BASES!$F$10)</f>
        <v>0</v>
      </c>
      <c r="DO164" s="344">
        <f>Tabla12[[#This Row],[COSTO UNITARIO AÑO 3 6]]*(1+BASES!$G$10)</f>
        <v>0</v>
      </c>
      <c r="DP164" s="344">
        <f>Tabla12[[#This Row],[COSTO UNITARIO AÑO 4 6]]*(1+BASES!$H$10)</f>
        <v>0</v>
      </c>
      <c r="DQ164" s="344">
        <f>Tabla12[[#This Row],[COSTO POR UNIDAD DE PRODUCTO (6)]]*$C$133*VLOOKUP(Tabla12[[#This Row],[CÓDIGO DEL PRODUCTO Y/O SERVICIO ]],Tabla3[],3)</f>
        <v>0</v>
      </c>
      <c r="DR164" s="344">
        <f>Tabla12[[#This Row],[COSTO POR UNIDAD DE PRODUCTO (6)]]*Tabla12[[#This Row],[COSTO UNITARIO AÑO 2 6]]*VLOOKUP(Tabla12[[#This Row],[CÓDIGO DEL PRODUCTO Y/O SERVICIO ]],Tabla3[],6)</f>
        <v>0</v>
      </c>
      <c r="DS164" s="344">
        <f>Tabla12[[#This Row],[COSTO POR UNIDAD DE PRODUCTO (6)]]*Tabla12[[#This Row],[COSTO UNITARIO AÑO 3 6]]*VLOOKUP(Tabla12[[#This Row],[CÓDIGO DEL PRODUCTO Y/O SERVICIO ]],Tabla3[],10)</f>
        <v>0</v>
      </c>
      <c r="DT164" s="344">
        <f>Tabla12[[#This Row],[COSTO POR UNIDAD DE PRODUCTO (6)]]*Tabla12[[#This Row],[COSTO UNITARIO AÑO 4 6]]*VLOOKUP(Tabla12[[#This Row],[CÓDIGO DEL PRODUCTO Y/O SERVICIO ]],Tabla3[],14)</f>
        <v>0</v>
      </c>
      <c r="DU164" s="344">
        <f>Tabla12[[#This Row],[COSTO POR UNIDAD DE PRODUCTO (6)]]*Tabla12[[#This Row],[COSTO UNITARIO AÑO 5 6]]*VLOOKUP(Tabla12[[#This Row],[CÓDIGO DEL PRODUCTO Y/O SERVICIO ]],Tabla3[],18)</f>
        <v>0</v>
      </c>
      <c r="DV164" s="114">
        <f>VLOOKUP(Tabla12[[#This Row],[CÓDIGO DEL PRODUCTO Y/O SERVICIO ]],Tabla3[],3)</f>
        <v>0</v>
      </c>
      <c r="DW164" s="114">
        <f>Tabla12[[#This Row],[UNIDADES PRODUCIDAS AÑO 1 7]]*L145</f>
        <v>0</v>
      </c>
      <c r="DX164" s="112">
        <f>VLOOKUP(Tabla12[[#This Row],[CÓDIGO DEL PRODUCTO Y/O SERVICIO ]],Tabla3[],9)</f>
        <v>0</v>
      </c>
      <c r="DY164" s="114">
        <f>Tabla12[[#This Row],[CANTIDADES A UTILIZAR EN EL AÑO 1 7]]*(1+Tabla12[[#This Row],[CAMBIO PORCENTUAL EN UNIDADES VENDIDAS AÑO 2 7]])</f>
        <v>0</v>
      </c>
      <c r="DZ164" s="112">
        <f>VLOOKUP(Tabla12[[#This Row],[CÓDIGO DEL PRODUCTO Y/O SERVICIO ]],Tabla3[],13)</f>
        <v>0</v>
      </c>
      <c r="EA164" s="114">
        <f>Tabla12[[#This Row],[CANTIDADES A UTILIZAR EN EL AÑO 2 7]]*(1+Tabla12[[#This Row],[CAMBIO PORCENTUAL EN UNIDADES VENDIDAS AÑO 3 7]])</f>
        <v>0</v>
      </c>
      <c r="EB164" s="112">
        <f>VLOOKUP(Tabla12[[#This Row],[CÓDIGO DEL PRODUCTO Y/O SERVICIO ]],Tabla3[],17)</f>
        <v>0</v>
      </c>
      <c r="EC164" s="114">
        <f>Tabla12[[#This Row],[CANTIDADES A UTILIZAR EN EL AÑO 3 7]]*(1+Tabla12[[#This Row],[CAMBIO PORCENTUAL EN UNIDADES VENDIDAS AÑO 4 7]])</f>
        <v>0</v>
      </c>
      <c r="ED164" s="112">
        <f>VLOOKUP(Tabla12[[#This Row],[CÓDIGO DEL PRODUCTO Y/O SERVICIO ]],Tabla3[],21)</f>
        <v>0</v>
      </c>
      <c r="EE164" s="114">
        <f>Tabla12[[#This Row],[CANTIDADES A UTILIZAR EN EL AÑO 4 7]]*(1+Tabla12[[#This Row],[CAMBIO PORCENTUAL EN UNIDADES VENDIDAS AÑO 5 7]])</f>
        <v>0</v>
      </c>
      <c r="EF164" s="344">
        <f>IF(Tabla12[[#This Row],[CANTIDADES A UTILIZAR EN EL AÑO 1 7]]=0,0,Tabla12[[#This Row],[CANTIDADES A UTILIZAR EN EL AÑO 1 7]]*1/Tabla12[[#This Row],[UNIDADES PRODUCIDAS AÑO 1 7]])</f>
        <v>0</v>
      </c>
      <c r="EG164" s="344">
        <f>$C$134*(1+BASES!$E$10)</f>
        <v>0</v>
      </c>
      <c r="EH164" s="344">
        <f>Tabla12[[#This Row],[COSTO UNITARIO AÑO 2 7]]*(1+BASES!$F$10)</f>
        <v>0</v>
      </c>
      <c r="EI164" s="344">
        <f>Tabla12[[#This Row],[COSTO UNITARIO AÑO 3 7]]*(1+BASES!$G$10)</f>
        <v>0</v>
      </c>
      <c r="EJ164" s="344">
        <f>Tabla12[[#This Row],[COSTO UNITARIO AÑO 4 7]]*(1+BASES!$H$10)</f>
        <v>0</v>
      </c>
      <c r="EK164" s="344">
        <f>Tabla12[[#This Row],[COSTO POR UNIDAD DE PRODUCTO (7)]]*$C$134*VLOOKUP(Tabla12[[#This Row],[CÓDIGO DEL PRODUCTO Y/O SERVICIO ]],Tabla3[],3)</f>
        <v>0</v>
      </c>
      <c r="EL164" s="344">
        <f>Tabla12[[#This Row],[COSTO POR UNIDAD DE PRODUCTO (7)]]*Tabla12[[#This Row],[COSTO UNITARIO AÑO 2 7]]*VLOOKUP(Tabla12[[#This Row],[CÓDIGO DEL PRODUCTO Y/O SERVICIO ]],Tabla3[],6)</f>
        <v>0</v>
      </c>
      <c r="EM164" s="344">
        <f>Tabla12[[#This Row],[COSTO POR UNIDAD DE PRODUCTO (7)]]*Tabla12[[#This Row],[COSTO UNITARIO AÑO 3 7]]*VLOOKUP(Tabla12[[#This Row],[CÓDIGO DEL PRODUCTO Y/O SERVICIO ]],Tabla3[],10)</f>
        <v>0</v>
      </c>
      <c r="EN164" s="344">
        <f>Tabla12[[#This Row],[COSTO POR UNIDAD DE PRODUCTO (7)]]*Tabla12[[#This Row],[COSTO UNITARIO AÑO 4 7]]*VLOOKUP(Tabla12[[#This Row],[CÓDIGO DEL PRODUCTO Y/O SERVICIO ]],Tabla3[],14)</f>
        <v>0</v>
      </c>
      <c r="EO164" s="344">
        <f>Tabla12[[#This Row],[COSTO POR UNIDAD DE PRODUCTO (7)]]*Tabla12[[#This Row],[COSTO UNITARIO AÑO 5 7]]*VLOOKUP(Tabla12[[#This Row],[CÓDIGO DEL PRODUCTO Y/O SERVICIO ]],Tabla3[],18)</f>
        <v>0</v>
      </c>
      <c r="EP164" s="114">
        <f>VLOOKUP(Tabla12[[#This Row],[CÓDIGO DEL PRODUCTO Y/O SERVICIO ]],Tabla3[],3)</f>
        <v>0</v>
      </c>
      <c r="EQ164" s="114">
        <f>Tabla12[[#This Row],[UNIDADES PRODUCIDAS AÑO 1 8]]*M145</f>
        <v>0</v>
      </c>
      <c r="ER164" s="112">
        <f>VLOOKUP(Tabla12[[#This Row],[CÓDIGO DEL PRODUCTO Y/O SERVICIO ]],Tabla3[],9)</f>
        <v>0</v>
      </c>
      <c r="ES164" s="114">
        <f>Tabla12[[#This Row],[CANTIDADES A UTILIZAR EN EL AÑO 1 8]]*(1+Tabla12[[#This Row],[CAMBIO PORCENTUAL EN UNIDADES VENDIDAS AÑO 2 8]])</f>
        <v>0</v>
      </c>
      <c r="ET164" s="112">
        <f>VLOOKUP(Tabla12[[#This Row],[CÓDIGO DEL PRODUCTO Y/O SERVICIO ]],Tabla3[],13)</f>
        <v>0</v>
      </c>
      <c r="EU164" s="114">
        <f>Tabla12[[#This Row],[CANTIDADES A UTILIZAR EN EL AÑO 2 8]]*(1+Tabla12[[#This Row],[CAMBIO PORCENTUAL EN UNIDADES VENDIDAS AÑO 3 8]])</f>
        <v>0</v>
      </c>
      <c r="EV164" s="112">
        <f>VLOOKUP(Tabla12[[#This Row],[CÓDIGO DEL PRODUCTO Y/O SERVICIO ]],Tabla3[],17)</f>
        <v>0</v>
      </c>
      <c r="EW164" s="114">
        <f>Tabla12[[#This Row],[CANTIDADES A UTILIZAR EN EL AÑO 3 8]]*(1+Tabla12[[#This Row],[CAMBIO PORCENTUAL EN UNIDADES VENDIDAS AÑO 4 8]])</f>
        <v>0</v>
      </c>
      <c r="EX164" s="112">
        <f>VLOOKUP(Tabla12[[#This Row],[CÓDIGO DEL PRODUCTO Y/O SERVICIO ]],Tabla3[],21)</f>
        <v>0</v>
      </c>
      <c r="EY164" s="114">
        <f>Tabla12[[#This Row],[CANTIDADES A UTILIZAR EN EL AÑO 4 8]]*(1+Tabla12[[#This Row],[CAMBIO PORCENTUAL EN UNIDADES VENDIDAS AÑO 5 8]])</f>
        <v>0</v>
      </c>
      <c r="EZ164" s="344">
        <f>IF(Tabla12[[#This Row],[CANTIDADES A UTILIZAR EN EL AÑO 1 8]]=0,0,Tabla12[[#This Row],[CANTIDADES A UTILIZAR EN EL AÑO 1 8]]*1/Tabla12[[#This Row],[UNIDADES PRODUCIDAS AÑO 1 8]])</f>
        <v>0</v>
      </c>
      <c r="FA164" s="344">
        <f>$C$135*(1+BASES!$E$10)</f>
        <v>0</v>
      </c>
      <c r="FB164" s="344">
        <f>Tabla12[[#This Row],[COSTO UNITARIO AÑO 2 8]]*(1+BASES!$F$10)</f>
        <v>0</v>
      </c>
      <c r="FC164" s="344">
        <f>Tabla12[[#This Row],[COSTO UNITARIO AÑO 3 8]]*(1+BASES!$G$10)</f>
        <v>0</v>
      </c>
      <c r="FD164" s="344">
        <f>Tabla12[[#This Row],[COSTO UNITARIO AÑO 4 8]]*(1+BASES!$H$10)</f>
        <v>0</v>
      </c>
      <c r="FE164" s="344">
        <f>Tabla12[[#This Row],[COSTO POR UNIDAD DE PRODUCTO (8)]]*$C$135*VLOOKUP(Tabla12[[#This Row],[CÓDIGO DEL PRODUCTO Y/O SERVICIO ]],Tabla3[],3)</f>
        <v>0</v>
      </c>
      <c r="FF164" s="344">
        <f>Tabla12[[#This Row],[COSTO POR UNIDAD DE PRODUCTO (8)]]*Tabla12[[#This Row],[COSTO UNITARIO AÑO 2 8]]*VLOOKUP(Tabla12[[#This Row],[CÓDIGO DEL PRODUCTO Y/O SERVICIO ]],Tabla3[],6)</f>
        <v>0</v>
      </c>
      <c r="FG164" s="344">
        <f>Tabla12[[#This Row],[COSTO POR UNIDAD DE PRODUCTO (8)]]*Tabla12[[#This Row],[COSTO UNITARIO AÑO 3 8]]*VLOOKUP(Tabla12[[#This Row],[CÓDIGO DEL PRODUCTO Y/O SERVICIO ]],Tabla3[],10)</f>
        <v>0</v>
      </c>
      <c r="FH164" s="344">
        <f>Tabla12[[#This Row],[COSTO POR UNIDAD DE PRODUCTO (8)]]*Tabla12[[#This Row],[COSTO UNITARIO AÑO 4 8]]*VLOOKUP(Tabla12[[#This Row],[CÓDIGO DEL PRODUCTO Y/O SERVICIO ]],Tabla3[],14)</f>
        <v>0</v>
      </c>
      <c r="FI164" s="344">
        <f>Tabla12[[#This Row],[COSTO POR UNIDAD DE PRODUCTO (8)]]*Tabla12[[#This Row],[COSTO UNITARIO AÑO 5 8]]*VLOOKUP(Tabla12[[#This Row],[CÓDIGO DEL PRODUCTO Y/O SERVICIO ]],Tabla3[],18)</f>
        <v>0</v>
      </c>
      <c r="FJ164" s="114">
        <f>VLOOKUP(Tabla12[[#This Row],[CÓDIGO DEL PRODUCTO Y/O SERVICIO ]],Tabla3[],3)</f>
        <v>0</v>
      </c>
      <c r="FK164" s="114">
        <f>Tabla12[[#This Row],[UNIDADES PRODUCIDAS AÑO 1 9 ]]*N145</f>
        <v>0</v>
      </c>
      <c r="FL164" s="112">
        <f>VLOOKUP(Tabla12[[#This Row],[CÓDIGO DEL PRODUCTO Y/O SERVICIO ]],Tabla3[],9)</f>
        <v>0</v>
      </c>
      <c r="FM164" s="114">
        <f>Tabla12[[#This Row],[CANTIDADES A UTILIZAR EN EL AÑO 1 9]]*(1+Tabla12[[#This Row],[CAMBIO PORCENTUAL UNIDADES VENDIDAS AÑO 2 9 ]])</f>
        <v>0</v>
      </c>
      <c r="FN164" s="112">
        <f>VLOOKUP(Tabla12[[#This Row],[CÓDIGO DEL PRODUCTO Y/O SERVICIO ]],Tabla3[],13)</f>
        <v>0</v>
      </c>
      <c r="FO164" s="114">
        <f>Tabla12[[#This Row],[CANTIDADES A UTILIZAR EN EL AÑO 2 9 ]]*(1+Tabla12[[#This Row],[CAMBIO PORCENTUAL EN UNIDADES VENDIDAS AÑO 3 9 ]])</f>
        <v>0</v>
      </c>
      <c r="FP164" s="112">
        <f>VLOOKUP(Tabla12[[#This Row],[CÓDIGO DEL PRODUCTO Y/O SERVICIO ]],Tabla3[],17)</f>
        <v>0</v>
      </c>
      <c r="FQ164" s="114">
        <f>Tabla12[[#This Row],[CANTIDADES A UTILIZAR EN EL AÑO 3 9 ]]*(1+Tabla12[[#This Row],[CAMBIO PORCENTUAL EN UNIDADES VENDIDAS AÑO 4 9 ]])</f>
        <v>0</v>
      </c>
      <c r="FR164" s="112">
        <f>VLOOKUP(Tabla12[[#This Row],[CÓDIGO DEL PRODUCTO Y/O SERVICIO ]],Tabla3[],21)</f>
        <v>0</v>
      </c>
      <c r="FS164" s="114">
        <f>Tabla12[[#This Row],[CANTIDADES A UTILIZAR EN EL AÑO 4 9]]*(1+Tabla12[[#This Row],[CAMBIO PORCENTUAL EN UNIDADES VENDIDAS AÑO 5 9]])</f>
        <v>0</v>
      </c>
      <c r="FT164" s="344">
        <f>IF(Tabla12[[#This Row],[CANTIDADES A UTILIZAR EN EL AÑO 1 9]]=0,0,Tabla12[[#This Row],[CANTIDADES A UTILIZAR EN EL AÑO 1 9]]*1/Tabla12[[#This Row],[UNIDADES PRODUCIDAS AÑO 1 9 ]])</f>
        <v>0</v>
      </c>
      <c r="FU164" s="344">
        <f>$C$136*(1+BASES!$E$10)</f>
        <v>0</v>
      </c>
      <c r="FV164" s="344">
        <f>Tabla12[[#This Row],[COSTO UNITARIO AÑO 2 9]]*(1+BASES!$F$10)</f>
        <v>0</v>
      </c>
      <c r="FW164" s="344">
        <f>Tabla12[[#This Row],[COSTO UNITARIO AÑO 3 9]]*(1+BASES!$G$10)</f>
        <v>0</v>
      </c>
      <c r="FX164" s="344">
        <f>Tabla12[[#This Row],[COSTO UNITARIO AÑO 4 9]]*(1+BASES!$H$10)</f>
        <v>0</v>
      </c>
      <c r="FY164" s="344">
        <f>Tabla12[[#This Row],[COSTO POR UNIDAD DE PRODUCTO (9)]]*$C$136*VLOOKUP(Tabla12[[#This Row],[CÓDIGO DEL PRODUCTO Y/O SERVICIO ]],Tabla3[],3)</f>
        <v>0</v>
      </c>
      <c r="FZ164" s="344">
        <f>Tabla12[[#This Row],[COSTO POR UNIDAD DE PRODUCTO (9)]]*Tabla12[[#This Row],[COSTO UNITARIO AÑO 2 9]]*VLOOKUP(Tabla12[[#This Row],[CÓDIGO DEL PRODUCTO Y/O SERVICIO ]],Tabla3[],6)</f>
        <v>0</v>
      </c>
      <c r="GA164" s="344">
        <f>Tabla12[[#This Row],[COSTO POR UNIDAD DE PRODUCTO (9)]]*Tabla12[[#This Row],[COSTO UNITARIO AÑO 3 9]]*VLOOKUP(Tabla12[[#This Row],[CÓDIGO DEL PRODUCTO Y/O SERVICIO ]],Tabla3[],10)</f>
        <v>0</v>
      </c>
      <c r="GB164" s="344">
        <f>Tabla12[[#This Row],[COSTO POR UNIDAD DE PRODUCTO (9)]]*Tabla12[[#This Row],[COSTO UNITARIO AÑO 4 9]]*VLOOKUP(Tabla12[[#This Row],[CÓDIGO DEL PRODUCTO Y/O SERVICIO ]],Tabla3[],14)</f>
        <v>0</v>
      </c>
      <c r="GC164" s="344">
        <f>Tabla12[[#This Row],[COSTO POR UNIDAD DE PRODUCTO (9)]]*Tabla12[[#This Row],[COSTO UNITARIO AÑO 5 9]]*VLOOKUP(Tabla12[[#This Row],[CÓDIGO DEL PRODUCTO Y/O SERVICIO ]],Tabla3[],18)</f>
        <v>0</v>
      </c>
      <c r="GD164" s="114">
        <f>VLOOKUP(Tabla12[[#This Row],[CÓDIGO DEL PRODUCTO Y/O SERVICIO ]],Tabla3[],3)</f>
        <v>0</v>
      </c>
      <c r="GE164" s="114">
        <f>Tabla12[[#This Row],[UNIDADES PRODUCIDAS AÑO 1 10 ]]*O145</f>
        <v>0</v>
      </c>
      <c r="GF164" s="112">
        <f>VLOOKUP(Tabla12[[#This Row],[CÓDIGO DEL PRODUCTO Y/O SERVICIO ]],Tabla3[],9)</f>
        <v>0</v>
      </c>
      <c r="GG164" s="112">
        <f>Tabla12[[#This Row],[CANTIDADES A UTILIZAR EN EL AÑO 1 10 ]]*(1+Tabla12[[#This Row],[CAMBIO PORCENTUAL EN UNIDADES VENDIDAS AÑO 2 10 ]])</f>
        <v>0</v>
      </c>
      <c r="GH164" s="112">
        <f>VLOOKUP(Tabla12[[#This Row],[CÓDIGO DEL PRODUCTO Y/O SERVICIO ]],Tabla3[],13)</f>
        <v>0</v>
      </c>
      <c r="GI164" s="114">
        <f>Tabla12[[#This Row],[CANTIDADES A UTILIZAR EN EL AÑO 2 10]]*(1+Tabla12[[#This Row],[CAMBIO PORCENTUAL EN UNIDADES VENDIDAS AÑO 3 10 ]])</f>
        <v>0</v>
      </c>
      <c r="GJ164" s="112">
        <f>VLOOKUP(Tabla12[[#This Row],[CÓDIGO DEL PRODUCTO Y/O SERVICIO ]],Tabla3[],17)</f>
        <v>0</v>
      </c>
      <c r="GK164" s="114">
        <f>Tabla12[[#This Row],[CANTIDADES A UTILIZAR EN EL AÑO 3 10]]*(1+Tabla12[[#This Row],[CAMBIO PORCENTUAL EN UNIDADES VENDIDAS AÑO 4 10 ]])</f>
        <v>0</v>
      </c>
      <c r="GL164" s="112">
        <f>VLOOKUP(Tabla12[[#This Row],[CÓDIGO DEL PRODUCTO Y/O SERVICIO ]],Tabla3[],21)</f>
        <v>0</v>
      </c>
      <c r="GM164" s="114">
        <f>Tabla12[[#This Row],[CANTIDADES A UTILIZAR EN EL AÑO 4 10 ]]*(1+Tabla12[[#This Row],[CAMBIO PORCENTUAL EN UNIDADES VENDIDAS AÑO 5 10 ]])</f>
        <v>0</v>
      </c>
      <c r="GN164" s="344">
        <f>IF(Tabla12[[#This Row],[CANTIDADES A UTILIZAR EN EL AÑO 1 10 ]]=0,0,Tabla12[[#This Row],[CANTIDADES A UTILIZAR EN EL AÑO 1 10 ]]*1/Tabla12[[#This Row],[UNIDADES PRODUCIDAS AÑO 1 10 ]])</f>
        <v>0</v>
      </c>
      <c r="GO164" s="344">
        <f>$C$137*(1+BASES!$E$10)</f>
        <v>0</v>
      </c>
      <c r="GP164" s="344">
        <f>Tabla12[[#This Row],[COSTO UNITARIO AÑO 2 10 ]]*(1+BASES!$F$10)</f>
        <v>0</v>
      </c>
      <c r="GQ164" s="344">
        <f>Tabla12[[#This Row],[COSTO UNITARIO AÑO 3 10 ]]*(1+BASES!$G$10)</f>
        <v>0</v>
      </c>
      <c r="GR164" s="344">
        <f>Tabla12[[#This Row],[COSTO UNITARIO AÑO 4 10]]*(1+BASES!$H$10)</f>
        <v>0</v>
      </c>
      <c r="GS164" s="344">
        <f>Tabla12[[#This Row],[COSTO POR UNIDAD DE PRODUCTO (10)]]*$C$137*VLOOKUP(Tabla12[[#This Row],[CÓDIGO DEL PRODUCTO Y/O SERVICIO ]],Tabla3[],3)</f>
        <v>0</v>
      </c>
      <c r="GT164" s="344">
        <f>Tabla12[[#This Row],[COSTO POR UNIDAD DE PRODUCTO (10)]]*Tabla12[[#This Row],[COSTO UNITARIO AÑO 2 10 ]]*VLOOKUP(Tabla12[[#This Row],[CÓDIGO DEL PRODUCTO Y/O SERVICIO ]],Tabla3[],6)</f>
        <v>0</v>
      </c>
      <c r="GU164" s="344">
        <f>Tabla12[[#This Row],[COSTO POR UNIDAD DE PRODUCTO (10)]]*Tabla12[[#This Row],[COSTO UNITARIO AÑO 3 10 ]]*VLOOKUP(Tabla12[[#This Row],[CÓDIGO DEL PRODUCTO Y/O SERVICIO ]],Tabla3[],10)</f>
        <v>0</v>
      </c>
      <c r="GV164" s="344">
        <f>Tabla12[[#This Row],[COSTO POR UNIDAD DE PRODUCTO (10)]]*Tabla12[[#This Row],[COSTO UNITARIO AÑO 4 10]]*VLOOKUP(Tabla12[[#This Row],[CÓDIGO DEL PRODUCTO Y/O SERVICIO ]],Tabla3[],14)</f>
        <v>0</v>
      </c>
      <c r="GW164" s="344">
        <f>Tabla12[[#This Row],[COSTO POR UNIDAD DE PRODUCTO (10)]]*Tabla12[[#This Row],[COSTO UNITARIO AÑO 5 10 ]]*VLOOKUP(Tabla12[[#This Row],[CÓDIGO DEL PRODUCTO Y/O SERVICIO ]],Tabla3[],18)</f>
        <v>0</v>
      </c>
      <c r="GX164" s="381">
        <f>Tabla12[[#This Row],[AÑO 1 10 ]]+Tabla12[[#This Row],[AÑO 1 9 ]]+Tabla12[[#This Row],[AÑO 1 8]]+Tabla12[[#This Row],[AÑO 1 7]]+Tabla12[[#This Row],[AÑO 1 6]]+Tabla12[[#This Row],[AÑO 1 5]]+Tabla12[[#This Row],[AÑO 1 4 ]]+Tabla12[[#This Row],[AÑO 1 3]]+Tabla12[[#This Row],[AÑO 1 2]]+Tabla12[[#This Row],[AÑO 1 1]]</f>
        <v>0</v>
      </c>
      <c r="GY164" s="381">
        <f>Tabla12[[#This Row],[AÑO 2 10 ]]+Tabla12[[#This Row],[AÑO 2 9 ]]+Tabla12[[#This Row],[AÑO 2 8]]+Tabla12[[#This Row],[AÑO 2 7]]+Tabla12[[#This Row],[AÑO 2 6]]+Tabla12[[#This Row],[AÑO 2 5]]+Tabla12[[#This Row],[AÑO 2 4 ]]+Tabla12[[#This Row],[AÑO 2 3]]+Tabla12[[#This Row],[AÑO 2 2 ]]+Tabla12[[#This Row],[AÑO 2 1 ]]</f>
        <v>0</v>
      </c>
      <c r="GZ164" s="381">
        <f>Tabla12[[#This Row],[AÑO 3 10 ]]+Tabla12[[#This Row],[AÑO 3 9]]+Tabla12[[#This Row],[AÑO 3 8]]+Tabla12[[#This Row],[AÑO 3 7]]+Tabla12[[#This Row],[AÑO 3 6]]+Tabla12[[#This Row],[AÑO 3 5]]+Tabla12[[#This Row],[AÑO 3 4 ]]+Tabla12[[#This Row],[AÑO 3 3 ]]+Tabla12[[#This Row],[AÑO 3 2 ]]+Tabla12[[#This Row],[AÑO 3 1 ]]</f>
        <v>0</v>
      </c>
      <c r="HA164" s="381">
        <f>Tabla12[[#This Row],[AÑO 4 10 ]]+Tabla12[[#This Row],[AÑO 4 9]]+Tabla12[[#This Row],[AÑO 4 8]]+Tabla12[[#This Row],[AÑO 4 7]]+Tabla12[[#This Row],[AÑO 4 6]]+Tabla12[[#This Row],[AÑO 4 5]]+Tabla12[[#This Row],[AÑO 4 4 ]]+Tabla12[[#This Row],[AÑO 4 3 ]]+Tabla12[[#This Row],[AÑO 4 2 ]]+Tabla12[[#This Row],[AÑO 4 1 ]]</f>
        <v>0</v>
      </c>
      <c r="HB164" s="381">
        <f>Tabla12[[#This Row],[AÑO 5 10 ]]+Tabla12[[#This Row],[AÑO 5 9]]+Tabla12[[#This Row],[AÑO 5 8]]+Tabla12[[#This Row],[AÑO 5 7]]+Tabla12[[#This Row],[AÑO 5 6]]+Tabla12[[#This Row],[AÑO 5 5]]+Tabla12[[#This Row],[AÑO 5 4 ]]+Tabla12[[#This Row],[AÑO 5 3 ]]+Tabla12[[#This Row],[AÑO 5 2 ]]+Tabla12[[#This Row],[AÑO 5 1 ]]</f>
        <v>0</v>
      </c>
    </row>
    <row r="165" spans="3:210" ht="15.75" x14ac:dyDescent="0.25">
      <c r="C165" s="62"/>
      <c r="D165" s="359" t="str">
        <f>VLOOKUP(Tabla12[[#This Row],[CÓDIGO DEL PRODUCTO Y/O SERVICIO ]],Tabla3[],2,0)</f>
        <v xml:space="preserve">Seleccionar producto o servicio </v>
      </c>
      <c r="E165" s="363"/>
      <c r="F165" s="359">
        <f>VLOOKUP(Tabla12[[#This Row],[CÓDIGO DEL PRODUCTO Y/O SERVICIO ]],Tabla3[],3)</f>
        <v>0</v>
      </c>
      <c r="G165" s="359">
        <f>Tabla12[[#This Row],[UNIDADES PRODUCIDAS AÑO 1 1 ]]*$F$145</f>
        <v>0</v>
      </c>
      <c r="H165" s="112">
        <f>VLOOKUP(Tabla12[[#This Row],[CÓDIGO DEL PRODUCTO Y/O SERVICIO ]],Tabla3[],9)</f>
        <v>0</v>
      </c>
      <c r="I165" s="359">
        <f>Tabla12[[#This Row],[CANTIDADES A UTILIZAR EN EL AÑO 1 1]]*(1+Tabla12[[#This Row],[CAMBIO PORCENTUAL EN UNIDADES VENDIDAS AÑO 2 1 ]])</f>
        <v>0</v>
      </c>
      <c r="J165" s="112">
        <f>VLOOKUP(Tabla12[[#This Row],[CÓDIGO DEL PRODUCTO Y/O SERVICIO ]],Tabla3[],13)</f>
        <v>0</v>
      </c>
      <c r="K165" s="359">
        <f>Tabla12[[#This Row],[CANTIDADES A UTILIZAR EN EL AÑO 2 1]]*(1+Tabla12[[#This Row],[CAMBIO PORCENTUAL EN UNIDADES VENDIDAS AÑO 3 1 ]])</f>
        <v>0</v>
      </c>
      <c r="L165" s="112">
        <f>VLOOKUP(Tabla12[[#This Row],[CÓDIGO DEL PRODUCTO Y/O SERVICIO ]],Tabla3[],17)</f>
        <v>0</v>
      </c>
      <c r="M165" s="359">
        <f>Tabla12[[#This Row],[CANTIDADES A UTILIZAR EN EL AÑO 3 1 ]]*(1+Tabla12[[#This Row],[CAMBIO PORCENTUAL EN UNIDADES VENDIDAS AÑO 4 1]])</f>
        <v>0</v>
      </c>
      <c r="N165" s="112">
        <f>VLOOKUP(Tabla12[[#This Row],[CÓDIGO DEL PRODUCTO Y/O SERVICIO ]],Tabla3[],21)</f>
        <v>0</v>
      </c>
      <c r="O165" s="359">
        <f>Tabla12[[#This Row],[CANTIDADES A UTILIZAR EN EL AÑO 4 1 ]]*(1+Tabla12[[#This Row],[CAMBIO PORCENTUAL EN UNIDADES VENDIDAS AÑO 5 1 ]])</f>
        <v>0</v>
      </c>
      <c r="P165" s="344">
        <f>IF(Tabla12[[#This Row],[CANTIDADES A UTILIZAR EN EL AÑO 1 1]]=0,0,Tabla12[[#This Row],[CANTIDADES A UTILIZAR EN EL AÑO 1 1]]*1/Tabla12[[#This Row],[UNIDADES PRODUCIDAS AÑO 1 1 ]])</f>
        <v>0</v>
      </c>
      <c r="Q165" s="344">
        <f>$C$128*(1+BASES!$E$10)</f>
        <v>0</v>
      </c>
      <c r="R165" s="344">
        <f>Tabla12[[#This Row],[COSTO UNITARIO AÑO 2 1 ]]*(1+BASES!$F$10)</f>
        <v>0</v>
      </c>
      <c r="S165" s="344">
        <f>Tabla12[[#This Row],[COSTO UNITARIO AÑO 3 1 ]]*(1+BASES!$G$10)</f>
        <v>0</v>
      </c>
      <c r="T165" s="344">
        <f>Tabla12[[#This Row],[COSTO UNITARIO AÑO 4 1 ]]*(1+BASES!$H$10)</f>
        <v>0</v>
      </c>
      <c r="U165" s="344">
        <f>Tabla12[[#This Row],[COSTO POR UNIDAD DE PRODUCTO (1)]]*$C$128*VLOOKUP(Tabla12[[#This Row],[CÓDIGO DEL PRODUCTO Y/O SERVICIO ]],Tabla3[],3)</f>
        <v>0</v>
      </c>
      <c r="V165" s="344">
        <f>Tabla12[[#This Row],[COSTO POR UNIDAD DE PRODUCTO (1)]]*Tabla12[[#This Row],[COSTO UNITARIO AÑO 2 1 ]]*VLOOKUP(Tabla12[[#This Row],[CÓDIGO DEL PRODUCTO Y/O SERVICIO ]],Tabla3[],6)</f>
        <v>0</v>
      </c>
      <c r="W165" s="344">
        <f>Tabla12[[#This Row],[COSTO POR UNIDAD DE PRODUCTO (1)]]*Tabla12[[#This Row],[COSTO UNITARIO AÑO 3 1 ]]*VLOOKUP(Tabla12[[#This Row],[CÓDIGO DEL PRODUCTO Y/O SERVICIO ]],Tabla3[],10)</f>
        <v>0</v>
      </c>
      <c r="X165" s="344">
        <f>Tabla12[[#This Row],[COSTO POR UNIDAD DE PRODUCTO (1)]]*Tabla12[[#This Row],[COSTO UNITARIO AÑO 4 1 ]]*VLOOKUP(Tabla12[[#This Row],[CÓDIGO DEL PRODUCTO Y/O SERVICIO ]],Tabla3[],14)</f>
        <v>0</v>
      </c>
      <c r="Y165" s="344">
        <f>Tabla12[[#This Row],[COSTO POR UNIDAD DE PRODUCTO (1)]]*Tabla12[[#This Row],[COSTO UNITARIO AÑO 5 1 ]]*VLOOKUP(Tabla12[[#This Row],[CÓDIGO DEL PRODUCTO Y/O SERVICIO ]],Tabla3[],18)</f>
        <v>0</v>
      </c>
      <c r="Z165" s="114">
        <f>VLOOKUP(Tabla12[[#This Row],[CÓDIGO DEL PRODUCTO Y/O SERVICIO ]],Tabla3[],3)</f>
        <v>0</v>
      </c>
      <c r="AA165" s="114">
        <f>Tabla12[[#This Row],[UNIDADES PRODUCIDAS AÑO 1 2]]*G146</f>
        <v>0</v>
      </c>
      <c r="AB165" s="112">
        <f>VLOOKUP(Tabla12[[#This Row],[CÓDIGO DEL PRODUCTO Y/O SERVICIO ]],Tabla3[],9)</f>
        <v>0</v>
      </c>
      <c r="AC165" s="114">
        <f>Tabla12[[#This Row],[CANTIDADES A UTILIZAR EN EL AÑO 1 2 ]]*(1+Tabla12[[#This Row],[CAMBIO PORCENTUAL EN UNIDADES VENDIDAS AÑO 2 2 ]])</f>
        <v>0</v>
      </c>
      <c r="AD165" s="112">
        <f>VLOOKUP(Tabla12[[#This Row],[CÓDIGO DEL PRODUCTO Y/O SERVICIO ]],Tabla3[],13)</f>
        <v>0</v>
      </c>
      <c r="AE165" s="114">
        <f>Tabla12[[#This Row],[CANTIDADES A UTILIZAR EN EL AÑO 2 2 ]]*(1+Tabla12[[#This Row],[CAMBIO PORCENTUAL EN UNIDADES VENDIDAS AÑO 3 2]])</f>
        <v>0</v>
      </c>
      <c r="AF165" s="112">
        <f>VLOOKUP(Tabla12[[#This Row],[CÓDIGO DEL PRODUCTO Y/O SERVICIO ]],Tabla3[],17)</f>
        <v>0</v>
      </c>
      <c r="AG165" s="114">
        <f>Tabla12[[#This Row],[CANTIDADES A UTILIZAR EN EL AÑO 3 2]]*(1+Tabla12[[#This Row],[CAMBIO PORCENTUAL EN UNIDADES VENDIDAS AÑO 4 2]])</f>
        <v>0</v>
      </c>
      <c r="AH165" s="112">
        <f>VLOOKUP(Tabla12[[#This Row],[CÓDIGO DEL PRODUCTO Y/O SERVICIO ]],Tabla3[],21)</f>
        <v>0</v>
      </c>
      <c r="AI165" s="114">
        <f>Tabla12[[#This Row],[CANTIDADES A UTILIZAR EN EL AÑO 4 2]]*(1+Tabla12[[#This Row],[CAMBIO PORCENTUAL EN UNIDADES VENDIDAS AÑO 5 2]])</f>
        <v>0</v>
      </c>
      <c r="AJ165" s="344">
        <f>IF(Tabla12[[#This Row],[CANTIDADES A UTILIZAR EN EL AÑO 1 2 ]]=0,0,Tabla12[[#This Row],[CANTIDADES A UTILIZAR EN EL AÑO 1 2 ]]*1/Tabla12[[#This Row],[UNIDADES PRODUCIDAS AÑO 1 2]])</f>
        <v>0</v>
      </c>
      <c r="AK165" s="344">
        <f>$C$129*(1+BASES!$E$10)</f>
        <v>0</v>
      </c>
      <c r="AL165" s="344">
        <f>Tabla12[[#This Row],[COSTO UNITARIO AÑO 2 2]]*(1+BASES!$F$10)</f>
        <v>0</v>
      </c>
      <c r="AM165" s="344">
        <f>Tabla12[[#This Row],[COSTO UNITARIO AÑO 3 2 ]]*(1+BASES!$G$10)</f>
        <v>0</v>
      </c>
      <c r="AN165" s="344">
        <f>Tabla12[[#This Row],[COSTO UNITARIO AÑO 4 2 ]]*(1+BASES!$H$10)</f>
        <v>0</v>
      </c>
      <c r="AO165" s="344">
        <f>Tabla12[[#This Row],[COSTO POR UNIDAD DE PRODUCTO (2)]]*$C$129*VLOOKUP(Tabla12[[#This Row],[CÓDIGO DEL PRODUCTO Y/O SERVICIO ]],Tabla3[],3)</f>
        <v>0</v>
      </c>
      <c r="AP165" s="344">
        <f>Tabla12[[#This Row],[COSTO POR UNIDAD DE PRODUCTO (2)]]*Tabla12[[#This Row],[COSTO UNITARIO AÑO 2 2]]*VLOOKUP(Tabla12[[#This Row],[CÓDIGO DEL PRODUCTO Y/O SERVICIO ]],Tabla3[],6)</f>
        <v>0</v>
      </c>
      <c r="AQ165" s="344">
        <f>Tabla12[[#This Row],[COSTO POR UNIDAD DE PRODUCTO (2)]]*Tabla12[[#This Row],[COSTO UNITARIO AÑO 3 2 ]]*VLOOKUP(Tabla12[[#This Row],[CÓDIGO DEL PRODUCTO Y/O SERVICIO ]],Tabla3[],10)</f>
        <v>0</v>
      </c>
      <c r="AR165" s="344">
        <f>Tabla12[[#This Row],[COSTO POR UNIDAD DE PRODUCTO (2)]]*Tabla12[[#This Row],[COSTO UNITARIO AÑO 4 2 ]]*VLOOKUP(Tabla12[[#This Row],[CÓDIGO DEL PRODUCTO Y/O SERVICIO ]],Tabla3[],14)</f>
        <v>0</v>
      </c>
      <c r="AS165" s="344">
        <f>Tabla12[[#This Row],[COSTO POR UNIDAD DE PRODUCTO (2)]]*Tabla12[[#This Row],[COSTO UNITARIO AÑO 5 2 ]]*VLOOKUP(Tabla12[[#This Row],[CÓDIGO DEL PRODUCTO Y/O SERVICIO ]],Tabla3[],18)</f>
        <v>0</v>
      </c>
      <c r="AT165" s="114">
        <f>VLOOKUP(Tabla12[[#This Row],[CÓDIGO DEL PRODUCTO Y/O SERVICIO ]],Tabla3[],3)</f>
        <v>0</v>
      </c>
      <c r="AU165" s="114">
        <f>Tabla12[[#This Row],[UNIDADES PRODUCIDAS AÑO 1 3]]*H146</f>
        <v>0</v>
      </c>
      <c r="AV165" s="112">
        <f>VLOOKUP(Tabla12[[#This Row],[CÓDIGO DEL PRODUCTO Y/O SERVICIO ]],Tabla3[],9)</f>
        <v>0</v>
      </c>
      <c r="AW165" s="114">
        <f>Tabla12[[#This Row],[CANTIDADES A UTILIZAR EN EL AÑO 1 3]]*(1+Tabla12[[#This Row],[CAMBIO PORCENTUAL EN UNIDADES VENDIDAS AÑO 2 3]])</f>
        <v>0</v>
      </c>
      <c r="AX165" s="112">
        <f>VLOOKUP(Tabla12[[#This Row],[CÓDIGO DEL PRODUCTO Y/O SERVICIO ]],Tabla3[],13)</f>
        <v>0</v>
      </c>
      <c r="AY165" s="114">
        <f>Tabla12[[#This Row],[CANTIDADES A UTILIZAR EN EL AÑO 2 3]]*(1+Tabla12[[#This Row],[CAMBIO PORCENTUAL EN UNIDADES VENDIDAS AÑO 3 3]])</f>
        <v>0</v>
      </c>
      <c r="AZ165" s="112">
        <f>VLOOKUP(Tabla12[[#This Row],[CÓDIGO DEL PRODUCTO Y/O SERVICIO ]],Tabla3[],17)</f>
        <v>0</v>
      </c>
      <c r="BA165" s="114">
        <f>Tabla12[[#This Row],[CANTIDADES A UTILIZAR EN EL AÑO 3 3]]*(1+Tabla12[[#This Row],[CAMBIO PORCENTUAL EN UNIDADES VENDIDAS AÑO 4 3]])</f>
        <v>0</v>
      </c>
      <c r="BB165" s="112">
        <f>VLOOKUP(Tabla12[[#This Row],[CÓDIGO DEL PRODUCTO Y/O SERVICIO ]],Tabla3[],21)</f>
        <v>0</v>
      </c>
      <c r="BC165" s="114">
        <f>Tabla12[[#This Row],[CANTIDADES A UTILIZAR EN EL AÑO 4 3]]*(1+Tabla12[[#This Row],[CAMBIO PORCENTUAL EN UNIDADES VENDIDAS AÑO 5 3]])</f>
        <v>0</v>
      </c>
      <c r="BD165" s="344">
        <f>IF(Tabla12[[#This Row],[CANTIDADES A UTILIZAR EN EL AÑO 1 3]]=0,0,Tabla12[[#This Row],[CANTIDADES A UTILIZAR EN EL AÑO 1 3]]*1/Tabla12[[#This Row],[UNIDADES PRODUCIDAS AÑO 1 3]])</f>
        <v>0</v>
      </c>
      <c r="BE165" s="344">
        <f>$C$130*(1+BASES!$E$10)</f>
        <v>0</v>
      </c>
      <c r="BF165" s="344">
        <f>Tabla12[[#This Row],[COSTO UNITARIO AÑO 2 3]]*(1+BASES!$F$10)</f>
        <v>0</v>
      </c>
      <c r="BG165" s="344">
        <f>Tabla12[[#This Row],[COSTO UNITARIO AÑO 3 3 ]]*(1+BASES!$G$10)</f>
        <v>0</v>
      </c>
      <c r="BH165" s="344">
        <f>Tabla12[[#This Row],[COSTO UNITARIO AÑO 4 3]]*(1+BASES!$H$10)</f>
        <v>0</v>
      </c>
      <c r="BI165" s="344">
        <f>Tabla12[[#This Row],[COSTO POR UNIDAD DE PRODUCTO (3)]]*$C$130*VLOOKUP(Tabla12[[#This Row],[CÓDIGO DEL PRODUCTO Y/O SERVICIO ]],Tabla3[],3)</f>
        <v>0</v>
      </c>
      <c r="BJ165" s="344">
        <f>Tabla12[[#This Row],[COSTO POR UNIDAD DE PRODUCTO (3)]]*Tabla12[[#This Row],[COSTO UNITARIO AÑO 2 3]]*VLOOKUP(Tabla12[[#This Row],[CÓDIGO DEL PRODUCTO Y/O SERVICIO ]],Tabla3[],6)</f>
        <v>0</v>
      </c>
      <c r="BK165" s="344">
        <f>Tabla12[[#This Row],[COSTO POR UNIDAD DE PRODUCTO (3)]]*Tabla12[[#This Row],[COSTO UNITARIO AÑO 3 3 ]]*VLOOKUP(Tabla12[[#This Row],[CÓDIGO DEL PRODUCTO Y/O SERVICIO ]],Tabla3[],10)</f>
        <v>0</v>
      </c>
      <c r="BL165" s="344">
        <f>Tabla12[[#This Row],[COSTO POR UNIDAD DE PRODUCTO (3)]]*Tabla12[[#This Row],[COSTO UNITARIO AÑO 4 3]]*VLOOKUP(Tabla12[[#This Row],[CÓDIGO DEL PRODUCTO Y/O SERVICIO ]],Tabla3[],14)</f>
        <v>0</v>
      </c>
      <c r="BM165" s="344">
        <f>Tabla12[[#This Row],[COSTO POR UNIDAD DE PRODUCTO (3)]]*Tabla12[[#This Row],[COSTO UNITARIO AÑO 5 3 ]]*VLOOKUP(Tabla12[[#This Row],[CÓDIGO DEL PRODUCTO Y/O SERVICIO ]],Tabla3[],18)</f>
        <v>0</v>
      </c>
      <c r="BN165" s="114">
        <f>VLOOKUP(Tabla12[[#This Row],[CÓDIGO DEL PRODUCTO Y/O SERVICIO ]],Tabla3[],3)</f>
        <v>0</v>
      </c>
      <c r="BO165" s="114">
        <f>Tabla12[[#This Row],[UNIDADES PRODUCIDAS AÑO 1 4]]*I146</f>
        <v>0</v>
      </c>
      <c r="BP165" s="112">
        <f>VLOOKUP(Tabla12[[#This Row],[CÓDIGO DEL PRODUCTO Y/O SERVICIO ]],Tabla3[],9)</f>
        <v>0</v>
      </c>
      <c r="BQ165" s="114">
        <f>Tabla12[[#This Row],[CANTIDADES A UTILIZAR EN EL AÑO 1 4]]*(1+Tabla12[[#This Row],[CAMBIO PORCENTUAL EN UNIDADES VENDIDAS AÑO 2 4]])</f>
        <v>0</v>
      </c>
      <c r="BR165" s="112">
        <f>VLOOKUP(Tabla12[[#This Row],[CÓDIGO DEL PRODUCTO Y/O SERVICIO ]],Tabla3[],13)</f>
        <v>0</v>
      </c>
      <c r="BS165" s="114">
        <f>Tabla12[[#This Row],[CANTIDADES A UTILIZAR EN EL AÑO 2 4]]*(1+Tabla12[[#This Row],[CAMBIO PORCENTUAL EN UNIDADES VENDIDAS AÑO 3 4]])</f>
        <v>0</v>
      </c>
      <c r="BT165" s="112">
        <f>VLOOKUP(Tabla12[[#This Row],[CÓDIGO DEL PRODUCTO Y/O SERVICIO ]],Tabla3[],17)</f>
        <v>0</v>
      </c>
      <c r="BU165" s="114">
        <f>Tabla12[[#This Row],[CANTIDADES A UTILIZAR EN EL AÑO 3 4 ]]*(1+Tabla12[[#This Row],[CAMBIO PORCENTUAL EN UNIDADES VENDIDAS AÑO 4 4 ]])</f>
        <v>0</v>
      </c>
      <c r="BV165" s="112">
        <f>VLOOKUP(Tabla12[[#This Row],[CÓDIGO DEL PRODUCTO Y/O SERVICIO ]],Tabla3[],21)</f>
        <v>0</v>
      </c>
      <c r="BW165" s="114">
        <f>Tabla12[[#This Row],[CANTIDADES A UTILIZAR EN EL AÑO 4 4 ]]*(1+Tabla12[[#This Row],[CAMBIO PORCENTUAL EN UNIDADES VENDIDAS AÑO 5 4 ]])</f>
        <v>0</v>
      </c>
      <c r="BX165" s="344">
        <f>IF(Tabla12[[#This Row],[CANTIDADES A UTILIZAR EN EL AÑO 1 4]]=0,0,Tabla12[[#This Row],[CANTIDADES A UTILIZAR EN EL AÑO 1 4]]*1/Tabla12[[#This Row],[UNIDADES PRODUCIDAS AÑO 1 4]])</f>
        <v>0</v>
      </c>
      <c r="BY165" s="344">
        <f>$C$131*(1+BASES!$E$10)</f>
        <v>0</v>
      </c>
      <c r="BZ165" s="344">
        <f>Tabla12[[#This Row],[COSTO UNITARIO AÑO 2 4 ]]*(1+BASES!$F$10)</f>
        <v>0</v>
      </c>
      <c r="CA165" s="344">
        <f>Tabla12[[#This Row],[COSTO UNITARIO AÑO 3 4 ]]*(1+BASES!$G$10)</f>
        <v>0</v>
      </c>
      <c r="CB165" s="344">
        <f>Tabla12[[#This Row],[COSTO UNITARIO AÑO 4 4 ]]*(1+BASES!$H$10)</f>
        <v>0</v>
      </c>
      <c r="CC165" s="344">
        <f>Tabla12[[#This Row],[COSTO POR UNIDAD DE PRODUCTO (4)]]*$C$131*VLOOKUP(Tabla12[[#This Row],[CÓDIGO DEL PRODUCTO Y/O SERVICIO ]],Tabla3[],3)</f>
        <v>0</v>
      </c>
      <c r="CD165" s="344">
        <f>Tabla12[[#This Row],[COSTO POR UNIDAD DE PRODUCTO (4)]]*Tabla12[[#This Row],[COSTO UNITARIO AÑO 2 4 ]]*VLOOKUP(Tabla12[[#This Row],[CÓDIGO DEL PRODUCTO Y/O SERVICIO ]],Tabla3[],6)</f>
        <v>0</v>
      </c>
      <c r="CE165" s="344">
        <f>Tabla12[[#This Row],[COSTO POR UNIDAD DE PRODUCTO (4)]]*Tabla12[[#This Row],[COSTO UNITARIO AÑO 3 4 ]]*VLOOKUP(Tabla12[[#This Row],[CÓDIGO DEL PRODUCTO Y/O SERVICIO ]],Tabla3[],10)</f>
        <v>0</v>
      </c>
      <c r="CF165" s="344">
        <f>Tabla12[[#This Row],[COSTO POR UNIDAD DE PRODUCTO (4)]]*Tabla12[[#This Row],[COSTO UNITARIO AÑO 4 4 ]]*VLOOKUP(Tabla12[[#This Row],[CÓDIGO DEL PRODUCTO Y/O SERVICIO ]],Tabla3[],14)</f>
        <v>0</v>
      </c>
      <c r="CG165" s="344">
        <f>Tabla12[[#This Row],[COSTO POR UNIDAD DE PRODUCTO (4)]]*Tabla12[[#This Row],[COSTO UNITARIO AÑO 5 4 ]]*VLOOKUP(Tabla12[[#This Row],[CÓDIGO DEL PRODUCTO Y/O SERVICIO ]],Tabla3[],18)</f>
        <v>0</v>
      </c>
      <c r="CH165" s="114">
        <f>VLOOKUP(Tabla12[[#This Row],[CÓDIGO DEL PRODUCTO Y/O SERVICIO ]],Tabla3[],3)</f>
        <v>0</v>
      </c>
      <c r="CI165" s="114">
        <f>Tabla12[[#This Row],[UNIDADES PRODUCIDAS AÑO 1 5]]*J146</f>
        <v>0</v>
      </c>
      <c r="CJ165" s="112">
        <f>VLOOKUP(Tabla12[[#This Row],[CÓDIGO DEL PRODUCTO Y/O SERVICIO ]],Tabla3[],9)</f>
        <v>0</v>
      </c>
      <c r="CK165" s="114">
        <f>Tabla12[[#This Row],[CANTIDADES A UTILIZAR EN EL AÑO 1 5]]*(1+Tabla12[[#This Row],[CAMBIO PORCENTUAL EN UNIDADES VENDIDAS AÑO 2 5 ]])</f>
        <v>0</v>
      </c>
      <c r="CL165" s="112">
        <f>VLOOKUP(Tabla12[[#This Row],[CÓDIGO DEL PRODUCTO Y/O SERVICIO ]],Tabla3[],13)</f>
        <v>0</v>
      </c>
      <c r="CM165" s="114">
        <f>Tabla12[[#This Row],[CANTIDADES A UTILIZAR EN EL AÑO 2 5]]*(1+Tabla12[[#This Row],[CAMBIO PORCENTUAL EN UNIDADES VENDIDAS AÑO 3 5 ]])</f>
        <v>0</v>
      </c>
      <c r="CN165" s="112">
        <f>VLOOKUP(Tabla12[[#This Row],[CÓDIGO DEL PRODUCTO Y/O SERVICIO ]],Tabla3[],17)</f>
        <v>0</v>
      </c>
      <c r="CO165" s="114">
        <f>Tabla12[[#This Row],[CANTIDADES A UTILIZAR EN EL AÑO 3 5 ]]*(1+Tabla12[[#This Row],[CAMBIO PORCENTUAL EN UNIDADES VENDIDAS AÑO 4 5 ]])</f>
        <v>0</v>
      </c>
      <c r="CP165" s="112">
        <f>VLOOKUP(Tabla12[[#This Row],[CÓDIGO DEL PRODUCTO Y/O SERVICIO ]],Tabla3[],21)</f>
        <v>0</v>
      </c>
      <c r="CQ165" s="114">
        <f>Tabla12[[#This Row],[CANTIDADES A UTILIZAR EN EL AÑO 4 5 ]]*(1+Tabla12[[#This Row],[CAMBIO PORCENTUAL EN UNIDADES VENDIDAS AÑO 5 5]])</f>
        <v>0</v>
      </c>
      <c r="CR165" s="344">
        <f>IF(Tabla12[[#This Row],[CANTIDADES A UTILIZAR EN EL AÑO 1 5]]=0,0,Tabla12[[#This Row],[CANTIDADES A UTILIZAR EN EL AÑO 1 5]]*1/Tabla12[[#This Row],[UNIDADES PRODUCIDAS AÑO 1 5]])</f>
        <v>0</v>
      </c>
      <c r="CS165" s="344">
        <f>$C$132*(1+BASES!$E$10)</f>
        <v>0</v>
      </c>
      <c r="CT165" s="344">
        <f>Tabla12[[#This Row],[COSTO UNITARIO AÑO 2 5]]*(1+BASES!$F$10)</f>
        <v>0</v>
      </c>
      <c r="CU165" s="344">
        <f>Tabla12[[#This Row],[COSTO UNITARIO AÑO 3 5]]*(1+BASES!$G$10)</f>
        <v>0</v>
      </c>
      <c r="CV165" s="344">
        <f>Tabla12[[#This Row],[COSTO UNITARIO AÑO 4 5]]*(1+BASES!$H$10)</f>
        <v>0</v>
      </c>
      <c r="CW165" s="344">
        <f>Tabla12[[#This Row],[COSTO POR UNIDAD DE PRODUCTO (5)]]*$C$132*VLOOKUP(Tabla12[[#This Row],[CÓDIGO DEL PRODUCTO Y/O SERVICIO ]],Tabla3[],3)</f>
        <v>0</v>
      </c>
      <c r="CX165" s="344">
        <f>Tabla12[[#This Row],[COSTO POR UNIDAD DE PRODUCTO (5)]]*Tabla12[[#This Row],[COSTO UNITARIO AÑO 2 5]]*VLOOKUP(Tabla12[[#This Row],[CÓDIGO DEL PRODUCTO Y/O SERVICIO ]],Tabla3[],6)</f>
        <v>0</v>
      </c>
      <c r="CY165" s="344">
        <f>Tabla12[[#This Row],[COSTO POR UNIDAD DE PRODUCTO (5)]]*Tabla12[[#This Row],[COSTO UNITARIO AÑO 3 5]]*VLOOKUP(Tabla12[[#This Row],[CÓDIGO DEL PRODUCTO Y/O SERVICIO ]],Tabla3[],10)</f>
        <v>0</v>
      </c>
      <c r="CZ165" s="344">
        <f>Tabla12[[#This Row],[COSTO POR UNIDAD DE PRODUCTO (5)]]*Tabla12[[#This Row],[COSTO UNITARIO AÑO 4 5]]*VLOOKUP(Tabla12[[#This Row],[CÓDIGO DEL PRODUCTO Y/O SERVICIO ]],Tabla3[],14)</f>
        <v>0</v>
      </c>
      <c r="DA165" s="344">
        <f>Tabla12[[#This Row],[COSTO POR UNIDAD DE PRODUCTO (5)]]*Tabla12[[#This Row],[COSTO UNITARIO AÑO 5 5 ]]*VLOOKUP(Tabla12[[#This Row],[CÓDIGO DEL PRODUCTO Y/O SERVICIO ]],Tabla3[],18)</f>
        <v>0</v>
      </c>
      <c r="DB165" s="114">
        <f>VLOOKUP(Tabla12[[#This Row],[CÓDIGO DEL PRODUCTO Y/O SERVICIO ]],Tabla3[],3)</f>
        <v>0</v>
      </c>
      <c r="DC165" s="114">
        <f>Tabla12[[#This Row],[UNIDADES PRODUCIDAS AÑO 1 6]]*K146</f>
        <v>0</v>
      </c>
      <c r="DD165" s="112">
        <f>VLOOKUP(Tabla12[[#This Row],[CÓDIGO DEL PRODUCTO Y/O SERVICIO ]],Tabla3[],9)</f>
        <v>0</v>
      </c>
      <c r="DE165" s="114">
        <f>Tabla12[[#This Row],[CANTIDADES A UTILIZAR EN EL AÑO 1 6]]*(1+Tabla12[[#This Row],[CAMBIO PORCENTUAL EN UNIDADES VENDIDAS AÑO 2 6]])</f>
        <v>0</v>
      </c>
      <c r="DF165" s="112">
        <f>VLOOKUP(Tabla12[[#This Row],[CÓDIGO DEL PRODUCTO Y/O SERVICIO ]],Tabla3[],13)</f>
        <v>0</v>
      </c>
      <c r="DG165" s="114">
        <f>Tabla12[[#This Row],[CANTIDADES A UTILIZAR EN EL AÑO 2 6]]*(1+Tabla12[[#This Row],[CAMBIO PORCENTUAL EN UNIDADES VENDIDAS AÑO 3 6]])</f>
        <v>0</v>
      </c>
      <c r="DH165" s="112">
        <f>VLOOKUP(Tabla12[[#This Row],[CÓDIGO DEL PRODUCTO Y/O SERVICIO ]],Tabla3[],17)</f>
        <v>0</v>
      </c>
      <c r="DI165" s="114">
        <f>Tabla12[[#This Row],[CANTIDADES A UTILIZAR EN EL AÑO 3 6]]*(1+Tabla12[[#This Row],[CAMBIO PORCENTUAL EN UNIDADES VENDIDAS AÑO 4 6]])</f>
        <v>0</v>
      </c>
      <c r="DJ165" s="112">
        <f>VLOOKUP(Tabla12[[#This Row],[CÓDIGO DEL PRODUCTO Y/O SERVICIO ]],Tabla3[],21)</f>
        <v>0</v>
      </c>
      <c r="DK165" s="114">
        <f>Tabla12[[#This Row],[CANTIDADES A UTILIZAR EN EL AÑO 4 6]]*(1+Tabla12[[#This Row],[CAMBIO PORCENTUAL EN UNIDADES VENDIDAS AÑO 5 6]])</f>
        <v>0</v>
      </c>
      <c r="DL165" s="344">
        <f>IF(Tabla12[[#This Row],[CANTIDADES A UTILIZAR EN EL AÑO 1 6]]=0,0,Tabla12[[#This Row],[CANTIDADES A UTILIZAR EN EL AÑO 1 6]]*1/Tabla12[[#This Row],[UNIDADES PRODUCIDAS AÑO 1 6]])</f>
        <v>0</v>
      </c>
      <c r="DM165" s="344">
        <f>$C$133*(1+BASES!$E$10)</f>
        <v>0</v>
      </c>
      <c r="DN165" s="344">
        <f>Tabla12[[#This Row],[COSTO UNITARIO AÑO 2 6]]*(1+BASES!$F$10)</f>
        <v>0</v>
      </c>
      <c r="DO165" s="344">
        <f>Tabla12[[#This Row],[COSTO UNITARIO AÑO 3 6]]*(1+BASES!$G$10)</f>
        <v>0</v>
      </c>
      <c r="DP165" s="344">
        <f>Tabla12[[#This Row],[COSTO UNITARIO AÑO 4 6]]*(1+BASES!$H$10)</f>
        <v>0</v>
      </c>
      <c r="DQ165" s="344">
        <f>Tabla12[[#This Row],[COSTO POR UNIDAD DE PRODUCTO (6)]]*$C$133*VLOOKUP(Tabla12[[#This Row],[CÓDIGO DEL PRODUCTO Y/O SERVICIO ]],Tabla3[],3)</f>
        <v>0</v>
      </c>
      <c r="DR165" s="344">
        <f>Tabla12[[#This Row],[COSTO POR UNIDAD DE PRODUCTO (6)]]*Tabla12[[#This Row],[COSTO UNITARIO AÑO 2 6]]*VLOOKUP(Tabla12[[#This Row],[CÓDIGO DEL PRODUCTO Y/O SERVICIO ]],Tabla3[],6)</f>
        <v>0</v>
      </c>
      <c r="DS165" s="344">
        <f>Tabla12[[#This Row],[COSTO POR UNIDAD DE PRODUCTO (6)]]*Tabla12[[#This Row],[COSTO UNITARIO AÑO 3 6]]*VLOOKUP(Tabla12[[#This Row],[CÓDIGO DEL PRODUCTO Y/O SERVICIO ]],Tabla3[],10)</f>
        <v>0</v>
      </c>
      <c r="DT165" s="344">
        <f>Tabla12[[#This Row],[COSTO POR UNIDAD DE PRODUCTO (6)]]*Tabla12[[#This Row],[COSTO UNITARIO AÑO 4 6]]*VLOOKUP(Tabla12[[#This Row],[CÓDIGO DEL PRODUCTO Y/O SERVICIO ]],Tabla3[],14)</f>
        <v>0</v>
      </c>
      <c r="DU165" s="344">
        <f>Tabla12[[#This Row],[COSTO POR UNIDAD DE PRODUCTO (6)]]*Tabla12[[#This Row],[COSTO UNITARIO AÑO 5 6]]*VLOOKUP(Tabla12[[#This Row],[CÓDIGO DEL PRODUCTO Y/O SERVICIO ]],Tabla3[],18)</f>
        <v>0</v>
      </c>
      <c r="DV165" s="114">
        <f>VLOOKUP(Tabla12[[#This Row],[CÓDIGO DEL PRODUCTO Y/O SERVICIO ]],Tabla3[],3)</f>
        <v>0</v>
      </c>
      <c r="DW165" s="114">
        <f>Tabla12[[#This Row],[UNIDADES PRODUCIDAS AÑO 1 7]]*L146</f>
        <v>0</v>
      </c>
      <c r="DX165" s="112">
        <f>VLOOKUP(Tabla12[[#This Row],[CÓDIGO DEL PRODUCTO Y/O SERVICIO ]],Tabla3[],9)</f>
        <v>0</v>
      </c>
      <c r="DY165" s="114">
        <f>Tabla12[[#This Row],[CANTIDADES A UTILIZAR EN EL AÑO 1 7]]*(1+Tabla12[[#This Row],[CAMBIO PORCENTUAL EN UNIDADES VENDIDAS AÑO 2 7]])</f>
        <v>0</v>
      </c>
      <c r="DZ165" s="112">
        <f>VLOOKUP(Tabla12[[#This Row],[CÓDIGO DEL PRODUCTO Y/O SERVICIO ]],Tabla3[],13)</f>
        <v>0</v>
      </c>
      <c r="EA165" s="114">
        <f>Tabla12[[#This Row],[CANTIDADES A UTILIZAR EN EL AÑO 2 7]]*(1+Tabla12[[#This Row],[CAMBIO PORCENTUAL EN UNIDADES VENDIDAS AÑO 3 7]])</f>
        <v>0</v>
      </c>
      <c r="EB165" s="112">
        <f>VLOOKUP(Tabla12[[#This Row],[CÓDIGO DEL PRODUCTO Y/O SERVICIO ]],Tabla3[],17)</f>
        <v>0</v>
      </c>
      <c r="EC165" s="114">
        <f>Tabla12[[#This Row],[CANTIDADES A UTILIZAR EN EL AÑO 3 7]]*(1+Tabla12[[#This Row],[CAMBIO PORCENTUAL EN UNIDADES VENDIDAS AÑO 4 7]])</f>
        <v>0</v>
      </c>
      <c r="ED165" s="112">
        <f>VLOOKUP(Tabla12[[#This Row],[CÓDIGO DEL PRODUCTO Y/O SERVICIO ]],Tabla3[],21)</f>
        <v>0</v>
      </c>
      <c r="EE165" s="114">
        <f>Tabla12[[#This Row],[CANTIDADES A UTILIZAR EN EL AÑO 4 7]]*(1+Tabla12[[#This Row],[CAMBIO PORCENTUAL EN UNIDADES VENDIDAS AÑO 5 7]])</f>
        <v>0</v>
      </c>
      <c r="EF165" s="344">
        <f>IF(Tabla12[[#This Row],[CANTIDADES A UTILIZAR EN EL AÑO 1 7]]=0,0,Tabla12[[#This Row],[CANTIDADES A UTILIZAR EN EL AÑO 1 7]]*1/Tabla12[[#This Row],[UNIDADES PRODUCIDAS AÑO 1 7]])</f>
        <v>0</v>
      </c>
      <c r="EG165" s="344">
        <f>$C$134*(1+BASES!$E$10)</f>
        <v>0</v>
      </c>
      <c r="EH165" s="344">
        <f>Tabla12[[#This Row],[COSTO UNITARIO AÑO 2 7]]*(1+BASES!$F$10)</f>
        <v>0</v>
      </c>
      <c r="EI165" s="344">
        <f>Tabla12[[#This Row],[COSTO UNITARIO AÑO 3 7]]*(1+BASES!$G$10)</f>
        <v>0</v>
      </c>
      <c r="EJ165" s="344">
        <f>Tabla12[[#This Row],[COSTO UNITARIO AÑO 4 7]]*(1+BASES!$H$10)</f>
        <v>0</v>
      </c>
      <c r="EK165" s="344">
        <f>Tabla12[[#This Row],[COSTO POR UNIDAD DE PRODUCTO (7)]]*$C$134*VLOOKUP(Tabla12[[#This Row],[CÓDIGO DEL PRODUCTO Y/O SERVICIO ]],Tabla3[],3)</f>
        <v>0</v>
      </c>
      <c r="EL165" s="344">
        <f>Tabla12[[#This Row],[COSTO POR UNIDAD DE PRODUCTO (7)]]*Tabla12[[#This Row],[COSTO UNITARIO AÑO 2 7]]*VLOOKUP(Tabla12[[#This Row],[CÓDIGO DEL PRODUCTO Y/O SERVICIO ]],Tabla3[],6)</f>
        <v>0</v>
      </c>
      <c r="EM165" s="344">
        <f>Tabla12[[#This Row],[COSTO POR UNIDAD DE PRODUCTO (7)]]*Tabla12[[#This Row],[COSTO UNITARIO AÑO 3 7]]*VLOOKUP(Tabla12[[#This Row],[CÓDIGO DEL PRODUCTO Y/O SERVICIO ]],Tabla3[],10)</f>
        <v>0</v>
      </c>
      <c r="EN165" s="344">
        <f>Tabla12[[#This Row],[COSTO POR UNIDAD DE PRODUCTO (7)]]*Tabla12[[#This Row],[COSTO UNITARIO AÑO 4 7]]*VLOOKUP(Tabla12[[#This Row],[CÓDIGO DEL PRODUCTO Y/O SERVICIO ]],Tabla3[],14)</f>
        <v>0</v>
      </c>
      <c r="EO165" s="344">
        <f>Tabla12[[#This Row],[COSTO POR UNIDAD DE PRODUCTO (7)]]*Tabla12[[#This Row],[COSTO UNITARIO AÑO 5 7]]*VLOOKUP(Tabla12[[#This Row],[CÓDIGO DEL PRODUCTO Y/O SERVICIO ]],Tabla3[],18)</f>
        <v>0</v>
      </c>
      <c r="EP165" s="114">
        <f>VLOOKUP(Tabla12[[#This Row],[CÓDIGO DEL PRODUCTO Y/O SERVICIO ]],Tabla3[],3)</f>
        <v>0</v>
      </c>
      <c r="EQ165" s="114">
        <f>Tabla12[[#This Row],[UNIDADES PRODUCIDAS AÑO 1 8]]*M146</f>
        <v>0</v>
      </c>
      <c r="ER165" s="112">
        <f>VLOOKUP(Tabla12[[#This Row],[CÓDIGO DEL PRODUCTO Y/O SERVICIO ]],Tabla3[],9)</f>
        <v>0</v>
      </c>
      <c r="ES165" s="114">
        <f>Tabla12[[#This Row],[CANTIDADES A UTILIZAR EN EL AÑO 1 8]]*(1+Tabla12[[#This Row],[CAMBIO PORCENTUAL EN UNIDADES VENDIDAS AÑO 2 8]])</f>
        <v>0</v>
      </c>
      <c r="ET165" s="112">
        <f>VLOOKUP(Tabla12[[#This Row],[CÓDIGO DEL PRODUCTO Y/O SERVICIO ]],Tabla3[],13)</f>
        <v>0</v>
      </c>
      <c r="EU165" s="114">
        <f>Tabla12[[#This Row],[CANTIDADES A UTILIZAR EN EL AÑO 2 8]]*(1+Tabla12[[#This Row],[CAMBIO PORCENTUAL EN UNIDADES VENDIDAS AÑO 3 8]])</f>
        <v>0</v>
      </c>
      <c r="EV165" s="112">
        <f>VLOOKUP(Tabla12[[#This Row],[CÓDIGO DEL PRODUCTO Y/O SERVICIO ]],Tabla3[],17)</f>
        <v>0</v>
      </c>
      <c r="EW165" s="114">
        <f>Tabla12[[#This Row],[CANTIDADES A UTILIZAR EN EL AÑO 3 8]]*(1+Tabla12[[#This Row],[CAMBIO PORCENTUAL EN UNIDADES VENDIDAS AÑO 4 8]])</f>
        <v>0</v>
      </c>
      <c r="EX165" s="112">
        <f>VLOOKUP(Tabla12[[#This Row],[CÓDIGO DEL PRODUCTO Y/O SERVICIO ]],Tabla3[],21)</f>
        <v>0</v>
      </c>
      <c r="EY165" s="114">
        <f>Tabla12[[#This Row],[CANTIDADES A UTILIZAR EN EL AÑO 4 8]]*(1+Tabla12[[#This Row],[CAMBIO PORCENTUAL EN UNIDADES VENDIDAS AÑO 5 8]])</f>
        <v>0</v>
      </c>
      <c r="EZ165" s="344">
        <f>IF(Tabla12[[#This Row],[CANTIDADES A UTILIZAR EN EL AÑO 1 8]]=0,0,Tabla12[[#This Row],[CANTIDADES A UTILIZAR EN EL AÑO 1 8]]*1/Tabla12[[#This Row],[UNIDADES PRODUCIDAS AÑO 1 8]])</f>
        <v>0</v>
      </c>
      <c r="FA165" s="344">
        <f>$C$135*(1+BASES!$E$10)</f>
        <v>0</v>
      </c>
      <c r="FB165" s="344">
        <f>Tabla12[[#This Row],[COSTO UNITARIO AÑO 2 8]]*(1+BASES!$F$10)</f>
        <v>0</v>
      </c>
      <c r="FC165" s="344">
        <f>Tabla12[[#This Row],[COSTO UNITARIO AÑO 3 8]]*(1+BASES!$G$10)</f>
        <v>0</v>
      </c>
      <c r="FD165" s="344">
        <f>Tabla12[[#This Row],[COSTO UNITARIO AÑO 4 8]]*(1+BASES!$H$10)</f>
        <v>0</v>
      </c>
      <c r="FE165" s="344">
        <f>Tabla12[[#This Row],[COSTO POR UNIDAD DE PRODUCTO (8)]]*$C$135*VLOOKUP(Tabla12[[#This Row],[CÓDIGO DEL PRODUCTO Y/O SERVICIO ]],Tabla3[],3)</f>
        <v>0</v>
      </c>
      <c r="FF165" s="344">
        <f>Tabla12[[#This Row],[COSTO POR UNIDAD DE PRODUCTO (8)]]*Tabla12[[#This Row],[COSTO UNITARIO AÑO 2 8]]*VLOOKUP(Tabla12[[#This Row],[CÓDIGO DEL PRODUCTO Y/O SERVICIO ]],Tabla3[],6)</f>
        <v>0</v>
      </c>
      <c r="FG165" s="344">
        <f>Tabla12[[#This Row],[COSTO POR UNIDAD DE PRODUCTO (8)]]*Tabla12[[#This Row],[COSTO UNITARIO AÑO 3 8]]*VLOOKUP(Tabla12[[#This Row],[CÓDIGO DEL PRODUCTO Y/O SERVICIO ]],Tabla3[],10)</f>
        <v>0</v>
      </c>
      <c r="FH165" s="344">
        <f>Tabla12[[#This Row],[COSTO POR UNIDAD DE PRODUCTO (8)]]*Tabla12[[#This Row],[COSTO UNITARIO AÑO 4 8]]*VLOOKUP(Tabla12[[#This Row],[CÓDIGO DEL PRODUCTO Y/O SERVICIO ]],Tabla3[],14)</f>
        <v>0</v>
      </c>
      <c r="FI165" s="344">
        <f>Tabla12[[#This Row],[COSTO POR UNIDAD DE PRODUCTO (8)]]*Tabla12[[#This Row],[COSTO UNITARIO AÑO 5 8]]*VLOOKUP(Tabla12[[#This Row],[CÓDIGO DEL PRODUCTO Y/O SERVICIO ]],Tabla3[],18)</f>
        <v>0</v>
      </c>
      <c r="FJ165" s="114">
        <f>VLOOKUP(Tabla12[[#This Row],[CÓDIGO DEL PRODUCTO Y/O SERVICIO ]],Tabla3[],3)</f>
        <v>0</v>
      </c>
      <c r="FK165" s="114">
        <f>Tabla12[[#This Row],[UNIDADES PRODUCIDAS AÑO 1 9 ]]*N146</f>
        <v>0</v>
      </c>
      <c r="FL165" s="112">
        <f>VLOOKUP(Tabla12[[#This Row],[CÓDIGO DEL PRODUCTO Y/O SERVICIO ]],Tabla3[],9)</f>
        <v>0</v>
      </c>
      <c r="FM165" s="114">
        <f>Tabla12[[#This Row],[CANTIDADES A UTILIZAR EN EL AÑO 1 9]]*(1+Tabla12[[#This Row],[CAMBIO PORCENTUAL UNIDADES VENDIDAS AÑO 2 9 ]])</f>
        <v>0</v>
      </c>
      <c r="FN165" s="112">
        <f>VLOOKUP(Tabla12[[#This Row],[CÓDIGO DEL PRODUCTO Y/O SERVICIO ]],Tabla3[],13)</f>
        <v>0</v>
      </c>
      <c r="FO165" s="114">
        <f>Tabla12[[#This Row],[CANTIDADES A UTILIZAR EN EL AÑO 2 9 ]]*(1+Tabla12[[#This Row],[CAMBIO PORCENTUAL EN UNIDADES VENDIDAS AÑO 3 9 ]])</f>
        <v>0</v>
      </c>
      <c r="FP165" s="112">
        <f>VLOOKUP(Tabla12[[#This Row],[CÓDIGO DEL PRODUCTO Y/O SERVICIO ]],Tabla3[],17)</f>
        <v>0</v>
      </c>
      <c r="FQ165" s="114">
        <f>Tabla12[[#This Row],[CANTIDADES A UTILIZAR EN EL AÑO 3 9 ]]*(1+Tabla12[[#This Row],[CAMBIO PORCENTUAL EN UNIDADES VENDIDAS AÑO 4 9 ]])</f>
        <v>0</v>
      </c>
      <c r="FR165" s="112">
        <f>VLOOKUP(Tabla12[[#This Row],[CÓDIGO DEL PRODUCTO Y/O SERVICIO ]],Tabla3[],21)</f>
        <v>0</v>
      </c>
      <c r="FS165" s="114">
        <f>Tabla12[[#This Row],[CANTIDADES A UTILIZAR EN EL AÑO 4 9]]*(1+Tabla12[[#This Row],[CAMBIO PORCENTUAL EN UNIDADES VENDIDAS AÑO 5 9]])</f>
        <v>0</v>
      </c>
      <c r="FT165" s="344">
        <f>IF(Tabla12[[#This Row],[CANTIDADES A UTILIZAR EN EL AÑO 1 9]]=0,0,Tabla12[[#This Row],[CANTIDADES A UTILIZAR EN EL AÑO 1 9]]*1/Tabla12[[#This Row],[UNIDADES PRODUCIDAS AÑO 1 9 ]])</f>
        <v>0</v>
      </c>
      <c r="FU165" s="344">
        <f>$C$136*(1+BASES!$E$10)</f>
        <v>0</v>
      </c>
      <c r="FV165" s="344">
        <f>Tabla12[[#This Row],[COSTO UNITARIO AÑO 2 9]]*(1+BASES!$F$10)</f>
        <v>0</v>
      </c>
      <c r="FW165" s="344">
        <f>Tabla12[[#This Row],[COSTO UNITARIO AÑO 3 9]]*(1+BASES!$G$10)</f>
        <v>0</v>
      </c>
      <c r="FX165" s="344">
        <f>Tabla12[[#This Row],[COSTO UNITARIO AÑO 4 9]]*(1+BASES!$H$10)</f>
        <v>0</v>
      </c>
      <c r="FY165" s="344">
        <f>Tabla12[[#This Row],[COSTO POR UNIDAD DE PRODUCTO (9)]]*$C$136*VLOOKUP(Tabla12[[#This Row],[CÓDIGO DEL PRODUCTO Y/O SERVICIO ]],Tabla3[],3)</f>
        <v>0</v>
      </c>
      <c r="FZ165" s="344">
        <f>Tabla12[[#This Row],[COSTO POR UNIDAD DE PRODUCTO (9)]]*Tabla12[[#This Row],[COSTO UNITARIO AÑO 2 9]]*VLOOKUP(Tabla12[[#This Row],[CÓDIGO DEL PRODUCTO Y/O SERVICIO ]],Tabla3[],6)</f>
        <v>0</v>
      </c>
      <c r="GA165" s="344">
        <f>Tabla12[[#This Row],[COSTO POR UNIDAD DE PRODUCTO (9)]]*Tabla12[[#This Row],[COSTO UNITARIO AÑO 3 9]]*VLOOKUP(Tabla12[[#This Row],[CÓDIGO DEL PRODUCTO Y/O SERVICIO ]],Tabla3[],10)</f>
        <v>0</v>
      </c>
      <c r="GB165" s="344">
        <f>Tabla12[[#This Row],[COSTO POR UNIDAD DE PRODUCTO (9)]]*Tabla12[[#This Row],[COSTO UNITARIO AÑO 4 9]]*VLOOKUP(Tabla12[[#This Row],[CÓDIGO DEL PRODUCTO Y/O SERVICIO ]],Tabla3[],14)</f>
        <v>0</v>
      </c>
      <c r="GC165" s="344">
        <f>Tabla12[[#This Row],[COSTO POR UNIDAD DE PRODUCTO (9)]]*Tabla12[[#This Row],[COSTO UNITARIO AÑO 5 9]]*VLOOKUP(Tabla12[[#This Row],[CÓDIGO DEL PRODUCTO Y/O SERVICIO ]],Tabla3[],18)</f>
        <v>0</v>
      </c>
      <c r="GD165" s="114">
        <f>VLOOKUP(Tabla12[[#This Row],[CÓDIGO DEL PRODUCTO Y/O SERVICIO ]],Tabla3[],3)</f>
        <v>0</v>
      </c>
      <c r="GE165" s="114">
        <f>Tabla12[[#This Row],[UNIDADES PRODUCIDAS AÑO 1 10 ]]*O146</f>
        <v>0</v>
      </c>
      <c r="GF165" s="112">
        <f>VLOOKUP(Tabla12[[#This Row],[CÓDIGO DEL PRODUCTO Y/O SERVICIO ]],Tabla3[],9)</f>
        <v>0</v>
      </c>
      <c r="GG165" s="112">
        <f>Tabla12[[#This Row],[CANTIDADES A UTILIZAR EN EL AÑO 1 10 ]]*(1+Tabla12[[#This Row],[CAMBIO PORCENTUAL EN UNIDADES VENDIDAS AÑO 2 10 ]])</f>
        <v>0</v>
      </c>
      <c r="GH165" s="112">
        <f>VLOOKUP(Tabla12[[#This Row],[CÓDIGO DEL PRODUCTO Y/O SERVICIO ]],Tabla3[],13)</f>
        <v>0</v>
      </c>
      <c r="GI165" s="114">
        <f>Tabla12[[#This Row],[CANTIDADES A UTILIZAR EN EL AÑO 2 10]]*(1+Tabla12[[#This Row],[CAMBIO PORCENTUAL EN UNIDADES VENDIDAS AÑO 3 10 ]])</f>
        <v>0</v>
      </c>
      <c r="GJ165" s="112">
        <f>VLOOKUP(Tabla12[[#This Row],[CÓDIGO DEL PRODUCTO Y/O SERVICIO ]],Tabla3[],17)</f>
        <v>0</v>
      </c>
      <c r="GK165" s="114">
        <f>Tabla12[[#This Row],[CANTIDADES A UTILIZAR EN EL AÑO 3 10]]*(1+Tabla12[[#This Row],[CAMBIO PORCENTUAL EN UNIDADES VENDIDAS AÑO 4 10 ]])</f>
        <v>0</v>
      </c>
      <c r="GL165" s="112">
        <f>VLOOKUP(Tabla12[[#This Row],[CÓDIGO DEL PRODUCTO Y/O SERVICIO ]],Tabla3[],21)</f>
        <v>0</v>
      </c>
      <c r="GM165" s="114">
        <f>Tabla12[[#This Row],[CANTIDADES A UTILIZAR EN EL AÑO 4 10 ]]*(1+Tabla12[[#This Row],[CAMBIO PORCENTUAL EN UNIDADES VENDIDAS AÑO 5 10 ]])</f>
        <v>0</v>
      </c>
      <c r="GN165" s="344">
        <f>IF(Tabla12[[#This Row],[CANTIDADES A UTILIZAR EN EL AÑO 1 10 ]]=0,0,Tabla12[[#This Row],[CANTIDADES A UTILIZAR EN EL AÑO 1 10 ]]*1/Tabla12[[#This Row],[UNIDADES PRODUCIDAS AÑO 1 10 ]])</f>
        <v>0</v>
      </c>
      <c r="GO165" s="344">
        <f>$C$137*(1+BASES!$E$10)</f>
        <v>0</v>
      </c>
      <c r="GP165" s="344">
        <f>Tabla12[[#This Row],[COSTO UNITARIO AÑO 2 10 ]]*(1+BASES!$F$10)</f>
        <v>0</v>
      </c>
      <c r="GQ165" s="344">
        <f>Tabla12[[#This Row],[COSTO UNITARIO AÑO 3 10 ]]*(1+BASES!$G$10)</f>
        <v>0</v>
      </c>
      <c r="GR165" s="344">
        <f>Tabla12[[#This Row],[COSTO UNITARIO AÑO 4 10]]*(1+BASES!$H$10)</f>
        <v>0</v>
      </c>
      <c r="GS165" s="344">
        <f>Tabla12[[#This Row],[COSTO POR UNIDAD DE PRODUCTO (10)]]*$C$137*VLOOKUP(Tabla12[[#This Row],[CÓDIGO DEL PRODUCTO Y/O SERVICIO ]],Tabla3[],3)</f>
        <v>0</v>
      </c>
      <c r="GT165" s="344">
        <f>Tabla12[[#This Row],[COSTO POR UNIDAD DE PRODUCTO (10)]]*Tabla12[[#This Row],[COSTO UNITARIO AÑO 2 10 ]]*VLOOKUP(Tabla12[[#This Row],[CÓDIGO DEL PRODUCTO Y/O SERVICIO ]],Tabla3[],6)</f>
        <v>0</v>
      </c>
      <c r="GU165" s="344">
        <f>Tabla12[[#This Row],[COSTO POR UNIDAD DE PRODUCTO (10)]]*Tabla12[[#This Row],[COSTO UNITARIO AÑO 3 10 ]]*VLOOKUP(Tabla12[[#This Row],[CÓDIGO DEL PRODUCTO Y/O SERVICIO ]],Tabla3[],10)</f>
        <v>0</v>
      </c>
      <c r="GV165" s="344">
        <f>Tabla12[[#This Row],[COSTO POR UNIDAD DE PRODUCTO (10)]]*Tabla12[[#This Row],[COSTO UNITARIO AÑO 4 10]]*VLOOKUP(Tabla12[[#This Row],[CÓDIGO DEL PRODUCTO Y/O SERVICIO ]],Tabla3[],14)</f>
        <v>0</v>
      </c>
      <c r="GW165" s="344">
        <f>Tabla12[[#This Row],[COSTO POR UNIDAD DE PRODUCTO (10)]]*Tabla12[[#This Row],[COSTO UNITARIO AÑO 5 10 ]]*VLOOKUP(Tabla12[[#This Row],[CÓDIGO DEL PRODUCTO Y/O SERVICIO ]],Tabla3[],18)</f>
        <v>0</v>
      </c>
      <c r="GX165" s="381">
        <f>Tabla12[[#This Row],[AÑO 1 10 ]]+Tabla12[[#This Row],[AÑO 1 9 ]]+Tabla12[[#This Row],[AÑO 1 8]]+Tabla12[[#This Row],[AÑO 1 7]]+Tabla12[[#This Row],[AÑO 1 6]]+Tabla12[[#This Row],[AÑO 1 5]]+Tabla12[[#This Row],[AÑO 1 4 ]]+Tabla12[[#This Row],[AÑO 1 3]]+Tabla12[[#This Row],[AÑO 1 2]]+Tabla12[[#This Row],[AÑO 1 1]]</f>
        <v>0</v>
      </c>
      <c r="GY165" s="381">
        <f>Tabla12[[#This Row],[AÑO 2 10 ]]+Tabla12[[#This Row],[AÑO 2 9 ]]+Tabla12[[#This Row],[AÑO 2 8]]+Tabla12[[#This Row],[AÑO 2 7]]+Tabla12[[#This Row],[AÑO 2 6]]+Tabla12[[#This Row],[AÑO 2 5]]+Tabla12[[#This Row],[AÑO 2 4 ]]+Tabla12[[#This Row],[AÑO 2 3]]+Tabla12[[#This Row],[AÑO 2 2 ]]+Tabla12[[#This Row],[AÑO 2 1 ]]</f>
        <v>0</v>
      </c>
      <c r="GZ165" s="381">
        <f>Tabla12[[#This Row],[AÑO 3 10 ]]+Tabla12[[#This Row],[AÑO 3 9]]+Tabla12[[#This Row],[AÑO 3 8]]+Tabla12[[#This Row],[AÑO 3 7]]+Tabla12[[#This Row],[AÑO 3 6]]+Tabla12[[#This Row],[AÑO 3 5]]+Tabla12[[#This Row],[AÑO 3 4 ]]+Tabla12[[#This Row],[AÑO 3 3 ]]+Tabla12[[#This Row],[AÑO 3 2 ]]+Tabla12[[#This Row],[AÑO 3 1 ]]</f>
        <v>0</v>
      </c>
      <c r="HA165" s="381">
        <f>Tabla12[[#This Row],[AÑO 4 10 ]]+Tabla12[[#This Row],[AÑO 4 9]]+Tabla12[[#This Row],[AÑO 4 8]]+Tabla12[[#This Row],[AÑO 4 7]]+Tabla12[[#This Row],[AÑO 4 6]]+Tabla12[[#This Row],[AÑO 4 5]]+Tabla12[[#This Row],[AÑO 4 4 ]]+Tabla12[[#This Row],[AÑO 4 3 ]]+Tabla12[[#This Row],[AÑO 4 2 ]]+Tabla12[[#This Row],[AÑO 4 1 ]]</f>
        <v>0</v>
      </c>
      <c r="HB165" s="381">
        <f>Tabla12[[#This Row],[AÑO 5 10 ]]+Tabla12[[#This Row],[AÑO 5 9]]+Tabla12[[#This Row],[AÑO 5 8]]+Tabla12[[#This Row],[AÑO 5 7]]+Tabla12[[#This Row],[AÑO 5 6]]+Tabla12[[#This Row],[AÑO 5 5]]+Tabla12[[#This Row],[AÑO 5 4 ]]+Tabla12[[#This Row],[AÑO 5 3 ]]+Tabla12[[#This Row],[AÑO 5 2 ]]+Tabla12[[#This Row],[AÑO 5 1 ]]</f>
        <v>0</v>
      </c>
    </row>
    <row r="175" spans="3:210" s="7" customFormat="1" ht="15.75" hidden="1" x14ac:dyDescent="0.25">
      <c r="U175" s="380">
        <f>SUM(Tabla12[AÑO 1 1])</f>
        <v>0</v>
      </c>
      <c r="V175" s="380">
        <f>SUM(Tabla12[[AÑO 2 1 ]])</f>
        <v>0</v>
      </c>
      <c r="W175" s="380">
        <f>SUM(Tabla12[[AÑO 3 1 ]])</f>
        <v>0</v>
      </c>
      <c r="X175" s="380">
        <f>SUM(Tabla12[[AÑO 4 1 ]])</f>
        <v>0</v>
      </c>
      <c r="Y175" s="380">
        <f>SUM(Tabla12[[AÑO 5 1 ]])</f>
        <v>0</v>
      </c>
      <c r="AO175" s="380">
        <f>SUM(Tabla12[AÑO 1 2])</f>
        <v>0</v>
      </c>
      <c r="AP175" s="380">
        <f>SUM(Tabla12[[AÑO 2 2 ]])</f>
        <v>0</v>
      </c>
      <c r="AQ175" s="380">
        <f>SUM(Tabla12[[AÑO 3 2 ]])</f>
        <v>0</v>
      </c>
      <c r="AR175" s="380">
        <f>SUM(Tabla12[[AÑO 4 2 ]])</f>
        <v>0</v>
      </c>
      <c r="AS175" s="380">
        <f>SUM(Tabla12[[AÑO 5 2 ]])</f>
        <v>0</v>
      </c>
      <c r="BI175" s="380">
        <f>SUM(Tabla12[AÑO 1 3])</f>
        <v>0</v>
      </c>
      <c r="BJ175" s="380">
        <f>SUM(Tabla12[AÑO 2 3])</f>
        <v>0</v>
      </c>
      <c r="BK175" s="380">
        <f>SUM(Tabla12[[AÑO 3 3 ]])</f>
        <v>0</v>
      </c>
      <c r="BL175" s="380">
        <f>SUM(Tabla12[[AÑO 4 3 ]])</f>
        <v>0</v>
      </c>
      <c r="BM175" s="380">
        <f>SUM(Tabla12[[AÑO 5 3 ]])</f>
        <v>0</v>
      </c>
      <c r="CC175" s="380">
        <f>SUM(Tabla12[[AÑO 1 4 ]])</f>
        <v>0</v>
      </c>
      <c r="CD175" s="380">
        <f>SUM(Tabla12[[AÑO 2 4 ]])</f>
        <v>0</v>
      </c>
      <c r="CE175" s="380">
        <f>SUM(Tabla12[[AÑO 3 4 ]])</f>
        <v>0</v>
      </c>
      <c r="CF175" s="380">
        <f>SUM(Tabla12[[AÑO 4 4 ]])</f>
        <v>0</v>
      </c>
      <c r="CG175" s="380">
        <f>SUM(Tabla12[[AÑO 5 4 ]])</f>
        <v>0</v>
      </c>
      <c r="CW175" s="380">
        <f>SUM(Tabla12[AÑO 1 5])</f>
        <v>0</v>
      </c>
      <c r="CX175" s="380">
        <f>SUM(Tabla12[AÑO 2 5])</f>
        <v>0</v>
      </c>
      <c r="CY175" s="380">
        <f>SUM(Tabla12[AÑO 3 5])</f>
        <v>0</v>
      </c>
      <c r="CZ175" s="380">
        <f>SUM(Tabla12[AÑO 4 5])</f>
        <v>0</v>
      </c>
      <c r="DA175" s="380">
        <f>SUM(Tabla12[AÑO 5 5])</f>
        <v>0</v>
      </c>
      <c r="DQ175" s="380">
        <f>SUM(Tabla12[AÑO 1 6])</f>
        <v>0</v>
      </c>
      <c r="DR175" s="380">
        <f>SUM(Tabla12[AÑO 2 6])</f>
        <v>0</v>
      </c>
      <c r="DS175" s="380">
        <f>SUM(Tabla12[AÑO 3 6])</f>
        <v>0</v>
      </c>
      <c r="DT175" s="380">
        <f>SUM(Tabla12[AÑO 4 6])</f>
        <v>0</v>
      </c>
      <c r="DU175" s="380">
        <f>SUM(Tabla12[AÑO 5 6])</f>
        <v>0</v>
      </c>
      <c r="EK175" s="380">
        <f>SUM(Tabla12[AÑO 1 7])</f>
        <v>0</v>
      </c>
      <c r="EL175" s="380">
        <f>SUM(Tabla12[AÑO 2 7])</f>
        <v>0</v>
      </c>
      <c r="EM175" s="380">
        <f>SUM(Tabla12[AÑO 3 7])</f>
        <v>0</v>
      </c>
      <c r="EN175" s="380">
        <f>SUM(Tabla12[AÑO 4 7])</f>
        <v>0</v>
      </c>
      <c r="EO175" s="380">
        <f>SUM(Tabla12[AÑO 5 7])</f>
        <v>0</v>
      </c>
      <c r="FE175" s="380">
        <f>SUM(Tabla12[AÑO 1 8])</f>
        <v>0</v>
      </c>
      <c r="FF175" s="380">
        <f>SUM(Tabla12[AÑO 2 8])</f>
        <v>0</v>
      </c>
      <c r="FG175" s="380">
        <f>SUM(Tabla12[AÑO 3 8])</f>
        <v>0</v>
      </c>
      <c r="FH175" s="380">
        <f>SUM(Tabla12[AÑO 4 8])</f>
        <v>0</v>
      </c>
      <c r="FI175" s="380">
        <f>SUM(Tabla12[AÑO 5 8])</f>
        <v>0</v>
      </c>
      <c r="FY175" s="380">
        <f>SUM(Tabla12[[AÑO 1 9 ]])</f>
        <v>0</v>
      </c>
      <c r="FZ175" s="380">
        <f>SUM(Tabla12[[AÑO 2 9 ]])</f>
        <v>0</v>
      </c>
      <c r="GA175" s="380">
        <f>SUM(Tabla12[AÑO 3 9])</f>
        <v>0</v>
      </c>
      <c r="GB175" s="380">
        <f>SUM(Tabla12[AÑO 4 9])</f>
        <v>0</v>
      </c>
      <c r="GC175" s="380">
        <f>SUM(Tabla12[AÑO 5 9])</f>
        <v>0</v>
      </c>
      <c r="GS175" s="380">
        <f>SUM(Tabla12[[AÑO 1 10 ]])</f>
        <v>0</v>
      </c>
      <c r="GT175" s="380">
        <f>SUM(Tabla12[[AÑO 2 10 ]])</f>
        <v>0</v>
      </c>
      <c r="GU175" s="380">
        <f>SUM(Tabla12[[AÑO 3 10 ]])</f>
        <v>0</v>
      </c>
      <c r="GV175" s="380">
        <f>SUM(Tabla12[[AÑO 4 10 ]])</f>
        <v>0</v>
      </c>
      <c r="GW175" s="380">
        <f>SUM(Tabla12[[AÑO 5 10 ]])</f>
        <v>0</v>
      </c>
    </row>
    <row r="178" spans="3:25" ht="15.75" x14ac:dyDescent="0.25">
      <c r="C178" s="104"/>
      <c r="D178" s="377" t="s">
        <v>860</v>
      </c>
      <c r="E178" s="377"/>
      <c r="F178" s="377" t="s">
        <v>861</v>
      </c>
      <c r="G178" s="377" t="s">
        <v>445</v>
      </c>
      <c r="H178" s="377" t="s">
        <v>446</v>
      </c>
      <c r="I178" s="377" t="s">
        <v>447</v>
      </c>
    </row>
    <row r="179" spans="3:25" ht="15.75" x14ac:dyDescent="0.25">
      <c r="C179" s="92" t="s">
        <v>45</v>
      </c>
      <c r="D179" s="383">
        <f>U67+AO67+BI67+CC67+CW67+DQ67+EK67+FE67+FY67+GS67+HM67+IG67+JA67+JU67+KO67+LI67+MC67+MW67+NQ67+OK67</f>
        <v>0</v>
      </c>
      <c r="E179" s="383">
        <f>V67+AP67+BJ67+CD67+CX67+DR67+EL67+FF67+FZ67+GT67+HN67+IH67+JB67+JV67+KP67+LJ67+MD67+MX67+NR67+OL67</f>
        <v>0</v>
      </c>
      <c r="F179" s="383">
        <f>V67+AP67+BJ67+CD67+CX67+DR67+EL67+FF67+FZ67+GT67+HN67+IH67+JB67+JV67+KP67+LJ67+MD67+MX67+NR67+OL67</f>
        <v>0</v>
      </c>
      <c r="G179" s="383">
        <f>W67+AQ67+BK67+CE67+CY67+DS67+EM67+FG67+GA67+GU67+HO67+II67+JC67+JW67+KQ67+LK67+ME67+MY67+NS67+OM67</f>
        <v>0</v>
      </c>
      <c r="H179" s="383">
        <f>X67+AR67+BL67+CF67+CZ67+DT67+EN67+FH67+GB67+GV67+HP67+IJ67+JD67+JX67+KR67+LL67+MF67+MZ67+NT67+ON67</f>
        <v>0</v>
      </c>
      <c r="I179" s="383">
        <f>Y67+AS67+BM67+CG67+DA67+DU67+EO67+FI67+GC67+GW67+HQ67+IK67+JE67+JY67+KS67+LM67+MG67+NA67+NU67+OO67</f>
        <v>0</v>
      </c>
    </row>
    <row r="180" spans="3:25" ht="15.75" x14ac:dyDescent="0.25">
      <c r="C180" s="92" t="s">
        <v>46</v>
      </c>
      <c r="D180" s="383">
        <f>U119+AO119+BI119+CC119+CW119+DQ119+EK119+FE119+FY119+GS119</f>
        <v>0</v>
      </c>
      <c r="E180" s="383">
        <f>V119+AP119+BJ119+CD119+CX119+DR119+EL119+FF119+FZ119+GT119</f>
        <v>0</v>
      </c>
      <c r="F180" s="383">
        <f>V119+AP119+BJ119+CD119+CX119+DR119+EL119+FF119+FZ119+GT119</f>
        <v>0</v>
      </c>
      <c r="G180" s="383">
        <f>W119+AQ119+BK119+CE119+CY119+DS119+EM119+FG119+GA119+GU119</f>
        <v>0</v>
      </c>
      <c r="H180" s="383">
        <f>X119+AR119+BL119+CF119+CZ119+DT119+EN119+FH119+GB119+GV119</f>
        <v>0</v>
      </c>
      <c r="I180" s="383">
        <f>Y119+AS119+BM119+CG119+DA119+DU119+EO119+FI119+GC119+GW119</f>
        <v>0</v>
      </c>
    </row>
    <row r="181" spans="3:25" ht="16.5" thickBot="1" x14ac:dyDescent="0.3">
      <c r="C181" s="384" t="s">
        <v>862</v>
      </c>
      <c r="D181" s="385">
        <f>U175+AO175+BI175+CC175+CW175+DQ175+EK175+FE175+FY175+GS175</f>
        <v>0</v>
      </c>
      <c r="E181" s="385">
        <f t="shared" ref="E181" si="0">V175+AP175+BJ175+CD175+CX175+DR175+EL175+FF175+FZ175+GT175</f>
        <v>0</v>
      </c>
      <c r="F181" s="385">
        <f>V175+AP175+BJ175+CD175+CX175+DR175+EL175+FF175+FZ175+GT175</f>
        <v>0</v>
      </c>
      <c r="G181" s="385">
        <f>W175+AQ175+BK175+CE175+CY175+DS175+EM175+FG175+GA175+GU175</f>
        <v>0</v>
      </c>
      <c r="H181" s="385">
        <f>X175+AR175+BL175+CF175+CZ175+DT175+EN175+FH175+GB175+GV175</f>
        <v>0</v>
      </c>
      <c r="I181" s="385">
        <f>Y175+AS175+BM175+CG175+DA175+DU175+EO175+FI175+GC175+GW175</f>
        <v>0</v>
      </c>
    </row>
    <row r="182" spans="3:25" ht="16.5" thickBot="1" x14ac:dyDescent="0.3">
      <c r="C182" s="386" t="s">
        <v>47</v>
      </c>
      <c r="D182" s="387">
        <f>SUM(D179:D181)</f>
        <v>0</v>
      </c>
      <c r="E182" s="387">
        <f t="shared" ref="E182:I182" si="1">SUM(E179:E181)</f>
        <v>0</v>
      </c>
      <c r="F182" s="387">
        <f t="shared" si="1"/>
        <v>0</v>
      </c>
      <c r="G182" s="387">
        <f t="shared" si="1"/>
        <v>0</v>
      </c>
      <c r="H182" s="387">
        <f>SUM(H179:H181)</f>
        <v>0</v>
      </c>
      <c r="I182" s="387">
        <f t="shared" si="1"/>
        <v>0</v>
      </c>
    </row>
    <row r="189" spans="3:25" ht="15.75" x14ac:dyDescent="0.25">
      <c r="C189" s="561" t="s">
        <v>53</v>
      </c>
      <c r="D189" s="561"/>
      <c r="E189" s="561"/>
      <c r="F189" s="561"/>
      <c r="G189" s="561"/>
      <c r="H189" s="561"/>
      <c r="I189" s="561"/>
      <c r="J189" s="561"/>
      <c r="K189" s="561"/>
      <c r="L189" s="561"/>
      <c r="M189" s="561"/>
      <c r="N189" s="561"/>
      <c r="O189" s="561"/>
      <c r="P189" s="561"/>
      <c r="Q189" s="561"/>
      <c r="R189" s="561"/>
      <c r="S189" s="561"/>
      <c r="T189" s="561"/>
      <c r="U189" s="642" t="s">
        <v>54</v>
      </c>
      <c r="V189" s="642"/>
      <c r="W189" s="642"/>
      <c r="X189" s="642"/>
      <c r="Y189" s="642"/>
    </row>
    <row r="190" spans="3:25" ht="15.75" x14ac:dyDescent="0.25">
      <c r="C190" s="388"/>
      <c r="D190" s="388"/>
      <c r="E190" s="389"/>
      <c r="F190" s="557" t="s">
        <v>43</v>
      </c>
      <c r="G190" s="557"/>
      <c r="H190" s="557"/>
      <c r="I190" s="557"/>
      <c r="J190" s="557"/>
      <c r="K190" s="558" t="s">
        <v>44</v>
      </c>
      <c r="L190" s="558"/>
      <c r="M190" s="558"/>
      <c r="N190" s="558"/>
      <c r="O190" s="558"/>
      <c r="P190" s="559" t="s">
        <v>102</v>
      </c>
      <c r="Q190" s="559"/>
      <c r="R190" s="559"/>
      <c r="S190" s="559"/>
      <c r="T190" s="560"/>
      <c r="U190" s="642"/>
      <c r="V190" s="642"/>
      <c r="W190" s="642"/>
      <c r="X190" s="642"/>
      <c r="Y190" s="642"/>
    </row>
    <row r="191" spans="3:25" ht="15.75" x14ac:dyDescent="0.25">
      <c r="C191" s="367" t="s">
        <v>437</v>
      </c>
      <c r="D191" s="367" t="s">
        <v>438</v>
      </c>
      <c r="E191" s="367" t="s">
        <v>442</v>
      </c>
      <c r="F191" s="390" t="s">
        <v>860</v>
      </c>
      <c r="G191" s="390" t="s">
        <v>861</v>
      </c>
      <c r="H191" s="390" t="s">
        <v>445</v>
      </c>
      <c r="I191" s="390" t="s">
        <v>51</v>
      </c>
      <c r="J191" s="390" t="s">
        <v>447</v>
      </c>
      <c r="K191" s="390" t="s">
        <v>863</v>
      </c>
      <c r="L191" s="390" t="s">
        <v>864</v>
      </c>
      <c r="M191" s="390" t="s">
        <v>865</v>
      </c>
      <c r="N191" s="390" t="s">
        <v>866</v>
      </c>
      <c r="O191" s="390" t="s">
        <v>867</v>
      </c>
      <c r="P191" s="390" t="s">
        <v>868</v>
      </c>
      <c r="Q191" s="390" t="s">
        <v>869</v>
      </c>
      <c r="R191" s="390" t="s">
        <v>870</v>
      </c>
      <c r="S191" s="390" t="s">
        <v>871</v>
      </c>
      <c r="T191" s="390" t="s">
        <v>887</v>
      </c>
      <c r="U191" s="390" t="s">
        <v>888</v>
      </c>
      <c r="V191" s="390" t="s">
        <v>889</v>
      </c>
      <c r="W191" s="390" t="s">
        <v>890</v>
      </c>
      <c r="X191" s="390" t="s">
        <v>891</v>
      </c>
      <c r="Y191" s="390" t="s">
        <v>892</v>
      </c>
    </row>
    <row r="192" spans="3:25" ht="15.75" x14ac:dyDescent="0.25">
      <c r="C192" s="436">
        <v>0</v>
      </c>
      <c r="D192" s="373" t="str">
        <f>VLOOKUP(Tabla15[[#This Row],[CÓDIGO DEL PRODUCTO Y/O SERVICIO ]],Tabla3[],2,0)</f>
        <v xml:space="preserve">Seleccionar producto o servicio </v>
      </c>
      <c r="E192" s="373"/>
      <c r="F192" s="391">
        <f>IF(F55=0,0,OP55/F55)</f>
        <v>0</v>
      </c>
      <c r="G192" s="391">
        <f>IF(PRODUCTO_O_SERVICIO!G20=0,0,COSTOS_DE_PRODUCCION!OQ55/PRODUCTO_O_SERVICIO!G20)</f>
        <v>0</v>
      </c>
      <c r="H192" s="391">
        <f>IF(PRODUCTO_O_SERVICIO!K20=0,0,COSTOS_DE_PRODUCCION!OR55/PRODUCTO_O_SERVICIO!K20)</f>
        <v>0</v>
      </c>
      <c r="I192" s="391">
        <f>IF(PRODUCTO_O_SERVICIO!O20=0,0,COSTOS_DE_PRODUCCION!OS55/PRODUCTO_O_SERVICIO!O20)</f>
        <v>0</v>
      </c>
      <c r="J192" s="391">
        <f>IF(PRODUCTO_O_SERVICIO!S20=0,0,COSTOS_DE_PRODUCCION!OT55/PRODUCTO_O_SERVICIO!S20)</f>
        <v>0</v>
      </c>
      <c r="K192" s="391">
        <f>IF(PRODUCTO_O_SERVICIO!D20=0,0,COSTOS_DE_PRODUCCION!GX107/PRODUCTO_O_SERVICIO!D20)</f>
        <v>0</v>
      </c>
      <c r="L192" s="391">
        <f>IF(PRODUCTO_O_SERVICIO!G20=0,0,COSTOS_DE_PRODUCCION!GY107/PRODUCTO_O_SERVICIO!G20)</f>
        <v>0</v>
      </c>
      <c r="M192" s="391">
        <f>IF(PRODUCTO_O_SERVICIO!K20=0,0,COSTOS_DE_PRODUCCION!GZ107/PRODUCTO_O_SERVICIO!K20)</f>
        <v>0</v>
      </c>
      <c r="N192" s="391">
        <f>IF(PRODUCTO_O_SERVICIO!O20=0,0,COSTOS_DE_PRODUCCION!HA107/PRODUCTO_O_SERVICIO!O20)</f>
        <v>0</v>
      </c>
      <c r="O192" s="391">
        <f>IF(PRODUCTO_O_SERVICIO!S20=0,0,COSTOS_DE_PRODUCCION!HB107/PRODUCTO_O_SERVICIO!S20)</f>
        <v>0</v>
      </c>
      <c r="P192" s="391">
        <f>IF(PRODUCTO_O_SERVICIO!D20=0,0,COSTOS_DE_PRODUCCION!GX164/PRODUCTO_O_SERVICIO!D20)</f>
        <v>0</v>
      </c>
      <c r="Q192" s="391">
        <f>IF(PRODUCTO_O_SERVICIO!G20=0,0,COSTOS_DE_PRODUCCION!GY164/PRODUCTO_O_SERVICIO!G20)</f>
        <v>0</v>
      </c>
      <c r="R192" s="391">
        <f>IF(PRODUCTO_O_SERVICIO!K20=0,0,COSTOS_DE_PRODUCCION!GZ164/PRODUCTO_O_SERVICIO!K20)</f>
        <v>0</v>
      </c>
      <c r="S192" s="391">
        <f>IF(PRODUCTO_O_SERVICIO!O20=0,0,COSTOS_DE_PRODUCCION!HA164/PRODUCTO_O_SERVICIO!O20)</f>
        <v>0</v>
      </c>
      <c r="T192" s="391">
        <f>IF(PRODUCTO_O_SERVICIO!S20=0,0,COSTOS_DE_PRODUCCION!HB164/PRODUCTO_O_SERVICIO!S20)</f>
        <v>0</v>
      </c>
      <c r="U192" s="391">
        <f>Tabla15[[#This Row],[AÑO 1 ]]+Tabla15[[#This Row],[AÑO 1 2]]+Tabla15[[#This Row],[AÑO 1 3]]</f>
        <v>0</v>
      </c>
      <c r="V192" s="391">
        <f>Tabla15[[#This Row],[AÑO 2 ]]+Tabla15[[#This Row],[AÑO 2 2]]+Tabla15[[#This Row],[AÑO 2 3]]</f>
        <v>0</v>
      </c>
      <c r="W192" s="391">
        <f>Tabla15[[#This Row],[AÑO 3 ]]+Tabla15[[#This Row],[AÑO 3 2]]+Tabla15[[#This Row],[AÑO 3 3]]</f>
        <v>0</v>
      </c>
      <c r="X192" s="391">
        <f>Tabla15[[#This Row],[AÑO 4]]+Tabla15[[#This Row],[AÑO 4 2]]+Tabla15[[#This Row],[AÑO 4 3 ]]</f>
        <v>0</v>
      </c>
      <c r="Y192" s="391">
        <f>Tabla15[[#This Row],[AÑO 5 ]]+Tabla15[[#This Row],[AÑO 5 2]]+Tabla15[[#This Row],[AÑO 5 3]]</f>
        <v>0</v>
      </c>
    </row>
    <row r="193" spans="3:25" ht="15.75" x14ac:dyDescent="0.25">
      <c r="C193" s="362"/>
      <c r="D193" s="451" t="str">
        <f>VLOOKUP(Tabla15[[#This Row],[CÓDIGO DEL PRODUCTO Y/O SERVICIO ]],Tabla3[],2,0)</f>
        <v xml:space="preserve">Seleccionar producto o servicio </v>
      </c>
      <c r="E193" s="373"/>
      <c r="F193" s="391">
        <f>IF(F56=0,0,OP56/F56)</f>
        <v>0</v>
      </c>
      <c r="G193" s="391">
        <f>IF(PRODUCTO_O_SERVICIO!G21=0,0,COSTOS_DE_PRODUCCION!OQ56/PRODUCTO_O_SERVICIO!G21)</f>
        <v>0</v>
      </c>
      <c r="H193" s="391">
        <f>IF(PRODUCTO_O_SERVICIO!K21=0,0,COSTOS_DE_PRODUCCION!OR56/PRODUCTO_O_SERVICIO!K21)</f>
        <v>0</v>
      </c>
      <c r="I193" s="391">
        <f>IF(PRODUCTO_O_SERVICIO!O21=0,0,COSTOS_DE_PRODUCCION!OS56/PRODUCTO_O_SERVICIO!O21)</f>
        <v>0</v>
      </c>
      <c r="J193" s="391">
        <f>IF(PRODUCTO_O_SERVICIO!S21=0,0,COSTOS_DE_PRODUCCION!OT56/PRODUCTO_O_SERVICIO!S21)</f>
        <v>0</v>
      </c>
      <c r="K193" s="391">
        <f>IF(PRODUCTO_O_SERVICIO!D21=0,0,COSTOS_DE_PRODUCCION!GX108/PRODUCTO_O_SERVICIO!D21)</f>
        <v>0</v>
      </c>
      <c r="L193" s="391">
        <f>IF(PRODUCTO_O_SERVICIO!G21=0,0,COSTOS_DE_PRODUCCION!GY108/PRODUCTO_O_SERVICIO!G21)</f>
        <v>0</v>
      </c>
      <c r="M193" s="391">
        <f>IF(PRODUCTO_O_SERVICIO!K21=0,0,COSTOS_DE_PRODUCCION!GZ108/PRODUCTO_O_SERVICIO!K21)</f>
        <v>0</v>
      </c>
      <c r="N193" s="391">
        <f>IF(PRODUCTO_O_SERVICIO!O21=0,0,COSTOS_DE_PRODUCCION!HA108/PRODUCTO_O_SERVICIO!O21)</f>
        <v>0</v>
      </c>
      <c r="O193" s="391">
        <f>IF(PRODUCTO_O_SERVICIO!S21=0,0,COSTOS_DE_PRODUCCION!HB108/PRODUCTO_O_SERVICIO!S21)</f>
        <v>0</v>
      </c>
      <c r="P193" s="391">
        <f>IF(PRODUCTO_O_SERVICIO!D21=0,0,COSTOS_DE_PRODUCCION!GX165/PRODUCTO_O_SERVICIO!D21)</f>
        <v>0</v>
      </c>
      <c r="Q193" s="391">
        <f>IF(PRODUCTO_O_SERVICIO!G21=0,0,COSTOS_DE_PRODUCCION!GY165/PRODUCTO_O_SERVICIO!G21)</f>
        <v>0</v>
      </c>
      <c r="R193" s="391">
        <f>IF(PRODUCTO_O_SERVICIO!K21=0,0,COSTOS_DE_PRODUCCION!GZ165/PRODUCTO_O_SERVICIO!K21)</f>
        <v>0</v>
      </c>
      <c r="S193" s="391">
        <f>IF(PRODUCTO_O_SERVICIO!O21=0,0,COSTOS_DE_PRODUCCION!HA165/PRODUCTO_O_SERVICIO!O21)</f>
        <v>0</v>
      </c>
      <c r="T193" s="391">
        <f>IF(PRODUCTO_O_SERVICIO!S21=0,0,COSTOS_DE_PRODUCCION!HB165/PRODUCTO_O_SERVICIO!S21)</f>
        <v>0</v>
      </c>
      <c r="U193" s="391">
        <f>Tabla15[[#This Row],[AÑO 1 ]]+Tabla15[[#This Row],[AÑO 1 2]]+Tabla15[[#This Row],[AÑO 1 3]]</f>
        <v>0</v>
      </c>
      <c r="V193" s="391">
        <f>Tabla15[[#This Row],[AÑO 2 ]]+Tabla15[[#This Row],[AÑO 2 2]]+Tabla15[[#This Row],[AÑO 2 3]]</f>
        <v>0</v>
      </c>
      <c r="W193" s="391">
        <f>Tabla15[[#This Row],[AÑO 3 ]]+Tabla15[[#This Row],[AÑO 3 2]]+Tabla15[[#This Row],[AÑO 3 3]]</f>
        <v>0</v>
      </c>
      <c r="X193" s="391">
        <f>Tabla15[[#This Row],[AÑO 4]]+Tabla15[[#This Row],[AÑO 4 2]]+Tabla15[[#This Row],[AÑO 4 3 ]]</f>
        <v>0</v>
      </c>
      <c r="Y193" s="391">
        <f>Tabla15[[#This Row],[AÑO 5 ]]+Tabla15[[#This Row],[AÑO 5 2]]+Tabla15[[#This Row],[AÑO 5 3]]</f>
        <v>0</v>
      </c>
    </row>
  </sheetData>
  <sheetProtection sheet="1" objects="1" scenarios="1"/>
  <protectedRanges>
    <protectedRange algorithmName="SHA-512" hashValue="PI1FzmXxdjjbHe5ES7fZfhUBXFhVbo1bnvXE/2xlVmPC4IwsJyGU/90VUCFxrzbzt+Y/Gh4Eo/9shgSNWz2Dkg==" saltValue="8n1+OIXmuy91Y+3uFbTkOA==" spinCount="100000" sqref="C55:C56" name="Código"/>
  </protectedRanges>
  <mergeCells count="140">
    <mergeCell ref="OP52:OT53"/>
    <mergeCell ref="GX104:HB105"/>
    <mergeCell ref="GX161:HB162"/>
    <mergeCell ref="U189:Y190"/>
    <mergeCell ref="GS162:GW162"/>
    <mergeCell ref="GN162:GR162"/>
    <mergeCell ref="GD161:GW161"/>
    <mergeCell ref="FY105:GC105"/>
    <mergeCell ref="FJ104:GC104"/>
    <mergeCell ref="GS105:GW105"/>
    <mergeCell ref="GD105:GM105"/>
    <mergeCell ref="GD104:GW104"/>
    <mergeCell ref="GN105:GR105"/>
    <mergeCell ref="CC162:CG162"/>
    <mergeCell ref="BX162:CB162"/>
    <mergeCell ref="BN161:CG161"/>
    <mergeCell ref="CR162:CV162"/>
    <mergeCell ref="CW162:DA162"/>
    <mergeCell ref="CH161:DA161"/>
    <mergeCell ref="DQ162:DU162"/>
    <mergeCell ref="DL162:DP162"/>
    <mergeCell ref="DB161:DU161"/>
    <mergeCell ref="EZ162:FD162"/>
    <mergeCell ref="EP161:FI161"/>
    <mergeCell ref="FY162:GC162"/>
    <mergeCell ref="FT162:FX162"/>
    <mergeCell ref="EZ105:FD105"/>
    <mergeCell ref="EP105:EY105"/>
    <mergeCell ref="EP104:FI104"/>
    <mergeCell ref="DQ105:DU105"/>
    <mergeCell ref="DB104:DU104"/>
    <mergeCell ref="DL105:DP105"/>
    <mergeCell ref="FJ105:FS105"/>
    <mergeCell ref="FT105:FX105"/>
    <mergeCell ref="EK105:EO105"/>
    <mergeCell ref="EK162:EO162"/>
    <mergeCell ref="EF162:EJ162"/>
    <mergeCell ref="DV161:EO161"/>
    <mergeCell ref="DB105:DK105"/>
    <mergeCell ref="FJ161:GC161"/>
    <mergeCell ref="DV105:EF105"/>
    <mergeCell ref="EG105:EJ105"/>
    <mergeCell ref="DV104:EO104"/>
    <mergeCell ref="LD53:LH53"/>
    <mergeCell ref="LI53:LM53"/>
    <mergeCell ref="KT52:LM52"/>
    <mergeCell ref="MC53:MG53"/>
    <mergeCell ref="LX53:MB53"/>
    <mergeCell ref="LN52:MG52"/>
    <mergeCell ref="JP53:JT53"/>
    <mergeCell ref="JU53:JY53"/>
    <mergeCell ref="JF52:JY52"/>
    <mergeCell ref="KJ53:KN53"/>
    <mergeCell ref="KO53:KS53"/>
    <mergeCell ref="JZ52:KS52"/>
    <mergeCell ref="OK53:OO53"/>
    <mergeCell ref="OF53:OJ53"/>
    <mergeCell ref="NV52:OO52"/>
    <mergeCell ref="MW53:NA53"/>
    <mergeCell ref="MR53:MV53"/>
    <mergeCell ref="MH52:NA52"/>
    <mergeCell ref="NQ53:NU53"/>
    <mergeCell ref="NL53:NP53"/>
    <mergeCell ref="NB52:NU52"/>
    <mergeCell ref="B6:G6"/>
    <mergeCell ref="CR53:CV53"/>
    <mergeCell ref="CW53:DA53"/>
    <mergeCell ref="CH52:DA52"/>
    <mergeCell ref="DL53:DP53"/>
    <mergeCell ref="F38:Y38"/>
    <mergeCell ref="U53:Y53"/>
    <mergeCell ref="AO53:AS53"/>
    <mergeCell ref="Z52:AS52"/>
    <mergeCell ref="AJ53:AN53"/>
    <mergeCell ref="P53:T53"/>
    <mergeCell ref="F52:Y52"/>
    <mergeCell ref="BD53:BH53"/>
    <mergeCell ref="BI53:BM53"/>
    <mergeCell ref="AT52:BM52"/>
    <mergeCell ref="BX53:CB53"/>
    <mergeCell ref="CC53:CG53"/>
    <mergeCell ref="BN52:CG52"/>
    <mergeCell ref="EF53:EJ53"/>
    <mergeCell ref="DQ53:DU53"/>
    <mergeCell ref="DB52:DU52"/>
    <mergeCell ref="F143:O143"/>
    <mergeCell ref="IV53:IZ53"/>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F88:O88"/>
    <mergeCell ref="BI162:BM162"/>
    <mergeCell ref="BD162:BH162"/>
    <mergeCell ref="AT161:BM161"/>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05:FI105"/>
    <mergeCell ref="FE162:FI162"/>
    <mergeCell ref="F190:J190"/>
    <mergeCell ref="K190:O190"/>
    <mergeCell ref="P190:T190"/>
    <mergeCell ref="C189:T189"/>
    <mergeCell ref="U162:Y162"/>
    <mergeCell ref="P162:T162"/>
    <mergeCell ref="F161:Y161"/>
    <mergeCell ref="AO162:AS162"/>
    <mergeCell ref="AJ162:AN162"/>
    <mergeCell ref="Z161:AS161"/>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37</xdr:row>
                    <xdr:rowOff>180975</xdr:rowOff>
                  </from>
                  <to>
                    <xdr:col>1</xdr:col>
                    <xdr:colOff>2066925</xdr:colOff>
                    <xdr:row>39</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88</xdr:row>
                    <xdr:rowOff>0</xdr:rowOff>
                  </from>
                  <to>
                    <xdr:col>1</xdr:col>
                    <xdr:colOff>2095500</xdr:colOff>
                    <xdr:row>89</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105</xdr:row>
                    <xdr:rowOff>28575</xdr:rowOff>
                  </from>
                  <to>
                    <xdr:col>1</xdr:col>
                    <xdr:colOff>2085975</xdr:colOff>
                    <xdr:row>105</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142</xdr:row>
                    <xdr:rowOff>171450</xdr:rowOff>
                  </from>
                  <to>
                    <xdr:col>1</xdr:col>
                    <xdr:colOff>2114550</xdr:colOff>
                    <xdr:row>144</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162</xdr:row>
                    <xdr:rowOff>66675</xdr:rowOff>
                  </from>
                  <to>
                    <xdr:col>1</xdr:col>
                    <xdr:colOff>1981200</xdr:colOff>
                    <xdr:row>162</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189</xdr:row>
                    <xdr:rowOff>114300</xdr:rowOff>
                  </from>
                  <to>
                    <xdr:col>1</xdr:col>
                    <xdr:colOff>2000250</xdr:colOff>
                    <xdr:row>191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3</xdr:row>
                    <xdr:rowOff>19050</xdr:rowOff>
                  </from>
                  <to>
                    <xdr:col>7</xdr:col>
                    <xdr:colOff>1866900</xdr:colOff>
                    <xdr:row>5</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17"/>
  <sheetViews>
    <sheetView showGridLines="0" zoomScaleNormal="100" workbookViewId="0">
      <selection activeCell="B4" sqref="B4"/>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71" t="s">
        <v>55</v>
      </c>
      <c r="E6" s="672"/>
      <c r="F6" s="672"/>
      <c r="G6" s="672"/>
      <c r="H6" s="672"/>
      <c r="I6" s="672"/>
      <c r="J6" s="672"/>
      <c r="K6" s="672"/>
      <c r="L6" s="672"/>
      <c r="M6" s="672"/>
      <c r="N6" s="672"/>
      <c r="O6" s="673"/>
    </row>
    <row r="7" spans="4:15" ht="16.5" thickBot="1" x14ac:dyDescent="0.3">
      <c r="D7" s="63"/>
      <c r="E7" s="77" t="s">
        <v>353</v>
      </c>
      <c r="F7" s="676">
        <f>BASES!D7</f>
        <v>2021</v>
      </c>
      <c r="G7" s="677"/>
      <c r="H7" s="676">
        <f>BASES!E7</f>
        <v>2022</v>
      </c>
      <c r="I7" s="677"/>
      <c r="J7" s="676">
        <f>BASES!F7</f>
        <v>2023</v>
      </c>
      <c r="K7" s="677"/>
      <c r="L7" s="676">
        <f>BASES!G7</f>
        <v>2024</v>
      </c>
      <c r="M7" s="677"/>
      <c r="N7" s="676">
        <f>BASES!H7</f>
        <v>2025</v>
      </c>
      <c r="O7" s="677"/>
    </row>
    <row r="8" spans="4:15" ht="15.75" x14ac:dyDescent="0.25">
      <c r="D8" s="69" t="s">
        <v>355</v>
      </c>
      <c r="E8" s="69" t="s">
        <v>358</v>
      </c>
      <c r="F8" s="69" t="s">
        <v>1189</v>
      </c>
      <c r="G8" s="69" t="s">
        <v>359</v>
      </c>
      <c r="H8" s="69" t="s">
        <v>1190</v>
      </c>
      <c r="I8" s="69" t="s">
        <v>360</v>
      </c>
      <c r="J8" s="69" t="s">
        <v>1191</v>
      </c>
      <c r="K8" s="69" t="s">
        <v>361</v>
      </c>
      <c r="L8" s="69" t="s">
        <v>1192</v>
      </c>
      <c r="M8" s="69" t="s">
        <v>362</v>
      </c>
      <c r="N8" s="69" t="s">
        <v>1193</v>
      </c>
      <c r="O8" s="69" t="s">
        <v>363</v>
      </c>
    </row>
    <row r="9" spans="4:15" ht="15.75" x14ac:dyDescent="0.25">
      <c r="D9" s="67">
        <v>0</v>
      </c>
      <c r="E9" s="72" t="str">
        <f>VLOOKUP(Tabla2[[#This Row],[CÓDIGO ]],Tabla3[],2,FALSE)</f>
        <v xml:space="preserve">Seleccionar producto o servicio </v>
      </c>
      <c r="F9" s="73">
        <f>VLOOKUP(Tabla2[[#This Row],[CÓDIGO ]],Tabla3[],4,FALSE)</f>
        <v>0</v>
      </c>
      <c r="G9" s="73">
        <f>Tabla2[[#This Row],[Precio de venta año 1 ]]*VLOOKUP(Tabla2[[#This Row],[CÓDIGO ]],Tabla3[],3,FALSE)</f>
        <v>0</v>
      </c>
      <c r="H9" s="73">
        <f>VLOOKUP(Tabla2[[#This Row],[CÓDIGO ]],Tabla3[],7,FALSE)</f>
        <v>0</v>
      </c>
      <c r="I9" s="73">
        <f>Tabla2[[#This Row],[Precio de venta año 2 ]]*VLOOKUP(Tabla2[[#This Row],[CÓDIGO ]],Tabla3[],6,FALSE)</f>
        <v>0</v>
      </c>
      <c r="J9" s="73">
        <f>VLOOKUP(Tabla2[[#This Row],[CÓDIGO ]],Tabla3[],11,FALSE)</f>
        <v>0</v>
      </c>
      <c r="K9" s="73">
        <f>Tabla2[[#This Row],[Precio de venta año 3 ]]*VLOOKUP(Tabla2[[#This Row],[CÓDIGO ]],Tabla3[],10,FALSE)</f>
        <v>0</v>
      </c>
      <c r="L9" s="73">
        <f>VLOOKUP(Tabla2[[#This Row],[CÓDIGO ]],Tabla3[],15,FALSE)</f>
        <v>0</v>
      </c>
      <c r="M9" s="73">
        <f>Tabla2[[#This Row],[Precio de venta año 4 ]]*VLOOKUP(Tabla2[[#This Row],[CÓDIGO ]],Tabla3[],14,FALSE)</f>
        <v>0</v>
      </c>
      <c r="N9" s="73">
        <f>VLOOKUP(Tabla2[[#This Row],[CÓDIGO ]],Tabla3[],19,FALSE)</f>
        <v>0</v>
      </c>
      <c r="O9" s="73">
        <f>Tabla2[[#This Row],[Precio de venta año 5]]*VLOOKUP(Tabla2[[#This Row],[CÓDIGO ]],Tabla3[],18,FALSE)</f>
        <v>0</v>
      </c>
    </row>
    <row r="10" spans="4:15" ht="15.75" x14ac:dyDescent="0.25">
      <c r="D10" s="62"/>
      <c r="E10" s="72" t="str">
        <f>VLOOKUP(Tabla2[[#This Row],[CÓDIGO ]],Tabla3[],2,FALSE)</f>
        <v xml:space="preserve">Seleccionar producto o servicio </v>
      </c>
      <c r="F10" s="73">
        <f>VLOOKUP(Tabla2[[#This Row],[CÓDIGO ]],Tabla3[],4,FALSE)</f>
        <v>0</v>
      </c>
      <c r="G10" s="73">
        <f>Tabla2[[#This Row],[Precio de venta año 1 ]]*VLOOKUP(Tabla2[[#This Row],[CÓDIGO ]],Tabla3[],3,FALSE)</f>
        <v>0</v>
      </c>
      <c r="H10" s="73">
        <f>VLOOKUP(Tabla2[[#This Row],[CÓDIGO ]],Tabla3[],7,FALSE)</f>
        <v>0</v>
      </c>
      <c r="I10" s="73">
        <f>Tabla2[[#This Row],[Precio de venta año 2 ]]*VLOOKUP(Tabla2[[#This Row],[CÓDIGO ]],Tabla3[],6,FALSE)</f>
        <v>0</v>
      </c>
      <c r="J10" s="73">
        <f>VLOOKUP(Tabla2[[#This Row],[CÓDIGO ]],Tabla3[],11,FALSE)</f>
        <v>0</v>
      </c>
      <c r="K10" s="73">
        <f>Tabla2[[#This Row],[Precio de venta año 3 ]]*VLOOKUP(Tabla2[[#This Row],[CÓDIGO ]],Tabla3[],10,FALSE)</f>
        <v>0</v>
      </c>
      <c r="L10" s="73">
        <f>VLOOKUP(Tabla2[[#This Row],[CÓDIGO ]],Tabla3[],15,FALSE)</f>
        <v>0</v>
      </c>
      <c r="M10" s="73">
        <f>Tabla2[[#This Row],[Precio de venta año 4 ]]*VLOOKUP(Tabla2[[#This Row],[CÓDIGO ]],Tabla3[],14,FALSE)</f>
        <v>0</v>
      </c>
      <c r="N10" s="73">
        <f>VLOOKUP(Tabla2[[#This Row],[CÓDIGO ]],Tabla3[],19,FALSE)</f>
        <v>0</v>
      </c>
      <c r="O10" s="73">
        <f>Tabla2[[#This Row],[Precio de venta año 5]]*VLOOKUP(Tabla2[[#This Row],[CÓDIGO ]],Tabla3[],18,FALSE)</f>
        <v>0</v>
      </c>
    </row>
    <row r="11" spans="4:15" customFormat="1" ht="15.75" thickBot="1" x14ac:dyDescent="0.3"/>
    <row r="12" spans="4:15" ht="16.5" thickBot="1" x14ac:dyDescent="0.3">
      <c r="D12" s="535" t="s">
        <v>348</v>
      </c>
      <c r="E12" s="536"/>
      <c r="F12" s="678"/>
      <c r="G12" s="73">
        <f>SUM(Tabla2[Ingresos totales año 1])</f>
        <v>0</v>
      </c>
      <c r="H12" s="130"/>
      <c r="I12" s="73">
        <f>SUM(Tabla2[[Ingresos totales año 2 ]])</f>
        <v>0</v>
      </c>
      <c r="J12" s="130"/>
      <c r="K12" s="73">
        <f>SUM(Tabla2[[Ingresos totales año 3 ]])</f>
        <v>0</v>
      </c>
      <c r="L12" s="130"/>
      <c r="M12" s="73">
        <f>SUM(Tabla2[Ingresos totales año 4])</f>
        <v>0</v>
      </c>
      <c r="N12" s="130"/>
      <c r="O12" s="73">
        <f>SUM(Tabla2[Ingresos totales año 5])</f>
        <v>0</v>
      </c>
    </row>
    <row r="13" spans="4:15" ht="16.5" thickBot="1" x14ac:dyDescent="0.3">
      <c r="D13" s="535" t="s">
        <v>356</v>
      </c>
      <c r="E13" s="536"/>
      <c r="F13" s="678"/>
      <c r="G13" s="73">
        <f>COSTOS_DE_PRODUCCION!D182</f>
        <v>0</v>
      </c>
      <c r="H13" s="130"/>
      <c r="I13" s="73">
        <f>COSTOS_DE_PRODUCCION!F182</f>
        <v>0</v>
      </c>
      <c r="J13" s="130"/>
      <c r="K13" s="73">
        <f>COSTOS_DE_PRODUCCION!G182</f>
        <v>0</v>
      </c>
      <c r="L13" s="130"/>
      <c r="M13" s="73">
        <f>COSTOS_DE_PRODUCCION!H182</f>
        <v>0</v>
      </c>
      <c r="N13" s="130"/>
      <c r="O13" s="73">
        <f>COSTOS_DE_PRODUCCION!I182</f>
        <v>0</v>
      </c>
    </row>
    <row r="14" spans="4:15" ht="16.5" thickBot="1" x14ac:dyDescent="0.3">
      <c r="D14" s="535" t="s">
        <v>357</v>
      </c>
      <c r="E14" s="536"/>
      <c r="F14" s="678"/>
      <c r="G14" s="75">
        <f>G12-G13</f>
        <v>0</v>
      </c>
      <c r="H14" s="131"/>
      <c r="I14" s="75">
        <f>I12-I13</f>
        <v>0</v>
      </c>
      <c r="J14" s="131"/>
      <c r="K14" s="75">
        <f>K12-K13</f>
        <v>0</v>
      </c>
      <c r="L14" s="131"/>
      <c r="M14" s="75">
        <f>M12-M13</f>
        <v>0</v>
      </c>
      <c r="N14" s="131"/>
      <c r="O14" s="75">
        <f>O12-O13</f>
        <v>0</v>
      </c>
    </row>
    <row r="15" spans="4:15" x14ac:dyDescent="0.25">
      <c r="N15" s="74"/>
    </row>
    <row r="16" spans="4:15" x14ac:dyDescent="0.25">
      <c r="N16" s="74"/>
    </row>
    <row r="17" spans="4:20" x14ac:dyDescent="0.25">
      <c r="N17" s="74"/>
    </row>
    <row r="18" spans="4:20" x14ac:dyDescent="0.25">
      <c r="N18" s="74"/>
    </row>
    <row r="19" spans="4:20" ht="15.75" thickBot="1" x14ac:dyDescent="0.3"/>
    <row r="20" spans="4:20" ht="16.5" thickBot="1" x14ac:dyDescent="0.3">
      <c r="D20" s="663" t="s">
        <v>57</v>
      </c>
      <c r="E20" s="664"/>
      <c r="F20" s="664"/>
      <c r="G20" s="664"/>
      <c r="H20" s="664"/>
      <c r="I20" s="664"/>
      <c r="J20" s="664"/>
      <c r="K20" s="664"/>
      <c r="L20" s="664"/>
      <c r="M20" s="664"/>
      <c r="N20" s="664"/>
      <c r="O20" s="664"/>
      <c r="P20" s="664"/>
      <c r="Q20" s="664"/>
      <c r="R20" s="664"/>
      <c r="S20" s="664"/>
      <c r="T20" s="665"/>
    </row>
    <row r="21" spans="4:20" ht="16.5" thickBot="1" x14ac:dyDescent="0.3">
      <c r="E21" s="76" t="s">
        <v>353</v>
      </c>
      <c r="F21" s="667">
        <f>BASES!D7</f>
        <v>2021</v>
      </c>
      <c r="G21" s="668"/>
      <c r="H21" s="668"/>
      <c r="I21" s="667">
        <f>BASES!E7</f>
        <v>2022</v>
      </c>
      <c r="J21" s="668"/>
      <c r="K21" s="668"/>
      <c r="L21" s="667">
        <f>BASES!F7</f>
        <v>2023</v>
      </c>
      <c r="M21" s="668"/>
      <c r="N21" s="668"/>
      <c r="O21" s="667">
        <f>BASES!G7</f>
        <v>2024</v>
      </c>
      <c r="P21" s="668"/>
      <c r="Q21" s="668"/>
      <c r="R21" s="667">
        <f>BASES!H7</f>
        <v>2025</v>
      </c>
      <c r="S21" s="668"/>
      <c r="T21" s="668"/>
    </row>
    <row r="22" spans="4:20" ht="15.75" x14ac:dyDescent="0.25">
      <c r="D22" s="52" t="s">
        <v>355</v>
      </c>
      <c r="E22" s="52" t="s">
        <v>358</v>
      </c>
      <c r="F22" s="52" t="s">
        <v>364</v>
      </c>
      <c r="G22" s="392" t="s">
        <v>365</v>
      </c>
      <c r="H22" s="52" t="s">
        <v>366</v>
      </c>
      <c r="I22" s="52" t="s">
        <v>367</v>
      </c>
      <c r="J22" s="392" t="s">
        <v>368</v>
      </c>
      <c r="K22" s="52" t="s">
        <v>369</v>
      </c>
      <c r="L22" s="52" t="s">
        <v>370</v>
      </c>
      <c r="M22" s="392" t="s">
        <v>371</v>
      </c>
      <c r="N22" s="52" t="s">
        <v>372</v>
      </c>
      <c r="O22" s="52" t="s">
        <v>373</v>
      </c>
      <c r="P22" s="392" t="s">
        <v>374</v>
      </c>
      <c r="Q22" s="52" t="s">
        <v>375</v>
      </c>
      <c r="R22" s="52" t="s">
        <v>376</v>
      </c>
      <c r="S22" s="392" t="s">
        <v>377</v>
      </c>
      <c r="T22" s="52" t="s">
        <v>378</v>
      </c>
    </row>
    <row r="23" spans="4:20" ht="15.75" x14ac:dyDescent="0.25">
      <c r="D23" s="67">
        <v>0</v>
      </c>
      <c r="E23" s="72" t="str">
        <f>VLOOKUP(Tabla5[[#This Row],[CÓDIGO ]],Tabla3[],2,0)</f>
        <v xml:space="preserve">Seleccionar producto o servicio </v>
      </c>
      <c r="F23" s="73">
        <f>VLOOKUP(Tabla5[[#This Row],[CÓDIGO ]],Tabla3[],4,0)</f>
        <v>0</v>
      </c>
      <c r="G23" s="73">
        <f>VLOOKUP(Tabla5[[#This Row],[CÓDIGO ]],Tabla15[],18)</f>
        <v>0</v>
      </c>
      <c r="H23" s="73">
        <f>Tabla5[[#This Row],[Precio de venta unitario año 1]]-Tabla5[[#This Row],[(-) Costo de producción unitario año 1]]</f>
        <v>0</v>
      </c>
      <c r="I23" s="73">
        <f>VLOOKUP(Tabla5[[#This Row],[CÓDIGO ]],Tabla3[],7,0)</f>
        <v>0</v>
      </c>
      <c r="J23" s="73">
        <f>VLOOKUP(Tabla5[[#This Row],[CÓDIGO ]],Tabla15[],19)</f>
        <v>0</v>
      </c>
      <c r="K23" s="73">
        <f>Tabla5[[#This Row],[Precio de venta unitario año 2]]-Tabla5[[#This Row],[(-) Costo de producción unitario año 2]]</f>
        <v>0</v>
      </c>
      <c r="L23" s="73">
        <f>VLOOKUP(Tabla5[[#This Row],[CÓDIGO ]],Tabla3[],11,0)</f>
        <v>0</v>
      </c>
      <c r="M23" s="73">
        <f>VLOOKUP(Tabla5[[#This Row],[CÓDIGO ]],Tabla15[],20)</f>
        <v>0</v>
      </c>
      <c r="N23" s="73">
        <f>Tabla5[[#This Row],[Precio de venta unitario año 3]]-Tabla5[[#This Row],[(-) Costo de producción unitario año 3]]</f>
        <v>0</v>
      </c>
      <c r="O23" s="73">
        <f>VLOOKUP(Tabla5[[#This Row],[CÓDIGO ]],Tabla3[],15,0)</f>
        <v>0</v>
      </c>
      <c r="P23" s="73">
        <f>VLOOKUP(Tabla5[[#This Row],[CÓDIGO ]],Tabla15[],21)</f>
        <v>0</v>
      </c>
      <c r="Q23" s="73">
        <f>Tabla5[[#This Row],[Precio de venta unitario año 4]]-Tabla5[[#This Row],[(-) Costo de producción unitario año 4]]</f>
        <v>0</v>
      </c>
      <c r="R23" s="73">
        <f>VLOOKUP(Tabla5[[#This Row],[CÓDIGO ]],Tabla3[],19,0)</f>
        <v>0</v>
      </c>
      <c r="S23" s="73">
        <f>VLOOKUP(Tabla5[[#This Row],[CÓDIGO ]],Tabla15[],22)</f>
        <v>0</v>
      </c>
      <c r="T23" s="73">
        <f>Tabla5[[#This Row],[Precio de venta unitario año 5]]-Tabla5[[#This Row],[(-) Costo de producción unitario año 5]]</f>
        <v>0</v>
      </c>
    </row>
    <row r="24" spans="4:20" ht="15.75" x14ac:dyDescent="0.25">
      <c r="D24" s="62"/>
      <c r="E24" s="72" t="str">
        <f>VLOOKUP(Tabla5[[#This Row],[CÓDIGO ]],Tabla3[],2,0)</f>
        <v xml:space="preserve">Seleccionar producto o servicio </v>
      </c>
      <c r="F24" s="73">
        <f>VLOOKUP(Tabla5[[#This Row],[CÓDIGO ]],Tabla3[],4,0)</f>
        <v>0</v>
      </c>
      <c r="G24" s="73">
        <f>VLOOKUP(Tabla5[[#This Row],[CÓDIGO ]],Tabla15[],18)</f>
        <v>0</v>
      </c>
      <c r="H24" s="73">
        <f>Tabla5[[#This Row],[Precio de venta unitario año 1]]-Tabla5[[#This Row],[(-) Costo de producción unitario año 1]]</f>
        <v>0</v>
      </c>
      <c r="I24" s="73">
        <f>VLOOKUP(Tabla5[[#This Row],[CÓDIGO ]],Tabla3[],7,0)</f>
        <v>0</v>
      </c>
      <c r="J24" s="73">
        <f>VLOOKUP(Tabla5[[#This Row],[CÓDIGO ]],Tabla15[],19)</f>
        <v>0</v>
      </c>
      <c r="K24" s="73">
        <f>Tabla5[[#This Row],[Precio de venta unitario año 2]]-Tabla5[[#This Row],[(-) Costo de producción unitario año 2]]</f>
        <v>0</v>
      </c>
      <c r="L24" s="73">
        <f>VLOOKUP(Tabla5[[#This Row],[CÓDIGO ]],Tabla3[],11,0)</f>
        <v>0</v>
      </c>
      <c r="M24" s="73">
        <f>VLOOKUP(Tabla5[[#This Row],[CÓDIGO ]],Tabla15[],20)</f>
        <v>0</v>
      </c>
      <c r="N24" s="73">
        <f>Tabla5[[#This Row],[Precio de venta unitario año 3]]-Tabla5[[#This Row],[(-) Costo de producción unitario año 3]]</f>
        <v>0</v>
      </c>
      <c r="O24" s="73">
        <f>VLOOKUP(Tabla5[[#This Row],[CÓDIGO ]],Tabla3[],15,0)</f>
        <v>0</v>
      </c>
      <c r="P24" s="73">
        <f>VLOOKUP(Tabla5[[#This Row],[CÓDIGO ]],Tabla15[],21)</f>
        <v>0</v>
      </c>
      <c r="Q24" s="73">
        <f>Tabla5[[#This Row],[Precio de venta unitario año 4]]-Tabla5[[#This Row],[(-) Costo de producción unitario año 4]]</f>
        <v>0</v>
      </c>
      <c r="R24" s="73">
        <f>VLOOKUP(Tabla5[[#This Row],[CÓDIGO ]],Tabla3[],19,0)</f>
        <v>0</v>
      </c>
      <c r="S24" s="73">
        <f>VLOOKUP(Tabla5[[#This Row],[CÓDIGO ]],Tabla15[],22)</f>
        <v>0</v>
      </c>
      <c r="T24" s="73">
        <f>Tabla5[[#This Row],[Precio de venta unitario año 5]]-Tabla5[[#This Row],[(-) Costo de producción unitario año 5]]</f>
        <v>0</v>
      </c>
    </row>
    <row r="29" spans="4:20" ht="15.75" thickBot="1" x14ac:dyDescent="0.3"/>
    <row r="30" spans="4:20" ht="15" customHeight="1" x14ac:dyDescent="0.25">
      <c r="D30" s="654" t="s">
        <v>61</v>
      </c>
      <c r="E30" s="655"/>
      <c r="F30" s="655"/>
      <c r="G30" s="656"/>
      <c r="I30" s="666" t="s">
        <v>322</v>
      </c>
      <c r="J30" s="666"/>
      <c r="K30" s="666"/>
    </row>
    <row r="31" spans="4:20" x14ac:dyDescent="0.25">
      <c r="D31" s="657"/>
      <c r="E31" s="658"/>
      <c r="F31" s="658"/>
      <c r="G31" s="659"/>
      <c r="I31" s="666"/>
      <c r="J31" s="666"/>
      <c r="K31" s="666"/>
    </row>
    <row r="32" spans="4:20" x14ac:dyDescent="0.25">
      <c r="D32" s="657"/>
      <c r="E32" s="658"/>
      <c r="F32" s="658"/>
      <c r="G32" s="659"/>
      <c r="I32" s="666"/>
      <c r="J32" s="666"/>
      <c r="K32" s="666"/>
    </row>
    <row r="33" spans="4:24" ht="15.75" customHeight="1" thickBot="1" x14ac:dyDescent="0.3">
      <c r="D33" s="660"/>
      <c r="E33" s="661"/>
      <c r="F33" s="661"/>
      <c r="G33" s="662"/>
      <c r="I33" s="666"/>
      <c r="J33" s="666"/>
      <c r="K33" s="666"/>
    </row>
    <row r="35" spans="4:24" ht="15.75" x14ac:dyDescent="0.25">
      <c r="E35" s="128" t="s">
        <v>392</v>
      </c>
      <c r="F35" s="128" t="s">
        <v>59</v>
      </c>
      <c r="G35" s="89">
        <f>BASES!D7</f>
        <v>2021</v>
      </c>
      <c r="H35" s="89">
        <f>BASES!E7</f>
        <v>2022</v>
      </c>
      <c r="I35" s="89">
        <f>BASES!F7</f>
        <v>2023</v>
      </c>
      <c r="J35" s="89">
        <f>BASES!G7</f>
        <v>2024</v>
      </c>
      <c r="K35" s="89">
        <f>BASES!H7</f>
        <v>2025</v>
      </c>
    </row>
    <row r="36" spans="4:24" ht="15.75" x14ac:dyDescent="0.25">
      <c r="E36" s="129" t="s">
        <v>157</v>
      </c>
      <c r="F36" s="6"/>
      <c r="G36" s="6"/>
      <c r="H36" s="6"/>
      <c r="I36" s="6"/>
      <c r="J36" s="6"/>
      <c r="K36" s="6"/>
    </row>
    <row r="38" spans="4:24" ht="15.75" x14ac:dyDescent="0.25">
      <c r="E38" s="645" t="s">
        <v>61</v>
      </c>
      <c r="F38" s="646"/>
      <c r="G38" s="646"/>
      <c r="H38" s="646"/>
      <c r="I38" s="646"/>
      <c r="J38" s="646"/>
      <c r="K38" s="646"/>
      <c r="L38" s="646"/>
      <c r="M38" s="646"/>
      <c r="N38" s="646"/>
      <c r="O38" s="646"/>
      <c r="P38" s="646"/>
      <c r="Q38" s="646"/>
      <c r="R38" s="646"/>
      <c r="S38" s="646"/>
      <c r="T38" s="646"/>
      <c r="U38" s="646"/>
      <c r="V38" s="646"/>
      <c r="W38" s="647"/>
    </row>
    <row r="39" spans="4:24" ht="15.75" x14ac:dyDescent="0.25">
      <c r="E39" s="129" t="s">
        <v>379</v>
      </c>
      <c r="F39" s="652" t="s">
        <v>381</v>
      </c>
      <c r="G39" s="653"/>
      <c r="H39" s="653"/>
      <c r="I39" s="644">
        <f>BASES!D7</f>
        <v>2021</v>
      </c>
      <c r="J39" s="644"/>
      <c r="K39" s="644"/>
      <c r="L39" s="644">
        <f>BASES!E7</f>
        <v>2022</v>
      </c>
      <c r="M39" s="644"/>
      <c r="N39" s="644"/>
      <c r="O39" s="644">
        <f>BASES!F7</f>
        <v>2023</v>
      </c>
      <c r="P39" s="644"/>
      <c r="Q39" s="644"/>
      <c r="R39" s="644">
        <f>BASES!G7</f>
        <v>2024</v>
      </c>
      <c r="S39" s="644"/>
      <c r="T39" s="644"/>
      <c r="U39" s="644">
        <f>BASES!H7</f>
        <v>2025</v>
      </c>
      <c r="V39" s="644"/>
      <c r="W39" s="644"/>
    </row>
    <row r="40" spans="4:24" ht="15.75" x14ac:dyDescent="0.25">
      <c r="E40" s="91" t="s">
        <v>380</v>
      </c>
      <c r="F40" s="129" t="s">
        <v>382</v>
      </c>
      <c r="G40" s="129" t="s">
        <v>383</v>
      </c>
      <c r="H40" s="129" t="s">
        <v>384</v>
      </c>
      <c r="I40" s="129" t="s">
        <v>382</v>
      </c>
      <c r="J40" s="129" t="s">
        <v>383</v>
      </c>
      <c r="K40" s="129" t="s">
        <v>384</v>
      </c>
      <c r="L40" s="129" t="s">
        <v>382</v>
      </c>
      <c r="M40" s="129" t="s">
        <v>383</v>
      </c>
      <c r="N40" s="129" t="s">
        <v>384</v>
      </c>
      <c r="O40" s="129" t="s">
        <v>382</v>
      </c>
      <c r="P40" s="129" t="s">
        <v>383</v>
      </c>
      <c r="Q40" s="129" t="s">
        <v>384</v>
      </c>
      <c r="R40" s="129" t="s">
        <v>382</v>
      </c>
      <c r="S40" s="129" t="s">
        <v>383</v>
      </c>
      <c r="T40" s="129" t="s">
        <v>384</v>
      </c>
      <c r="U40" s="129" t="s">
        <v>382</v>
      </c>
      <c r="V40" s="129" t="s">
        <v>383</v>
      </c>
      <c r="W40" s="129" t="s">
        <v>384</v>
      </c>
      <c r="X40" s="92" t="s">
        <v>387</v>
      </c>
    </row>
    <row r="41" spans="4:24" ht="15.75" x14ac:dyDescent="0.25">
      <c r="E41" s="71"/>
      <c r="F41" s="78"/>
      <c r="G41" s="79"/>
      <c r="H41" s="94">
        <f t="shared" ref="H41:H47" si="0">F41*G41</f>
        <v>0</v>
      </c>
      <c r="I41" s="78"/>
      <c r="J41" s="79"/>
      <c r="K41" s="96">
        <f t="shared" ref="K41:K47" si="1">I41*J41</f>
        <v>0</v>
      </c>
      <c r="L41" s="78"/>
      <c r="M41" s="79"/>
      <c r="N41" s="94">
        <f t="shared" ref="N41:N47" si="2">L41*M41</f>
        <v>0</v>
      </c>
      <c r="O41" s="80"/>
      <c r="P41" s="81"/>
      <c r="Q41" s="94">
        <f t="shared" ref="Q41:Q47" si="3">O41*P41</f>
        <v>0</v>
      </c>
      <c r="R41" s="78"/>
      <c r="S41" s="79"/>
      <c r="T41" s="94">
        <f t="shared" ref="T41:T47" si="4">R41*S41</f>
        <v>0</v>
      </c>
      <c r="U41" s="78"/>
      <c r="V41" s="79"/>
      <c r="W41" s="94">
        <f t="shared" ref="W41:W47" si="5">U41*V41</f>
        <v>0</v>
      </c>
      <c r="X41" s="92">
        <f>BASES!G28</f>
        <v>20</v>
      </c>
    </row>
    <row r="42" spans="4:24" ht="15.75" x14ac:dyDescent="0.25">
      <c r="E42" s="71"/>
      <c r="F42" s="78"/>
      <c r="G42" s="79"/>
      <c r="H42" s="94">
        <f t="shared" si="0"/>
        <v>0</v>
      </c>
      <c r="I42" s="78"/>
      <c r="J42" s="79"/>
      <c r="K42" s="96">
        <f t="shared" si="1"/>
        <v>0</v>
      </c>
      <c r="L42" s="78"/>
      <c r="M42" s="79"/>
      <c r="N42" s="94">
        <f t="shared" si="2"/>
        <v>0</v>
      </c>
      <c r="O42" s="80"/>
      <c r="P42" s="81"/>
      <c r="Q42" s="94">
        <f t="shared" si="3"/>
        <v>0</v>
      </c>
      <c r="R42" s="78"/>
      <c r="S42" s="79"/>
      <c r="T42" s="94">
        <f t="shared" si="4"/>
        <v>0</v>
      </c>
      <c r="U42" s="78"/>
      <c r="V42" s="79"/>
      <c r="W42" s="94">
        <f t="shared" si="5"/>
        <v>0</v>
      </c>
      <c r="X42" s="92">
        <f t="shared" ref="X42:X47" si="6">X41</f>
        <v>20</v>
      </c>
    </row>
    <row r="43" spans="4:24" ht="15.75" x14ac:dyDescent="0.25">
      <c r="E43" s="71"/>
      <c r="F43" s="78"/>
      <c r="G43" s="79"/>
      <c r="H43" s="94">
        <f t="shared" si="0"/>
        <v>0</v>
      </c>
      <c r="I43" s="78"/>
      <c r="J43" s="79"/>
      <c r="K43" s="96">
        <f t="shared" si="1"/>
        <v>0</v>
      </c>
      <c r="L43" s="78"/>
      <c r="M43" s="79"/>
      <c r="N43" s="94">
        <f t="shared" si="2"/>
        <v>0</v>
      </c>
      <c r="O43" s="80"/>
      <c r="P43" s="81"/>
      <c r="Q43" s="94">
        <f t="shared" si="3"/>
        <v>0</v>
      </c>
      <c r="R43" s="78"/>
      <c r="S43" s="79"/>
      <c r="T43" s="94">
        <f t="shared" si="4"/>
        <v>0</v>
      </c>
      <c r="U43" s="78"/>
      <c r="V43" s="79"/>
      <c r="W43" s="94">
        <f t="shared" si="5"/>
        <v>0</v>
      </c>
      <c r="X43" s="92">
        <f t="shared" si="6"/>
        <v>20</v>
      </c>
    </row>
    <row r="44" spans="4:24" ht="15.75" x14ac:dyDescent="0.25">
      <c r="E44" s="71"/>
      <c r="F44" s="78"/>
      <c r="G44" s="79"/>
      <c r="H44" s="94">
        <f t="shared" si="0"/>
        <v>0</v>
      </c>
      <c r="I44" s="78"/>
      <c r="J44" s="79"/>
      <c r="K44" s="96">
        <f t="shared" si="1"/>
        <v>0</v>
      </c>
      <c r="L44" s="78"/>
      <c r="M44" s="79"/>
      <c r="N44" s="94">
        <f t="shared" si="2"/>
        <v>0</v>
      </c>
      <c r="O44" s="80"/>
      <c r="P44" s="81"/>
      <c r="Q44" s="94">
        <f t="shared" si="3"/>
        <v>0</v>
      </c>
      <c r="R44" s="78"/>
      <c r="S44" s="79"/>
      <c r="T44" s="94">
        <f t="shared" si="4"/>
        <v>0</v>
      </c>
      <c r="U44" s="78"/>
      <c r="V44" s="79"/>
      <c r="W44" s="94">
        <f t="shared" si="5"/>
        <v>0</v>
      </c>
      <c r="X44" s="92">
        <f t="shared" si="6"/>
        <v>20</v>
      </c>
    </row>
    <row r="45" spans="4:24" ht="15.75" x14ac:dyDescent="0.25">
      <c r="E45" s="71"/>
      <c r="F45" s="78"/>
      <c r="G45" s="79"/>
      <c r="H45" s="94">
        <f t="shared" si="0"/>
        <v>0</v>
      </c>
      <c r="I45" s="78"/>
      <c r="J45" s="79"/>
      <c r="K45" s="96">
        <f t="shared" si="1"/>
        <v>0</v>
      </c>
      <c r="L45" s="78"/>
      <c r="M45" s="79"/>
      <c r="N45" s="94">
        <f t="shared" si="2"/>
        <v>0</v>
      </c>
      <c r="O45" s="80"/>
      <c r="P45" s="81"/>
      <c r="Q45" s="94">
        <f t="shared" si="3"/>
        <v>0</v>
      </c>
      <c r="R45" s="78"/>
      <c r="S45" s="79"/>
      <c r="T45" s="94">
        <f t="shared" si="4"/>
        <v>0</v>
      </c>
      <c r="U45" s="78"/>
      <c r="V45" s="79"/>
      <c r="W45" s="94">
        <f t="shared" si="5"/>
        <v>0</v>
      </c>
      <c r="X45" s="92">
        <f t="shared" si="6"/>
        <v>20</v>
      </c>
    </row>
    <row r="46" spans="4:24" ht="15.75" x14ac:dyDescent="0.25">
      <c r="E46" s="71"/>
      <c r="F46" s="78"/>
      <c r="G46" s="79"/>
      <c r="H46" s="94">
        <f t="shared" si="0"/>
        <v>0</v>
      </c>
      <c r="I46" s="78"/>
      <c r="J46" s="79"/>
      <c r="K46" s="96">
        <f t="shared" si="1"/>
        <v>0</v>
      </c>
      <c r="L46" s="78"/>
      <c r="M46" s="79"/>
      <c r="N46" s="94">
        <f t="shared" si="2"/>
        <v>0</v>
      </c>
      <c r="O46" s="80"/>
      <c r="P46" s="81"/>
      <c r="Q46" s="94">
        <f t="shared" si="3"/>
        <v>0</v>
      </c>
      <c r="R46" s="78"/>
      <c r="S46" s="79"/>
      <c r="T46" s="94">
        <f t="shared" si="4"/>
        <v>0</v>
      </c>
      <c r="U46" s="78"/>
      <c r="V46" s="79"/>
      <c r="W46" s="94">
        <f t="shared" si="5"/>
        <v>0</v>
      </c>
      <c r="X46" s="92">
        <f t="shared" si="6"/>
        <v>20</v>
      </c>
    </row>
    <row r="47" spans="4:24" ht="15.75" x14ac:dyDescent="0.25">
      <c r="E47" s="82"/>
      <c r="F47" s="83"/>
      <c r="G47" s="84"/>
      <c r="H47" s="94">
        <f t="shared" si="0"/>
        <v>0</v>
      </c>
      <c r="I47" s="78"/>
      <c r="J47" s="79"/>
      <c r="K47" s="96">
        <f t="shared" si="1"/>
        <v>0</v>
      </c>
      <c r="L47" s="78"/>
      <c r="M47" s="79"/>
      <c r="N47" s="94">
        <f t="shared" si="2"/>
        <v>0</v>
      </c>
      <c r="O47" s="80"/>
      <c r="P47" s="81"/>
      <c r="Q47" s="94">
        <f t="shared" si="3"/>
        <v>0</v>
      </c>
      <c r="R47" s="78"/>
      <c r="S47" s="79"/>
      <c r="T47" s="94">
        <f t="shared" si="4"/>
        <v>0</v>
      </c>
      <c r="U47" s="78"/>
      <c r="V47" s="79"/>
      <c r="W47" s="94">
        <f t="shared" si="5"/>
        <v>0</v>
      </c>
      <c r="X47" s="92">
        <f t="shared" si="6"/>
        <v>20</v>
      </c>
    </row>
    <row r="48" spans="4:24" ht="15.75" x14ac:dyDescent="0.25">
      <c r="E48" s="92" t="s">
        <v>385</v>
      </c>
      <c r="F48" s="93"/>
      <c r="G48" s="94"/>
      <c r="H48" s="95">
        <f>SUM(H41:H47)</f>
        <v>0</v>
      </c>
      <c r="I48" s="93"/>
      <c r="J48" s="94"/>
      <c r="K48" s="95">
        <f>SUM(K41:K47)</f>
        <v>0</v>
      </c>
      <c r="L48" s="93"/>
      <c r="M48" s="94"/>
      <c r="N48" s="95">
        <f>SUM(N41:N47)</f>
        <v>0</v>
      </c>
      <c r="O48" s="93"/>
      <c r="P48" s="94"/>
      <c r="Q48" s="95">
        <f>SUM(Q41:Q47)</f>
        <v>0</v>
      </c>
      <c r="R48" s="93"/>
      <c r="S48" s="94"/>
      <c r="T48" s="95">
        <f>SUM(T41:T47)</f>
        <v>0</v>
      </c>
      <c r="U48" s="93"/>
      <c r="V48" s="94"/>
      <c r="W48" s="95">
        <f>SUM(W41:W47)</f>
        <v>0</v>
      </c>
      <c r="X48" s="92"/>
    </row>
    <row r="49" spans="1:24" s="88" customFormat="1" ht="15.75" x14ac:dyDescent="0.25">
      <c r="A49" s="2"/>
      <c r="B49" s="2"/>
      <c r="C49" s="2"/>
      <c r="D49" s="2"/>
      <c r="E49" s="85"/>
      <c r="F49" s="86"/>
      <c r="G49" s="87"/>
      <c r="H49" s="87"/>
      <c r="I49" s="86"/>
      <c r="J49" s="87"/>
      <c r="K49" s="87"/>
      <c r="L49" s="86"/>
      <c r="M49" s="87"/>
      <c r="N49" s="87"/>
      <c r="O49" s="86"/>
      <c r="P49" s="87"/>
      <c r="Q49" s="87"/>
      <c r="R49" s="86"/>
      <c r="S49" s="87"/>
      <c r="T49" s="87"/>
      <c r="U49" s="86"/>
      <c r="V49" s="87"/>
      <c r="W49" s="87"/>
    </row>
    <row r="50" spans="1:24" ht="15.75" x14ac:dyDescent="0.25">
      <c r="E50" s="97" t="s">
        <v>386</v>
      </c>
      <c r="F50" s="129" t="s">
        <v>382</v>
      </c>
      <c r="G50" s="129" t="s">
        <v>383</v>
      </c>
      <c r="H50" s="129" t="s">
        <v>384</v>
      </c>
      <c r="I50" s="129" t="s">
        <v>382</v>
      </c>
      <c r="J50" s="129" t="s">
        <v>383</v>
      </c>
      <c r="K50" s="129" t="s">
        <v>384</v>
      </c>
      <c r="L50" s="129" t="s">
        <v>382</v>
      </c>
      <c r="M50" s="129" t="s">
        <v>383</v>
      </c>
      <c r="N50" s="129" t="s">
        <v>384</v>
      </c>
      <c r="O50" s="129" t="s">
        <v>382</v>
      </c>
      <c r="P50" s="129" t="s">
        <v>383</v>
      </c>
      <c r="Q50" s="129" t="s">
        <v>384</v>
      </c>
      <c r="R50" s="129" t="s">
        <v>382</v>
      </c>
      <c r="S50" s="129" t="s">
        <v>383</v>
      </c>
      <c r="T50" s="129" t="s">
        <v>384</v>
      </c>
      <c r="U50" s="129" t="s">
        <v>382</v>
      </c>
      <c r="V50" s="129" t="s">
        <v>383</v>
      </c>
      <c r="W50" s="129" t="s">
        <v>384</v>
      </c>
      <c r="X50" s="90" t="s">
        <v>387</v>
      </c>
    </row>
    <row r="51" spans="1:24" ht="15.75" x14ac:dyDescent="0.25">
      <c r="D51"/>
      <c r="E51" s="71"/>
      <c r="F51" s="78"/>
      <c r="G51" s="79"/>
      <c r="H51" s="94">
        <f t="shared" ref="H51:H90" si="7">F51*G51</f>
        <v>0</v>
      </c>
      <c r="I51" s="78"/>
      <c r="J51" s="79"/>
      <c r="K51" s="94">
        <f t="shared" ref="K51:K90" si="8">I51*J51</f>
        <v>0</v>
      </c>
      <c r="L51" s="78"/>
      <c r="M51" s="79"/>
      <c r="N51" s="94">
        <f t="shared" ref="N51:N90" si="9">L51*M51</f>
        <v>0</v>
      </c>
      <c r="O51" s="78"/>
      <c r="P51" s="79"/>
      <c r="Q51" s="94">
        <f t="shared" ref="Q51:Q90" si="10">O51*P51</f>
        <v>0</v>
      </c>
      <c r="R51" s="78"/>
      <c r="S51" s="79"/>
      <c r="T51" s="94">
        <f t="shared" ref="T51:T90" si="11">R51*S51</f>
        <v>0</v>
      </c>
      <c r="U51" s="78"/>
      <c r="V51" s="79"/>
      <c r="W51" s="94">
        <f t="shared" ref="W51:W90" si="12">U51*V51</f>
        <v>0</v>
      </c>
      <c r="X51" s="92">
        <f>BASES!G29</f>
        <v>10</v>
      </c>
    </row>
    <row r="52" spans="1:24" ht="15.75" x14ac:dyDescent="0.25">
      <c r="D52"/>
      <c r="E52" s="71"/>
      <c r="F52" s="78"/>
      <c r="G52" s="79"/>
      <c r="H52" s="94">
        <f t="shared" si="7"/>
        <v>0</v>
      </c>
      <c r="I52" s="78"/>
      <c r="J52" s="79"/>
      <c r="K52" s="94">
        <f t="shared" si="8"/>
        <v>0</v>
      </c>
      <c r="L52" s="78"/>
      <c r="M52" s="79"/>
      <c r="N52" s="94">
        <f t="shared" si="9"/>
        <v>0</v>
      </c>
      <c r="O52" s="78"/>
      <c r="P52" s="79"/>
      <c r="Q52" s="94">
        <f t="shared" si="10"/>
        <v>0</v>
      </c>
      <c r="R52" s="78"/>
      <c r="S52" s="79"/>
      <c r="T52" s="94">
        <f t="shared" si="11"/>
        <v>0</v>
      </c>
      <c r="U52" s="78"/>
      <c r="V52" s="79"/>
      <c r="W52" s="94">
        <f t="shared" si="12"/>
        <v>0</v>
      </c>
      <c r="X52" s="92">
        <f t="shared" ref="X52:X90" si="13">X51</f>
        <v>10</v>
      </c>
    </row>
    <row r="53" spans="1:24" ht="15.75" x14ac:dyDescent="0.25">
      <c r="D53"/>
      <c r="E53" s="71"/>
      <c r="F53" s="78"/>
      <c r="G53" s="79"/>
      <c r="H53" s="94">
        <f t="shared" si="7"/>
        <v>0</v>
      </c>
      <c r="I53" s="78"/>
      <c r="J53" s="79"/>
      <c r="K53" s="94">
        <f t="shared" si="8"/>
        <v>0</v>
      </c>
      <c r="L53" s="78"/>
      <c r="M53" s="79"/>
      <c r="N53" s="94">
        <f t="shared" si="9"/>
        <v>0</v>
      </c>
      <c r="O53" s="78"/>
      <c r="P53" s="79"/>
      <c r="Q53" s="94">
        <f t="shared" si="10"/>
        <v>0</v>
      </c>
      <c r="R53" s="78"/>
      <c r="S53" s="79"/>
      <c r="T53" s="94">
        <f t="shared" si="11"/>
        <v>0</v>
      </c>
      <c r="U53" s="78"/>
      <c r="V53" s="79"/>
      <c r="W53" s="94">
        <f t="shared" si="12"/>
        <v>0</v>
      </c>
      <c r="X53" s="92">
        <f t="shared" si="13"/>
        <v>10</v>
      </c>
    </row>
    <row r="54" spans="1:24" ht="15.75" x14ac:dyDescent="0.25">
      <c r="D54"/>
      <c r="E54" s="71"/>
      <c r="F54" s="78"/>
      <c r="G54" s="79"/>
      <c r="H54" s="94">
        <f t="shared" si="7"/>
        <v>0</v>
      </c>
      <c r="I54" s="78"/>
      <c r="J54" s="79"/>
      <c r="K54" s="94">
        <f t="shared" si="8"/>
        <v>0</v>
      </c>
      <c r="L54" s="78"/>
      <c r="M54" s="79"/>
      <c r="N54" s="94">
        <f t="shared" si="9"/>
        <v>0</v>
      </c>
      <c r="O54" s="78"/>
      <c r="P54" s="79"/>
      <c r="Q54" s="94">
        <f t="shared" si="10"/>
        <v>0</v>
      </c>
      <c r="R54" s="78"/>
      <c r="S54" s="79"/>
      <c r="T54" s="94">
        <f t="shared" si="11"/>
        <v>0</v>
      </c>
      <c r="U54" s="78"/>
      <c r="V54" s="79"/>
      <c r="W54" s="94">
        <f t="shared" si="12"/>
        <v>0</v>
      </c>
      <c r="X54" s="92">
        <f t="shared" si="13"/>
        <v>10</v>
      </c>
    </row>
    <row r="55" spans="1:24" ht="15.75" x14ac:dyDescent="0.25">
      <c r="D55"/>
      <c r="E55" s="71"/>
      <c r="F55" s="78"/>
      <c r="G55" s="79"/>
      <c r="H55" s="94">
        <f t="shared" si="7"/>
        <v>0</v>
      </c>
      <c r="I55" s="78"/>
      <c r="J55" s="79"/>
      <c r="K55" s="94">
        <f t="shared" si="8"/>
        <v>0</v>
      </c>
      <c r="L55" s="78"/>
      <c r="M55" s="79"/>
      <c r="N55" s="94">
        <f t="shared" si="9"/>
        <v>0</v>
      </c>
      <c r="O55" s="78"/>
      <c r="P55" s="79"/>
      <c r="Q55" s="94">
        <f t="shared" si="10"/>
        <v>0</v>
      </c>
      <c r="R55" s="78"/>
      <c r="S55" s="79"/>
      <c r="T55" s="94">
        <f t="shared" si="11"/>
        <v>0</v>
      </c>
      <c r="U55" s="78"/>
      <c r="V55" s="79"/>
      <c r="W55" s="94">
        <f t="shared" si="12"/>
        <v>0</v>
      </c>
      <c r="X55" s="92">
        <f t="shared" si="13"/>
        <v>10</v>
      </c>
    </row>
    <row r="56" spans="1:24" ht="15.75" x14ac:dyDescent="0.25">
      <c r="D56"/>
      <c r="E56" s="71"/>
      <c r="F56" s="78"/>
      <c r="G56" s="79"/>
      <c r="H56" s="94">
        <f t="shared" si="7"/>
        <v>0</v>
      </c>
      <c r="I56" s="78"/>
      <c r="J56" s="79"/>
      <c r="K56" s="94">
        <f t="shared" si="8"/>
        <v>0</v>
      </c>
      <c r="L56" s="78"/>
      <c r="M56" s="79"/>
      <c r="N56" s="94">
        <f t="shared" si="9"/>
        <v>0</v>
      </c>
      <c r="O56" s="78"/>
      <c r="P56" s="79"/>
      <c r="Q56" s="94">
        <f t="shared" si="10"/>
        <v>0</v>
      </c>
      <c r="R56" s="78"/>
      <c r="S56" s="79"/>
      <c r="T56" s="94">
        <f t="shared" si="11"/>
        <v>0</v>
      </c>
      <c r="U56" s="78"/>
      <c r="V56" s="79"/>
      <c r="W56" s="94">
        <f t="shared" si="12"/>
        <v>0</v>
      </c>
      <c r="X56" s="92">
        <f t="shared" si="13"/>
        <v>10</v>
      </c>
    </row>
    <row r="57" spans="1:24" ht="15.75" x14ac:dyDescent="0.25">
      <c r="D57"/>
      <c r="E57" s="71"/>
      <c r="F57" s="78"/>
      <c r="G57" s="79"/>
      <c r="H57" s="94">
        <f t="shared" si="7"/>
        <v>0</v>
      </c>
      <c r="I57" s="78"/>
      <c r="J57" s="79"/>
      <c r="K57" s="94">
        <f t="shared" si="8"/>
        <v>0</v>
      </c>
      <c r="L57" s="78"/>
      <c r="M57" s="79"/>
      <c r="N57" s="94">
        <f t="shared" si="9"/>
        <v>0</v>
      </c>
      <c r="O57" s="78"/>
      <c r="P57" s="79"/>
      <c r="Q57" s="94">
        <f t="shared" si="10"/>
        <v>0</v>
      </c>
      <c r="R57" s="78"/>
      <c r="S57" s="79"/>
      <c r="T57" s="94">
        <f t="shared" si="11"/>
        <v>0</v>
      </c>
      <c r="U57" s="78"/>
      <c r="V57" s="79"/>
      <c r="W57" s="94">
        <f t="shared" si="12"/>
        <v>0</v>
      </c>
      <c r="X57" s="92">
        <f t="shared" si="13"/>
        <v>10</v>
      </c>
    </row>
    <row r="58" spans="1:24" ht="15.75" x14ac:dyDescent="0.25">
      <c r="D58"/>
      <c r="E58" s="71"/>
      <c r="F58" s="78"/>
      <c r="G58" s="79"/>
      <c r="H58" s="94">
        <f t="shared" si="7"/>
        <v>0</v>
      </c>
      <c r="I58" s="78"/>
      <c r="J58" s="79"/>
      <c r="K58" s="94">
        <f t="shared" si="8"/>
        <v>0</v>
      </c>
      <c r="L58" s="78"/>
      <c r="M58" s="79"/>
      <c r="N58" s="94">
        <f t="shared" si="9"/>
        <v>0</v>
      </c>
      <c r="O58" s="78"/>
      <c r="P58" s="79"/>
      <c r="Q58" s="94">
        <f t="shared" si="10"/>
        <v>0</v>
      </c>
      <c r="R58" s="78"/>
      <c r="S58" s="79"/>
      <c r="T58" s="94">
        <f t="shared" si="11"/>
        <v>0</v>
      </c>
      <c r="U58" s="78"/>
      <c r="V58" s="79"/>
      <c r="W58" s="94">
        <f t="shared" si="12"/>
        <v>0</v>
      </c>
      <c r="X58" s="92">
        <f t="shared" si="13"/>
        <v>10</v>
      </c>
    </row>
    <row r="59" spans="1:24" ht="15.75" x14ac:dyDescent="0.25">
      <c r="D59"/>
      <c r="E59" s="71"/>
      <c r="F59" s="78"/>
      <c r="G59" s="79"/>
      <c r="H59" s="94">
        <f t="shared" si="7"/>
        <v>0</v>
      </c>
      <c r="I59" s="78"/>
      <c r="J59" s="79"/>
      <c r="K59" s="94">
        <f t="shared" si="8"/>
        <v>0</v>
      </c>
      <c r="L59" s="78"/>
      <c r="M59" s="79"/>
      <c r="N59" s="94">
        <f t="shared" si="9"/>
        <v>0</v>
      </c>
      <c r="O59" s="78"/>
      <c r="P59" s="79"/>
      <c r="Q59" s="94">
        <f t="shared" si="10"/>
        <v>0</v>
      </c>
      <c r="R59" s="78"/>
      <c r="S59" s="79"/>
      <c r="T59" s="94">
        <f t="shared" si="11"/>
        <v>0</v>
      </c>
      <c r="U59" s="78"/>
      <c r="V59" s="79"/>
      <c r="W59" s="94">
        <f t="shared" si="12"/>
        <v>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E91" s="92" t="s">
        <v>63</v>
      </c>
      <c r="F91" s="93"/>
      <c r="G91" s="94"/>
      <c r="H91" s="95">
        <f>SUM(H51:H90)</f>
        <v>0</v>
      </c>
      <c r="I91" s="93"/>
      <c r="J91" s="94"/>
      <c r="K91" s="95">
        <f>SUM(K51:K90)</f>
        <v>0</v>
      </c>
      <c r="L91" s="93"/>
      <c r="M91" s="94"/>
      <c r="N91" s="95">
        <f>SUM(N51:N90)</f>
        <v>0</v>
      </c>
      <c r="O91" s="93"/>
      <c r="P91" s="94"/>
      <c r="Q91" s="95">
        <f>SUM(Q51:Q90)</f>
        <v>0</v>
      </c>
      <c r="R91" s="93"/>
      <c r="S91" s="94"/>
      <c r="T91" s="95">
        <f>SUM(T51:T90)</f>
        <v>0</v>
      </c>
      <c r="U91" s="93"/>
      <c r="V91" s="94"/>
      <c r="W91" s="95">
        <f>SUM(W51:W90)</f>
        <v>0</v>
      </c>
      <c r="X91" s="92"/>
    </row>
    <row r="93" spans="4:24" ht="15.75" x14ac:dyDescent="0.25">
      <c r="E93" s="97" t="s">
        <v>294</v>
      </c>
      <c r="F93" s="129" t="s">
        <v>382</v>
      </c>
      <c r="G93" s="129" t="s">
        <v>383</v>
      </c>
      <c r="H93" s="129" t="s">
        <v>384</v>
      </c>
      <c r="I93" s="129" t="s">
        <v>382</v>
      </c>
      <c r="J93" s="129" t="s">
        <v>383</v>
      </c>
      <c r="K93" s="129" t="s">
        <v>384</v>
      </c>
      <c r="L93" s="129" t="s">
        <v>382</v>
      </c>
      <c r="M93" s="129" t="s">
        <v>383</v>
      </c>
      <c r="N93" s="129" t="s">
        <v>384</v>
      </c>
      <c r="O93" s="129" t="s">
        <v>382</v>
      </c>
      <c r="P93" s="129" t="s">
        <v>383</v>
      </c>
      <c r="Q93" s="129" t="s">
        <v>384</v>
      </c>
      <c r="R93" s="129" t="s">
        <v>382</v>
      </c>
      <c r="S93" s="129" t="s">
        <v>383</v>
      </c>
      <c r="T93" s="129" t="s">
        <v>384</v>
      </c>
      <c r="U93" s="129" t="s">
        <v>382</v>
      </c>
      <c r="V93" s="129" t="s">
        <v>383</v>
      </c>
      <c r="W93" s="98" t="s">
        <v>384</v>
      </c>
      <c r="X93" s="90" t="s">
        <v>387</v>
      </c>
    </row>
    <row r="94" spans="4:24" ht="15.75" x14ac:dyDescent="0.25">
      <c r="E94" s="71"/>
      <c r="F94" s="78"/>
      <c r="G94" s="79"/>
      <c r="H94" s="94">
        <f t="shared" ref="H94:H125" si="14">F94*G94</f>
        <v>0</v>
      </c>
      <c r="I94" s="78"/>
      <c r="J94" s="79"/>
      <c r="K94" s="94">
        <f t="shared" ref="K94:K125" si="15">I94*J94</f>
        <v>0</v>
      </c>
      <c r="L94" s="78"/>
      <c r="M94" s="79"/>
      <c r="N94" s="94">
        <f t="shared" ref="N94:N125" si="16">L94*M94</f>
        <v>0</v>
      </c>
      <c r="O94" s="78"/>
      <c r="P94" s="79"/>
      <c r="Q94" s="94">
        <f t="shared" ref="Q94:Q125" si="17">O94*P94</f>
        <v>0</v>
      </c>
      <c r="R94" s="78"/>
      <c r="S94" s="79"/>
      <c r="T94" s="94">
        <f t="shared" ref="T94:T125" si="18">R94*S94</f>
        <v>0</v>
      </c>
      <c r="U94" s="78"/>
      <c r="V94" s="79"/>
      <c r="W94" s="94">
        <f t="shared" ref="W94:W125" si="19">U94*V94</f>
        <v>0</v>
      </c>
      <c r="X94" s="92">
        <f>BASES!G30</f>
        <v>5</v>
      </c>
    </row>
    <row r="95" spans="4:24" ht="15.75" x14ac:dyDescent="0.25">
      <c r="E95" s="71"/>
      <c r="F95" s="78"/>
      <c r="G95" s="79"/>
      <c r="H95" s="94">
        <f t="shared" si="14"/>
        <v>0</v>
      </c>
      <c r="I95" s="78"/>
      <c r="J95" s="79"/>
      <c r="K95" s="94">
        <f t="shared" si="15"/>
        <v>0</v>
      </c>
      <c r="L95" s="78"/>
      <c r="M95" s="79"/>
      <c r="N95" s="94">
        <f t="shared" si="16"/>
        <v>0</v>
      </c>
      <c r="O95" s="78"/>
      <c r="P95" s="79"/>
      <c r="Q95" s="94">
        <f t="shared" si="17"/>
        <v>0</v>
      </c>
      <c r="R95" s="78"/>
      <c r="S95" s="79"/>
      <c r="T95" s="94">
        <f t="shared" si="18"/>
        <v>0</v>
      </c>
      <c r="U95" s="78"/>
      <c r="V95" s="79"/>
      <c r="W95" s="94">
        <f t="shared" si="19"/>
        <v>0</v>
      </c>
      <c r="X95" s="92">
        <f t="shared" ref="X95:X126" si="20">X94</f>
        <v>5</v>
      </c>
    </row>
    <row r="96" spans="4:24" ht="15.75" x14ac:dyDescent="0.25">
      <c r="E96" s="71"/>
      <c r="F96" s="78"/>
      <c r="G96" s="79"/>
      <c r="H96" s="94">
        <f t="shared" si="14"/>
        <v>0</v>
      </c>
      <c r="I96" s="78"/>
      <c r="J96" s="79"/>
      <c r="K96" s="94">
        <f t="shared" si="15"/>
        <v>0</v>
      </c>
      <c r="L96" s="78"/>
      <c r="M96" s="79"/>
      <c r="N96" s="94">
        <f t="shared" si="16"/>
        <v>0</v>
      </c>
      <c r="O96" s="78"/>
      <c r="P96" s="79"/>
      <c r="Q96" s="94">
        <f t="shared" si="17"/>
        <v>0</v>
      </c>
      <c r="R96" s="78"/>
      <c r="S96" s="79"/>
      <c r="T96" s="94">
        <f t="shared" si="18"/>
        <v>0</v>
      </c>
      <c r="U96" s="78"/>
      <c r="V96" s="79"/>
      <c r="W96" s="94">
        <f t="shared" si="19"/>
        <v>0</v>
      </c>
      <c r="X96" s="92">
        <f t="shared" si="20"/>
        <v>5</v>
      </c>
    </row>
    <row r="97" spans="5:24" ht="15.75" x14ac:dyDescent="0.25">
      <c r="E97" s="71"/>
      <c r="F97" s="78"/>
      <c r="G97" s="79"/>
      <c r="H97" s="94">
        <f t="shared" si="14"/>
        <v>0</v>
      </c>
      <c r="I97" s="78"/>
      <c r="J97" s="79"/>
      <c r="K97" s="94">
        <f t="shared" si="15"/>
        <v>0</v>
      </c>
      <c r="L97" s="78"/>
      <c r="M97" s="79"/>
      <c r="N97" s="94">
        <f t="shared" si="16"/>
        <v>0</v>
      </c>
      <c r="O97" s="78"/>
      <c r="P97" s="79"/>
      <c r="Q97" s="94">
        <f t="shared" si="17"/>
        <v>0</v>
      </c>
      <c r="R97" s="78"/>
      <c r="S97" s="79"/>
      <c r="T97" s="94">
        <f t="shared" si="18"/>
        <v>0</v>
      </c>
      <c r="U97" s="78"/>
      <c r="V97" s="79"/>
      <c r="W97" s="94">
        <f t="shared" si="19"/>
        <v>0</v>
      </c>
      <c r="X97" s="92">
        <f t="shared" si="20"/>
        <v>5</v>
      </c>
    </row>
    <row r="98" spans="5:24" ht="15.75" x14ac:dyDescent="0.25">
      <c r="E98" s="71"/>
      <c r="F98" s="78"/>
      <c r="G98" s="79"/>
      <c r="H98" s="94">
        <f t="shared" si="14"/>
        <v>0</v>
      </c>
      <c r="I98" s="78"/>
      <c r="J98" s="79"/>
      <c r="K98" s="94">
        <f t="shared" si="15"/>
        <v>0</v>
      </c>
      <c r="L98" s="78"/>
      <c r="M98" s="79"/>
      <c r="N98" s="94">
        <f t="shared" si="16"/>
        <v>0</v>
      </c>
      <c r="O98" s="78"/>
      <c r="P98" s="79"/>
      <c r="Q98" s="94">
        <f t="shared" si="17"/>
        <v>0</v>
      </c>
      <c r="R98" s="78"/>
      <c r="S98" s="79"/>
      <c r="T98" s="94">
        <f t="shared" si="18"/>
        <v>0</v>
      </c>
      <c r="U98" s="78"/>
      <c r="V98" s="79"/>
      <c r="W98" s="94">
        <f t="shared" si="19"/>
        <v>0</v>
      </c>
      <c r="X98" s="92">
        <f t="shared" si="20"/>
        <v>5</v>
      </c>
    </row>
    <row r="99" spans="5:24" ht="15.75" x14ac:dyDescent="0.25">
      <c r="E99" s="71"/>
      <c r="F99" s="78"/>
      <c r="G99" s="79"/>
      <c r="H99" s="94">
        <f t="shared" si="14"/>
        <v>0</v>
      </c>
      <c r="I99" s="78"/>
      <c r="J99" s="79"/>
      <c r="K99" s="94">
        <f t="shared" si="15"/>
        <v>0</v>
      </c>
      <c r="L99" s="78"/>
      <c r="M99" s="79"/>
      <c r="N99" s="94">
        <f t="shared" si="16"/>
        <v>0</v>
      </c>
      <c r="O99" s="78"/>
      <c r="P99" s="79"/>
      <c r="Q99" s="94">
        <f t="shared" si="17"/>
        <v>0</v>
      </c>
      <c r="R99" s="78"/>
      <c r="S99" s="79"/>
      <c r="T99" s="94">
        <f t="shared" si="18"/>
        <v>0</v>
      </c>
      <c r="U99" s="78"/>
      <c r="V99" s="79"/>
      <c r="W99" s="94">
        <f t="shared" si="19"/>
        <v>0</v>
      </c>
      <c r="X99" s="92">
        <f t="shared" si="20"/>
        <v>5</v>
      </c>
    </row>
    <row r="100" spans="5:24" ht="15.75" x14ac:dyDescent="0.25">
      <c r="E100" s="71"/>
      <c r="F100" s="78"/>
      <c r="G100" s="79"/>
      <c r="H100" s="94">
        <f t="shared" si="14"/>
        <v>0</v>
      </c>
      <c r="I100" s="78"/>
      <c r="J100" s="79"/>
      <c r="K100" s="94">
        <f t="shared" si="15"/>
        <v>0</v>
      </c>
      <c r="L100" s="78"/>
      <c r="M100" s="79"/>
      <c r="N100" s="94">
        <f t="shared" si="16"/>
        <v>0</v>
      </c>
      <c r="O100" s="78"/>
      <c r="P100" s="79"/>
      <c r="Q100" s="94">
        <f t="shared" si="17"/>
        <v>0</v>
      </c>
      <c r="R100" s="78"/>
      <c r="S100" s="79"/>
      <c r="T100" s="94">
        <f t="shared" si="18"/>
        <v>0</v>
      </c>
      <c r="U100" s="78"/>
      <c r="V100" s="79"/>
      <c r="W100" s="94">
        <f t="shared" si="19"/>
        <v>0</v>
      </c>
      <c r="X100" s="92">
        <f t="shared" si="20"/>
        <v>5</v>
      </c>
    </row>
    <row r="101" spans="5:24" ht="15.75" x14ac:dyDescent="0.25">
      <c r="E101" s="71"/>
      <c r="F101" s="78"/>
      <c r="G101" s="79"/>
      <c r="H101" s="94">
        <f t="shared" si="14"/>
        <v>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si="20"/>
        <v>5</v>
      </c>
    </row>
    <row r="102" spans="5:24" ht="15.75" x14ac:dyDescent="0.25">
      <c r="E102" s="71"/>
      <c r="F102" s="78"/>
      <c r="G102" s="79"/>
      <c r="H102" s="94">
        <f t="shared" si="14"/>
        <v>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ref="H126:H143" si="21">F126*G126</f>
        <v>0</v>
      </c>
      <c r="I126" s="78"/>
      <c r="J126" s="79"/>
      <c r="K126" s="94">
        <f t="shared" ref="K126:K143" si="22">I126*J126</f>
        <v>0</v>
      </c>
      <c r="L126" s="78"/>
      <c r="M126" s="79"/>
      <c r="N126" s="94">
        <f t="shared" ref="N126:N143" si="23">L126*M126</f>
        <v>0</v>
      </c>
      <c r="O126" s="78"/>
      <c r="P126" s="79"/>
      <c r="Q126" s="94">
        <f t="shared" ref="Q126:Q143" si="24">O126*P126</f>
        <v>0</v>
      </c>
      <c r="R126" s="78"/>
      <c r="S126" s="79"/>
      <c r="T126" s="94">
        <f t="shared" ref="T126:T143" si="25">R126*S126</f>
        <v>0</v>
      </c>
      <c r="U126" s="78"/>
      <c r="V126" s="79"/>
      <c r="W126" s="94">
        <f t="shared" ref="W126:W143" si="26">U126*V126</f>
        <v>0</v>
      </c>
      <c r="X126" s="92">
        <f t="shared" si="20"/>
        <v>5</v>
      </c>
    </row>
    <row r="127" spans="5:24" ht="15.75" x14ac:dyDescent="0.25">
      <c r="E127" s="71"/>
      <c r="F127" s="78"/>
      <c r="G127" s="79"/>
      <c r="H127" s="94">
        <f t="shared" si="21"/>
        <v>0</v>
      </c>
      <c r="I127" s="78"/>
      <c r="J127" s="79"/>
      <c r="K127" s="94">
        <f t="shared" si="22"/>
        <v>0</v>
      </c>
      <c r="L127" s="78"/>
      <c r="M127" s="79"/>
      <c r="N127" s="94">
        <f t="shared" si="23"/>
        <v>0</v>
      </c>
      <c r="O127" s="78"/>
      <c r="P127" s="79"/>
      <c r="Q127" s="94">
        <f t="shared" si="24"/>
        <v>0</v>
      </c>
      <c r="R127" s="78"/>
      <c r="S127" s="79"/>
      <c r="T127" s="94">
        <f t="shared" si="25"/>
        <v>0</v>
      </c>
      <c r="U127" s="78"/>
      <c r="V127" s="79"/>
      <c r="W127" s="94">
        <f t="shared" si="26"/>
        <v>0</v>
      </c>
      <c r="X127" s="92">
        <f t="shared" ref="X127:X143" si="27">X126</f>
        <v>5</v>
      </c>
    </row>
    <row r="128" spans="5:24" ht="15.75" x14ac:dyDescent="0.25">
      <c r="E128" s="71"/>
      <c r="F128" s="78"/>
      <c r="G128" s="79"/>
      <c r="H128" s="94">
        <f t="shared" si="21"/>
        <v>0</v>
      </c>
      <c r="I128" s="78"/>
      <c r="J128" s="79"/>
      <c r="K128" s="94">
        <f t="shared" si="22"/>
        <v>0</v>
      </c>
      <c r="L128" s="78"/>
      <c r="M128" s="79"/>
      <c r="N128" s="94">
        <f t="shared" si="23"/>
        <v>0</v>
      </c>
      <c r="O128" s="78"/>
      <c r="P128" s="79"/>
      <c r="Q128" s="94">
        <f t="shared" si="24"/>
        <v>0</v>
      </c>
      <c r="R128" s="78"/>
      <c r="S128" s="79"/>
      <c r="T128" s="94">
        <f t="shared" si="25"/>
        <v>0</v>
      </c>
      <c r="U128" s="78"/>
      <c r="V128" s="79"/>
      <c r="W128" s="94">
        <f t="shared" si="26"/>
        <v>0</v>
      </c>
      <c r="X128" s="92">
        <f t="shared" si="27"/>
        <v>5</v>
      </c>
    </row>
    <row r="129" spans="5:24" ht="15.75" x14ac:dyDescent="0.25">
      <c r="E129" s="71"/>
      <c r="F129" s="78"/>
      <c r="G129" s="79"/>
      <c r="H129" s="94">
        <f t="shared" si="21"/>
        <v>0</v>
      </c>
      <c r="I129" s="78"/>
      <c r="J129" s="79"/>
      <c r="K129" s="94">
        <f t="shared" si="22"/>
        <v>0</v>
      </c>
      <c r="L129" s="78"/>
      <c r="M129" s="79"/>
      <c r="N129" s="94">
        <f t="shared" si="23"/>
        <v>0</v>
      </c>
      <c r="O129" s="78"/>
      <c r="P129" s="79"/>
      <c r="Q129" s="94">
        <f t="shared" si="24"/>
        <v>0</v>
      </c>
      <c r="R129" s="78"/>
      <c r="S129" s="79"/>
      <c r="T129" s="94">
        <f t="shared" si="25"/>
        <v>0</v>
      </c>
      <c r="U129" s="78"/>
      <c r="V129" s="79"/>
      <c r="W129" s="94">
        <f t="shared" si="26"/>
        <v>0</v>
      </c>
      <c r="X129" s="92">
        <f t="shared" si="27"/>
        <v>5</v>
      </c>
    </row>
    <row r="130" spans="5:24" ht="15.75" x14ac:dyDescent="0.25">
      <c r="E130" s="71"/>
      <c r="F130" s="78"/>
      <c r="G130" s="79"/>
      <c r="H130" s="94">
        <f t="shared" si="21"/>
        <v>0</v>
      </c>
      <c r="I130" s="78"/>
      <c r="J130" s="79"/>
      <c r="K130" s="94">
        <f t="shared" si="22"/>
        <v>0</v>
      </c>
      <c r="L130" s="78"/>
      <c r="M130" s="79"/>
      <c r="N130" s="94">
        <f t="shared" si="23"/>
        <v>0</v>
      </c>
      <c r="O130" s="78"/>
      <c r="P130" s="79"/>
      <c r="Q130" s="94">
        <f t="shared" si="24"/>
        <v>0</v>
      </c>
      <c r="R130" s="78"/>
      <c r="S130" s="79"/>
      <c r="T130" s="94">
        <f t="shared" si="25"/>
        <v>0</v>
      </c>
      <c r="U130" s="78"/>
      <c r="V130" s="79"/>
      <c r="W130" s="94">
        <f t="shared" si="26"/>
        <v>0</v>
      </c>
      <c r="X130" s="92">
        <f t="shared" si="27"/>
        <v>5</v>
      </c>
    </row>
    <row r="131" spans="5:24" ht="15.75" x14ac:dyDescent="0.25">
      <c r="E131" s="71"/>
      <c r="F131" s="78"/>
      <c r="G131" s="79"/>
      <c r="H131" s="94">
        <f t="shared" si="21"/>
        <v>0</v>
      </c>
      <c r="I131" s="78"/>
      <c r="J131" s="79"/>
      <c r="K131" s="94">
        <f t="shared" si="22"/>
        <v>0</v>
      </c>
      <c r="L131" s="78"/>
      <c r="M131" s="79"/>
      <c r="N131" s="94">
        <f t="shared" si="23"/>
        <v>0</v>
      </c>
      <c r="O131" s="78"/>
      <c r="P131" s="79"/>
      <c r="Q131" s="94">
        <f t="shared" si="24"/>
        <v>0</v>
      </c>
      <c r="R131" s="78"/>
      <c r="S131" s="79"/>
      <c r="T131" s="94">
        <f t="shared" si="25"/>
        <v>0</v>
      </c>
      <c r="U131" s="78"/>
      <c r="V131" s="79"/>
      <c r="W131" s="94">
        <f t="shared" si="26"/>
        <v>0</v>
      </c>
      <c r="X131" s="92">
        <f t="shared" si="27"/>
        <v>5</v>
      </c>
    </row>
    <row r="132" spans="5:24" ht="15.75" x14ac:dyDescent="0.25">
      <c r="E132" s="71"/>
      <c r="F132" s="78"/>
      <c r="G132" s="79"/>
      <c r="H132" s="94">
        <f t="shared" si="21"/>
        <v>0</v>
      </c>
      <c r="I132" s="78"/>
      <c r="J132" s="79"/>
      <c r="K132" s="94">
        <f t="shared" si="22"/>
        <v>0</v>
      </c>
      <c r="L132" s="78"/>
      <c r="M132" s="79"/>
      <c r="N132" s="94">
        <f t="shared" si="23"/>
        <v>0</v>
      </c>
      <c r="O132" s="78"/>
      <c r="P132" s="79"/>
      <c r="Q132" s="94">
        <f t="shared" si="24"/>
        <v>0</v>
      </c>
      <c r="R132" s="78"/>
      <c r="S132" s="79"/>
      <c r="T132" s="94">
        <f t="shared" si="25"/>
        <v>0</v>
      </c>
      <c r="U132" s="78"/>
      <c r="V132" s="79"/>
      <c r="W132" s="94">
        <f t="shared" si="26"/>
        <v>0</v>
      </c>
      <c r="X132" s="92">
        <f t="shared" si="27"/>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si="27"/>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129" t="s">
        <v>388</v>
      </c>
      <c r="F144" s="99"/>
      <c r="G144" s="98"/>
      <c r="H144" s="95">
        <f>SUM(H94:H143)</f>
        <v>0</v>
      </c>
      <c r="I144" s="99"/>
      <c r="J144" s="98"/>
      <c r="K144" s="95">
        <f>SUM(K94:K143)</f>
        <v>0</v>
      </c>
      <c r="L144" s="99"/>
      <c r="M144" s="98"/>
      <c r="N144" s="95">
        <f>SUM(N94:N143)</f>
        <v>0</v>
      </c>
      <c r="O144" s="99"/>
      <c r="P144" s="98"/>
      <c r="Q144" s="95">
        <f>SUM(Q94:Q143)</f>
        <v>0</v>
      </c>
      <c r="R144" s="99"/>
      <c r="S144" s="98"/>
      <c r="T144" s="95">
        <f>SUM(T94:T143)</f>
        <v>0</v>
      </c>
      <c r="U144" s="99"/>
      <c r="V144" s="98"/>
      <c r="W144" s="95">
        <f>SUM(W94:W143)</f>
        <v>0</v>
      </c>
      <c r="X144" s="92"/>
    </row>
    <row r="146" spans="5:24" ht="15.75" x14ac:dyDescent="0.25">
      <c r="E146" s="97" t="s">
        <v>389</v>
      </c>
      <c r="F146" s="129" t="s">
        <v>382</v>
      </c>
      <c r="G146" s="129" t="s">
        <v>383</v>
      </c>
      <c r="H146" s="129" t="s">
        <v>384</v>
      </c>
      <c r="I146" s="129" t="s">
        <v>382</v>
      </c>
      <c r="J146" s="129" t="s">
        <v>383</v>
      </c>
      <c r="K146" s="129" t="s">
        <v>384</v>
      </c>
      <c r="L146" s="129" t="s">
        <v>382</v>
      </c>
      <c r="M146" s="129" t="s">
        <v>383</v>
      </c>
      <c r="N146" s="129" t="s">
        <v>384</v>
      </c>
      <c r="O146" s="129" t="s">
        <v>382</v>
      </c>
      <c r="P146" s="129" t="s">
        <v>383</v>
      </c>
      <c r="Q146" s="129" t="s">
        <v>384</v>
      </c>
      <c r="R146" s="129" t="s">
        <v>382</v>
      </c>
      <c r="S146" s="129" t="s">
        <v>383</v>
      </c>
      <c r="T146" s="129" t="s">
        <v>384</v>
      </c>
      <c r="U146" s="129" t="s">
        <v>382</v>
      </c>
      <c r="V146" s="129" t="s">
        <v>383</v>
      </c>
      <c r="W146" s="129" t="s">
        <v>384</v>
      </c>
      <c r="X146" s="90" t="s">
        <v>387</v>
      </c>
    </row>
    <row r="147" spans="5:24" ht="15.75" x14ac:dyDescent="0.25">
      <c r="E147" s="71"/>
      <c r="F147" s="78"/>
      <c r="G147" s="79"/>
      <c r="H147" s="94">
        <f t="shared" ref="H147:H153" si="28">F147*G147</f>
        <v>0</v>
      </c>
      <c r="I147" s="78"/>
      <c r="J147" s="79"/>
      <c r="K147" s="94">
        <f t="shared" ref="K147:K153" si="29">I147*J147</f>
        <v>0</v>
      </c>
      <c r="L147" s="78"/>
      <c r="M147" s="79"/>
      <c r="N147" s="94">
        <f t="shared" ref="N147:N153" si="30">L147*M147</f>
        <v>0</v>
      </c>
      <c r="O147" s="78"/>
      <c r="P147" s="79"/>
      <c r="Q147" s="94">
        <f t="shared" ref="Q147:Q153" si="31">O147*P147</f>
        <v>0</v>
      </c>
      <c r="R147" s="78"/>
      <c r="S147" s="79"/>
      <c r="T147" s="94">
        <f t="shared" ref="T147:T153" si="32">R147*S147</f>
        <v>0</v>
      </c>
      <c r="U147" s="78"/>
      <c r="V147" s="79"/>
      <c r="W147" s="94">
        <f t="shared" ref="W147:W153" si="33">U147*V147</f>
        <v>0</v>
      </c>
      <c r="X147" s="92">
        <f>BASES!G31</f>
        <v>5</v>
      </c>
    </row>
    <row r="148" spans="5:24" ht="15.75" x14ac:dyDescent="0.25">
      <c r="E148" s="71"/>
      <c r="F148" s="78"/>
      <c r="G148" s="79"/>
      <c r="H148" s="94">
        <f t="shared" si="28"/>
        <v>0</v>
      </c>
      <c r="I148" s="78"/>
      <c r="J148" s="79"/>
      <c r="K148" s="94">
        <f t="shared" si="29"/>
        <v>0</v>
      </c>
      <c r="L148" s="78"/>
      <c r="M148" s="79"/>
      <c r="N148" s="94">
        <f t="shared" si="30"/>
        <v>0</v>
      </c>
      <c r="O148" s="78"/>
      <c r="P148" s="79"/>
      <c r="Q148" s="94">
        <f t="shared" si="31"/>
        <v>0</v>
      </c>
      <c r="R148" s="78"/>
      <c r="S148" s="79"/>
      <c r="T148" s="94">
        <f t="shared" si="32"/>
        <v>0</v>
      </c>
      <c r="U148" s="78"/>
      <c r="V148" s="79"/>
      <c r="W148" s="94">
        <f t="shared" si="33"/>
        <v>0</v>
      </c>
      <c r="X148" s="92">
        <f t="shared" ref="X148:X153" si="34">X147</f>
        <v>5</v>
      </c>
    </row>
    <row r="149" spans="5:24" ht="15.75" x14ac:dyDescent="0.25">
      <c r="E149" s="71"/>
      <c r="F149" s="78"/>
      <c r="G149" s="79"/>
      <c r="H149" s="94">
        <f t="shared" si="28"/>
        <v>0</v>
      </c>
      <c r="I149" s="78"/>
      <c r="J149" s="79"/>
      <c r="K149" s="94">
        <f t="shared" si="29"/>
        <v>0</v>
      </c>
      <c r="L149" s="78"/>
      <c r="M149" s="79"/>
      <c r="N149" s="94">
        <f t="shared" si="30"/>
        <v>0</v>
      </c>
      <c r="O149" s="78"/>
      <c r="P149" s="79"/>
      <c r="Q149" s="94">
        <f t="shared" si="31"/>
        <v>0</v>
      </c>
      <c r="R149" s="78"/>
      <c r="S149" s="79"/>
      <c r="T149" s="94">
        <f t="shared" si="32"/>
        <v>0</v>
      </c>
      <c r="U149" s="78"/>
      <c r="V149" s="79"/>
      <c r="W149" s="94">
        <f t="shared" si="33"/>
        <v>0</v>
      </c>
      <c r="X149" s="92">
        <f t="shared" si="34"/>
        <v>5</v>
      </c>
    </row>
    <row r="150" spans="5:24" ht="15.75" x14ac:dyDescent="0.25">
      <c r="E150" s="71"/>
      <c r="F150" s="78"/>
      <c r="G150" s="79"/>
      <c r="H150" s="94">
        <f t="shared" si="28"/>
        <v>0</v>
      </c>
      <c r="I150" s="78"/>
      <c r="J150" s="79"/>
      <c r="K150" s="94">
        <f t="shared" si="29"/>
        <v>0</v>
      </c>
      <c r="L150" s="78"/>
      <c r="M150" s="79"/>
      <c r="N150" s="94">
        <f t="shared" si="30"/>
        <v>0</v>
      </c>
      <c r="O150" s="78"/>
      <c r="P150" s="79"/>
      <c r="Q150" s="94">
        <f t="shared" si="31"/>
        <v>0</v>
      </c>
      <c r="R150" s="78"/>
      <c r="S150" s="79"/>
      <c r="T150" s="94">
        <f t="shared" si="32"/>
        <v>0</v>
      </c>
      <c r="U150" s="78"/>
      <c r="V150" s="79"/>
      <c r="W150" s="94">
        <f t="shared" si="33"/>
        <v>0</v>
      </c>
      <c r="X150" s="92">
        <f t="shared" si="34"/>
        <v>5</v>
      </c>
    </row>
    <row r="151" spans="5:24" ht="15.75" x14ac:dyDescent="0.25">
      <c r="E151" s="71"/>
      <c r="F151" s="78"/>
      <c r="G151" s="79"/>
      <c r="H151" s="94">
        <f t="shared" si="28"/>
        <v>0</v>
      </c>
      <c r="I151" s="78"/>
      <c r="J151" s="79"/>
      <c r="K151" s="94">
        <f t="shared" si="29"/>
        <v>0</v>
      </c>
      <c r="L151" s="78"/>
      <c r="M151" s="79"/>
      <c r="N151" s="94">
        <f t="shared" si="30"/>
        <v>0</v>
      </c>
      <c r="O151" s="78"/>
      <c r="P151" s="79"/>
      <c r="Q151" s="94">
        <f t="shared" si="31"/>
        <v>0</v>
      </c>
      <c r="R151" s="78"/>
      <c r="S151" s="79"/>
      <c r="T151" s="94">
        <f t="shared" si="32"/>
        <v>0</v>
      </c>
      <c r="U151" s="78"/>
      <c r="V151" s="79"/>
      <c r="W151" s="94">
        <f t="shared" si="33"/>
        <v>0</v>
      </c>
      <c r="X151" s="92">
        <f t="shared" si="34"/>
        <v>5</v>
      </c>
    </row>
    <row r="152" spans="5:24" ht="15.75" x14ac:dyDescent="0.25">
      <c r="E152" s="71"/>
      <c r="F152" s="78"/>
      <c r="G152" s="79"/>
      <c r="H152" s="94">
        <f t="shared" si="28"/>
        <v>0</v>
      </c>
      <c r="I152" s="78"/>
      <c r="J152" s="79"/>
      <c r="K152" s="94">
        <f t="shared" si="29"/>
        <v>0</v>
      </c>
      <c r="L152" s="78"/>
      <c r="M152" s="79"/>
      <c r="N152" s="94">
        <f t="shared" si="30"/>
        <v>0</v>
      </c>
      <c r="O152" s="78"/>
      <c r="P152" s="79"/>
      <c r="Q152" s="94">
        <f t="shared" si="31"/>
        <v>0</v>
      </c>
      <c r="R152" s="78"/>
      <c r="S152" s="79"/>
      <c r="T152" s="94">
        <f t="shared" si="32"/>
        <v>0</v>
      </c>
      <c r="U152" s="78"/>
      <c r="V152" s="79"/>
      <c r="W152" s="94">
        <f t="shared" si="33"/>
        <v>0</v>
      </c>
      <c r="X152" s="92">
        <f t="shared" si="34"/>
        <v>5</v>
      </c>
    </row>
    <row r="153" spans="5:24" ht="15.75" x14ac:dyDescent="0.25">
      <c r="E153" s="71"/>
      <c r="F153" s="78"/>
      <c r="G153" s="79"/>
      <c r="H153" s="94">
        <f t="shared" si="28"/>
        <v>0</v>
      </c>
      <c r="I153" s="78"/>
      <c r="J153" s="79"/>
      <c r="K153" s="94">
        <f t="shared" si="29"/>
        <v>0</v>
      </c>
      <c r="L153" s="78"/>
      <c r="M153" s="79"/>
      <c r="N153" s="94">
        <f t="shared" si="30"/>
        <v>0</v>
      </c>
      <c r="O153" s="78"/>
      <c r="P153" s="79"/>
      <c r="Q153" s="94">
        <f t="shared" si="31"/>
        <v>0</v>
      </c>
      <c r="R153" s="78"/>
      <c r="S153" s="79"/>
      <c r="T153" s="94">
        <f t="shared" si="32"/>
        <v>0</v>
      </c>
      <c r="U153" s="78"/>
      <c r="V153" s="79"/>
      <c r="W153" s="94">
        <f t="shared" si="33"/>
        <v>0</v>
      </c>
      <c r="X153" s="92">
        <f t="shared" si="34"/>
        <v>5</v>
      </c>
    </row>
    <row r="154" spans="5:24" ht="15.75" x14ac:dyDescent="0.25">
      <c r="E154" s="129" t="s">
        <v>64</v>
      </c>
      <c r="F154" s="99"/>
      <c r="G154" s="98"/>
      <c r="H154" s="95">
        <f>SUM(H147:H153)</f>
        <v>0</v>
      </c>
      <c r="I154" s="99"/>
      <c r="J154" s="98"/>
      <c r="K154" s="95">
        <f>SUM(K147:K153)</f>
        <v>0</v>
      </c>
      <c r="L154" s="99"/>
      <c r="M154" s="98"/>
      <c r="N154" s="95">
        <f>SUM(N147:N153)</f>
        <v>0</v>
      </c>
      <c r="O154" s="99"/>
      <c r="P154" s="98"/>
      <c r="Q154" s="95">
        <f>SUM(Q147:Q153)</f>
        <v>0</v>
      </c>
      <c r="R154" s="99"/>
      <c r="S154" s="98"/>
      <c r="T154" s="95">
        <f>SUM(T147:T153)</f>
        <v>0</v>
      </c>
      <c r="U154" s="99"/>
      <c r="V154" s="98"/>
      <c r="W154" s="95">
        <f>SUM(W147:W153)</f>
        <v>0</v>
      </c>
      <c r="X154" s="92"/>
    </row>
    <row r="156" spans="5:24" ht="15.75" x14ac:dyDescent="0.25">
      <c r="E156" s="91" t="s">
        <v>33</v>
      </c>
      <c r="F156" s="129" t="s">
        <v>382</v>
      </c>
      <c r="G156" s="129" t="s">
        <v>383</v>
      </c>
      <c r="H156" s="129" t="s">
        <v>384</v>
      </c>
      <c r="I156" s="129" t="s">
        <v>382</v>
      </c>
      <c r="J156" s="129" t="s">
        <v>383</v>
      </c>
      <c r="K156" s="129" t="s">
        <v>384</v>
      </c>
      <c r="L156" s="129" t="s">
        <v>382</v>
      </c>
      <c r="M156" s="129" t="s">
        <v>383</v>
      </c>
      <c r="N156" s="129" t="s">
        <v>384</v>
      </c>
      <c r="O156" s="129" t="s">
        <v>382</v>
      </c>
      <c r="P156" s="129" t="s">
        <v>383</v>
      </c>
      <c r="Q156" s="129" t="s">
        <v>384</v>
      </c>
      <c r="R156" s="129" t="s">
        <v>382</v>
      </c>
      <c r="S156" s="129" t="s">
        <v>383</v>
      </c>
      <c r="T156" s="129" t="s">
        <v>384</v>
      </c>
      <c r="U156" s="129" t="s">
        <v>382</v>
      </c>
      <c r="V156" s="129" t="s">
        <v>383</v>
      </c>
      <c r="W156" s="129" t="s">
        <v>384</v>
      </c>
      <c r="X156" s="90" t="s">
        <v>387</v>
      </c>
    </row>
    <row r="157" spans="5:24" ht="15.75" x14ac:dyDescent="0.25">
      <c r="E157" s="71"/>
      <c r="F157" s="78"/>
      <c r="G157" s="79"/>
      <c r="H157" s="94">
        <f t="shared" ref="H157:H181" si="35">F157*G157</f>
        <v>0</v>
      </c>
      <c r="I157" s="78"/>
      <c r="J157" s="79"/>
      <c r="K157" s="94">
        <f t="shared" ref="K157:K181" si="36">I157*J157</f>
        <v>0</v>
      </c>
      <c r="L157" s="78"/>
      <c r="M157" s="79"/>
      <c r="N157" s="94">
        <f t="shared" ref="N157:N181" si="37">L157*M157</f>
        <v>0</v>
      </c>
      <c r="O157" s="78"/>
      <c r="P157" s="79"/>
      <c r="Q157" s="94">
        <f t="shared" ref="Q157:Q181" si="38">O157*P157</f>
        <v>0</v>
      </c>
      <c r="R157" s="78"/>
      <c r="S157" s="79"/>
      <c r="T157" s="94">
        <f t="shared" ref="T157:T181" si="39">R157*S157</f>
        <v>0</v>
      </c>
      <c r="U157" s="78"/>
      <c r="V157" s="79"/>
      <c r="W157" s="94">
        <f t="shared" ref="W157:W181" si="40">U157*V157</f>
        <v>0</v>
      </c>
      <c r="X157" s="92">
        <f>BASES!G32</f>
        <v>3</v>
      </c>
    </row>
    <row r="158" spans="5:24" ht="15.75" x14ac:dyDescent="0.25">
      <c r="E158" s="71"/>
      <c r="F158" s="78"/>
      <c r="G158" s="79"/>
      <c r="H158" s="94">
        <f t="shared" si="35"/>
        <v>0</v>
      </c>
      <c r="I158" s="78"/>
      <c r="J158" s="79"/>
      <c r="K158" s="94">
        <f t="shared" si="36"/>
        <v>0</v>
      </c>
      <c r="L158" s="78"/>
      <c r="M158" s="79"/>
      <c r="N158" s="94">
        <f t="shared" si="37"/>
        <v>0</v>
      </c>
      <c r="O158" s="78"/>
      <c r="P158" s="79"/>
      <c r="Q158" s="94">
        <f t="shared" si="38"/>
        <v>0</v>
      </c>
      <c r="R158" s="78"/>
      <c r="S158" s="79"/>
      <c r="T158" s="94">
        <f t="shared" si="39"/>
        <v>0</v>
      </c>
      <c r="U158" s="78"/>
      <c r="V158" s="79"/>
      <c r="W158" s="94">
        <f t="shared" si="40"/>
        <v>0</v>
      </c>
      <c r="X158" s="92">
        <f t="shared" ref="X158:X181" si="41">X157</f>
        <v>3</v>
      </c>
    </row>
    <row r="159" spans="5:24" ht="15.75" x14ac:dyDescent="0.25">
      <c r="E159" s="71"/>
      <c r="F159" s="78"/>
      <c r="G159" s="79"/>
      <c r="H159" s="94">
        <f t="shared" si="35"/>
        <v>0</v>
      </c>
      <c r="I159" s="78"/>
      <c r="J159" s="79"/>
      <c r="K159" s="94">
        <f t="shared" si="36"/>
        <v>0</v>
      </c>
      <c r="L159" s="78"/>
      <c r="M159" s="79"/>
      <c r="N159" s="94">
        <f t="shared" si="37"/>
        <v>0</v>
      </c>
      <c r="O159" s="78"/>
      <c r="P159" s="79"/>
      <c r="Q159" s="94">
        <f t="shared" si="38"/>
        <v>0</v>
      </c>
      <c r="R159" s="78"/>
      <c r="S159" s="79"/>
      <c r="T159" s="94">
        <f t="shared" si="39"/>
        <v>0</v>
      </c>
      <c r="U159" s="78"/>
      <c r="V159" s="79"/>
      <c r="W159" s="94">
        <f t="shared" si="40"/>
        <v>0</v>
      </c>
      <c r="X159" s="92">
        <f t="shared" si="41"/>
        <v>3</v>
      </c>
    </row>
    <row r="160" spans="5:24" ht="15.75" x14ac:dyDescent="0.25">
      <c r="E160" s="71"/>
      <c r="F160" s="78"/>
      <c r="G160" s="79"/>
      <c r="H160" s="94">
        <f t="shared" si="35"/>
        <v>0</v>
      </c>
      <c r="I160" s="78"/>
      <c r="J160" s="79"/>
      <c r="K160" s="94">
        <f t="shared" si="36"/>
        <v>0</v>
      </c>
      <c r="L160" s="78"/>
      <c r="M160" s="79"/>
      <c r="N160" s="94">
        <f t="shared" si="37"/>
        <v>0</v>
      </c>
      <c r="O160" s="78"/>
      <c r="P160" s="79"/>
      <c r="Q160" s="94">
        <f t="shared" si="38"/>
        <v>0</v>
      </c>
      <c r="R160" s="78"/>
      <c r="S160" s="79"/>
      <c r="T160" s="94">
        <f t="shared" si="39"/>
        <v>0</v>
      </c>
      <c r="U160" s="78"/>
      <c r="V160" s="79"/>
      <c r="W160" s="94">
        <f t="shared" si="40"/>
        <v>0</v>
      </c>
      <c r="X160" s="92">
        <f t="shared" si="41"/>
        <v>3</v>
      </c>
    </row>
    <row r="161" spans="5:24" ht="15.75" x14ac:dyDescent="0.25">
      <c r="E161" s="71"/>
      <c r="F161" s="78"/>
      <c r="G161" s="79"/>
      <c r="H161" s="94">
        <f t="shared" si="35"/>
        <v>0</v>
      </c>
      <c r="I161" s="78"/>
      <c r="J161" s="79"/>
      <c r="K161" s="94">
        <f t="shared" si="36"/>
        <v>0</v>
      </c>
      <c r="L161" s="78"/>
      <c r="M161" s="79"/>
      <c r="N161" s="94">
        <f t="shared" si="37"/>
        <v>0</v>
      </c>
      <c r="O161" s="78"/>
      <c r="P161" s="79"/>
      <c r="Q161" s="94">
        <f t="shared" si="38"/>
        <v>0</v>
      </c>
      <c r="R161" s="78"/>
      <c r="S161" s="79"/>
      <c r="T161" s="94">
        <f t="shared" si="39"/>
        <v>0</v>
      </c>
      <c r="U161" s="78"/>
      <c r="V161" s="79"/>
      <c r="W161" s="94">
        <f t="shared" si="40"/>
        <v>0</v>
      </c>
      <c r="X161" s="92">
        <f t="shared" si="41"/>
        <v>3</v>
      </c>
    </row>
    <row r="162" spans="5:24" ht="15.75" x14ac:dyDescent="0.25">
      <c r="E162" s="71"/>
      <c r="F162" s="78"/>
      <c r="G162" s="79"/>
      <c r="H162" s="94">
        <f t="shared" si="35"/>
        <v>0</v>
      </c>
      <c r="I162" s="78"/>
      <c r="J162" s="79"/>
      <c r="K162" s="94">
        <f t="shared" si="36"/>
        <v>0</v>
      </c>
      <c r="L162" s="78"/>
      <c r="M162" s="79"/>
      <c r="N162" s="94">
        <f t="shared" si="37"/>
        <v>0</v>
      </c>
      <c r="O162" s="78"/>
      <c r="P162" s="79"/>
      <c r="Q162" s="94">
        <f t="shared" si="38"/>
        <v>0</v>
      </c>
      <c r="R162" s="78"/>
      <c r="S162" s="79"/>
      <c r="T162" s="94">
        <f t="shared" si="39"/>
        <v>0</v>
      </c>
      <c r="U162" s="78"/>
      <c r="V162" s="79"/>
      <c r="W162" s="94">
        <f t="shared" si="40"/>
        <v>0</v>
      </c>
      <c r="X162" s="92">
        <f t="shared" si="41"/>
        <v>3</v>
      </c>
    </row>
    <row r="163" spans="5:24" ht="15.75" x14ac:dyDescent="0.25">
      <c r="E163" s="71"/>
      <c r="F163" s="78"/>
      <c r="G163" s="79"/>
      <c r="H163" s="94">
        <f t="shared" si="35"/>
        <v>0</v>
      </c>
      <c r="I163" s="78"/>
      <c r="J163" s="79"/>
      <c r="K163" s="94">
        <f t="shared" si="36"/>
        <v>0</v>
      </c>
      <c r="L163" s="78"/>
      <c r="M163" s="79"/>
      <c r="N163" s="94">
        <f t="shared" si="37"/>
        <v>0</v>
      </c>
      <c r="O163" s="78"/>
      <c r="P163" s="79"/>
      <c r="Q163" s="94">
        <f t="shared" si="38"/>
        <v>0</v>
      </c>
      <c r="R163" s="78"/>
      <c r="S163" s="79"/>
      <c r="T163" s="94">
        <f t="shared" si="39"/>
        <v>0</v>
      </c>
      <c r="U163" s="78"/>
      <c r="V163" s="79"/>
      <c r="W163" s="94">
        <f t="shared" si="40"/>
        <v>0</v>
      </c>
      <c r="X163" s="92">
        <f t="shared" si="41"/>
        <v>3</v>
      </c>
    </row>
    <row r="164" spans="5:24" ht="15.75" x14ac:dyDescent="0.25">
      <c r="E164" s="71"/>
      <c r="F164" s="78"/>
      <c r="G164" s="79"/>
      <c r="H164" s="94">
        <f t="shared" si="35"/>
        <v>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si="41"/>
        <v>3</v>
      </c>
    </row>
    <row r="165" spans="5:24" ht="15.75" x14ac:dyDescent="0.25">
      <c r="E165" s="71"/>
      <c r="F165" s="78"/>
      <c r="G165" s="79"/>
      <c r="H165" s="94">
        <f t="shared" si="35"/>
        <v>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4: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4: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4: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4: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4: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4:24" ht="15.75" x14ac:dyDescent="0.25">
      <c r="E182" s="129" t="s">
        <v>390</v>
      </c>
      <c r="F182" s="99"/>
      <c r="G182" s="98"/>
      <c r="H182" s="95">
        <f>SUM(H157:H181)</f>
        <v>0</v>
      </c>
      <c r="I182" s="99"/>
      <c r="J182" s="98"/>
      <c r="K182" s="95">
        <f>SUM(K157:K181)</f>
        <v>0</v>
      </c>
      <c r="L182" s="99"/>
      <c r="M182" s="98"/>
      <c r="N182" s="95">
        <f>SUM(N157:N181)</f>
        <v>0</v>
      </c>
      <c r="O182" s="99"/>
      <c r="P182" s="98"/>
      <c r="Q182" s="95">
        <f>SUM(Q157:Q181)</f>
        <v>0</v>
      </c>
      <c r="R182" s="99"/>
      <c r="S182" s="98"/>
      <c r="T182" s="95">
        <f>SUM(T157:T181)</f>
        <v>0</v>
      </c>
      <c r="U182" s="99"/>
      <c r="V182" s="98"/>
      <c r="W182" s="95">
        <f>SUM(W157:W181)</f>
        <v>0</v>
      </c>
      <c r="X182" s="92"/>
    </row>
    <row r="183" spans="4:24" x14ac:dyDescent="0.25">
      <c r="U183" s="100"/>
    </row>
    <row r="184" spans="4:24" ht="15.75" x14ac:dyDescent="0.25">
      <c r="E184" s="648" t="s">
        <v>391</v>
      </c>
      <c r="F184" s="649"/>
      <c r="G184" s="650"/>
      <c r="H184" s="109">
        <f>H48+H91+H144+H154+H182</f>
        <v>0</v>
      </c>
      <c r="I184" s="109"/>
      <c r="J184" s="109"/>
      <c r="K184" s="109">
        <f>K48+K91+K144+K154+K182</f>
        <v>0</v>
      </c>
      <c r="L184" s="109"/>
      <c r="M184" s="109"/>
      <c r="N184" s="109">
        <f>N48+N91+N144+N154+N182</f>
        <v>0</v>
      </c>
      <c r="O184" s="109"/>
      <c r="P184" s="109"/>
      <c r="Q184" s="109">
        <f>Q48+Q91+Q144+Q154+Q182</f>
        <v>0</v>
      </c>
      <c r="R184" s="109"/>
      <c r="S184" s="109"/>
      <c r="T184" s="109">
        <f>T48+T91+T144+T154+T182</f>
        <v>0</v>
      </c>
      <c r="U184" s="109"/>
      <c r="V184" s="109"/>
      <c r="W184" s="109">
        <f>W48+W91+W144+W154+W182</f>
        <v>0</v>
      </c>
    </row>
    <row r="186" spans="4:24" ht="15.75" thickBot="1" x14ac:dyDescent="0.3"/>
    <row r="187" spans="4:24" ht="15" customHeight="1" x14ac:dyDescent="0.25">
      <c r="D187" s="654" t="s">
        <v>325</v>
      </c>
      <c r="E187" s="655"/>
      <c r="F187" s="655"/>
      <c r="G187" s="656"/>
    </row>
    <row r="188" spans="4:24" ht="15" customHeight="1" x14ac:dyDescent="0.25">
      <c r="D188" s="657"/>
      <c r="E188" s="658"/>
      <c r="F188" s="658"/>
      <c r="G188" s="659"/>
    </row>
    <row r="189" spans="4:24" ht="15" customHeight="1" x14ac:dyDescent="0.25">
      <c r="D189" s="657"/>
      <c r="E189" s="658"/>
      <c r="F189" s="658"/>
      <c r="G189" s="659"/>
    </row>
    <row r="190" spans="4:24" ht="15" customHeight="1" x14ac:dyDescent="0.25">
      <c r="D190" s="657"/>
      <c r="E190" s="658"/>
      <c r="F190" s="658"/>
      <c r="G190" s="659"/>
    </row>
    <row r="191" spans="4:24" ht="15" customHeight="1" thickBot="1" x14ac:dyDescent="0.3">
      <c r="D191" s="660"/>
      <c r="E191" s="661"/>
      <c r="F191" s="661"/>
      <c r="G191" s="662"/>
    </row>
    <row r="192" spans="4:24" ht="15" customHeight="1" x14ac:dyDescent="0.25">
      <c r="D192"/>
      <c r="E192"/>
      <c r="F192"/>
      <c r="G192"/>
    </row>
    <row r="194" spans="5:24" ht="15.75" x14ac:dyDescent="0.25">
      <c r="E194" s="670" t="s">
        <v>393</v>
      </c>
      <c r="F194" s="651" t="s">
        <v>59</v>
      </c>
      <c r="G194" s="651"/>
      <c r="H194" s="651"/>
      <c r="I194" s="651" t="s">
        <v>48</v>
      </c>
      <c r="J194" s="651"/>
      <c r="K194" s="651"/>
      <c r="L194" s="651" t="s">
        <v>49</v>
      </c>
      <c r="M194" s="651"/>
      <c r="N194" s="651"/>
      <c r="O194" s="651" t="s">
        <v>50</v>
      </c>
      <c r="P194" s="651"/>
      <c r="Q194" s="651"/>
      <c r="R194" s="651" t="s">
        <v>51</v>
      </c>
      <c r="S194" s="651"/>
      <c r="T194" s="651"/>
      <c r="U194" s="651" t="s">
        <v>52</v>
      </c>
      <c r="V194" s="651"/>
      <c r="W194" s="651"/>
      <c r="X194" s="102"/>
    </row>
    <row r="195" spans="5:24" ht="15.75" x14ac:dyDescent="0.25">
      <c r="E195" s="670"/>
      <c r="F195" s="101" t="s">
        <v>382</v>
      </c>
      <c r="G195" s="90" t="s">
        <v>383</v>
      </c>
      <c r="H195" s="90" t="s">
        <v>384</v>
      </c>
      <c r="I195" s="90" t="s">
        <v>382</v>
      </c>
      <c r="J195" s="90" t="s">
        <v>383</v>
      </c>
      <c r="K195" s="90" t="s">
        <v>384</v>
      </c>
      <c r="L195" s="90" t="s">
        <v>382</v>
      </c>
      <c r="M195" s="90" t="s">
        <v>383</v>
      </c>
      <c r="N195" s="90" t="s">
        <v>384</v>
      </c>
      <c r="O195" s="90" t="s">
        <v>382</v>
      </c>
      <c r="P195" s="90" t="s">
        <v>383</v>
      </c>
      <c r="Q195" s="90" t="s">
        <v>384</v>
      </c>
      <c r="R195" s="90" t="s">
        <v>382</v>
      </c>
      <c r="S195" s="90" t="s">
        <v>383</v>
      </c>
      <c r="T195" s="90" t="s">
        <v>384</v>
      </c>
      <c r="U195" s="90" t="s">
        <v>382</v>
      </c>
      <c r="V195" s="90" t="s">
        <v>383</v>
      </c>
      <c r="W195" s="90" t="s">
        <v>384</v>
      </c>
      <c r="X195" s="90" t="s">
        <v>394</v>
      </c>
    </row>
    <row r="196" spans="5:24" ht="15.75" x14ac:dyDescent="0.25">
      <c r="E196" s="91" t="s">
        <v>280</v>
      </c>
      <c r="F196" s="78"/>
      <c r="G196" s="79"/>
      <c r="H196" s="94">
        <f>F196*G196</f>
        <v>0</v>
      </c>
      <c r="I196" s="78"/>
      <c r="J196" s="79"/>
      <c r="K196" s="94">
        <f>I196*J196</f>
        <v>0</v>
      </c>
      <c r="L196" s="78"/>
      <c r="M196" s="79"/>
      <c r="N196" s="94">
        <f>L196*M196</f>
        <v>0</v>
      </c>
      <c r="O196" s="78"/>
      <c r="P196" s="79"/>
      <c r="Q196" s="94">
        <f>O196*P196</f>
        <v>0</v>
      </c>
      <c r="R196" s="78"/>
      <c r="S196" s="79"/>
      <c r="T196" s="94">
        <f>R196*S196</f>
        <v>0</v>
      </c>
      <c r="U196" s="78"/>
      <c r="V196" s="79"/>
      <c r="W196" s="94">
        <f>U196*V196</f>
        <v>0</v>
      </c>
      <c r="X196" s="92">
        <f>BASES!G33</f>
        <v>1</v>
      </c>
    </row>
    <row r="197" spans="5:24" ht="15.75" x14ac:dyDescent="0.25">
      <c r="E197" s="71"/>
      <c r="F197" s="78"/>
      <c r="G197" s="79"/>
      <c r="H197" s="94">
        <f t="shared" ref="H197:H211" si="42">F197*G197</f>
        <v>0</v>
      </c>
      <c r="I197" s="78"/>
      <c r="J197" s="79"/>
      <c r="K197" s="94">
        <f t="shared" ref="K197:K211" si="43">I197*J197</f>
        <v>0</v>
      </c>
      <c r="L197" s="78"/>
      <c r="M197" s="79"/>
      <c r="N197" s="94">
        <f t="shared" ref="N197:N211" si="44">L197*M197</f>
        <v>0</v>
      </c>
      <c r="O197" s="78"/>
      <c r="P197" s="79"/>
      <c r="Q197" s="94">
        <f t="shared" ref="Q197:Q211" si="45">O197*P197</f>
        <v>0</v>
      </c>
      <c r="R197" s="78"/>
      <c r="S197" s="79"/>
      <c r="T197" s="94">
        <f t="shared" ref="T197:T211" si="46">R197*S197</f>
        <v>0</v>
      </c>
      <c r="U197" s="78"/>
      <c r="V197" s="79"/>
      <c r="W197" s="94">
        <f t="shared" ref="W197:W211" si="47">U197*V197</f>
        <v>0</v>
      </c>
      <c r="X197" s="92">
        <f>X196</f>
        <v>1</v>
      </c>
    </row>
    <row r="198" spans="5:24" ht="15.75" x14ac:dyDescent="0.25">
      <c r="E198" s="71"/>
      <c r="F198" s="78"/>
      <c r="G198" s="79"/>
      <c r="H198" s="94">
        <f t="shared" si="42"/>
        <v>0</v>
      </c>
      <c r="I198" s="78"/>
      <c r="J198" s="79"/>
      <c r="K198" s="94">
        <f t="shared" si="43"/>
        <v>0</v>
      </c>
      <c r="L198" s="78"/>
      <c r="M198" s="79"/>
      <c r="N198" s="94">
        <f t="shared" si="44"/>
        <v>0</v>
      </c>
      <c r="O198" s="78"/>
      <c r="P198" s="79"/>
      <c r="Q198" s="94">
        <f t="shared" si="45"/>
        <v>0</v>
      </c>
      <c r="R198" s="78"/>
      <c r="S198" s="79"/>
      <c r="T198" s="94">
        <f t="shared" si="46"/>
        <v>0</v>
      </c>
      <c r="U198" s="78"/>
      <c r="V198" s="79"/>
      <c r="W198" s="94">
        <f t="shared" si="47"/>
        <v>0</v>
      </c>
      <c r="X198" s="92">
        <f t="shared" ref="X198:X211" si="48">X197</f>
        <v>1</v>
      </c>
    </row>
    <row r="199" spans="5:24" ht="15.75" x14ac:dyDescent="0.25">
      <c r="E199" s="71"/>
      <c r="F199" s="78"/>
      <c r="G199" s="79"/>
      <c r="H199" s="94">
        <f t="shared" si="42"/>
        <v>0</v>
      </c>
      <c r="I199" s="78"/>
      <c r="J199" s="79"/>
      <c r="K199" s="94">
        <f t="shared" si="43"/>
        <v>0</v>
      </c>
      <c r="L199" s="78"/>
      <c r="M199" s="79"/>
      <c r="N199" s="94">
        <f t="shared" si="44"/>
        <v>0</v>
      </c>
      <c r="O199" s="78"/>
      <c r="P199" s="79"/>
      <c r="Q199" s="94">
        <f t="shared" si="45"/>
        <v>0</v>
      </c>
      <c r="R199" s="78"/>
      <c r="S199" s="79"/>
      <c r="T199" s="94">
        <f t="shared" si="46"/>
        <v>0</v>
      </c>
      <c r="U199" s="78"/>
      <c r="V199" s="79"/>
      <c r="W199" s="94">
        <f t="shared" si="47"/>
        <v>0</v>
      </c>
      <c r="X199" s="92">
        <f t="shared" si="48"/>
        <v>1</v>
      </c>
    </row>
    <row r="200" spans="5:24" ht="15.75" x14ac:dyDescent="0.25">
      <c r="E200" s="71"/>
      <c r="F200" s="78"/>
      <c r="G200" s="79"/>
      <c r="H200" s="94">
        <f t="shared" si="42"/>
        <v>0</v>
      </c>
      <c r="I200" s="78"/>
      <c r="J200" s="79"/>
      <c r="K200" s="94">
        <f t="shared" si="43"/>
        <v>0</v>
      </c>
      <c r="L200" s="78"/>
      <c r="M200" s="79"/>
      <c r="N200" s="94">
        <f t="shared" si="44"/>
        <v>0</v>
      </c>
      <c r="O200" s="78"/>
      <c r="P200" s="79"/>
      <c r="Q200" s="94">
        <f t="shared" si="45"/>
        <v>0</v>
      </c>
      <c r="R200" s="78"/>
      <c r="S200" s="79"/>
      <c r="T200" s="94">
        <f t="shared" si="46"/>
        <v>0</v>
      </c>
      <c r="U200" s="78"/>
      <c r="V200" s="79"/>
      <c r="W200" s="94">
        <f t="shared" si="47"/>
        <v>0</v>
      </c>
      <c r="X200" s="92">
        <f t="shared" si="48"/>
        <v>1</v>
      </c>
    </row>
    <row r="201" spans="5:24" ht="15.75" x14ac:dyDescent="0.25">
      <c r="E201" s="71"/>
      <c r="F201" s="78"/>
      <c r="G201" s="79"/>
      <c r="H201" s="94">
        <f t="shared" si="42"/>
        <v>0</v>
      </c>
      <c r="I201" s="78"/>
      <c r="J201" s="79"/>
      <c r="K201" s="94">
        <f t="shared" si="43"/>
        <v>0</v>
      </c>
      <c r="L201" s="78"/>
      <c r="M201" s="79"/>
      <c r="N201" s="94">
        <f t="shared" si="44"/>
        <v>0</v>
      </c>
      <c r="O201" s="78"/>
      <c r="P201" s="79"/>
      <c r="Q201" s="94">
        <f t="shared" si="45"/>
        <v>0</v>
      </c>
      <c r="R201" s="78"/>
      <c r="S201" s="79"/>
      <c r="T201" s="94">
        <f t="shared" si="46"/>
        <v>0</v>
      </c>
      <c r="U201" s="78"/>
      <c r="V201" s="79"/>
      <c r="W201" s="94">
        <f t="shared" si="47"/>
        <v>0</v>
      </c>
      <c r="X201" s="92">
        <f t="shared" si="48"/>
        <v>1</v>
      </c>
    </row>
    <row r="202" spans="5:24" ht="15.75" x14ac:dyDescent="0.25">
      <c r="E202" s="71"/>
      <c r="F202" s="78"/>
      <c r="G202" s="79"/>
      <c r="H202" s="94">
        <f t="shared" si="42"/>
        <v>0</v>
      </c>
      <c r="I202" s="78"/>
      <c r="J202" s="79"/>
      <c r="K202" s="94">
        <f t="shared" si="43"/>
        <v>0</v>
      </c>
      <c r="L202" s="78"/>
      <c r="M202" s="79"/>
      <c r="N202" s="94">
        <f t="shared" si="44"/>
        <v>0</v>
      </c>
      <c r="O202" s="78"/>
      <c r="P202" s="79"/>
      <c r="Q202" s="94">
        <f t="shared" si="45"/>
        <v>0</v>
      </c>
      <c r="R202" s="78"/>
      <c r="S202" s="79"/>
      <c r="T202" s="94">
        <f t="shared" si="46"/>
        <v>0</v>
      </c>
      <c r="U202" s="78"/>
      <c r="V202" s="79"/>
      <c r="W202" s="94">
        <f t="shared" si="47"/>
        <v>0</v>
      </c>
      <c r="X202" s="92">
        <f t="shared" si="48"/>
        <v>1</v>
      </c>
    </row>
    <row r="203" spans="5:24" ht="15.75" x14ac:dyDescent="0.25">
      <c r="E203" s="71"/>
      <c r="F203" s="78"/>
      <c r="G203" s="79"/>
      <c r="H203" s="94">
        <f t="shared" si="42"/>
        <v>0</v>
      </c>
      <c r="I203" s="78"/>
      <c r="J203" s="79"/>
      <c r="K203" s="94">
        <f t="shared" si="43"/>
        <v>0</v>
      </c>
      <c r="L203" s="78"/>
      <c r="M203" s="79"/>
      <c r="N203" s="94">
        <f t="shared" si="44"/>
        <v>0</v>
      </c>
      <c r="O203" s="78"/>
      <c r="P203" s="79"/>
      <c r="Q203" s="94">
        <f t="shared" si="45"/>
        <v>0</v>
      </c>
      <c r="R203" s="78"/>
      <c r="S203" s="79"/>
      <c r="T203" s="94">
        <f t="shared" si="46"/>
        <v>0</v>
      </c>
      <c r="U203" s="78"/>
      <c r="V203" s="79"/>
      <c r="W203" s="94">
        <f t="shared" si="47"/>
        <v>0</v>
      </c>
      <c r="X203" s="92">
        <f t="shared" si="48"/>
        <v>1</v>
      </c>
    </row>
    <row r="204" spans="5: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si="48"/>
        <v>1</v>
      </c>
    </row>
    <row r="205" spans="5: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5: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5: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5: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90" t="s">
        <v>67</v>
      </c>
      <c r="F212" s="99"/>
      <c r="G212" s="98"/>
      <c r="H212" s="95">
        <f>SUM(H196:H211)</f>
        <v>0</v>
      </c>
      <c r="I212" s="99"/>
      <c r="J212" s="98"/>
      <c r="K212" s="95">
        <f>SUM(K196:K210)</f>
        <v>0</v>
      </c>
      <c r="L212" s="99"/>
      <c r="M212" s="98"/>
      <c r="N212" s="95">
        <f>SUM(N196:N211)</f>
        <v>0</v>
      </c>
      <c r="O212" s="99"/>
      <c r="P212" s="98"/>
      <c r="Q212" s="95">
        <f>SUM(Q196:Q211)</f>
        <v>0</v>
      </c>
      <c r="R212" s="99"/>
      <c r="S212" s="98"/>
      <c r="T212" s="95">
        <f>SUM(T196:T211)</f>
        <v>0</v>
      </c>
      <c r="U212" s="99"/>
      <c r="V212" s="98"/>
      <c r="W212" s="95">
        <f>SUM(W196:W211)</f>
        <v>0</v>
      </c>
      <c r="X212" s="103"/>
    </row>
    <row r="214" spans="5:24" ht="15.75" x14ac:dyDescent="0.25">
      <c r="E214" s="97" t="s">
        <v>395</v>
      </c>
      <c r="F214" s="101" t="s">
        <v>382</v>
      </c>
      <c r="G214" s="90" t="s">
        <v>383</v>
      </c>
      <c r="H214" s="90" t="s">
        <v>384</v>
      </c>
      <c r="I214" s="101" t="s">
        <v>382</v>
      </c>
      <c r="J214" s="90" t="s">
        <v>383</v>
      </c>
      <c r="K214" s="90" t="s">
        <v>384</v>
      </c>
      <c r="L214" s="101" t="s">
        <v>382</v>
      </c>
      <c r="M214" s="90" t="s">
        <v>383</v>
      </c>
      <c r="N214" s="90" t="s">
        <v>384</v>
      </c>
      <c r="O214" s="101" t="s">
        <v>382</v>
      </c>
      <c r="P214" s="90" t="s">
        <v>383</v>
      </c>
      <c r="Q214" s="90" t="s">
        <v>384</v>
      </c>
      <c r="R214" s="101" t="s">
        <v>382</v>
      </c>
      <c r="S214" s="90" t="s">
        <v>383</v>
      </c>
      <c r="T214" s="90" t="s">
        <v>384</v>
      </c>
      <c r="U214" s="101" t="s">
        <v>382</v>
      </c>
      <c r="V214" s="90" t="s">
        <v>383</v>
      </c>
      <c r="W214" s="90" t="s">
        <v>384</v>
      </c>
      <c r="X214" s="90" t="s">
        <v>387</v>
      </c>
    </row>
    <row r="215" spans="5:24" ht="15.75" x14ac:dyDescent="0.25">
      <c r="E215" s="71"/>
      <c r="F215" s="78"/>
      <c r="G215" s="79"/>
      <c r="H215" s="94">
        <f>F215*G215</f>
        <v>0</v>
      </c>
      <c r="I215" s="78"/>
      <c r="J215" s="79"/>
      <c r="K215" s="94">
        <f>I215*J215</f>
        <v>0</v>
      </c>
      <c r="L215" s="78"/>
      <c r="M215" s="79"/>
      <c r="N215" s="94">
        <f>L215*M215</f>
        <v>0</v>
      </c>
      <c r="O215" s="78"/>
      <c r="P215" s="79"/>
      <c r="Q215" s="94">
        <f>O215*P215</f>
        <v>0</v>
      </c>
      <c r="R215" s="78"/>
      <c r="S215" s="79"/>
      <c r="T215" s="94">
        <f>R215*S215</f>
        <v>0</v>
      </c>
      <c r="U215" s="78"/>
      <c r="V215" s="79"/>
      <c r="W215" s="94">
        <f>U215*V215</f>
        <v>0</v>
      </c>
      <c r="X215" s="92">
        <f>BASES!G34</f>
        <v>10</v>
      </c>
    </row>
    <row r="216" spans="5:24" ht="15.75" x14ac:dyDescent="0.25">
      <c r="E216" s="71"/>
      <c r="F216" s="78"/>
      <c r="G216" s="79"/>
      <c r="H216" s="94">
        <f t="shared" ref="H216:H230" si="49">F216*G216</f>
        <v>0</v>
      </c>
      <c r="I216" s="78"/>
      <c r="J216" s="79"/>
      <c r="K216" s="94">
        <f t="shared" ref="K216:K230" si="50">I216*J216</f>
        <v>0</v>
      </c>
      <c r="L216" s="78"/>
      <c r="M216" s="79"/>
      <c r="N216" s="94">
        <f t="shared" ref="N216:N230" si="51">L216*M216</f>
        <v>0</v>
      </c>
      <c r="O216" s="78"/>
      <c r="P216" s="79"/>
      <c r="Q216" s="94">
        <f t="shared" ref="Q216:Q230" si="52">O216*P216</f>
        <v>0</v>
      </c>
      <c r="R216" s="78"/>
      <c r="S216" s="79"/>
      <c r="T216" s="94">
        <f t="shared" ref="T216:T230" si="53">R216*S216</f>
        <v>0</v>
      </c>
      <c r="U216" s="78"/>
      <c r="V216" s="79"/>
      <c r="W216" s="94">
        <f t="shared" ref="W216:W230" si="54">U216*V216</f>
        <v>0</v>
      </c>
      <c r="X216" s="92">
        <f>X215</f>
        <v>10</v>
      </c>
    </row>
    <row r="217" spans="5:24" ht="15.75" x14ac:dyDescent="0.25">
      <c r="E217" s="71"/>
      <c r="F217" s="78"/>
      <c r="G217" s="79"/>
      <c r="H217" s="94">
        <f t="shared" si="49"/>
        <v>0</v>
      </c>
      <c r="I217" s="78"/>
      <c r="J217" s="79"/>
      <c r="K217" s="94">
        <f t="shared" si="50"/>
        <v>0</v>
      </c>
      <c r="L217" s="78"/>
      <c r="M217" s="79"/>
      <c r="N217" s="94">
        <f t="shared" si="51"/>
        <v>0</v>
      </c>
      <c r="O217" s="78"/>
      <c r="P217" s="79"/>
      <c r="Q217" s="94">
        <f t="shared" si="52"/>
        <v>0</v>
      </c>
      <c r="R217" s="78"/>
      <c r="S217" s="79"/>
      <c r="T217" s="94">
        <f t="shared" si="53"/>
        <v>0</v>
      </c>
      <c r="U217" s="78"/>
      <c r="V217" s="79"/>
      <c r="W217" s="94">
        <f t="shared" si="54"/>
        <v>0</v>
      </c>
      <c r="X217" s="92">
        <f t="shared" ref="X217:X230" si="55">X216</f>
        <v>10</v>
      </c>
    </row>
    <row r="218" spans="5:24" ht="15.75" x14ac:dyDescent="0.25">
      <c r="E218" s="71"/>
      <c r="F218" s="78"/>
      <c r="G218" s="79"/>
      <c r="H218" s="94">
        <f t="shared" si="49"/>
        <v>0</v>
      </c>
      <c r="I218" s="78"/>
      <c r="J218" s="79"/>
      <c r="K218" s="94">
        <f t="shared" si="50"/>
        <v>0</v>
      </c>
      <c r="L218" s="78"/>
      <c r="M218" s="79"/>
      <c r="N218" s="94">
        <f t="shared" si="51"/>
        <v>0</v>
      </c>
      <c r="O218" s="78"/>
      <c r="P218" s="79"/>
      <c r="Q218" s="94">
        <f t="shared" si="52"/>
        <v>0</v>
      </c>
      <c r="R218" s="78"/>
      <c r="S218" s="79"/>
      <c r="T218" s="94">
        <f t="shared" si="53"/>
        <v>0</v>
      </c>
      <c r="U218" s="78"/>
      <c r="V218" s="79"/>
      <c r="W218" s="94">
        <f t="shared" si="54"/>
        <v>0</v>
      </c>
      <c r="X218" s="92">
        <f t="shared" si="55"/>
        <v>10</v>
      </c>
    </row>
    <row r="219" spans="5:24" ht="15.75" x14ac:dyDescent="0.25">
      <c r="E219" s="71"/>
      <c r="F219" s="78"/>
      <c r="G219" s="79"/>
      <c r="H219" s="94">
        <f t="shared" si="49"/>
        <v>0</v>
      </c>
      <c r="I219" s="78"/>
      <c r="J219" s="79"/>
      <c r="K219" s="94">
        <f t="shared" si="50"/>
        <v>0</v>
      </c>
      <c r="L219" s="78"/>
      <c r="M219" s="79"/>
      <c r="N219" s="94">
        <f t="shared" si="51"/>
        <v>0</v>
      </c>
      <c r="O219" s="78"/>
      <c r="P219" s="79"/>
      <c r="Q219" s="94">
        <f t="shared" si="52"/>
        <v>0</v>
      </c>
      <c r="R219" s="78"/>
      <c r="S219" s="79"/>
      <c r="T219" s="94">
        <f t="shared" si="53"/>
        <v>0</v>
      </c>
      <c r="U219" s="78"/>
      <c r="V219" s="79"/>
      <c r="W219" s="94">
        <f t="shared" si="54"/>
        <v>0</v>
      </c>
      <c r="X219" s="92">
        <f t="shared" si="55"/>
        <v>10</v>
      </c>
    </row>
    <row r="220" spans="5:24" ht="15.75" x14ac:dyDescent="0.25">
      <c r="E220" s="71"/>
      <c r="F220" s="78"/>
      <c r="G220" s="79"/>
      <c r="H220" s="94">
        <f t="shared" si="49"/>
        <v>0</v>
      </c>
      <c r="I220" s="78"/>
      <c r="J220" s="79"/>
      <c r="K220" s="94">
        <f t="shared" si="50"/>
        <v>0</v>
      </c>
      <c r="L220" s="78"/>
      <c r="M220" s="79"/>
      <c r="N220" s="94">
        <f t="shared" si="51"/>
        <v>0</v>
      </c>
      <c r="O220" s="78"/>
      <c r="P220" s="79"/>
      <c r="Q220" s="94">
        <f t="shared" si="52"/>
        <v>0</v>
      </c>
      <c r="R220" s="78"/>
      <c r="S220" s="79"/>
      <c r="T220" s="94">
        <f t="shared" si="53"/>
        <v>0</v>
      </c>
      <c r="U220" s="78"/>
      <c r="V220" s="79"/>
      <c r="W220" s="94">
        <f t="shared" si="54"/>
        <v>0</v>
      </c>
      <c r="X220" s="92">
        <f t="shared" si="55"/>
        <v>10</v>
      </c>
    </row>
    <row r="221" spans="5:24" ht="15.75" x14ac:dyDescent="0.25">
      <c r="E221" s="71"/>
      <c r="F221" s="78"/>
      <c r="G221" s="79"/>
      <c r="H221" s="94">
        <f t="shared" si="49"/>
        <v>0</v>
      </c>
      <c r="I221" s="78"/>
      <c r="J221" s="79"/>
      <c r="K221" s="94">
        <f t="shared" si="50"/>
        <v>0</v>
      </c>
      <c r="L221" s="78"/>
      <c r="M221" s="79"/>
      <c r="N221" s="94">
        <f t="shared" si="51"/>
        <v>0</v>
      </c>
      <c r="O221" s="78"/>
      <c r="P221" s="79"/>
      <c r="Q221" s="94">
        <f t="shared" si="52"/>
        <v>0</v>
      </c>
      <c r="R221" s="78"/>
      <c r="S221" s="79"/>
      <c r="T221" s="94">
        <f t="shared" si="53"/>
        <v>0</v>
      </c>
      <c r="U221" s="78"/>
      <c r="V221" s="79"/>
      <c r="W221" s="94">
        <f t="shared" si="54"/>
        <v>0</v>
      </c>
      <c r="X221" s="92">
        <f t="shared" si="55"/>
        <v>10</v>
      </c>
    </row>
    <row r="222" spans="5:24" ht="15.75" x14ac:dyDescent="0.25">
      <c r="E222" s="71"/>
      <c r="F222" s="78"/>
      <c r="G222" s="79"/>
      <c r="H222" s="94">
        <f t="shared" si="49"/>
        <v>0</v>
      </c>
      <c r="I222" s="78"/>
      <c r="J222" s="79"/>
      <c r="K222" s="94">
        <f t="shared" si="50"/>
        <v>0</v>
      </c>
      <c r="L222" s="78"/>
      <c r="M222" s="79"/>
      <c r="N222" s="94">
        <f t="shared" si="51"/>
        <v>0</v>
      </c>
      <c r="O222" s="78"/>
      <c r="P222" s="79"/>
      <c r="Q222" s="94">
        <f t="shared" si="52"/>
        <v>0</v>
      </c>
      <c r="R222" s="78"/>
      <c r="S222" s="79"/>
      <c r="T222" s="94">
        <f t="shared" si="53"/>
        <v>0</v>
      </c>
      <c r="U222" s="78"/>
      <c r="V222" s="79"/>
      <c r="W222" s="94">
        <f t="shared" si="54"/>
        <v>0</v>
      </c>
      <c r="X222" s="92">
        <f t="shared" si="55"/>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si="55"/>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90" t="s">
        <v>396</v>
      </c>
      <c r="F231" s="99"/>
      <c r="G231" s="98"/>
      <c r="H231" s="95">
        <f>SUM(H215:H230)</f>
        <v>0</v>
      </c>
      <c r="I231" s="99"/>
      <c r="J231" s="98"/>
      <c r="K231" s="95">
        <f>SUM(K215:K229)</f>
        <v>0</v>
      </c>
      <c r="L231" s="99"/>
      <c r="M231" s="98"/>
      <c r="N231" s="95">
        <f>SUM(N215:N230)</f>
        <v>0</v>
      </c>
      <c r="O231" s="99"/>
      <c r="P231" s="98"/>
      <c r="Q231" s="95">
        <f>SUM(Q215:Q230)</f>
        <v>0</v>
      </c>
      <c r="R231" s="99"/>
      <c r="S231" s="98"/>
      <c r="T231" s="95">
        <f>SUM(T215:T230)</f>
        <v>0</v>
      </c>
      <c r="U231" s="99"/>
      <c r="V231" s="98"/>
      <c r="W231" s="95">
        <f>SUM(W215:W230)</f>
        <v>0</v>
      </c>
      <c r="X231" s="104"/>
    </row>
    <row r="233" spans="5:24" ht="45.75" customHeight="1" x14ac:dyDescent="0.25">
      <c r="E233" s="107" t="s">
        <v>285</v>
      </c>
      <c r="F233" s="105" t="s">
        <v>382</v>
      </c>
      <c r="G233" s="106" t="s">
        <v>383</v>
      </c>
      <c r="H233" s="106" t="s">
        <v>384</v>
      </c>
      <c r="I233" s="105" t="s">
        <v>382</v>
      </c>
      <c r="J233" s="106" t="s">
        <v>383</v>
      </c>
      <c r="K233" s="106" t="s">
        <v>384</v>
      </c>
      <c r="L233" s="105" t="s">
        <v>382</v>
      </c>
      <c r="M233" s="106" t="s">
        <v>383</v>
      </c>
      <c r="N233" s="106" t="s">
        <v>384</v>
      </c>
      <c r="O233" s="105" t="s">
        <v>382</v>
      </c>
      <c r="P233" s="106" t="s">
        <v>383</v>
      </c>
      <c r="Q233" s="106" t="s">
        <v>384</v>
      </c>
      <c r="R233" s="105" t="s">
        <v>382</v>
      </c>
      <c r="S233" s="106" t="s">
        <v>383</v>
      </c>
      <c r="T233" s="106" t="s">
        <v>384</v>
      </c>
      <c r="U233" s="105" t="s">
        <v>382</v>
      </c>
      <c r="V233" s="106" t="s">
        <v>383</v>
      </c>
      <c r="W233" s="106" t="s">
        <v>384</v>
      </c>
      <c r="X233" s="106" t="s">
        <v>387</v>
      </c>
    </row>
    <row r="234" spans="5:24" ht="15.75" x14ac:dyDescent="0.25">
      <c r="E234" s="71"/>
      <c r="F234" s="78"/>
      <c r="G234" s="79"/>
      <c r="H234" s="94">
        <f>F234*G234</f>
        <v>0</v>
      </c>
      <c r="I234" s="78"/>
      <c r="J234" s="79"/>
      <c r="K234" s="94">
        <f>I234*J234</f>
        <v>0</v>
      </c>
      <c r="L234" s="78"/>
      <c r="M234" s="79"/>
      <c r="N234" s="94">
        <f>L234*M234</f>
        <v>0</v>
      </c>
      <c r="O234" s="78"/>
      <c r="P234" s="79"/>
      <c r="Q234" s="94">
        <f>O234*P234</f>
        <v>0</v>
      </c>
      <c r="R234" s="78"/>
      <c r="S234" s="79"/>
      <c r="T234" s="94">
        <f>R234*S234</f>
        <v>0</v>
      </c>
      <c r="U234" s="78"/>
      <c r="V234" s="79"/>
      <c r="W234" s="94">
        <f>U234*V234</f>
        <v>0</v>
      </c>
      <c r="X234" s="92">
        <f>BASES!G36</f>
        <v>5</v>
      </c>
    </row>
    <row r="235" spans="5:24" ht="15.75" x14ac:dyDescent="0.25">
      <c r="E235" s="71"/>
      <c r="F235" s="78"/>
      <c r="G235" s="79"/>
      <c r="H235" s="94">
        <f t="shared" ref="H235:H240" si="56">F235*G235</f>
        <v>0</v>
      </c>
      <c r="I235" s="78"/>
      <c r="J235" s="79"/>
      <c r="K235" s="94">
        <f t="shared" ref="K235:K240" si="57">I235*J235</f>
        <v>0</v>
      </c>
      <c r="L235" s="78"/>
      <c r="M235" s="79"/>
      <c r="N235" s="94">
        <f t="shared" ref="N235:N240" si="58">L235*M235</f>
        <v>0</v>
      </c>
      <c r="O235" s="78"/>
      <c r="P235" s="79"/>
      <c r="Q235" s="94">
        <f t="shared" ref="Q235:Q240" si="59">O235*P235</f>
        <v>0</v>
      </c>
      <c r="R235" s="78"/>
      <c r="S235" s="79"/>
      <c r="T235" s="94">
        <f t="shared" ref="T235:T240" si="60">R235*S235</f>
        <v>0</v>
      </c>
      <c r="U235" s="78"/>
      <c r="V235" s="79"/>
      <c r="W235" s="94">
        <f t="shared" ref="W235:W240" si="61">U235*V235</f>
        <v>0</v>
      </c>
      <c r="X235" s="92">
        <f>X234</f>
        <v>5</v>
      </c>
    </row>
    <row r="236" spans="5:24" ht="15.75" x14ac:dyDescent="0.25">
      <c r="E236" s="71"/>
      <c r="F236" s="78"/>
      <c r="G236" s="79"/>
      <c r="H236" s="94">
        <f t="shared" si="56"/>
        <v>0</v>
      </c>
      <c r="I236" s="78"/>
      <c r="J236" s="79"/>
      <c r="K236" s="94">
        <f t="shared" si="57"/>
        <v>0</v>
      </c>
      <c r="L236" s="78"/>
      <c r="M236" s="79"/>
      <c r="N236" s="94">
        <f t="shared" si="58"/>
        <v>0</v>
      </c>
      <c r="O236" s="78"/>
      <c r="P236" s="79"/>
      <c r="Q236" s="94">
        <f t="shared" si="59"/>
        <v>0</v>
      </c>
      <c r="R236" s="78"/>
      <c r="S236" s="79"/>
      <c r="T236" s="94">
        <f t="shared" si="60"/>
        <v>0</v>
      </c>
      <c r="U236" s="78"/>
      <c r="V236" s="79"/>
      <c r="W236" s="94">
        <f t="shared" si="61"/>
        <v>0</v>
      </c>
      <c r="X236" s="92">
        <f t="shared" ref="X236:X240" si="62">X235</f>
        <v>5</v>
      </c>
    </row>
    <row r="237" spans="5:24" ht="15.75" x14ac:dyDescent="0.25">
      <c r="E237" s="71"/>
      <c r="F237" s="78"/>
      <c r="G237" s="79"/>
      <c r="H237" s="94">
        <f t="shared" si="56"/>
        <v>0</v>
      </c>
      <c r="I237" s="78"/>
      <c r="J237" s="79"/>
      <c r="K237" s="94">
        <f t="shared" si="57"/>
        <v>0</v>
      </c>
      <c r="L237" s="78"/>
      <c r="M237" s="79"/>
      <c r="N237" s="94">
        <f t="shared" si="58"/>
        <v>0</v>
      </c>
      <c r="O237" s="78"/>
      <c r="P237" s="79"/>
      <c r="Q237" s="94">
        <f t="shared" si="59"/>
        <v>0</v>
      </c>
      <c r="R237" s="78"/>
      <c r="S237" s="79"/>
      <c r="T237" s="94">
        <f t="shared" si="60"/>
        <v>0</v>
      </c>
      <c r="U237" s="78"/>
      <c r="V237" s="79"/>
      <c r="W237" s="94">
        <f t="shared" si="61"/>
        <v>0</v>
      </c>
      <c r="X237" s="92">
        <f t="shared" si="62"/>
        <v>5</v>
      </c>
    </row>
    <row r="238" spans="5:24" ht="15.75" x14ac:dyDescent="0.25">
      <c r="E238" s="71"/>
      <c r="F238" s="78"/>
      <c r="G238" s="79"/>
      <c r="H238" s="94">
        <f t="shared" si="56"/>
        <v>0</v>
      </c>
      <c r="I238" s="78"/>
      <c r="J238" s="79"/>
      <c r="K238" s="94">
        <f t="shared" si="57"/>
        <v>0</v>
      </c>
      <c r="L238" s="78"/>
      <c r="M238" s="79"/>
      <c r="N238" s="94">
        <f t="shared" si="58"/>
        <v>0</v>
      </c>
      <c r="O238" s="78"/>
      <c r="P238" s="79"/>
      <c r="Q238" s="94">
        <f t="shared" si="59"/>
        <v>0</v>
      </c>
      <c r="R238" s="78"/>
      <c r="S238" s="79"/>
      <c r="T238" s="94">
        <f t="shared" si="60"/>
        <v>0</v>
      </c>
      <c r="U238" s="78"/>
      <c r="V238" s="79"/>
      <c r="W238" s="94">
        <f t="shared" si="61"/>
        <v>0</v>
      </c>
      <c r="X238" s="92">
        <f t="shared" si="62"/>
        <v>5</v>
      </c>
    </row>
    <row r="239" spans="5:24" ht="15.75" x14ac:dyDescent="0.25">
      <c r="E239" s="71"/>
      <c r="F239" s="78"/>
      <c r="G239" s="79"/>
      <c r="H239" s="94">
        <f t="shared" si="56"/>
        <v>0</v>
      </c>
      <c r="I239" s="78"/>
      <c r="J239" s="79"/>
      <c r="K239" s="94">
        <f t="shared" si="57"/>
        <v>0</v>
      </c>
      <c r="L239" s="78"/>
      <c r="M239" s="79"/>
      <c r="N239" s="94">
        <f t="shared" si="58"/>
        <v>0</v>
      </c>
      <c r="O239" s="78"/>
      <c r="P239" s="79"/>
      <c r="Q239" s="94">
        <f t="shared" si="59"/>
        <v>0</v>
      </c>
      <c r="R239" s="78"/>
      <c r="S239" s="79"/>
      <c r="T239" s="94">
        <f t="shared" si="60"/>
        <v>0</v>
      </c>
      <c r="U239" s="78"/>
      <c r="V239" s="79"/>
      <c r="W239" s="94">
        <f t="shared" si="61"/>
        <v>0</v>
      </c>
      <c r="X239" s="92">
        <f t="shared" si="62"/>
        <v>5</v>
      </c>
    </row>
    <row r="240" spans="5:24" ht="15.75" x14ac:dyDescent="0.25">
      <c r="E240" s="71"/>
      <c r="F240" s="78"/>
      <c r="G240" s="79"/>
      <c r="H240" s="94">
        <f t="shared" si="56"/>
        <v>0</v>
      </c>
      <c r="I240" s="78"/>
      <c r="J240" s="79"/>
      <c r="K240" s="94">
        <f t="shared" si="57"/>
        <v>0</v>
      </c>
      <c r="L240" s="78"/>
      <c r="M240" s="79"/>
      <c r="N240" s="94">
        <f t="shared" si="58"/>
        <v>0</v>
      </c>
      <c r="O240" s="78"/>
      <c r="P240" s="79"/>
      <c r="Q240" s="94">
        <f t="shared" si="59"/>
        <v>0</v>
      </c>
      <c r="R240" s="78"/>
      <c r="S240" s="79"/>
      <c r="T240" s="94">
        <f t="shared" si="60"/>
        <v>0</v>
      </c>
      <c r="U240" s="78"/>
      <c r="V240" s="79"/>
      <c r="W240" s="94">
        <f t="shared" si="61"/>
        <v>0</v>
      </c>
      <c r="X240" s="92">
        <f t="shared" si="62"/>
        <v>5</v>
      </c>
    </row>
    <row r="241" spans="5:24" ht="15.75" x14ac:dyDescent="0.25">
      <c r="E241" s="90" t="s">
        <v>397</v>
      </c>
      <c r="F241" s="99"/>
      <c r="G241" s="98"/>
      <c r="H241" s="95">
        <f>SUM(H234:H240)</f>
        <v>0</v>
      </c>
      <c r="I241" s="99"/>
      <c r="J241" s="98"/>
      <c r="K241" s="95">
        <f>SUM(K234:K240)</f>
        <v>0</v>
      </c>
      <c r="L241" s="99"/>
      <c r="M241" s="98"/>
      <c r="N241" s="95">
        <f>SUM(N234:N240)</f>
        <v>0</v>
      </c>
      <c r="O241" s="99"/>
      <c r="P241" s="98"/>
      <c r="Q241" s="95">
        <f>SUM(Q234:Q240)</f>
        <v>0</v>
      </c>
      <c r="R241" s="99"/>
      <c r="S241" s="98"/>
      <c r="T241" s="95">
        <f>SUM(T234:T240)</f>
        <v>0</v>
      </c>
      <c r="U241" s="99"/>
      <c r="V241" s="98"/>
      <c r="W241" s="95">
        <f>SUM(W234:W240)</f>
        <v>0</v>
      </c>
      <c r="X241" s="108"/>
    </row>
    <row r="243" spans="5:24" ht="15.75" x14ac:dyDescent="0.25">
      <c r="E243" s="674" t="s">
        <v>68</v>
      </c>
      <c r="F243" s="674"/>
      <c r="G243" s="674"/>
      <c r="H243" s="109">
        <f>H212+H231+H241</f>
        <v>0</v>
      </c>
      <c r="I243" s="109"/>
      <c r="J243" s="109"/>
      <c r="K243" s="109">
        <f t="shared" ref="K243:W243" si="63">K212+K231+K241</f>
        <v>0</v>
      </c>
      <c r="L243" s="109"/>
      <c r="M243" s="109"/>
      <c r="N243" s="109">
        <f t="shared" si="63"/>
        <v>0</v>
      </c>
      <c r="O243" s="109"/>
      <c r="P243" s="109"/>
      <c r="Q243" s="109">
        <f t="shared" si="63"/>
        <v>0</v>
      </c>
      <c r="R243" s="109"/>
      <c r="S243" s="109"/>
      <c r="T243" s="109">
        <f t="shared" si="63"/>
        <v>0</v>
      </c>
      <c r="U243" s="109"/>
      <c r="V243" s="109"/>
      <c r="W243" s="109">
        <f t="shared" si="63"/>
        <v>0</v>
      </c>
      <c r="X243"/>
    </row>
    <row r="245" spans="5:24" ht="15.75" x14ac:dyDescent="0.25">
      <c r="E245" s="91" t="s">
        <v>35</v>
      </c>
      <c r="F245" s="105" t="s">
        <v>382</v>
      </c>
      <c r="G245" s="106" t="s">
        <v>383</v>
      </c>
      <c r="H245" s="106" t="s">
        <v>384</v>
      </c>
      <c r="I245" s="105" t="s">
        <v>382</v>
      </c>
      <c r="J245" s="106" t="s">
        <v>383</v>
      </c>
      <c r="K245" s="106" t="s">
        <v>384</v>
      </c>
      <c r="L245" s="105" t="s">
        <v>382</v>
      </c>
      <c r="M245" s="106" t="s">
        <v>383</v>
      </c>
      <c r="N245" s="106" t="s">
        <v>384</v>
      </c>
      <c r="O245" s="105" t="s">
        <v>382</v>
      </c>
      <c r="P245" s="106" t="s">
        <v>383</v>
      </c>
      <c r="Q245" s="106" t="s">
        <v>384</v>
      </c>
      <c r="R245" s="105" t="s">
        <v>382</v>
      </c>
      <c r="S245" s="106" t="s">
        <v>383</v>
      </c>
      <c r="T245" s="106" t="s">
        <v>384</v>
      </c>
      <c r="U245" s="105" t="s">
        <v>382</v>
      </c>
      <c r="V245" s="106" t="s">
        <v>383</v>
      </c>
      <c r="W245" s="106" t="s">
        <v>384</v>
      </c>
      <c r="X245" s="90" t="s">
        <v>387</v>
      </c>
    </row>
    <row r="246" spans="5:24" ht="15.75" x14ac:dyDescent="0.25">
      <c r="E246" s="91" t="s">
        <v>398</v>
      </c>
      <c r="F246" s="78"/>
      <c r="G246" s="79"/>
      <c r="H246" s="94">
        <f>F246*G246</f>
        <v>0</v>
      </c>
      <c r="I246" s="78"/>
      <c r="J246" s="79"/>
      <c r="K246" s="94">
        <f>I246*J246</f>
        <v>0</v>
      </c>
      <c r="L246" s="78"/>
      <c r="M246" s="79"/>
      <c r="N246" s="94">
        <f>L246*M246</f>
        <v>0</v>
      </c>
      <c r="O246" s="78"/>
      <c r="P246" s="79"/>
      <c r="Q246" s="94">
        <f>O246*P246</f>
        <v>0</v>
      </c>
      <c r="R246" s="78"/>
      <c r="S246" s="79"/>
      <c r="T246" s="94">
        <f>R246*S246</f>
        <v>0</v>
      </c>
      <c r="U246" s="78"/>
      <c r="V246" s="79"/>
      <c r="W246" s="94">
        <f>U246*V246</f>
        <v>0</v>
      </c>
      <c r="X246" s="92">
        <f>X240</f>
        <v>5</v>
      </c>
    </row>
    <row r="247" spans="5:24" ht="15.75" x14ac:dyDescent="0.25">
      <c r="E247" s="91" t="s">
        <v>399</v>
      </c>
      <c r="F247" s="78"/>
      <c r="G247" s="79"/>
      <c r="H247" s="94">
        <f t="shared" ref="H247:H248" si="64">F247*G247</f>
        <v>0</v>
      </c>
      <c r="I247" s="78"/>
      <c r="J247" s="79"/>
      <c r="K247" s="94">
        <f t="shared" ref="K247:K248" si="65">I247*J247</f>
        <v>0</v>
      </c>
      <c r="L247" s="78"/>
      <c r="M247" s="79"/>
      <c r="N247" s="94">
        <f t="shared" ref="N247:N248" si="66">L247*M247</f>
        <v>0</v>
      </c>
      <c r="O247" s="78"/>
      <c r="P247" s="79"/>
      <c r="Q247" s="94">
        <f t="shared" ref="Q247:Q248" si="67">O247*P247</f>
        <v>0</v>
      </c>
      <c r="R247" s="78"/>
      <c r="S247" s="79"/>
      <c r="T247" s="94">
        <f t="shared" ref="T247:T248" si="68">R247*S247</f>
        <v>0</v>
      </c>
      <c r="U247" s="78"/>
      <c r="V247" s="79"/>
      <c r="W247" s="94">
        <f t="shared" ref="W247:W248" si="69">U247*V247</f>
        <v>0</v>
      </c>
      <c r="X247" s="92">
        <f>X246</f>
        <v>5</v>
      </c>
    </row>
    <row r="248" spans="5:24" ht="15.75" x14ac:dyDescent="0.25">
      <c r="E248" s="91" t="s">
        <v>400</v>
      </c>
      <c r="F248" s="78"/>
      <c r="G248" s="79"/>
      <c r="H248" s="94">
        <f t="shared" si="64"/>
        <v>0</v>
      </c>
      <c r="I248" s="78"/>
      <c r="J248" s="79"/>
      <c r="K248" s="94">
        <f t="shared" si="65"/>
        <v>0</v>
      </c>
      <c r="L248" s="78"/>
      <c r="M248" s="79"/>
      <c r="N248" s="94">
        <f t="shared" si="66"/>
        <v>0</v>
      </c>
      <c r="O248" s="78"/>
      <c r="P248" s="79"/>
      <c r="Q248" s="94">
        <f t="shared" si="67"/>
        <v>0</v>
      </c>
      <c r="R248" s="78"/>
      <c r="S248" s="79"/>
      <c r="T248" s="94">
        <f t="shared" si="68"/>
        <v>0</v>
      </c>
      <c r="U248" s="78"/>
      <c r="V248" s="79"/>
      <c r="W248" s="94">
        <f t="shared" si="69"/>
        <v>0</v>
      </c>
      <c r="X248" s="92">
        <f>X247</f>
        <v>5</v>
      </c>
    </row>
    <row r="249" spans="5:24" ht="15.75" x14ac:dyDescent="0.25">
      <c r="E249" s="90" t="s">
        <v>286</v>
      </c>
      <c r="F249" s="99"/>
      <c r="G249" s="98"/>
      <c r="H249" s="95">
        <f>SUM(H246:H248)</f>
        <v>0</v>
      </c>
      <c r="I249" s="99"/>
      <c r="J249" s="98"/>
      <c r="K249" s="95">
        <f>SUM(K246:K248)</f>
        <v>0</v>
      </c>
      <c r="L249" s="99"/>
      <c r="M249" s="98"/>
      <c r="N249" s="95">
        <f>SUM(N246:N248)</f>
        <v>0</v>
      </c>
      <c r="O249" s="99"/>
      <c r="P249" s="98"/>
      <c r="Q249" s="95">
        <f>SUM(Q246:Q248)</f>
        <v>0</v>
      </c>
      <c r="R249" s="99"/>
      <c r="S249" s="98"/>
      <c r="T249" s="95">
        <f>SUM(T246:T248)</f>
        <v>0</v>
      </c>
      <c r="U249" s="99"/>
      <c r="V249" s="98"/>
      <c r="W249" s="95">
        <f>SUM(W246:W248)</f>
        <v>0</v>
      </c>
      <c r="X249" s="108"/>
    </row>
    <row r="251" spans="5:24" ht="15.75" x14ac:dyDescent="0.25">
      <c r="E251" s="674" t="s">
        <v>401</v>
      </c>
      <c r="F251" s="674"/>
      <c r="G251" s="674"/>
      <c r="H251" s="109">
        <f>H249</f>
        <v>0</v>
      </c>
      <c r="I251" s="109"/>
      <c r="J251" s="109"/>
      <c r="K251" s="109">
        <f t="shared" ref="K251:W251" si="70">K249</f>
        <v>0</v>
      </c>
      <c r="L251" s="109"/>
      <c r="M251" s="109"/>
      <c r="N251" s="109">
        <f t="shared" si="70"/>
        <v>0</v>
      </c>
      <c r="O251" s="109"/>
      <c r="P251" s="109"/>
      <c r="Q251" s="109">
        <f t="shared" si="70"/>
        <v>0</v>
      </c>
      <c r="R251" s="109"/>
      <c r="S251" s="109"/>
      <c r="T251" s="109">
        <f t="shared" si="70"/>
        <v>0</v>
      </c>
      <c r="U251" s="109"/>
      <c r="V251" s="109"/>
      <c r="W251" s="109">
        <f t="shared" si="70"/>
        <v>0</v>
      </c>
    </row>
    <row r="253" spans="5:24" ht="15.75" x14ac:dyDescent="0.25">
      <c r="E253" s="675" t="s">
        <v>287</v>
      </c>
      <c r="F253" s="675"/>
      <c r="G253" s="675"/>
      <c r="H253" s="111">
        <f>F36+H184+H243+H251</f>
        <v>0</v>
      </c>
      <c r="I253" s="110"/>
      <c r="J253" s="110"/>
      <c r="K253" s="111">
        <f>H36+K184+K243+K251</f>
        <v>0</v>
      </c>
      <c r="L253" s="110"/>
      <c r="M253" s="110"/>
      <c r="N253" s="111">
        <f>H36+N184+N243+N251</f>
        <v>0</v>
      </c>
      <c r="O253" s="110"/>
      <c r="P253" s="110"/>
      <c r="Q253" s="111">
        <f>I36+Q184+Q243+Q251</f>
        <v>0</v>
      </c>
      <c r="R253" s="110"/>
      <c r="S253" s="110"/>
      <c r="T253" s="111">
        <f>J36+T184+T243+T251</f>
        <v>0</v>
      </c>
      <c r="U253" s="110"/>
      <c r="V253" s="110"/>
      <c r="W253" s="111">
        <f>K36+W184+W243+W251</f>
        <v>0</v>
      </c>
    </row>
    <row r="256" spans="5:24" hidden="1" x14ac:dyDescent="0.25">
      <c r="E256" s="669" t="s">
        <v>290</v>
      </c>
      <c r="F256" s="669"/>
      <c r="G256" s="669"/>
      <c r="H256" s="669"/>
      <c r="I256" s="669"/>
      <c r="J256" s="669"/>
      <c r="K256" s="669"/>
      <c r="L256" s="669"/>
      <c r="M256" s="669"/>
    </row>
    <row r="257" spans="5:13" hidden="1" x14ac:dyDescent="0.25">
      <c r="E257" s="117" t="s">
        <v>420</v>
      </c>
      <c r="F257" s="117" t="s">
        <v>421</v>
      </c>
      <c r="G257" s="117" t="s">
        <v>62</v>
      </c>
      <c r="H257" s="118">
        <f>BASES!D7</f>
        <v>2021</v>
      </c>
      <c r="I257" s="118">
        <f>BASES!E7</f>
        <v>2022</v>
      </c>
      <c r="J257" s="118">
        <f>BASES!F7</f>
        <v>2023</v>
      </c>
      <c r="K257" s="118">
        <f>BASES!G7</f>
        <v>2024</v>
      </c>
      <c r="L257" s="118">
        <f>BASES!H7</f>
        <v>2025</v>
      </c>
      <c r="M257" s="117" t="s">
        <v>422</v>
      </c>
    </row>
    <row r="258" spans="5:13" hidden="1" x14ac:dyDescent="0.25">
      <c r="E258" s="119" t="s">
        <v>291</v>
      </c>
      <c r="F258" s="120">
        <f>H48</f>
        <v>0</v>
      </c>
      <c r="G258" s="117">
        <f>X41</f>
        <v>20</v>
      </c>
      <c r="H258" s="117">
        <f>ROUND(($F$258/$G$258),0)</f>
        <v>0</v>
      </c>
      <c r="I258" s="117">
        <f t="shared" ref="I258:L258" si="71">ROUND(($F$258/$G$258),0)</f>
        <v>0</v>
      </c>
      <c r="J258" s="117">
        <f t="shared" si="71"/>
        <v>0</v>
      </c>
      <c r="K258" s="117">
        <f t="shared" si="71"/>
        <v>0</v>
      </c>
      <c r="L258" s="117">
        <f t="shared" si="71"/>
        <v>0</v>
      </c>
      <c r="M258" s="120">
        <f>F258-(H258+I258+J258+K258+L258)</f>
        <v>0</v>
      </c>
    </row>
    <row r="259" spans="5:13" hidden="1" x14ac:dyDescent="0.25">
      <c r="E259" s="119" t="s">
        <v>292</v>
      </c>
      <c r="F259" s="117"/>
      <c r="G259" s="117"/>
      <c r="H259" s="117">
        <f>H258</f>
        <v>0</v>
      </c>
      <c r="I259" s="117">
        <f>I258+H259</f>
        <v>0</v>
      </c>
      <c r="J259" s="117">
        <f>J258+I259</f>
        <v>0</v>
      </c>
      <c r="K259" s="117">
        <f>K258+J259</f>
        <v>0</v>
      </c>
      <c r="L259" s="117">
        <f>L258+K259</f>
        <v>0</v>
      </c>
      <c r="M259" s="117"/>
    </row>
    <row r="260" spans="5:13" hidden="1" x14ac:dyDescent="0.25">
      <c r="E260" s="119" t="s">
        <v>293</v>
      </c>
      <c r="F260" s="120">
        <f>H91</f>
        <v>0</v>
      </c>
      <c r="G260" s="117">
        <f>X51</f>
        <v>10</v>
      </c>
      <c r="H260" s="117">
        <f>ROUND(($F$260/$G$260),0)</f>
        <v>0</v>
      </c>
      <c r="I260" s="117">
        <f t="shared" ref="I260:L260" si="72">ROUND(($F$260/$G$260),0)</f>
        <v>0</v>
      </c>
      <c r="J260" s="117">
        <f t="shared" si="72"/>
        <v>0</v>
      </c>
      <c r="K260" s="117">
        <f t="shared" si="72"/>
        <v>0</v>
      </c>
      <c r="L260" s="117">
        <f t="shared" si="72"/>
        <v>0</v>
      </c>
      <c r="M260" s="120">
        <f>F260-(H260+I260+J260+K260+L260)</f>
        <v>0</v>
      </c>
    </row>
    <row r="261" spans="5:13" hidden="1" x14ac:dyDescent="0.25">
      <c r="E261" s="119" t="s">
        <v>292</v>
      </c>
      <c r="F261" s="117"/>
      <c r="G261" s="117"/>
      <c r="H261" s="117">
        <f>H260</f>
        <v>0</v>
      </c>
      <c r="I261" s="117">
        <f>I260+H261</f>
        <v>0</v>
      </c>
      <c r="J261" s="117">
        <f>J260+I261</f>
        <v>0</v>
      </c>
      <c r="K261" s="117">
        <f>K260+J261</f>
        <v>0</v>
      </c>
      <c r="L261" s="117">
        <f>L260+K261</f>
        <v>0</v>
      </c>
      <c r="M261" s="117"/>
    </row>
    <row r="262" spans="5:13" hidden="1" x14ac:dyDescent="0.25">
      <c r="E262" s="119" t="s">
        <v>294</v>
      </c>
      <c r="F262" s="120">
        <f>H144</f>
        <v>0</v>
      </c>
      <c r="G262" s="117">
        <f>X94</f>
        <v>5</v>
      </c>
      <c r="H262" s="117">
        <f>ROUND(($F$262/$G$262),0)</f>
        <v>0</v>
      </c>
      <c r="I262" s="117">
        <f t="shared" ref="I262:L262" si="73">ROUND(($F$262/$G$262),0)</f>
        <v>0</v>
      </c>
      <c r="J262" s="117">
        <f t="shared" si="73"/>
        <v>0</v>
      </c>
      <c r="K262" s="117">
        <f t="shared" si="73"/>
        <v>0</v>
      </c>
      <c r="L262" s="117">
        <f t="shared" si="73"/>
        <v>0</v>
      </c>
      <c r="M262" s="120">
        <f>F262-(H262+I262+J262+K262+L262)</f>
        <v>0</v>
      </c>
    </row>
    <row r="263" spans="5:13" hidden="1" x14ac:dyDescent="0.25">
      <c r="E263" s="119" t="s">
        <v>292</v>
      </c>
      <c r="F263" s="117"/>
      <c r="G263" s="117"/>
      <c r="H263" s="117">
        <f>H262</f>
        <v>0</v>
      </c>
      <c r="I263" s="117">
        <f>I262+H263</f>
        <v>0</v>
      </c>
      <c r="J263" s="117">
        <f t="shared" ref="J263:L263" si="74">J262+I263</f>
        <v>0</v>
      </c>
      <c r="K263" s="117">
        <f t="shared" si="74"/>
        <v>0</v>
      </c>
      <c r="L263" s="117">
        <f t="shared" si="74"/>
        <v>0</v>
      </c>
      <c r="M263" s="117"/>
    </row>
    <row r="264" spans="5:13" hidden="1" x14ac:dyDescent="0.25">
      <c r="E264" s="119" t="s">
        <v>295</v>
      </c>
      <c r="F264" s="120">
        <f>H154</f>
        <v>0</v>
      </c>
      <c r="G264" s="117">
        <f>X147</f>
        <v>5</v>
      </c>
      <c r="H264" s="117">
        <f>ROUND(($F$264/$G$264),0)</f>
        <v>0</v>
      </c>
      <c r="I264" s="117">
        <f t="shared" ref="I264:L264" si="75">ROUND(($F$264/$G$264),0)</f>
        <v>0</v>
      </c>
      <c r="J264" s="117">
        <f t="shared" si="75"/>
        <v>0</v>
      </c>
      <c r="K264" s="117">
        <f t="shared" si="75"/>
        <v>0</v>
      </c>
      <c r="L264" s="117">
        <f t="shared" si="75"/>
        <v>0</v>
      </c>
      <c r="M264" s="120">
        <f>F264-(H264+I264+J264+K264+L264)</f>
        <v>0</v>
      </c>
    </row>
    <row r="265" spans="5:13" hidden="1" x14ac:dyDescent="0.25">
      <c r="E265" s="119" t="s">
        <v>292</v>
      </c>
      <c r="F265" s="117"/>
      <c r="G265" s="117"/>
      <c r="H265" s="117">
        <f>H264</f>
        <v>0</v>
      </c>
      <c r="I265" s="117">
        <f>I264+H265</f>
        <v>0</v>
      </c>
      <c r="J265" s="117">
        <f t="shared" ref="J265:K265" si="76">J264+I265</f>
        <v>0</v>
      </c>
      <c r="K265" s="117">
        <f t="shared" si="76"/>
        <v>0</v>
      </c>
      <c r="L265" s="117">
        <f>L264+K265</f>
        <v>0</v>
      </c>
      <c r="M265" s="117"/>
    </row>
    <row r="266" spans="5:13" hidden="1" x14ac:dyDescent="0.25">
      <c r="E266" s="119" t="s">
        <v>296</v>
      </c>
      <c r="F266" s="120">
        <f>H182</f>
        <v>0</v>
      </c>
      <c r="G266" s="117">
        <f>X157</f>
        <v>3</v>
      </c>
      <c r="H266" s="117">
        <f>ROUND(($F$266/$G$266),0)</f>
        <v>0</v>
      </c>
      <c r="I266" s="117">
        <f t="shared" ref="I266:L266" si="77">ROUND(($F$266/$G$266),0)</f>
        <v>0</v>
      </c>
      <c r="J266" s="117">
        <f t="shared" si="77"/>
        <v>0</v>
      </c>
      <c r="K266" s="117">
        <f t="shared" si="77"/>
        <v>0</v>
      </c>
      <c r="L266" s="117">
        <f t="shared" si="77"/>
        <v>0</v>
      </c>
      <c r="M266" s="120">
        <f>F266-(H266+I266+J266+K266+L266)</f>
        <v>0</v>
      </c>
    </row>
    <row r="267" spans="5:13" hidden="1" x14ac:dyDescent="0.25">
      <c r="E267" s="119" t="s">
        <v>292</v>
      </c>
      <c r="F267" s="117"/>
      <c r="G267" s="117"/>
      <c r="H267" s="117">
        <f>H266</f>
        <v>0</v>
      </c>
      <c r="I267" s="117">
        <f>I266+H267</f>
        <v>0</v>
      </c>
      <c r="J267" s="117">
        <f t="shared" ref="J267:L267" si="78">J266+I267</f>
        <v>0</v>
      </c>
      <c r="K267" s="117">
        <f t="shared" si="78"/>
        <v>0</v>
      </c>
      <c r="L267" s="117">
        <f t="shared" si="78"/>
        <v>0</v>
      </c>
      <c r="M267" s="117"/>
    </row>
    <row r="268" spans="5:13" hidden="1" x14ac:dyDescent="0.25">
      <c r="E268" s="117" t="s">
        <v>297</v>
      </c>
      <c r="F268" s="120">
        <f>SUM(F258:F267)</f>
        <v>0</v>
      </c>
      <c r="G268" s="117"/>
      <c r="H268" s="117">
        <f>H258+H260+H262+H264+H266</f>
        <v>0</v>
      </c>
      <c r="I268" s="117">
        <f t="shared" ref="I268:L268" si="79">I258+I260+I262+I264+I266</f>
        <v>0</v>
      </c>
      <c r="J268" s="117">
        <f t="shared" si="79"/>
        <v>0</v>
      </c>
      <c r="K268" s="117">
        <f t="shared" si="79"/>
        <v>0</v>
      </c>
      <c r="L268" s="117">
        <f t="shared" si="79"/>
        <v>0</v>
      </c>
      <c r="M268" s="120">
        <f>M258+M260+M262+M264+M266</f>
        <v>0</v>
      </c>
    </row>
    <row r="269" spans="5:13" hidden="1" x14ac:dyDescent="0.25">
      <c r="E269" s="121" t="s">
        <v>298</v>
      </c>
      <c r="F269" s="120">
        <f>H212</f>
        <v>0</v>
      </c>
      <c r="G269" s="117">
        <f>X196</f>
        <v>1</v>
      </c>
      <c r="H269" s="117">
        <f>ROUND(($F$269/$G$269),0)</f>
        <v>0</v>
      </c>
      <c r="I269" s="117"/>
      <c r="J269" s="117"/>
      <c r="K269" s="117"/>
      <c r="L269" s="117"/>
      <c r="M269" s="120">
        <f>F269-H269</f>
        <v>0</v>
      </c>
    </row>
    <row r="270" spans="5:13" hidden="1" x14ac:dyDescent="0.25">
      <c r="E270" s="121" t="s">
        <v>299</v>
      </c>
      <c r="F270" s="120">
        <f>H231</f>
        <v>0</v>
      </c>
      <c r="G270" s="117">
        <f>X215</f>
        <v>10</v>
      </c>
      <c r="H270" s="117">
        <f>ROUND(($F$270/$G$270),0)</f>
        <v>0</v>
      </c>
      <c r="I270" s="117">
        <f>ROUND(($F$270/$G$270),0)</f>
        <v>0</v>
      </c>
      <c r="J270" s="117">
        <f>ROUND(($F$270/$G$270),0)</f>
        <v>0</v>
      </c>
      <c r="K270" s="117">
        <f>ROUND(($F$270/$G$270),0)</f>
        <v>0</v>
      </c>
      <c r="L270" s="117">
        <f>ROUND(($F$270/$G$270),0)</f>
        <v>0</v>
      </c>
      <c r="M270" s="120">
        <f>F270-SUM(H270:L270)</f>
        <v>0</v>
      </c>
    </row>
    <row r="271" spans="5:13" hidden="1" x14ac:dyDescent="0.25">
      <c r="E271" s="121" t="s">
        <v>300</v>
      </c>
      <c r="F271" s="117"/>
      <c r="G271" s="117"/>
      <c r="H271" s="117">
        <f>H270</f>
        <v>0</v>
      </c>
      <c r="I271" s="117">
        <f>I270+H271</f>
        <v>0</v>
      </c>
      <c r="J271" s="117">
        <f t="shared" ref="J271:L271" si="80">J270+I271</f>
        <v>0</v>
      </c>
      <c r="K271" s="117">
        <f t="shared" si="80"/>
        <v>0</v>
      </c>
      <c r="L271" s="117">
        <f t="shared" si="80"/>
        <v>0</v>
      </c>
      <c r="M271" s="117"/>
    </row>
    <row r="272" spans="5:13" hidden="1" x14ac:dyDescent="0.25">
      <c r="E272" s="121" t="s">
        <v>301</v>
      </c>
      <c r="F272" s="120">
        <f>H241</f>
        <v>0</v>
      </c>
      <c r="G272" s="117">
        <f>X234</f>
        <v>5</v>
      </c>
      <c r="H272" s="117">
        <f>ROUND(($F$272/$G$272),0)</f>
        <v>0</v>
      </c>
      <c r="I272" s="117">
        <f>ROUND(($F$272/$G$272),0)</f>
        <v>0</v>
      </c>
      <c r="J272" s="117">
        <f>ROUND(($F$272/$G$272),0)</f>
        <v>0</v>
      </c>
      <c r="K272" s="117">
        <f>ROUND(($F$272/$G$272),0)</f>
        <v>0</v>
      </c>
      <c r="L272" s="117">
        <f>ROUND(($F$272/$G$272),0)</f>
        <v>0</v>
      </c>
      <c r="M272" s="120">
        <f>F272-SUM(H272:L272)</f>
        <v>0</v>
      </c>
    </row>
    <row r="273" spans="5:13" hidden="1" x14ac:dyDescent="0.25">
      <c r="E273" s="121" t="s">
        <v>154</v>
      </c>
      <c r="F273" s="117"/>
      <c r="G273" s="117"/>
      <c r="H273" s="117">
        <f>H272</f>
        <v>0</v>
      </c>
      <c r="I273" s="117">
        <f>I272+H273</f>
        <v>0</v>
      </c>
      <c r="J273" s="117">
        <f t="shared" ref="J273:L273" si="81">J272+I273</f>
        <v>0</v>
      </c>
      <c r="K273" s="117">
        <f t="shared" si="81"/>
        <v>0</v>
      </c>
      <c r="L273" s="117">
        <f t="shared" si="81"/>
        <v>0</v>
      </c>
      <c r="M273" s="117"/>
    </row>
    <row r="274" spans="5:13" hidden="1" x14ac:dyDescent="0.25">
      <c r="E274" s="121" t="s">
        <v>302</v>
      </c>
      <c r="F274" s="120">
        <f>H251</f>
        <v>0</v>
      </c>
      <c r="G274" s="117">
        <f>X246</f>
        <v>5</v>
      </c>
      <c r="H274" s="117">
        <f>ROUND(($F$274/$G$274),0)</f>
        <v>0</v>
      </c>
      <c r="I274" s="117">
        <f>ROUND(($F$274/$G$274),0)</f>
        <v>0</v>
      </c>
      <c r="J274" s="117">
        <f>ROUND(($F$274/$G$274),0)</f>
        <v>0</v>
      </c>
      <c r="K274" s="117">
        <f>ROUND(($F$274/$G$274),0)</f>
        <v>0</v>
      </c>
      <c r="L274" s="117">
        <f>ROUND(($F$274/$G$274),0)</f>
        <v>0</v>
      </c>
      <c r="M274" s="120">
        <f>F274-SUM(H274:L274)</f>
        <v>0</v>
      </c>
    </row>
    <row r="275" spans="5:13" hidden="1" x14ac:dyDescent="0.25">
      <c r="E275" s="121" t="s">
        <v>303</v>
      </c>
      <c r="F275" s="117"/>
      <c r="G275" s="117"/>
      <c r="H275" s="117">
        <f>H274</f>
        <v>0</v>
      </c>
      <c r="I275" s="117">
        <f>I274+H275</f>
        <v>0</v>
      </c>
      <c r="J275" s="117">
        <f t="shared" ref="J275:L275" si="82">J274+I275</f>
        <v>0</v>
      </c>
      <c r="K275" s="117">
        <f t="shared" si="82"/>
        <v>0</v>
      </c>
      <c r="L275" s="117">
        <f t="shared" si="82"/>
        <v>0</v>
      </c>
      <c r="M275" s="117"/>
    </row>
    <row r="276" spans="5:13" hidden="1" x14ac:dyDescent="0.25">
      <c r="E276" s="7"/>
      <c r="F276" s="7"/>
      <c r="G276" s="7"/>
      <c r="H276" s="7"/>
      <c r="I276" s="7"/>
      <c r="J276" s="7"/>
      <c r="K276" s="7"/>
      <c r="L276" s="7"/>
      <c r="M276" s="7"/>
    </row>
    <row r="277" spans="5:13" hidden="1" x14ac:dyDescent="0.25">
      <c r="E277" s="7"/>
      <c r="F277" s="7"/>
      <c r="G277" s="7"/>
      <c r="H277" s="7"/>
      <c r="I277" s="7"/>
      <c r="J277" s="7"/>
      <c r="K277" s="7"/>
      <c r="L277" s="7"/>
      <c r="M277" s="7"/>
    </row>
    <row r="278" spans="5:13" hidden="1" x14ac:dyDescent="0.25">
      <c r="E278" s="669" t="s">
        <v>423</v>
      </c>
      <c r="F278" s="669"/>
      <c r="G278" s="669"/>
      <c r="H278" s="669"/>
      <c r="I278" s="669"/>
      <c r="J278" s="669"/>
      <c r="K278" s="669"/>
      <c r="L278" s="669"/>
      <c r="M278" s="7"/>
    </row>
    <row r="279" spans="5:13" hidden="1" x14ac:dyDescent="0.25">
      <c r="E279" s="117" t="s">
        <v>424</v>
      </c>
      <c r="F279" s="118">
        <f>BASES!D7</f>
        <v>2021</v>
      </c>
      <c r="G279" s="117" t="s">
        <v>387</v>
      </c>
      <c r="H279" s="118">
        <f>BASES!E7</f>
        <v>2022</v>
      </c>
      <c r="I279" s="118">
        <f>BASES!F7</f>
        <v>2023</v>
      </c>
      <c r="J279" s="118">
        <f>BASES!G7</f>
        <v>2024</v>
      </c>
      <c r="K279" s="118">
        <f>BASES!H7</f>
        <v>2025</v>
      </c>
      <c r="L279" s="117" t="s">
        <v>425</v>
      </c>
      <c r="M279" s="7"/>
    </row>
    <row r="280" spans="5:13" hidden="1" x14ac:dyDescent="0.25">
      <c r="E280" s="119" t="s">
        <v>291</v>
      </c>
      <c r="F280" s="120">
        <f>K48</f>
        <v>0</v>
      </c>
      <c r="G280" s="117">
        <f>X41</f>
        <v>20</v>
      </c>
      <c r="H280" s="117">
        <f>ROUND(($F$280/$G$280),0)</f>
        <v>0</v>
      </c>
      <c r="I280" s="117">
        <f t="shared" ref="I280:K280" si="83">ROUND(($F$280/$G$280),0)</f>
        <v>0</v>
      </c>
      <c r="J280" s="117">
        <f t="shared" si="83"/>
        <v>0</v>
      </c>
      <c r="K280" s="117">
        <f t="shared" si="83"/>
        <v>0</v>
      </c>
      <c r="L280" s="120">
        <f>F280-SUM(H280:K280)</f>
        <v>0</v>
      </c>
      <c r="M280" s="7"/>
    </row>
    <row r="281" spans="5:13" hidden="1" x14ac:dyDescent="0.25">
      <c r="E281" s="119" t="s">
        <v>292</v>
      </c>
      <c r="F281" s="117"/>
      <c r="G281" s="117"/>
      <c r="H281" s="117">
        <f>H280</f>
        <v>0</v>
      </c>
      <c r="I281" s="117">
        <f>I280+H281</f>
        <v>0</v>
      </c>
      <c r="J281" s="117">
        <f t="shared" ref="J281:K281" si="84">J280+I281</f>
        <v>0</v>
      </c>
      <c r="K281" s="117">
        <f t="shared" si="84"/>
        <v>0</v>
      </c>
      <c r="L281" s="117"/>
      <c r="M281" s="7"/>
    </row>
    <row r="282" spans="5:13" hidden="1" x14ac:dyDescent="0.25">
      <c r="E282" s="119" t="s">
        <v>293</v>
      </c>
      <c r="F282" s="120">
        <f>K91</f>
        <v>0</v>
      </c>
      <c r="G282" s="117">
        <f>X51</f>
        <v>10</v>
      </c>
      <c r="H282" s="117">
        <f>ROUND(($F$282/$G$282),0)</f>
        <v>0</v>
      </c>
      <c r="I282" s="117">
        <f t="shared" ref="I282:K282" si="85">ROUND(($F$282/$G$282),0)</f>
        <v>0</v>
      </c>
      <c r="J282" s="117">
        <f t="shared" si="85"/>
        <v>0</v>
      </c>
      <c r="K282" s="117">
        <f t="shared" si="85"/>
        <v>0</v>
      </c>
      <c r="L282" s="120">
        <f>F282-SUM(H282:K282)</f>
        <v>0</v>
      </c>
      <c r="M282" s="7"/>
    </row>
    <row r="283" spans="5:13" hidden="1" x14ac:dyDescent="0.25">
      <c r="E283" s="119" t="s">
        <v>292</v>
      </c>
      <c r="F283" s="117"/>
      <c r="G283" s="117"/>
      <c r="H283" s="117">
        <f>H282</f>
        <v>0</v>
      </c>
      <c r="I283" s="117">
        <f>I282+H283</f>
        <v>0</v>
      </c>
      <c r="J283" s="117">
        <f t="shared" ref="J283:K283" si="86">J282+I283</f>
        <v>0</v>
      </c>
      <c r="K283" s="117">
        <f t="shared" si="86"/>
        <v>0</v>
      </c>
      <c r="L283" s="117"/>
      <c r="M283" s="7"/>
    </row>
    <row r="284" spans="5:13" hidden="1" x14ac:dyDescent="0.25">
      <c r="E284" s="119" t="s">
        <v>294</v>
      </c>
      <c r="F284" s="120">
        <f>K144</f>
        <v>0</v>
      </c>
      <c r="G284" s="117">
        <f>X94</f>
        <v>5</v>
      </c>
      <c r="H284" s="117">
        <f>ROUND(($F$284/$G$284),0)</f>
        <v>0</v>
      </c>
      <c r="I284" s="117">
        <f t="shared" ref="I284:K284" si="87">ROUND(($F$284/$G$284),0)</f>
        <v>0</v>
      </c>
      <c r="J284" s="117">
        <f t="shared" si="87"/>
        <v>0</v>
      </c>
      <c r="K284" s="117">
        <f t="shared" si="87"/>
        <v>0</v>
      </c>
      <c r="L284" s="120">
        <f>F284-SUM(H284:K284)</f>
        <v>0</v>
      </c>
      <c r="M284" s="7"/>
    </row>
    <row r="285" spans="5:13" hidden="1" x14ac:dyDescent="0.25">
      <c r="E285" s="119" t="s">
        <v>292</v>
      </c>
      <c r="F285" s="117"/>
      <c r="G285" s="117"/>
      <c r="H285" s="117">
        <f>H284</f>
        <v>0</v>
      </c>
      <c r="I285" s="117">
        <f>I284+H285</f>
        <v>0</v>
      </c>
      <c r="J285" s="117">
        <f t="shared" ref="J285:K285" si="88">J284+I285</f>
        <v>0</v>
      </c>
      <c r="K285" s="117">
        <f t="shared" si="88"/>
        <v>0</v>
      </c>
      <c r="L285" s="117"/>
      <c r="M285" s="7"/>
    </row>
    <row r="286" spans="5:13" hidden="1" x14ac:dyDescent="0.25">
      <c r="E286" s="119" t="s">
        <v>295</v>
      </c>
      <c r="F286" s="120">
        <f>K154</f>
        <v>0</v>
      </c>
      <c r="G286" s="117">
        <f>X147</f>
        <v>5</v>
      </c>
      <c r="H286" s="117">
        <f>ROUND(($F$286/$G$286),0)</f>
        <v>0</v>
      </c>
      <c r="I286" s="117">
        <f t="shared" ref="I286:K286" si="89">ROUND(($F$286/$G$286),0)</f>
        <v>0</v>
      </c>
      <c r="J286" s="117">
        <f t="shared" si="89"/>
        <v>0</v>
      </c>
      <c r="K286" s="117">
        <f t="shared" si="89"/>
        <v>0</v>
      </c>
      <c r="L286" s="120">
        <f>F286-SUM(H286:K286)</f>
        <v>0</v>
      </c>
      <c r="M286" s="7"/>
    </row>
    <row r="287" spans="5:13" hidden="1" x14ac:dyDescent="0.25">
      <c r="E287" s="119" t="s">
        <v>292</v>
      </c>
      <c r="F287" s="117"/>
      <c r="G287" s="117"/>
      <c r="H287" s="117">
        <f>H286</f>
        <v>0</v>
      </c>
      <c r="I287" s="117">
        <f>I286+H287</f>
        <v>0</v>
      </c>
      <c r="J287" s="117">
        <f t="shared" ref="J287:K287" si="90">J286+I287</f>
        <v>0</v>
      </c>
      <c r="K287" s="117">
        <f t="shared" si="90"/>
        <v>0</v>
      </c>
      <c r="L287" s="117"/>
      <c r="M287" s="7"/>
    </row>
    <row r="288" spans="5:13" hidden="1" x14ac:dyDescent="0.25">
      <c r="E288" s="119" t="s">
        <v>296</v>
      </c>
      <c r="F288" s="120">
        <f>K182</f>
        <v>0</v>
      </c>
      <c r="G288" s="117">
        <f>X157</f>
        <v>3</v>
      </c>
      <c r="H288" s="117">
        <f>ROUND(($F$288/$G$288),0)</f>
        <v>0</v>
      </c>
      <c r="I288" s="117">
        <f t="shared" ref="I288:K288" si="91">ROUND(($F$288/$G$288),0)</f>
        <v>0</v>
      </c>
      <c r="J288" s="117">
        <f t="shared" si="91"/>
        <v>0</v>
      </c>
      <c r="K288" s="117">
        <f t="shared" si="91"/>
        <v>0</v>
      </c>
      <c r="L288" s="120">
        <f>F288-SUM(H288:K288)</f>
        <v>0</v>
      </c>
      <c r="M288" s="7"/>
    </row>
    <row r="289" spans="5:13" hidden="1" x14ac:dyDescent="0.25">
      <c r="E289" s="119" t="s">
        <v>292</v>
      </c>
      <c r="F289" s="117"/>
      <c r="G289" s="117"/>
      <c r="H289" s="117">
        <f>H288</f>
        <v>0</v>
      </c>
      <c r="I289" s="117">
        <f>I288+H289</f>
        <v>0</v>
      </c>
      <c r="J289" s="117">
        <f t="shared" ref="J289:K289" si="92">J288+I289</f>
        <v>0</v>
      </c>
      <c r="K289" s="117">
        <f t="shared" si="92"/>
        <v>0</v>
      </c>
      <c r="L289" s="117"/>
      <c r="M289" s="7"/>
    </row>
    <row r="290" spans="5:13" hidden="1" x14ac:dyDescent="0.25">
      <c r="E290" s="117" t="s">
        <v>297</v>
      </c>
      <c r="F290" s="120">
        <f>F280+F282+F284+F286+F288</f>
        <v>0</v>
      </c>
      <c r="G290" s="120"/>
      <c r="H290" s="120">
        <f t="shared" ref="H290:L290" si="93">H280+H282+H284+H286+H288</f>
        <v>0</v>
      </c>
      <c r="I290" s="120">
        <f t="shared" si="93"/>
        <v>0</v>
      </c>
      <c r="J290" s="120">
        <f t="shared" si="93"/>
        <v>0</v>
      </c>
      <c r="K290" s="120">
        <f t="shared" si="93"/>
        <v>0</v>
      </c>
      <c r="L290" s="120">
        <f t="shared" si="93"/>
        <v>0</v>
      </c>
      <c r="M290" s="7"/>
    </row>
    <row r="291" spans="5:13" hidden="1" x14ac:dyDescent="0.25">
      <c r="E291" s="119" t="s">
        <v>298</v>
      </c>
      <c r="F291" s="120">
        <f>K212</f>
        <v>0</v>
      </c>
      <c r="G291" s="117">
        <f>X196</f>
        <v>1</v>
      </c>
      <c r="H291" s="117">
        <f>ROUND(($F$291/$G$291),0)</f>
        <v>0</v>
      </c>
      <c r="I291" s="117">
        <f t="shared" ref="I291:K291" si="94">ROUND(($F$291/$G$291),0)</f>
        <v>0</v>
      </c>
      <c r="J291" s="117">
        <f t="shared" si="94"/>
        <v>0</v>
      </c>
      <c r="K291" s="117">
        <f t="shared" si="94"/>
        <v>0</v>
      </c>
      <c r="L291" s="120">
        <f>F291-SUM(H291:K291)</f>
        <v>0</v>
      </c>
      <c r="M291" s="7"/>
    </row>
    <row r="292" spans="5:13" hidden="1" x14ac:dyDescent="0.25">
      <c r="E292" s="119" t="s">
        <v>299</v>
      </c>
      <c r="F292" s="120">
        <f>K231</f>
        <v>0</v>
      </c>
      <c r="G292" s="117">
        <f>X215</f>
        <v>10</v>
      </c>
      <c r="H292" s="117">
        <f>ROUND(($F$292/$G$292),0)</f>
        <v>0</v>
      </c>
      <c r="I292" s="117">
        <f t="shared" ref="I292:K292" si="95">ROUND(($F$292/$G$292),0)</f>
        <v>0</v>
      </c>
      <c r="J292" s="117">
        <f t="shared" si="95"/>
        <v>0</v>
      </c>
      <c r="K292" s="117">
        <f t="shared" si="95"/>
        <v>0</v>
      </c>
      <c r="L292" s="120">
        <f>F292-SUM(H292:K292)</f>
        <v>0</v>
      </c>
      <c r="M292" s="7"/>
    </row>
    <row r="293" spans="5:13" hidden="1" x14ac:dyDescent="0.25">
      <c r="E293" s="119" t="s">
        <v>300</v>
      </c>
      <c r="F293" s="117"/>
      <c r="G293" s="117"/>
      <c r="H293" s="117">
        <f>H292</f>
        <v>0</v>
      </c>
      <c r="I293" s="117">
        <f>I292+H293</f>
        <v>0</v>
      </c>
      <c r="J293" s="117">
        <f t="shared" ref="J293:K293" si="96">J292+I293</f>
        <v>0</v>
      </c>
      <c r="K293" s="117">
        <f t="shared" si="96"/>
        <v>0</v>
      </c>
      <c r="L293" s="117"/>
      <c r="M293" s="7"/>
    </row>
    <row r="294" spans="5:13" hidden="1" x14ac:dyDescent="0.25">
      <c r="E294" s="119" t="s">
        <v>301</v>
      </c>
      <c r="F294" s="120">
        <f>K243</f>
        <v>0</v>
      </c>
      <c r="G294" s="117">
        <f>X234</f>
        <v>5</v>
      </c>
      <c r="H294" s="117">
        <f>ROUND(($F$294/$G$294),0)</f>
        <v>0</v>
      </c>
      <c r="I294" s="117">
        <f t="shared" ref="I294:K294" si="97">ROUND(($F$294/$G$294),0)</f>
        <v>0</v>
      </c>
      <c r="J294" s="117">
        <f t="shared" si="97"/>
        <v>0</v>
      </c>
      <c r="K294" s="117">
        <f t="shared" si="97"/>
        <v>0</v>
      </c>
      <c r="L294" s="120">
        <f>F294-SUM(H294:K294)</f>
        <v>0</v>
      </c>
      <c r="M294" s="7"/>
    </row>
    <row r="295" spans="5:13" hidden="1" x14ac:dyDescent="0.25">
      <c r="E295" s="119" t="s">
        <v>154</v>
      </c>
      <c r="F295" s="117"/>
      <c r="G295" s="117"/>
      <c r="H295" s="117">
        <f>H294</f>
        <v>0</v>
      </c>
      <c r="I295" s="117">
        <f>I294+H295</f>
        <v>0</v>
      </c>
      <c r="J295" s="117">
        <f t="shared" ref="J295:K295" si="98">J294+I295</f>
        <v>0</v>
      </c>
      <c r="K295" s="117">
        <f t="shared" si="98"/>
        <v>0</v>
      </c>
      <c r="L295" s="117"/>
      <c r="M295" s="7"/>
    </row>
    <row r="296" spans="5:13" hidden="1" x14ac:dyDescent="0.25">
      <c r="E296" s="119" t="s">
        <v>302</v>
      </c>
      <c r="F296" s="120">
        <f>K249</f>
        <v>0</v>
      </c>
      <c r="G296" s="117">
        <f>X246</f>
        <v>5</v>
      </c>
      <c r="H296" s="117">
        <f>ROUND(($F$296/$G$296),0)</f>
        <v>0</v>
      </c>
      <c r="I296" s="117">
        <f t="shared" ref="I296:K296" si="99">ROUND(($F$296/$G$296),0)</f>
        <v>0</v>
      </c>
      <c r="J296" s="117">
        <f t="shared" si="99"/>
        <v>0</v>
      </c>
      <c r="K296" s="117">
        <f t="shared" si="99"/>
        <v>0</v>
      </c>
      <c r="L296" s="120">
        <f>F296-SUM(H296:K296)</f>
        <v>0</v>
      </c>
      <c r="M296" s="7"/>
    </row>
    <row r="297" spans="5:13" hidden="1" x14ac:dyDescent="0.25">
      <c r="E297" s="119" t="s">
        <v>303</v>
      </c>
      <c r="F297" s="117"/>
      <c r="G297" s="117"/>
      <c r="H297" s="117">
        <f>H296</f>
        <v>0</v>
      </c>
      <c r="I297" s="117">
        <f>I296+H297</f>
        <v>0</v>
      </c>
      <c r="J297" s="117">
        <f t="shared" ref="J297:K297" si="100">J296+I297</f>
        <v>0</v>
      </c>
      <c r="K297" s="117">
        <f t="shared" si="100"/>
        <v>0</v>
      </c>
      <c r="L297" s="117"/>
      <c r="M297" s="7"/>
    </row>
    <row r="298" spans="5:13" hidden="1" x14ac:dyDescent="0.25">
      <c r="E298" s="7"/>
      <c r="F298" s="7"/>
      <c r="G298" s="7"/>
      <c r="H298" s="7"/>
      <c r="I298" s="7"/>
      <c r="J298" s="7"/>
      <c r="K298" s="7"/>
      <c r="L298" s="7"/>
      <c r="M298" s="7"/>
    </row>
    <row r="299" spans="5:13" hidden="1" x14ac:dyDescent="0.25">
      <c r="E299" s="7"/>
      <c r="F299" s="7"/>
      <c r="G299" s="7"/>
      <c r="H299" s="7"/>
      <c r="I299" s="7"/>
      <c r="J299" s="7"/>
      <c r="K299" s="7"/>
      <c r="L299" s="7"/>
      <c r="M299" s="7"/>
    </row>
    <row r="300" spans="5:13" hidden="1" x14ac:dyDescent="0.25">
      <c r="E300" s="669" t="s">
        <v>426</v>
      </c>
      <c r="F300" s="669"/>
      <c r="G300" s="669"/>
      <c r="H300" s="669"/>
      <c r="I300" s="669"/>
      <c r="J300" s="669"/>
      <c r="K300" s="669"/>
      <c r="L300" s="7"/>
      <c r="M300" s="7"/>
    </row>
    <row r="301" spans="5:13" hidden="1" x14ac:dyDescent="0.25">
      <c r="E301" s="117" t="s">
        <v>420</v>
      </c>
      <c r="F301" s="118">
        <f>BASES!E7</f>
        <v>2022</v>
      </c>
      <c r="G301" s="117" t="s">
        <v>387</v>
      </c>
      <c r="H301" s="118">
        <f>BASES!F7</f>
        <v>2023</v>
      </c>
      <c r="I301" s="118">
        <f>BASES!G7</f>
        <v>2024</v>
      </c>
      <c r="J301" s="118">
        <f>BASES!H7</f>
        <v>2025</v>
      </c>
      <c r="K301" s="117" t="s">
        <v>425</v>
      </c>
      <c r="L301" s="7"/>
      <c r="M301" s="7"/>
    </row>
    <row r="302" spans="5:13" hidden="1" x14ac:dyDescent="0.25">
      <c r="E302" s="119" t="s">
        <v>291</v>
      </c>
      <c r="F302" s="120">
        <f>N48</f>
        <v>0</v>
      </c>
      <c r="G302" s="117">
        <f>X41</f>
        <v>20</v>
      </c>
      <c r="H302" s="117">
        <f>ROUND(($F$302/$G$302),0)</f>
        <v>0</v>
      </c>
      <c r="I302" s="117">
        <f t="shared" ref="I302:J302" si="101">ROUND(($F$302/$G$302),0)</f>
        <v>0</v>
      </c>
      <c r="J302" s="117">
        <f t="shared" si="101"/>
        <v>0</v>
      </c>
      <c r="K302" s="120">
        <f>F302-SUM(H302:J302)</f>
        <v>0</v>
      </c>
      <c r="L302" s="7"/>
      <c r="M302" s="7"/>
    </row>
    <row r="303" spans="5:13" hidden="1" x14ac:dyDescent="0.25">
      <c r="E303" s="119" t="s">
        <v>292</v>
      </c>
      <c r="F303" s="117"/>
      <c r="G303" s="117"/>
      <c r="H303" s="117">
        <f>H302</f>
        <v>0</v>
      </c>
      <c r="I303" s="117">
        <f>I302+H303</f>
        <v>0</v>
      </c>
      <c r="J303" s="117">
        <f>J302+I303</f>
        <v>0</v>
      </c>
      <c r="K303" s="117"/>
      <c r="L303" s="7"/>
      <c r="M303" s="7"/>
    </row>
    <row r="304" spans="5:13" hidden="1" x14ac:dyDescent="0.25">
      <c r="E304" s="119" t="s">
        <v>293</v>
      </c>
      <c r="F304" s="120">
        <f>N91</f>
        <v>0</v>
      </c>
      <c r="G304" s="117">
        <f>X51</f>
        <v>10</v>
      </c>
      <c r="H304" s="117">
        <f>ROUND(($F$304/$G$304),0)</f>
        <v>0</v>
      </c>
      <c r="I304" s="117">
        <f t="shared" ref="I304:J304" si="102">ROUND(($F$304/$G$304),0)</f>
        <v>0</v>
      </c>
      <c r="J304" s="117">
        <f t="shared" si="102"/>
        <v>0</v>
      </c>
      <c r="K304" s="120">
        <f>F304-SUM(H304:J304)</f>
        <v>0</v>
      </c>
      <c r="L304" s="7"/>
      <c r="M304" s="7"/>
    </row>
    <row r="305" spans="5:13" hidden="1" x14ac:dyDescent="0.25">
      <c r="E305" s="119" t="s">
        <v>292</v>
      </c>
      <c r="F305" s="117"/>
      <c r="G305" s="117"/>
      <c r="H305" s="117">
        <f>H304</f>
        <v>0</v>
      </c>
      <c r="I305" s="117">
        <f>I304+H305</f>
        <v>0</v>
      </c>
      <c r="J305" s="117">
        <f>J304+I305</f>
        <v>0</v>
      </c>
      <c r="K305" s="117"/>
      <c r="L305" s="7"/>
      <c r="M305" s="7"/>
    </row>
    <row r="306" spans="5:13" hidden="1" x14ac:dyDescent="0.25">
      <c r="E306" s="119" t="s">
        <v>294</v>
      </c>
      <c r="F306" s="120">
        <f>N144</f>
        <v>0</v>
      </c>
      <c r="G306" s="117">
        <f>X94</f>
        <v>5</v>
      </c>
      <c r="H306" s="117">
        <f>ROUND(($F$306/$G$306),0)</f>
        <v>0</v>
      </c>
      <c r="I306" s="117">
        <f t="shared" ref="I306:J306" si="103">ROUND(($F$306/$G$306),0)</f>
        <v>0</v>
      </c>
      <c r="J306" s="117">
        <f t="shared" si="103"/>
        <v>0</v>
      </c>
      <c r="K306" s="120">
        <f>F306-SUM(H306:J306)</f>
        <v>0</v>
      </c>
      <c r="L306" s="7"/>
      <c r="M306" s="7"/>
    </row>
    <row r="307" spans="5:13" hidden="1" x14ac:dyDescent="0.25">
      <c r="E307" s="119" t="s">
        <v>292</v>
      </c>
      <c r="F307" s="117"/>
      <c r="G307" s="117"/>
      <c r="H307" s="117">
        <f>H306</f>
        <v>0</v>
      </c>
      <c r="I307" s="117">
        <f>I306+H307</f>
        <v>0</v>
      </c>
      <c r="J307" s="117">
        <f>J306+I307</f>
        <v>0</v>
      </c>
      <c r="K307" s="117"/>
      <c r="L307" s="7"/>
      <c r="M307" s="7"/>
    </row>
    <row r="308" spans="5:13" hidden="1" x14ac:dyDescent="0.25">
      <c r="E308" s="119" t="s">
        <v>295</v>
      </c>
      <c r="F308" s="120">
        <f>N154</f>
        <v>0</v>
      </c>
      <c r="G308" s="117">
        <f>X147</f>
        <v>5</v>
      </c>
      <c r="H308" s="117">
        <f>ROUND(($F$308/$G$308),0)</f>
        <v>0</v>
      </c>
      <c r="I308" s="117">
        <f t="shared" ref="I308:J308" si="104">ROUND(($F$308/$G$308),0)</f>
        <v>0</v>
      </c>
      <c r="J308" s="117">
        <f t="shared" si="104"/>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296</v>
      </c>
      <c r="F310" s="120">
        <f>N182</f>
        <v>0</v>
      </c>
      <c r="G310" s="117">
        <f>X157</f>
        <v>3</v>
      </c>
      <c r="H310" s="117">
        <f>ROUND(($F$310/$G$310),0)</f>
        <v>0</v>
      </c>
      <c r="I310" s="117">
        <f t="shared" ref="I310:J310" si="105">ROUND(($F$310/$G$310),0)</f>
        <v>0</v>
      </c>
      <c r="J310" s="117">
        <f t="shared" si="105"/>
        <v>0</v>
      </c>
      <c r="K310" s="120">
        <f>F310-SUM(H310:J310)</f>
        <v>0</v>
      </c>
      <c r="L310" s="7"/>
      <c r="M310" s="7"/>
    </row>
    <row r="311" spans="5:13" hidden="1" x14ac:dyDescent="0.25">
      <c r="E311" s="119" t="s">
        <v>292</v>
      </c>
      <c r="F311" s="117"/>
      <c r="G311" s="117"/>
      <c r="H311" s="117">
        <f>H310</f>
        <v>0</v>
      </c>
      <c r="I311" s="117">
        <f>I310+H311</f>
        <v>0</v>
      </c>
      <c r="J311" s="117">
        <f>J310+I311</f>
        <v>0</v>
      </c>
      <c r="K311" s="117"/>
      <c r="L311" s="7"/>
      <c r="M311" s="7"/>
    </row>
    <row r="312" spans="5:13" hidden="1" x14ac:dyDescent="0.25">
      <c r="E312" s="117" t="s">
        <v>297</v>
      </c>
      <c r="F312" s="120">
        <f>F302+F304+F306+F308+F310</f>
        <v>0</v>
      </c>
      <c r="G312" s="120"/>
      <c r="H312" s="120">
        <f t="shared" ref="H312:K312" si="106">H302+H304+H306+H308+H310</f>
        <v>0</v>
      </c>
      <c r="I312" s="120">
        <f t="shared" si="106"/>
        <v>0</v>
      </c>
      <c r="J312" s="120">
        <f t="shared" si="106"/>
        <v>0</v>
      </c>
      <c r="K312" s="120">
        <f t="shared" si="106"/>
        <v>0</v>
      </c>
      <c r="L312" s="7"/>
      <c r="M312" s="7"/>
    </row>
    <row r="313" spans="5:13" hidden="1" x14ac:dyDescent="0.25">
      <c r="E313" s="119" t="s">
        <v>298</v>
      </c>
      <c r="F313" s="120">
        <f>N212</f>
        <v>0</v>
      </c>
      <c r="G313" s="117">
        <f>X196</f>
        <v>1</v>
      </c>
      <c r="H313" s="117">
        <f>ROUND(($F$313/$G$313),0)</f>
        <v>0</v>
      </c>
      <c r="I313" s="117">
        <f t="shared" ref="I313:J313" si="107">ROUND(($F$313/$G$313),0)</f>
        <v>0</v>
      </c>
      <c r="J313" s="117">
        <f t="shared" si="107"/>
        <v>0</v>
      </c>
      <c r="K313" s="120">
        <f>F313-SUM(H313:J313)</f>
        <v>0</v>
      </c>
      <c r="L313" s="7"/>
      <c r="M313" s="7"/>
    </row>
    <row r="314" spans="5:13" hidden="1" x14ac:dyDescent="0.25">
      <c r="E314" s="119" t="s">
        <v>299</v>
      </c>
      <c r="F314" s="120">
        <f>N231</f>
        <v>0</v>
      </c>
      <c r="G314" s="117">
        <f>X215</f>
        <v>10</v>
      </c>
      <c r="H314" s="117">
        <f>ROUND(($F$314/$G$314),0)</f>
        <v>0</v>
      </c>
      <c r="I314" s="117">
        <f t="shared" ref="I314:J314" si="108">ROUND(($F$314/$G$314),0)</f>
        <v>0</v>
      </c>
      <c r="J314" s="117">
        <f t="shared" si="108"/>
        <v>0</v>
      </c>
      <c r="K314" s="120">
        <f>F314-SUM(H314:J314)</f>
        <v>0</v>
      </c>
      <c r="L314" s="7"/>
      <c r="M314" s="7"/>
    </row>
    <row r="315" spans="5:13" hidden="1" x14ac:dyDescent="0.25">
      <c r="E315" s="119" t="s">
        <v>300</v>
      </c>
      <c r="F315" s="117"/>
      <c r="G315" s="117"/>
      <c r="H315" s="117">
        <f>H314</f>
        <v>0</v>
      </c>
      <c r="I315" s="117">
        <f>I314+H315</f>
        <v>0</v>
      </c>
      <c r="J315" s="117">
        <f>J314+I315</f>
        <v>0</v>
      </c>
      <c r="K315" s="117"/>
      <c r="L315" s="7"/>
      <c r="M315" s="7"/>
    </row>
    <row r="316" spans="5:13" hidden="1" x14ac:dyDescent="0.25">
      <c r="E316" s="119" t="s">
        <v>301</v>
      </c>
      <c r="F316" s="120">
        <f>N241</f>
        <v>0</v>
      </c>
      <c r="G316" s="117">
        <f>X234</f>
        <v>5</v>
      </c>
      <c r="H316" s="117">
        <f>ROUND(($F$316/$G$316),0)</f>
        <v>0</v>
      </c>
      <c r="I316" s="117">
        <f t="shared" ref="I316:J316" si="109">ROUND(($F$316/$G$316),0)</f>
        <v>0</v>
      </c>
      <c r="J316" s="117">
        <f t="shared" si="109"/>
        <v>0</v>
      </c>
      <c r="K316" s="120">
        <f>F316-SUM(H316:J316)</f>
        <v>0</v>
      </c>
      <c r="L316" s="7"/>
      <c r="M316" s="7"/>
    </row>
    <row r="317" spans="5:13" hidden="1" x14ac:dyDescent="0.25">
      <c r="E317" s="119" t="s">
        <v>154</v>
      </c>
      <c r="F317" s="117"/>
      <c r="G317" s="117"/>
      <c r="H317" s="117">
        <f>H316</f>
        <v>0</v>
      </c>
      <c r="I317" s="117">
        <f>I316+H317</f>
        <v>0</v>
      </c>
      <c r="J317" s="117">
        <f>J316+I317</f>
        <v>0</v>
      </c>
      <c r="K317" s="117"/>
      <c r="L317" s="7"/>
      <c r="M317" s="7"/>
    </row>
    <row r="318" spans="5:13" hidden="1" x14ac:dyDescent="0.25">
      <c r="E318" s="119" t="s">
        <v>302</v>
      </c>
      <c r="F318" s="120">
        <f>N249</f>
        <v>0</v>
      </c>
      <c r="G318" s="117">
        <f>X246</f>
        <v>5</v>
      </c>
      <c r="H318" s="117">
        <f>ROUND(($F$318/$G$318),0)</f>
        <v>0</v>
      </c>
      <c r="I318" s="117">
        <f t="shared" ref="I318:J318" si="110">ROUND(($F$318/$G$318),0)</f>
        <v>0</v>
      </c>
      <c r="J318" s="117">
        <f t="shared" si="110"/>
        <v>0</v>
      </c>
      <c r="K318" s="120">
        <f>F318-SUM(H318:J318)</f>
        <v>0</v>
      </c>
      <c r="L318" s="7"/>
      <c r="M318" s="7"/>
    </row>
    <row r="319" spans="5:13" hidden="1" x14ac:dyDescent="0.25">
      <c r="E319" s="119" t="s">
        <v>303</v>
      </c>
      <c r="F319" s="117"/>
      <c r="G319" s="117"/>
      <c r="H319" s="117">
        <f>H318</f>
        <v>0</v>
      </c>
      <c r="I319" s="117">
        <f>I318+H319</f>
        <v>0</v>
      </c>
      <c r="J319" s="117">
        <f>J318+I319</f>
        <v>0</v>
      </c>
      <c r="K319" s="117"/>
      <c r="L319" s="7"/>
      <c r="M319" s="7"/>
    </row>
    <row r="320" spans="5:13" hidden="1" x14ac:dyDescent="0.25">
      <c r="E320" s="7"/>
      <c r="F320" s="7"/>
      <c r="G320" s="7"/>
      <c r="H320" s="7"/>
      <c r="I320" s="7"/>
      <c r="J320" s="7"/>
      <c r="K320" s="7"/>
      <c r="L320" s="7"/>
      <c r="M320" s="7"/>
    </row>
    <row r="321" spans="5:13" hidden="1" x14ac:dyDescent="0.25">
      <c r="E321" s="7"/>
      <c r="F321" s="7"/>
      <c r="G321" s="7"/>
      <c r="H321" s="7"/>
      <c r="I321" s="7"/>
      <c r="J321" s="7"/>
      <c r="K321" s="7"/>
      <c r="L321" s="7"/>
      <c r="M321" s="7"/>
    </row>
    <row r="322" spans="5:13" hidden="1" x14ac:dyDescent="0.25">
      <c r="E322" s="669" t="s">
        <v>427</v>
      </c>
      <c r="F322" s="669"/>
      <c r="G322" s="669"/>
      <c r="H322" s="669"/>
      <c r="I322" s="669"/>
      <c r="J322" s="669"/>
      <c r="K322" s="7"/>
      <c r="L322" s="7"/>
      <c r="M322" s="7"/>
    </row>
    <row r="323" spans="5:13" hidden="1" x14ac:dyDescent="0.25">
      <c r="E323" s="117" t="s">
        <v>424</v>
      </c>
      <c r="F323" s="118">
        <f>BASES!F7</f>
        <v>2023</v>
      </c>
      <c r="G323" s="117" t="s">
        <v>387</v>
      </c>
      <c r="H323" s="118">
        <f>BASES!G7</f>
        <v>2024</v>
      </c>
      <c r="I323" s="118">
        <f>BASES!H7</f>
        <v>2025</v>
      </c>
      <c r="J323" s="117" t="s">
        <v>425</v>
      </c>
      <c r="K323" s="7"/>
      <c r="L323" s="7"/>
      <c r="M323" s="7"/>
    </row>
    <row r="324" spans="5:13" hidden="1" x14ac:dyDescent="0.25">
      <c r="E324" s="119" t="s">
        <v>291</v>
      </c>
      <c r="F324" s="120">
        <f>Q48</f>
        <v>0</v>
      </c>
      <c r="G324" s="117">
        <f>X41</f>
        <v>20</v>
      </c>
      <c r="H324" s="117">
        <f>ROUND(($F$324/$G$324),0)</f>
        <v>0</v>
      </c>
      <c r="I324" s="117">
        <f>ROUND(($F$324/$G$324),0)</f>
        <v>0</v>
      </c>
      <c r="J324" s="120">
        <f>F324-SUM(H324:I324)</f>
        <v>0</v>
      </c>
      <c r="K324" s="7"/>
      <c r="L324" s="7"/>
      <c r="M324" s="7"/>
    </row>
    <row r="325" spans="5:13" hidden="1" x14ac:dyDescent="0.25">
      <c r="E325" s="119" t="s">
        <v>292</v>
      </c>
      <c r="F325" s="117"/>
      <c r="G325" s="117"/>
      <c r="H325" s="117">
        <f>H324</f>
        <v>0</v>
      </c>
      <c r="I325" s="117">
        <f>I324+H325</f>
        <v>0</v>
      </c>
      <c r="J325" s="117"/>
      <c r="K325" s="7"/>
      <c r="L325" s="7"/>
      <c r="M325" s="7"/>
    </row>
    <row r="326" spans="5:13" hidden="1" x14ac:dyDescent="0.25">
      <c r="E326" s="119" t="s">
        <v>293</v>
      </c>
      <c r="F326" s="120">
        <f>Q91</f>
        <v>0</v>
      </c>
      <c r="G326" s="117">
        <f>X51</f>
        <v>10</v>
      </c>
      <c r="H326" s="117">
        <f>ROUND(($F$326/$G$326),0)</f>
        <v>0</v>
      </c>
      <c r="I326" s="117">
        <f>ROUND(($F$326/$G$326),0)</f>
        <v>0</v>
      </c>
      <c r="J326" s="120">
        <f>F326-SUM(H326:I326)</f>
        <v>0</v>
      </c>
      <c r="K326" s="7"/>
      <c r="L326" s="7"/>
      <c r="M326" s="7"/>
    </row>
    <row r="327" spans="5:13" hidden="1" x14ac:dyDescent="0.25">
      <c r="E327" s="119" t="s">
        <v>292</v>
      </c>
      <c r="F327" s="117"/>
      <c r="G327" s="117"/>
      <c r="H327" s="117">
        <f>H326</f>
        <v>0</v>
      </c>
      <c r="I327" s="117">
        <f>I326+H327</f>
        <v>0</v>
      </c>
      <c r="J327" s="117"/>
      <c r="K327" s="7"/>
      <c r="L327" s="7"/>
      <c r="M327" s="7"/>
    </row>
    <row r="328" spans="5:13" hidden="1" x14ac:dyDescent="0.25">
      <c r="E328" s="119" t="s">
        <v>294</v>
      </c>
      <c r="F328" s="120">
        <f>Q144</f>
        <v>0</v>
      </c>
      <c r="G328" s="117">
        <f>X94</f>
        <v>5</v>
      </c>
      <c r="H328" s="117">
        <f>ROUND(($F$328/$G$328),0)</f>
        <v>0</v>
      </c>
      <c r="I328" s="117">
        <f>ROUND(($F$328/$G$328),0)</f>
        <v>0</v>
      </c>
      <c r="J328" s="120">
        <f>F328-SUM(H328:I328)</f>
        <v>0</v>
      </c>
      <c r="K328" s="7"/>
      <c r="L328" s="7"/>
      <c r="M328" s="7"/>
    </row>
    <row r="329" spans="5:13" hidden="1" x14ac:dyDescent="0.25">
      <c r="E329" s="119" t="s">
        <v>292</v>
      </c>
      <c r="F329" s="117"/>
      <c r="G329" s="117"/>
      <c r="H329" s="117">
        <f>H328</f>
        <v>0</v>
      </c>
      <c r="I329" s="117">
        <f>I328+H329</f>
        <v>0</v>
      </c>
      <c r="J329" s="117"/>
      <c r="K329" s="7"/>
      <c r="L329" s="7"/>
      <c r="M329" s="7"/>
    </row>
    <row r="330" spans="5:13" hidden="1" x14ac:dyDescent="0.25">
      <c r="E330" s="119" t="s">
        <v>295</v>
      </c>
      <c r="F330" s="120">
        <f>Q154</f>
        <v>0</v>
      </c>
      <c r="G330" s="117">
        <f>X147</f>
        <v>5</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296</v>
      </c>
      <c r="F332" s="120">
        <f>Q182</f>
        <v>0</v>
      </c>
      <c r="G332" s="117">
        <f>X157</f>
        <v>3</v>
      </c>
      <c r="H332" s="117">
        <f>ROUND(($F$332/$G$332),0)</f>
        <v>0</v>
      </c>
      <c r="I332" s="117">
        <f>ROUND(($F$332/$G$332),0)</f>
        <v>0</v>
      </c>
      <c r="J332" s="120">
        <f>F332-SUM(H332:I332)</f>
        <v>0</v>
      </c>
      <c r="K332" s="7"/>
      <c r="L332" s="7"/>
      <c r="M332" s="7"/>
    </row>
    <row r="333" spans="5:13" hidden="1" x14ac:dyDescent="0.25">
      <c r="E333" s="119" t="s">
        <v>292</v>
      </c>
      <c r="F333" s="117"/>
      <c r="G333" s="117"/>
      <c r="H333" s="117">
        <f>H332</f>
        <v>0</v>
      </c>
      <c r="I333" s="117">
        <f>I332+H333</f>
        <v>0</v>
      </c>
      <c r="J333" s="117"/>
      <c r="K333" s="7"/>
      <c r="L333" s="7"/>
      <c r="M333" s="7"/>
    </row>
    <row r="334" spans="5:13" hidden="1" x14ac:dyDescent="0.25">
      <c r="E334" s="117" t="s">
        <v>297</v>
      </c>
      <c r="F334" s="120">
        <f>F324+F326+F328+F330+F332</f>
        <v>0</v>
      </c>
      <c r="G334" s="120"/>
      <c r="H334" s="120">
        <f t="shared" ref="H334:J334" si="111">H324+H326+H328+H330+H332</f>
        <v>0</v>
      </c>
      <c r="I334" s="120">
        <f t="shared" si="111"/>
        <v>0</v>
      </c>
      <c r="J334" s="120">
        <f t="shared" si="111"/>
        <v>0</v>
      </c>
      <c r="K334" s="7"/>
      <c r="L334" s="7"/>
      <c r="M334" s="7"/>
    </row>
    <row r="335" spans="5:13" hidden="1" x14ac:dyDescent="0.25">
      <c r="E335" s="119" t="s">
        <v>298</v>
      </c>
      <c r="F335" s="120">
        <f>Q212</f>
        <v>0</v>
      </c>
      <c r="G335" s="117">
        <f>X196</f>
        <v>1</v>
      </c>
      <c r="H335" s="117">
        <f>ROUND(($F$335/$G$335),0)</f>
        <v>0</v>
      </c>
      <c r="I335" s="117">
        <f>ROUND(($F$335/$G$335),0)</f>
        <v>0</v>
      </c>
      <c r="J335" s="120">
        <f>F335-SUM(H335:I335)</f>
        <v>0</v>
      </c>
      <c r="K335" s="7"/>
      <c r="L335" s="7"/>
      <c r="M335" s="7"/>
    </row>
    <row r="336" spans="5:13" hidden="1" x14ac:dyDescent="0.25">
      <c r="E336" s="119" t="s">
        <v>299</v>
      </c>
      <c r="F336" s="120">
        <f>Q231</f>
        <v>0</v>
      </c>
      <c r="G336" s="117">
        <f>X215</f>
        <v>10</v>
      </c>
      <c r="H336" s="117">
        <f>ROUND(($F$336/$G$336),0)</f>
        <v>0</v>
      </c>
      <c r="I336" s="117">
        <f>ROUND(($F$336/$G$336),0)</f>
        <v>0</v>
      </c>
      <c r="J336" s="120">
        <f>F336-SUM(H336:I336)</f>
        <v>0</v>
      </c>
      <c r="K336" s="7"/>
      <c r="L336" s="7"/>
      <c r="M336" s="7"/>
    </row>
    <row r="337" spans="5:13" hidden="1" x14ac:dyDescent="0.25">
      <c r="E337" s="119" t="s">
        <v>300</v>
      </c>
      <c r="F337" s="117"/>
      <c r="G337" s="117"/>
      <c r="H337" s="117">
        <f>H336</f>
        <v>0</v>
      </c>
      <c r="I337" s="117">
        <f>I336+H337</f>
        <v>0</v>
      </c>
      <c r="J337" s="117"/>
      <c r="K337" s="7"/>
      <c r="L337" s="7"/>
      <c r="M337" s="7"/>
    </row>
    <row r="338" spans="5:13" hidden="1" x14ac:dyDescent="0.25">
      <c r="E338" s="119" t="s">
        <v>301</v>
      </c>
      <c r="F338" s="120">
        <f>Q241</f>
        <v>0</v>
      </c>
      <c r="G338" s="117">
        <f>X234</f>
        <v>5</v>
      </c>
      <c r="H338" s="117">
        <f>ROUND(($F$338/$G$338),0)</f>
        <v>0</v>
      </c>
      <c r="I338" s="117">
        <f>ROUND(($F$338/$G$338),0)</f>
        <v>0</v>
      </c>
      <c r="J338" s="120">
        <f>F338-SUM(H338:I338)</f>
        <v>0</v>
      </c>
      <c r="K338" s="7"/>
      <c r="L338" s="7"/>
      <c r="M338" s="7"/>
    </row>
    <row r="339" spans="5:13" hidden="1" x14ac:dyDescent="0.25">
      <c r="E339" s="119" t="s">
        <v>154</v>
      </c>
      <c r="F339" s="117"/>
      <c r="G339" s="117"/>
      <c r="H339" s="117">
        <f>H338</f>
        <v>0</v>
      </c>
      <c r="I339" s="117">
        <f>I338+H339</f>
        <v>0</v>
      </c>
      <c r="J339" s="117"/>
      <c r="K339" s="7"/>
      <c r="L339" s="7"/>
      <c r="M339" s="7"/>
    </row>
    <row r="340" spans="5:13" hidden="1" x14ac:dyDescent="0.25">
      <c r="E340" s="119" t="s">
        <v>302</v>
      </c>
      <c r="F340" s="120">
        <f>Q249</f>
        <v>0</v>
      </c>
      <c r="G340" s="117">
        <f>X246</f>
        <v>5</v>
      </c>
      <c r="H340" s="117">
        <f>ROUND(($F$340/$G$340),0)</f>
        <v>0</v>
      </c>
      <c r="I340" s="117">
        <f>ROUND(($F$340/$G$340),0)</f>
        <v>0</v>
      </c>
      <c r="J340" s="120">
        <f>F340-SUM(H340:I340)</f>
        <v>0</v>
      </c>
      <c r="K340" s="7"/>
      <c r="L340" s="7"/>
      <c r="M340" s="7"/>
    </row>
    <row r="341" spans="5:13" hidden="1" x14ac:dyDescent="0.25">
      <c r="E341" s="119" t="s">
        <v>303</v>
      </c>
      <c r="F341" s="117"/>
      <c r="G341" s="117"/>
      <c r="H341" s="117">
        <f>H340</f>
        <v>0</v>
      </c>
      <c r="I341" s="117">
        <f>I340+H341</f>
        <v>0</v>
      </c>
      <c r="J341" s="117"/>
      <c r="K341" s="7"/>
      <c r="L341" s="7"/>
      <c r="M341" s="7"/>
    </row>
    <row r="342" spans="5:13" hidden="1" x14ac:dyDescent="0.25">
      <c r="E342" s="7"/>
      <c r="F342" s="7"/>
      <c r="G342" s="7"/>
      <c r="H342" s="7"/>
      <c r="I342" s="7"/>
      <c r="J342" s="7"/>
      <c r="K342" s="7"/>
      <c r="L342" s="7"/>
      <c r="M342" s="7"/>
    </row>
    <row r="343" spans="5:13" hidden="1" x14ac:dyDescent="0.25">
      <c r="E343" s="7"/>
      <c r="F343" s="7"/>
      <c r="G343" s="7"/>
      <c r="H343" s="7"/>
      <c r="I343" s="7"/>
      <c r="J343" s="7"/>
      <c r="K343" s="7"/>
      <c r="L343" s="7"/>
      <c r="M343" s="7"/>
    </row>
    <row r="344" spans="5:13" hidden="1" x14ac:dyDescent="0.25">
      <c r="E344" s="669" t="s">
        <v>428</v>
      </c>
      <c r="F344" s="669"/>
      <c r="G344" s="669"/>
      <c r="H344" s="669"/>
      <c r="I344" s="669"/>
      <c r="J344" s="7"/>
      <c r="K344" s="7"/>
      <c r="L344" s="7"/>
      <c r="M344" s="7"/>
    </row>
    <row r="345" spans="5:13" hidden="1" x14ac:dyDescent="0.25">
      <c r="E345" s="117" t="s">
        <v>424</v>
      </c>
      <c r="F345" s="117">
        <v>2023</v>
      </c>
      <c r="G345" s="117" t="s">
        <v>387</v>
      </c>
      <c r="H345" s="117">
        <v>2024</v>
      </c>
      <c r="I345" s="117" t="s">
        <v>425</v>
      </c>
      <c r="J345" s="7"/>
      <c r="K345" s="7"/>
      <c r="L345" s="7"/>
      <c r="M345" s="7"/>
    </row>
    <row r="346" spans="5:13" hidden="1" x14ac:dyDescent="0.25">
      <c r="E346" s="119" t="s">
        <v>291</v>
      </c>
      <c r="F346" s="120">
        <f>T48</f>
        <v>0</v>
      </c>
      <c r="G346" s="117">
        <f>X41</f>
        <v>20</v>
      </c>
      <c r="H346" s="117">
        <f>ROUND(($F$346/$G$346),0)</f>
        <v>0</v>
      </c>
      <c r="I346" s="120">
        <f>F346-H346</f>
        <v>0</v>
      </c>
      <c r="J346" s="7"/>
      <c r="K346" s="7"/>
      <c r="L346" s="7"/>
      <c r="M346" s="7"/>
    </row>
    <row r="347" spans="5:13" hidden="1" x14ac:dyDescent="0.25">
      <c r="E347" s="119" t="s">
        <v>292</v>
      </c>
      <c r="F347" s="117"/>
      <c r="G347" s="117"/>
      <c r="H347" s="117">
        <f>H346</f>
        <v>0</v>
      </c>
      <c r="I347" s="117"/>
      <c r="J347" s="7"/>
      <c r="K347" s="7"/>
      <c r="L347" s="7"/>
      <c r="M347" s="7"/>
    </row>
    <row r="348" spans="5:13" hidden="1" x14ac:dyDescent="0.25">
      <c r="E348" s="119" t="s">
        <v>293</v>
      </c>
      <c r="F348" s="120">
        <f>T91</f>
        <v>0</v>
      </c>
      <c r="G348" s="117">
        <f>X51</f>
        <v>10</v>
      </c>
      <c r="H348" s="117">
        <f>ROUND(($F$348/$G$348),0)</f>
        <v>0</v>
      </c>
      <c r="I348" s="120">
        <f>F348-H348</f>
        <v>0</v>
      </c>
      <c r="J348" s="7"/>
      <c r="K348" s="7"/>
      <c r="L348" s="7"/>
      <c r="M348" s="7"/>
    </row>
    <row r="349" spans="5:13" hidden="1" x14ac:dyDescent="0.25">
      <c r="E349" s="119" t="s">
        <v>292</v>
      </c>
      <c r="F349" s="117"/>
      <c r="G349" s="117"/>
      <c r="H349" s="117">
        <f>H348</f>
        <v>0</v>
      </c>
      <c r="I349" s="117"/>
      <c r="J349" s="7"/>
      <c r="K349" s="7"/>
      <c r="L349" s="7"/>
      <c r="M349" s="7"/>
    </row>
    <row r="350" spans="5:13" hidden="1" x14ac:dyDescent="0.25">
      <c r="E350" s="119" t="s">
        <v>294</v>
      </c>
      <c r="F350" s="120">
        <f>T144</f>
        <v>0</v>
      </c>
      <c r="G350" s="117">
        <f>X94</f>
        <v>5</v>
      </c>
      <c r="H350" s="117">
        <f>ROUND(($F$350/$G$350),0)</f>
        <v>0</v>
      </c>
      <c r="I350" s="120">
        <f>F350-H350</f>
        <v>0</v>
      </c>
      <c r="J350" s="7"/>
      <c r="K350" s="7"/>
      <c r="L350" s="7"/>
      <c r="M350" s="7"/>
    </row>
    <row r="351" spans="5:13" hidden="1" x14ac:dyDescent="0.25">
      <c r="E351" s="119" t="s">
        <v>292</v>
      </c>
      <c r="F351" s="117"/>
      <c r="G351" s="117"/>
      <c r="H351" s="117">
        <f>H350</f>
        <v>0</v>
      </c>
      <c r="I351" s="117"/>
      <c r="J351" s="7"/>
      <c r="K351" s="7"/>
      <c r="L351" s="7"/>
      <c r="M351" s="7"/>
    </row>
    <row r="352" spans="5:13" hidden="1" x14ac:dyDescent="0.25">
      <c r="E352" s="119" t="s">
        <v>295</v>
      </c>
      <c r="F352" s="120">
        <f>T154</f>
        <v>0</v>
      </c>
      <c r="G352" s="117">
        <f>X147</f>
        <v>5</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296</v>
      </c>
      <c r="F354" s="120">
        <f>T182</f>
        <v>0</v>
      </c>
      <c r="G354" s="117">
        <f>X157</f>
        <v>3</v>
      </c>
      <c r="H354" s="117">
        <f>ROUND(($F$354/$G$354),0)</f>
        <v>0</v>
      </c>
      <c r="I354" s="120">
        <f>F354-H354</f>
        <v>0</v>
      </c>
      <c r="J354" s="7"/>
      <c r="K354" s="7"/>
      <c r="L354" s="7"/>
      <c r="M354" s="7"/>
    </row>
    <row r="355" spans="5:13" hidden="1" x14ac:dyDescent="0.25">
      <c r="E355" s="119" t="s">
        <v>292</v>
      </c>
      <c r="F355" s="117"/>
      <c r="G355" s="117"/>
      <c r="H355" s="117">
        <f>H354</f>
        <v>0</v>
      </c>
      <c r="I355" s="117"/>
      <c r="J355" s="7"/>
      <c r="K355" s="7"/>
      <c r="L355" s="7"/>
      <c r="M355" s="7"/>
    </row>
    <row r="356" spans="5:13" hidden="1" x14ac:dyDescent="0.25">
      <c r="E356" s="117" t="s">
        <v>297</v>
      </c>
      <c r="F356" s="120">
        <f>F346+F348+F350+F352+F354</f>
        <v>0</v>
      </c>
      <c r="G356" s="120"/>
      <c r="H356" s="120">
        <f t="shared" ref="H356:I356" si="112">H346+H348+H350+H352+H354</f>
        <v>0</v>
      </c>
      <c r="I356" s="120">
        <f t="shared" si="112"/>
        <v>0</v>
      </c>
      <c r="J356" s="7"/>
      <c r="K356" s="7"/>
      <c r="L356" s="7"/>
      <c r="M356" s="7"/>
    </row>
    <row r="357" spans="5:13" hidden="1" x14ac:dyDescent="0.25">
      <c r="E357" s="119" t="s">
        <v>298</v>
      </c>
      <c r="F357" s="120">
        <f>T212</f>
        <v>0</v>
      </c>
      <c r="G357" s="117">
        <f>X196</f>
        <v>1</v>
      </c>
      <c r="H357" s="117">
        <f>ROUND(($F$357/$G$357),0)</f>
        <v>0</v>
      </c>
      <c r="I357" s="120">
        <f>F357-H357</f>
        <v>0</v>
      </c>
      <c r="J357" s="7"/>
      <c r="K357" s="7"/>
      <c r="L357" s="7"/>
      <c r="M357" s="7"/>
    </row>
    <row r="358" spans="5:13" hidden="1" x14ac:dyDescent="0.25">
      <c r="E358" s="119" t="s">
        <v>299</v>
      </c>
      <c r="F358" s="120">
        <f>T231</f>
        <v>0</v>
      </c>
      <c r="G358" s="117">
        <f>X215</f>
        <v>10</v>
      </c>
      <c r="H358" s="117">
        <f>ROUND(($F$358/$G$358),0)</f>
        <v>0</v>
      </c>
      <c r="I358" s="120">
        <f>F358-H358</f>
        <v>0</v>
      </c>
      <c r="J358" s="7"/>
      <c r="K358" s="7"/>
      <c r="L358" s="7"/>
      <c r="M358" s="7"/>
    </row>
    <row r="359" spans="5:13" hidden="1" x14ac:dyDescent="0.25">
      <c r="E359" s="119" t="s">
        <v>300</v>
      </c>
      <c r="F359" s="117"/>
      <c r="G359" s="117"/>
      <c r="H359" s="117">
        <f>H358</f>
        <v>0</v>
      </c>
      <c r="I359" s="117"/>
      <c r="J359" s="7"/>
      <c r="K359" s="7"/>
      <c r="L359" s="7"/>
      <c r="M359" s="7"/>
    </row>
    <row r="360" spans="5:13" hidden="1" x14ac:dyDescent="0.25">
      <c r="E360" s="119" t="s">
        <v>301</v>
      </c>
      <c r="F360" s="120">
        <f>T241</f>
        <v>0</v>
      </c>
      <c r="G360" s="117">
        <f>X234</f>
        <v>5</v>
      </c>
      <c r="H360" s="117">
        <f>ROUND(($F$360/$G$360),0)</f>
        <v>0</v>
      </c>
      <c r="I360" s="120">
        <f>F360-H360</f>
        <v>0</v>
      </c>
      <c r="J360" s="7"/>
      <c r="K360" s="7"/>
      <c r="L360" s="7"/>
      <c r="M360" s="7"/>
    </row>
    <row r="361" spans="5:13" hidden="1" x14ac:dyDescent="0.25">
      <c r="E361" s="119" t="s">
        <v>154</v>
      </c>
      <c r="F361" s="117"/>
      <c r="G361" s="117"/>
      <c r="H361" s="117">
        <f>H360</f>
        <v>0</v>
      </c>
      <c r="I361" s="117"/>
      <c r="J361" s="7"/>
      <c r="K361" s="7"/>
      <c r="L361" s="7"/>
      <c r="M361" s="7"/>
    </row>
    <row r="362" spans="5:13" hidden="1" x14ac:dyDescent="0.25">
      <c r="E362" s="119" t="s">
        <v>302</v>
      </c>
      <c r="F362" s="120">
        <f>T249</f>
        <v>0</v>
      </c>
      <c r="G362" s="117">
        <f>X246</f>
        <v>5</v>
      </c>
      <c r="H362" s="117">
        <f>ROUND(($F$362/$G$362),0)</f>
        <v>0</v>
      </c>
      <c r="I362" s="120">
        <f>F362-H362</f>
        <v>0</v>
      </c>
      <c r="J362" s="7"/>
      <c r="K362" s="7"/>
      <c r="L362" s="7"/>
      <c r="M362" s="7"/>
    </row>
    <row r="363" spans="5:13" hidden="1" x14ac:dyDescent="0.25">
      <c r="E363" s="119" t="s">
        <v>303</v>
      </c>
      <c r="F363" s="117"/>
      <c r="G363" s="117"/>
      <c r="H363" s="117">
        <f>H362</f>
        <v>0</v>
      </c>
      <c r="I363" s="117"/>
      <c r="J363" s="7"/>
      <c r="K363" s="7"/>
      <c r="L363" s="7"/>
      <c r="M363" s="7"/>
    </row>
    <row r="364" spans="5:13" hidden="1" x14ac:dyDescent="0.25">
      <c r="E364" s="7"/>
      <c r="F364" s="7"/>
      <c r="G364" s="7"/>
      <c r="H364" s="7"/>
      <c r="I364" s="7"/>
      <c r="J364" s="7"/>
      <c r="K364" s="7"/>
      <c r="L364" s="7"/>
      <c r="M364" s="7"/>
    </row>
    <row r="365" spans="5:13" hidden="1" x14ac:dyDescent="0.25">
      <c r="E365" s="7"/>
      <c r="F365" s="7"/>
      <c r="G365" s="7"/>
      <c r="H365" s="7"/>
      <c r="I365" s="7"/>
      <c r="J365" s="7"/>
      <c r="K365" s="7"/>
      <c r="L365" s="7"/>
      <c r="M365" s="7"/>
    </row>
    <row r="366" spans="5:13" hidden="1" x14ac:dyDescent="0.25">
      <c r="E366" s="122" t="s">
        <v>429</v>
      </c>
      <c r="F366" s="117" t="s">
        <v>59</v>
      </c>
      <c r="G366" s="118">
        <f>BASES!D7</f>
        <v>2021</v>
      </c>
      <c r="H366" s="118">
        <f>BASES!E7</f>
        <v>2022</v>
      </c>
      <c r="I366" s="118">
        <f>BASES!F7</f>
        <v>2023</v>
      </c>
      <c r="J366" s="118">
        <f>BASES!G7</f>
        <v>2024</v>
      </c>
      <c r="K366" s="118">
        <f>BASES!H7</f>
        <v>2025</v>
      </c>
      <c r="L366" s="7"/>
      <c r="M366" s="7"/>
    </row>
    <row r="367" spans="5:13" hidden="1" x14ac:dyDescent="0.25">
      <c r="E367" s="117" t="s">
        <v>304</v>
      </c>
      <c r="F367" s="120">
        <f>F258</f>
        <v>0</v>
      </c>
      <c r="G367" s="120">
        <f>F367+F280</f>
        <v>0</v>
      </c>
      <c r="H367" s="120">
        <f>G367+F302</f>
        <v>0</v>
      </c>
      <c r="I367" s="120">
        <f>H367+F324</f>
        <v>0</v>
      </c>
      <c r="J367" s="120">
        <f>I367+F346</f>
        <v>0</v>
      </c>
      <c r="K367" s="120">
        <f>J367+W48</f>
        <v>0</v>
      </c>
      <c r="L367" s="7"/>
      <c r="M367" s="7"/>
    </row>
    <row r="368" spans="5:13" hidden="1" x14ac:dyDescent="0.25">
      <c r="E368" s="117" t="s">
        <v>305</v>
      </c>
      <c r="F368" s="117">
        <v>0</v>
      </c>
      <c r="G368" s="117">
        <f>-1*H259</f>
        <v>0</v>
      </c>
      <c r="H368" s="117">
        <f>-1*(I259+H281)</f>
        <v>0</v>
      </c>
      <c r="I368" s="117">
        <f>-1*(J259+I281+H303)</f>
        <v>0</v>
      </c>
      <c r="J368" s="117">
        <f>-1*(K259+J281+I303+H325)</f>
        <v>0</v>
      </c>
      <c r="K368" s="117">
        <f>-1*(L259+K281+J303+I325+H347)</f>
        <v>0</v>
      </c>
      <c r="L368" s="7"/>
      <c r="M368" s="7"/>
    </row>
    <row r="369" spans="5:13" hidden="1" x14ac:dyDescent="0.25">
      <c r="E369" s="117" t="s">
        <v>306</v>
      </c>
      <c r="F369" s="117">
        <v>0</v>
      </c>
      <c r="G369" s="117">
        <f>H258</f>
        <v>0</v>
      </c>
      <c r="H369" s="117">
        <f>I258+H280</f>
        <v>0</v>
      </c>
      <c r="I369" s="117">
        <f>J258+I280+H302</f>
        <v>0</v>
      </c>
      <c r="J369" s="117">
        <f>K258+J280+I302+H324</f>
        <v>0</v>
      </c>
      <c r="K369" s="117">
        <f>L258+K280+J302+I324+H346</f>
        <v>0</v>
      </c>
      <c r="L369" s="7"/>
      <c r="M369" s="7"/>
    </row>
    <row r="370" spans="5:13" hidden="1" x14ac:dyDescent="0.25">
      <c r="E370" s="7"/>
      <c r="F370" s="7"/>
      <c r="G370" s="7"/>
      <c r="H370" s="7"/>
      <c r="I370" s="7"/>
      <c r="J370" s="7"/>
      <c r="K370" s="7"/>
      <c r="L370" s="7"/>
      <c r="M370" s="7"/>
    </row>
    <row r="371" spans="5:13" hidden="1" x14ac:dyDescent="0.25">
      <c r="E371" s="122" t="s">
        <v>430</v>
      </c>
      <c r="F371" s="117" t="str">
        <f>F366</f>
        <v>AÑO 0</v>
      </c>
      <c r="G371" s="117">
        <f t="shared" ref="G371:K371" si="113">G366</f>
        <v>2021</v>
      </c>
      <c r="H371" s="117">
        <f t="shared" si="113"/>
        <v>2022</v>
      </c>
      <c r="I371" s="117">
        <f t="shared" si="113"/>
        <v>2023</v>
      </c>
      <c r="J371" s="117">
        <f t="shared" si="113"/>
        <v>2024</v>
      </c>
      <c r="K371" s="117">
        <f t="shared" si="113"/>
        <v>2025</v>
      </c>
      <c r="L371" s="7"/>
      <c r="M371" s="7"/>
    </row>
    <row r="372" spans="5:13" hidden="1" x14ac:dyDescent="0.25">
      <c r="E372" s="117" t="s">
        <v>304</v>
      </c>
      <c r="F372" s="120">
        <f>F260</f>
        <v>0</v>
      </c>
      <c r="G372" s="120">
        <f>F372+F282</f>
        <v>0</v>
      </c>
      <c r="H372" s="120">
        <f>G372+F304</f>
        <v>0</v>
      </c>
      <c r="I372" s="120">
        <f>H372+F326</f>
        <v>0</v>
      </c>
      <c r="J372" s="120">
        <f>I372+F348</f>
        <v>0</v>
      </c>
      <c r="K372" s="120">
        <f>J372+W91</f>
        <v>0</v>
      </c>
      <c r="L372" s="7"/>
      <c r="M372" s="7"/>
    </row>
    <row r="373" spans="5:13" hidden="1" x14ac:dyDescent="0.25">
      <c r="E373" s="117" t="s">
        <v>305</v>
      </c>
      <c r="F373" s="117">
        <v>0</v>
      </c>
      <c r="G373" s="117">
        <f>-1*(H261)</f>
        <v>0</v>
      </c>
      <c r="H373" s="117">
        <f>-1*(I261+H283)</f>
        <v>0</v>
      </c>
      <c r="I373" s="117">
        <f>-1*(J261+I283+H305)</f>
        <v>0</v>
      </c>
      <c r="J373" s="117">
        <f>-1*(K261+J283+I305+H327)</f>
        <v>0</v>
      </c>
      <c r="K373" s="117">
        <f>-1*(L261+K283+J305+I327+H349)</f>
        <v>0</v>
      </c>
      <c r="L373" s="7"/>
      <c r="M373" s="7"/>
    </row>
    <row r="374" spans="5:13" hidden="1" x14ac:dyDescent="0.25">
      <c r="E374" s="117" t="s">
        <v>306</v>
      </c>
      <c r="F374" s="117">
        <v>0</v>
      </c>
      <c r="G374" s="117">
        <f>H260</f>
        <v>0</v>
      </c>
      <c r="H374" s="117">
        <f>I260+H282</f>
        <v>0</v>
      </c>
      <c r="I374" s="117">
        <f>J260+I282+H304</f>
        <v>0</v>
      </c>
      <c r="J374" s="117">
        <f>K260+J282+I304+H326</f>
        <v>0</v>
      </c>
      <c r="K374" s="117">
        <f>L260+K282+J304+I326+H348</f>
        <v>0</v>
      </c>
      <c r="L374" s="7"/>
      <c r="M374" s="7"/>
    </row>
    <row r="375" spans="5:13" hidden="1" x14ac:dyDescent="0.25">
      <c r="E375" s="7"/>
      <c r="F375" s="7"/>
      <c r="G375" s="7"/>
      <c r="H375" s="7"/>
      <c r="I375" s="7"/>
      <c r="J375" s="7"/>
      <c r="K375" s="7"/>
      <c r="L375" s="7"/>
      <c r="M375" s="7"/>
    </row>
    <row r="376" spans="5:13" hidden="1" x14ac:dyDescent="0.25">
      <c r="E376" s="122" t="s">
        <v>431</v>
      </c>
      <c r="F376" s="117" t="str">
        <f>F371</f>
        <v>AÑO 0</v>
      </c>
      <c r="G376" s="117">
        <f t="shared" ref="G376:K376" si="114">G371</f>
        <v>2021</v>
      </c>
      <c r="H376" s="117">
        <f t="shared" si="114"/>
        <v>2022</v>
      </c>
      <c r="I376" s="117">
        <f t="shared" si="114"/>
        <v>2023</v>
      </c>
      <c r="J376" s="117">
        <f t="shared" si="114"/>
        <v>2024</v>
      </c>
      <c r="K376" s="117">
        <f t="shared" si="114"/>
        <v>2025</v>
      </c>
      <c r="L376" s="7"/>
      <c r="M376" s="7"/>
    </row>
    <row r="377" spans="5:13" hidden="1" x14ac:dyDescent="0.25">
      <c r="E377" s="117" t="s">
        <v>304</v>
      </c>
      <c r="F377" s="120">
        <f>F262</f>
        <v>0</v>
      </c>
      <c r="G377" s="120">
        <f>F377+F284</f>
        <v>0</v>
      </c>
      <c r="H377" s="120">
        <f>G377+F306</f>
        <v>0</v>
      </c>
      <c r="I377" s="120">
        <f>H377+F328</f>
        <v>0</v>
      </c>
      <c r="J377" s="120">
        <f>I377+F350</f>
        <v>0</v>
      </c>
      <c r="K377" s="120">
        <f>J377+W144</f>
        <v>0</v>
      </c>
      <c r="L377" s="7"/>
      <c r="M377" s="7"/>
    </row>
    <row r="378" spans="5:13" hidden="1" x14ac:dyDescent="0.25">
      <c r="E378" s="117" t="s">
        <v>305</v>
      </c>
      <c r="F378" s="117">
        <v>0</v>
      </c>
      <c r="G378" s="117">
        <f>-1*(H263)</f>
        <v>0</v>
      </c>
      <c r="H378" s="117">
        <f>-1*(I263+H285)</f>
        <v>0</v>
      </c>
      <c r="I378" s="117">
        <f>-1*(J263+I285+H307)</f>
        <v>0</v>
      </c>
      <c r="J378" s="117">
        <f>-1*(K263+J285+I307+H329)</f>
        <v>0</v>
      </c>
      <c r="K378" s="117">
        <f>-1*(L263+K285+J307+I329+H351)</f>
        <v>0</v>
      </c>
      <c r="L378" s="7"/>
      <c r="M378" s="7"/>
    </row>
    <row r="379" spans="5:13" hidden="1" x14ac:dyDescent="0.25">
      <c r="E379" s="117" t="s">
        <v>306</v>
      </c>
      <c r="F379" s="117">
        <v>0</v>
      </c>
      <c r="G379" s="117">
        <f>H262</f>
        <v>0</v>
      </c>
      <c r="H379" s="117">
        <f>I262+H284</f>
        <v>0</v>
      </c>
      <c r="I379" s="117">
        <f>J262+I284+H306</f>
        <v>0</v>
      </c>
      <c r="J379" s="117">
        <f>K262+J284+I306+H328</f>
        <v>0</v>
      </c>
      <c r="K379" s="117">
        <f>L262+K284+J306+I328+H350</f>
        <v>0</v>
      </c>
      <c r="L379" s="7"/>
      <c r="M379" s="7"/>
    </row>
    <row r="380" spans="5:13" hidden="1" x14ac:dyDescent="0.25">
      <c r="E380" s="7"/>
      <c r="F380" s="7"/>
      <c r="G380" s="7"/>
      <c r="H380" s="7"/>
      <c r="I380" s="7"/>
      <c r="J380" s="7"/>
      <c r="K380" s="7"/>
      <c r="L380" s="7"/>
      <c r="M380" s="7"/>
    </row>
    <row r="381" spans="5:13" hidden="1" x14ac:dyDescent="0.25">
      <c r="E381" s="122" t="s">
        <v>309</v>
      </c>
      <c r="F381" s="117" t="str">
        <f>F376</f>
        <v>AÑO 0</v>
      </c>
      <c r="G381" s="117">
        <f t="shared" ref="G381:K381" si="115">G376</f>
        <v>2021</v>
      </c>
      <c r="H381" s="117">
        <f t="shared" si="115"/>
        <v>2022</v>
      </c>
      <c r="I381" s="117">
        <f t="shared" si="115"/>
        <v>2023</v>
      </c>
      <c r="J381" s="117">
        <f t="shared" si="115"/>
        <v>2024</v>
      </c>
      <c r="K381" s="117">
        <f t="shared" si="115"/>
        <v>2025</v>
      </c>
      <c r="L381" s="7"/>
      <c r="M381" s="7"/>
    </row>
    <row r="382" spans="5:13" hidden="1" x14ac:dyDescent="0.25">
      <c r="E382" s="117" t="s">
        <v>304</v>
      </c>
      <c r="F382" s="120">
        <f>F264</f>
        <v>0</v>
      </c>
      <c r="G382" s="120">
        <f>F382+F286</f>
        <v>0</v>
      </c>
      <c r="H382" s="120">
        <f>G382+F308</f>
        <v>0</v>
      </c>
      <c r="I382" s="120">
        <f>H382+F330</f>
        <v>0</v>
      </c>
      <c r="J382" s="120">
        <f>I382+F352</f>
        <v>0</v>
      </c>
      <c r="K382" s="120">
        <f>J382+W154</f>
        <v>0</v>
      </c>
      <c r="L382" s="7"/>
      <c r="M382" s="7"/>
    </row>
    <row r="383" spans="5:13" hidden="1" x14ac:dyDescent="0.25">
      <c r="E383" s="117" t="s">
        <v>305</v>
      </c>
      <c r="F383" s="117">
        <v>0</v>
      </c>
      <c r="G383" s="117">
        <f>-1*(H265)</f>
        <v>0</v>
      </c>
      <c r="H383" s="117">
        <f>-1*(I265+H287)</f>
        <v>0</v>
      </c>
      <c r="I383" s="117">
        <f>-1*(J265+I287+H309)</f>
        <v>0</v>
      </c>
      <c r="J383" s="117">
        <f>-1*(K265+J287+I309+H331)</f>
        <v>0</v>
      </c>
      <c r="K383" s="117">
        <f>-1*(L265+K287+J309+I331+H353)</f>
        <v>0</v>
      </c>
      <c r="L383" s="7"/>
      <c r="M383" s="7"/>
    </row>
    <row r="384" spans="5:13" hidden="1" x14ac:dyDescent="0.25">
      <c r="E384" s="117" t="s">
        <v>306</v>
      </c>
      <c r="F384" s="117">
        <v>0</v>
      </c>
      <c r="G384" s="117">
        <f>H264</f>
        <v>0</v>
      </c>
      <c r="H384" s="117">
        <f>I264+H286</f>
        <v>0</v>
      </c>
      <c r="I384" s="117">
        <f>J264+I286+H308</f>
        <v>0</v>
      </c>
      <c r="J384" s="117">
        <f>K264+J286+I308+H330</f>
        <v>0</v>
      </c>
      <c r="K384" s="117">
        <f>L264+K286+J308+I330+H352</f>
        <v>0</v>
      </c>
      <c r="L384" s="7"/>
      <c r="M384" s="7"/>
    </row>
    <row r="385" spans="5:13" hidden="1" x14ac:dyDescent="0.25">
      <c r="E385" s="7"/>
      <c r="F385" s="7"/>
      <c r="G385" s="7"/>
      <c r="H385" s="7"/>
      <c r="I385" s="7"/>
      <c r="J385" s="7"/>
      <c r="K385" s="7"/>
      <c r="L385" s="7"/>
      <c r="M385" s="7"/>
    </row>
    <row r="386" spans="5:13" hidden="1" x14ac:dyDescent="0.25">
      <c r="E386" s="122" t="s">
        <v>65</v>
      </c>
      <c r="F386" s="117" t="str">
        <f>F381</f>
        <v>AÑO 0</v>
      </c>
      <c r="G386" s="117">
        <f t="shared" ref="G386:K386" si="116">G381</f>
        <v>2021</v>
      </c>
      <c r="H386" s="117">
        <f t="shared" si="116"/>
        <v>2022</v>
      </c>
      <c r="I386" s="117">
        <f t="shared" si="116"/>
        <v>2023</v>
      </c>
      <c r="J386" s="117">
        <f t="shared" si="116"/>
        <v>2024</v>
      </c>
      <c r="K386" s="117">
        <f t="shared" si="116"/>
        <v>2025</v>
      </c>
      <c r="L386" s="7"/>
      <c r="M386" s="7"/>
    </row>
    <row r="387" spans="5:13" hidden="1" x14ac:dyDescent="0.25">
      <c r="E387" s="117" t="s">
        <v>304</v>
      </c>
      <c r="F387" s="120">
        <f>F266</f>
        <v>0</v>
      </c>
      <c r="G387" s="120">
        <f>F387+F288</f>
        <v>0</v>
      </c>
      <c r="H387" s="120">
        <f>G387+F310</f>
        <v>0</v>
      </c>
      <c r="I387" s="120">
        <f>H387+F332</f>
        <v>0</v>
      </c>
      <c r="J387" s="120">
        <f>I387+F354</f>
        <v>0</v>
      </c>
      <c r="K387" s="120">
        <f>J387+W182</f>
        <v>0</v>
      </c>
      <c r="L387" s="7"/>
      <c r="M387" s="7"/>
    </row>
    <row r="388" spans="5:13" hidden="1" x14ac:dyDescent="0.25">
      <c r="E388" s="117" t="s">
        <v>305</v>
      </c>
      <c r="F388" s="117">
        <v>0</v>
      </c>
      <c r="G388" s="117">
        <f>-1*(H267)</f>
        <v>0</v>
      </c>
      <c r="H388" s="117">
        <f>-1*(I267+H289)</f>
        <v>0</v>
      </c>
      <c r="I388" s="117">
        <f>-1*(J267+I289+H311)</f>
        <v>0</v>
      </c>
      <c r="J388" s="117">
        <f>-1*(K267+J289+I311+H333)</f>
        <v>0</v>
      </c>
      <c r="K388" s="117">
        <f>-1*(L267+K289+J311+I333+H355)</f>
        <v>0</v>
      </c>
      <c r="L388" s="7"/>
      <c r="M388" s="7"/>
    </row>
    <row r="389" spans="5:13" hidden="1" x14ac:dyDescent="0.25">
      <c r="E389" s="117" t="s">
        <v>306</v>
      </c>
      <c r="F389" s="117">
        <v>0</v>
      </c>
      <c r="G389" s="117">
        <f>H266</f>
        <v>0</v>
      </c>
      <c r="H389" s="117">
        <f>I266+H288</f>
        <v>0</v>
      </c>
      <c r="I389" s="117">
        <f>J266+I288+H310</f>
        <v>0</v>
      </c>
      <c r="J389" s="117">
        <f>K266+J288+I310+H332</f>
        <v>0</v>
      </c>
      <c r="K389" s="117">
        <f>L266+K288+J310+I332+H354</f>
        <v>0</v>
      </c>
      <c r="L389" s="7"/>
      <c r="M389" s="7"/>
    </row>
    <row r="390" spans="5:13" hidden="1" x14ac:dyDescent="0.25">
      <c r="E390" s="7"/>
      <c r="F390" s="7"/>
      <c r="G390" s="7"/>
      <c r="H390" s="7"/>
      <c r="I390" s="7"/>
      <c r="J390" s="7"/>
      <c r="K390" s="7"/>
      <c r="L390" s="7"/>
      <c r="M390" s="7"/>
    </row>
    <row r="391" spans="5:13" hidden="1" x14ac:dyDescent="0.25">
      <c r="E391" s="122" t="s">
        <v>66</v>
      </c>
      <c r="F391" s="117" t="str">
        <f>F386</f>
        <v>AÑO 0</v>
      </c>
      <c r="G391" s="117">
        <f t="shared" ref="G391:K391" si="117">G386</f>
        <v>2021</v>
      </c>
      <c r="H391" s="117">
        <f t="shared" si="117"/>
        <v>2022</v>
      </c>
      <c r="I391" s="117">
        <f t="shared" si="117"/>
        <v>2023</v>
      </c>
      <c r="J391" s="117">
        <f t="shared" si="117"/>
        <v>2024</v>
      </c>
      <c r="K391" s="117">
        <f t="shared" si="117"/>
        <v>2025</v>
      </c>
      <c r="L391" s="7"/>
      <c r="M391" s="7"/>
    </row>
    <row r="392" spans="5:13" hidden="1" x14ac:dyDescent="0.25">
      <c r="E392" s="117" t="s">
        <v>304</v>
      </c>
      <c r="F392" s="120">
        <f>F269</f>
        <v>0</v>
      </c>
      <c r="G392" s="120">
        <f>F392+F291</f>
        <v>0</v>
      </c>
      <c r="H392" s="120">
        <f>G392+F313</f>
        <v>0</v>
      </c>
      <c r="I392" s="120">
        <f>H392+F335</f>
        <v>0</v>
      </c>
      <c r="J392" s="120">
        <f>I392+F357</f>
        <v>0</v>
      </c>
      <c r="K392" s="120">
        <f>J392+W212</f>
        <v>0</v>
      </c>
      <c r="L392" s="7"/>
      <c r="M392" s="7"/>
    </row>
    <row r="393" spans="5:13" hidden="1" x14ac:dyDescent="0.25">
      <c r="E393" s="117" t="s">
        <v>307</v>
      </c>
      <c r="F393" s="117">
        <v>0</v>
      </c>
      <c r="G393" s="117">
        <f>-1*(H270)</f>
        <v>0</v>
      </c>
      <c r="H393" s="117">
        <f>-1*(I270+H292)</f>
        <v>0</v>
      </c>
      <c r="I393" s="117">
        <f>-1*(J270+I292+H314)</f>
        <v>0</v>
      </c>
      <c r="J393" s="117">
        <f>-1*(K270+J292+I314+H336)</f>
        <v>0</v>
      </c>
      <c r="K393" s="117">
        <f>-1*(L270+K292+J314+I336+H358)</f>
        <v>0</v>
      </c>
      <c r="L393" s="7"/>
      <c r="M393" s="7"/>
    </row>
    <row r="394" spans="5:13" hidden="1" x14ac:dyDescent="0.25">
      <c r="E394" s="117" t="s">
        <v>308</v>
      </c>
      <c r="F394" s="117">
        <v>0</v>
      </c>
      <c r="G394" s="117">
        <f>H269</f>
        <v>0</v>
      </c>
      <c r="H394" s="117">
        <f>I269+H291</f>
        <v>0</v>
      </c>
      <c r="I394" s="117">
        <f>J269+I291+H313</f>
        <v>0</v>
      </c>
      <c r="J394" s="117">
        <f>K269+J291+I313+H335</f>
        <v>0</v>
      </c>
      <c r="K394" s="117">
        <f>L269+K291+J313+I335+H357</f>
        <v>0</v>
      </c>
      <c r="L394" s="7"/>
      <c r="M394" s="7"/>
    </row>
    <row r="395" spans="5:13" hidden="1" x14ac:dyDescent="0.25">
      <c r="E395" s="7"/>
      <c r="F395" s="7"/>
      <c r="G395" s="7"/>
      <c r="H395" s="7"/>
      <c r="I395" s="7"/>
      <c r="J395" s="7"/>
      <c r="K395" s="7"/>
      <c r="L395" s="7"/>
      <c r="M395" s="7"/>
    </row>
    <row r="396" spans="5:13" hidden="1" x14ac:dyDescent="0.25">
      <c r="E396" s="122" t="s">
        <v>310</v>
      </c>
      <c r="F396" s="117" t="str">
        <f>F391</f>
        <v>AÑO 0</v>
      </c>
      <c r="G396" s="117">
        <f t="shared" ref="G396:K396" si="118">G391</f>
        <v>2021</v>
      </c>
      <c r="H396" s="117">
        <f t="shared" si="118"/>
        <v>2022</v>
      </c>
      <c r="I396" s="117">
        <f t="shared" si="118"/>
        <v>2023</v>
      </c>
      <c r="J396" s="117">
        <f t="shared" si="118"/>
        <v>2024</v>
      </c>
      <c r="K396" s="117">
        <f t="shared" si="118"/>
        <v>2025</v>
      </c>
      <c r="L396" s="7"/>
      <c r="M396" s="7"/>
    </row>
    <row r="397" spans="5:13" hidden="1" x14ac:dyDescent="0.25">
      <c r="E397" s="117" t="s">
        <v>304</v>
      </c>
      <c r="F397" s="120">
        <f>F270</f>
        <v>0</v>
      </c>
      <c r="G397" s="120">
        <f>F397+F292</f>
        <v>0</v>
      </c>
      <c r="H397" s="120">
        <f>G397+F314</f>
        <v>0</v>
      </c>
      <c r="I397" s="120">
        <f>H397+F336</f>
        <v>0</v>
      </c>
      <c r="J397" s="120">
        <f>I397+F358</f>
        <v>0</v>
      </c>
      <c r="K397" s="120">
        <f>J397+W231</f>
        <v>0</v>
      </c>
      <c r="L397" s="7"/>
      <c r="M397" s="7"/>
    </row>
    <row r="398" spans="5:13" hidden="1" x14ac:dyDescent="0.25">
      <c r="E398" s="117" t="s">
        <v>307</v>
      </c>
      <c r="F398" s="117">
        <v>0</v>
      </c>
      <c r="G398" s="117">
        <f>-1*(H271)</f>
        <v>0</v>
      </c>
      <c r="H398" s="117">
        <f>-1*(I271+H293)</f>
        <v>0</v>
      </c>
      <c r="I398" s="117">
        <f>-1*(J271+I293+H315)</f>
        <v>0</v>
      </c>
      <c r="J398" s="117">
        <f>-1*(K271+J293+I315+H337)</f>
        <v>0</v>
      </c>
      <c r="K398" s="117">
        <f>-1*(L271+K293+J315+I337+H359)</f>
        <v>0</v>
      </c>
      <c r="L398" s="7"/>
      <c r="M398" s="7"/>
    </row>
    <row r="399" spans="5:13" hidden="1" x14ac:dyDescent="0.25">
      <c r="E399" s="117" t="s">
        <v>308</v>
      </c>
      <c r="F399" s="117">
        <v>0</v>
      </c>
      <c r="G399" s="117">
        <f>H270</f>
        <v>0</v>
      </c>
      <c r="H399" s="117">
        <f>I270+H292</f>
        <v>0</v>
      </c>
      <c r="I399" s="117">
        <f>J270+I292+H314</f>
        <v>0</v>
      </c>
      <c r="J399" s="117">
        <f>K270+J292+I314+H336</f>
        <v>0</v>
      </c>
      <c r="K399" s="117">
        <f>L270+K292+J314+I336+H358</f>
        <v>0</v>
      </c>
      <c r="L399" s="7"/>
      <c r="M399" s="7"/>
    </row>
    <row r="400" spans="5:13" hidden="1" x14ac:dyDescent="0.25">
      <c r="E400" s="7"/>
      <c r="F400" s="7"/>
      <c r="G400" s="7"/>
      <c r="H400" s="7"/>
      <c r="I400" s="7"/>
      <c r="J400" s="7"/>
      <c r="K400" s="7"/>
      <c r="L400" s="7"/>
      <c r="M400" s="7"/>
    </row>
    <row r="401" spans="5:13" hidden="1" x14ac:dyDescent="0.25">
      <c r="E401" s="122" t="s">
        <v>432</v>
      </c>
      <c r="F401" s="117" t="str">
        <f>F396</f>
        <v>AÑO 0</v>
      </c>
      <c r="G401" s="117">
        <f t="shared" ref="G401:K401" si="119">G396</f>
        <v>2021</v>
      </c>
      <c r="H401" s="117">
        <f t="shared" si="119"/>
        <v>2022</v>
      </c>
      <c r="I401" s="117">
        <f t="shared" si="119"/>
        <v>2023</v>
      </c>
      <c r="J401" s="117">
        <f t="shared" si="119"/>
        <v>2024</v>
      </c>
      <c r="K401" s="117">
        <f t="shared" si="119"/>
        <v>2025</v>
      </c>
      <c r="L401" s="7"/>
      <c r="M401" s="7"/>
    </row>
    <row r="402" spans="5:13" hidden="1" x14ac:dyDescent="0.25">
      <c r="E402" s="117" t="s">
        <v>304</v>
      </c>
      <c r="F402" s="120">
        <f>F272</f>
        <v>0</v>
      </c>
      <c r="G402" s="120">
        <f>F402+F294</f>
        <v>0</v>
      </c>
      <c r="H402" s="120">
        <f>G402+F316</f>
        <v>0</v>
      </c>
      <c r="I402" s="120">
        <f>H402+F338</f>
        <v>0</v>
      </c>
      <c r="J402" s="120">
        <f>I402+F360</f>
        <v>0</v>
      </c>
      <c r="K402" s="120">
        <f>J402+W241</f>
        <v>0</v>
      </c>
      <c r="L402" s="7"/>
      <c r="M402" s="7"/>
    </row>
    <row r="403" spans="5:13" hidden="1" x14ac:dyDescent="0.25">
      <c r="E403" s="117" t="s">
        <v>307</v>
      </c>
      <c r="F403" s="117">
        <v>0</v>
      </c>
      <c r="G403" s="117">
        <f>-1*(H273)</f>
        <v>0</v>
      </c>
      <c r="H403" s="117">
        <f>-1*(I273+H295)</f>
        <v>0</v>
      </c>
      <c r="I403" s="117">
        <f>-1*(J273+I295+H317)</f>
        <v>0</v>
      </c>
      <c r="J403" s="117">
        <f>-1*(K273+J295+I317+H339)</f>
        <v>0</v>
      </c>
      <c r="K403" s="117">
        <f>-1*(L273+K295+J317+I339+H361)</f>
        <v>0</v>
      </c>
      <c r="L403" s="7"/>
      <c r="M403" s="7"/>
    </row>
    <row r="404" spans="5:13" hidden="1" x14ac:dyDescent="0.25">
      <c r="E404" s="117" t="s">
        <v>308</v>
      </c>
      <c r="F404" s="117">
        <v>0</v>
      </c>
      <c r="G404" s="117">
        <f>H272</f>
        <v>0</v>
      </c>
      <c r="H404" s="117">
        <f>I272+H294</f>
        <v>0</v>
      </c>
      <c r="I404" s="117">
        <f>J272+I294+H316</f>
        <v>0</v>
      </c>
      <c r="J404" s="117">
        <f>K272+J294+I316+H338</f>
        <v>0</v>
      </c>
      <c r="K404" s="117">
        <f>L272+K294+J316+I338+H360</f>
        <v>0</v>
      </c>
      <c r="L404" s="7"/>
      <c r="M404" s="7"/>
    </row>
    <row r="405" spans="5:13" hidden="1" x14ac:dyDescent="0.25">
      <c r="E405" s="7"/>
      <c r="F405" s="7"/>
      <c r="G405" s="7"/>
      <c r="H405" s="7"/>
      <c r="I405" s="7"/>
      <c r="J405" s="7"/>
      <c r="K405" s="7"/>
      <c r="L405" s="7"/>
      <c r="M405" s="7"/>
    </row>
    <row r="406" spans="5:13" hidden="1" x14ac:dyDescent="0.25">
      <c r="E406" s="122" t="s">
        <v>69</v>
      </c>
      <c r="F406" s="117" t="str">
        <f>F401</f>
        <v>AÑO 0</v>
      </c>
      <c r="G406" s="117">
        <f>G401</f>
        <v>2021</v>
      </c>
      <c r="H406" s="117">
        <f t="shared" ref="H406:K406" si="120">H401</f>
        <v>2022</v>
      </c>
      <c r="I406" s="117">
        <f t="shared" si="120"/>
        <v>2023</v>
      </c>
      <c r="J406" s="117">
        <f t="shared" si="120"/>
        <v>2024</v>
      </c>
      <c r="K406" s="117">
        <f t="shared" si="120"/>
        <v>2025</v>
      </c>
      <c r="L406" s="7"/>
      <c r="M406" s="7"/>
    </row>
    <row r="407" spans="5:13" hidden="1" x14ac:dyDescent="0.25">
      <c r="E407" s="117" t="s">
        <v>304</v>
      </c>
      <c r="F407" s="120">
        <f>F274</f>
        <v>0</v>
      </c>
      <c r="G407" s="120">
        <f>F407+F296</f>
        <v>0</v>
      </c>
      <c r="H407" s="120">
        <f>G407+F318</f>
        <v>0</v>
      </c>
      <c r="I407" s="120">
        <f>H407+F340</f>
        <v>0</v>
      </c>
      <c r="J407" s="120">
        <f>I407+F362</f>
        <v>0</v>
      </c>
      <c r="K407" s="120">
        <f>J407+W249</f>
        <v>0</v>
      </c>
      <c r="L407" s="7"/>
      <c r="M407" s="7"/>
    </row>
    <row r="408" spans="5:13" hidden="1" x14ac:dyDescent="0.25">
      <c r="E408" s="117" t="s">
        <v>307</v>
      </c>
      <c r="F408" s="117">
        <v>0</v>
      </c>
      <c r="G408" s="117">
        <f>-1*(H275)</f>
        <v>0</v>
      </c>
      <c r="H408" s="117">
        <f>-1*(I275+H297)</f>
        <v>0</v>
      </c>
      <c r="I408" s="117">
        <f>-1*(J275+I297+H319)</f>
        <v>0</v>
      </c>
      <c r="J408" s="117">
        <f>-1*(K275+J297+I319+H341)</f>
        <v>0</v>
      </c>
      <c r="K408" s="117">
        <f>-1*(L275+K297+J319+I341+H363)</f>
        <v>0</v>
      </c>
      <c r="L408" s="7"/>
      <c r="M408" s="7"/>
    </row>
    <row r="409" spans="5:13" hidden="1" x14ac:dyDescent="0.25">
      <c r="E409" s="117" t="s">
        <v>308</v>
      </c>
      <c r="F409" s="117">
        <v>0</v>
      </c>
      <c r="G409" s="117">
        <f>H274</f>
        <v>0</v>
      </c>
      <c r="H409" s="117">
        <f>I274+H296</f>
        <v>0</v>
      </c>
      <c r="I409" s="117">
        <f>J274+I296+H318</f>
        <v>0</v>
      </c>
      <c r="J409" s="117">
        <f>K274+J296+I318+H340</f>
        <v>0</v>
      </c>
      <c r="K409" s="117">
        <f>L274+K296+J318+I340+H362</f>
        <v>0</v>
      </c>
      <c r="L409" s="7"/>
      <c r="M409" s="7"/>
    </row>
    <row r="410" spans="5:13" hidden="1" x14ac:dyDescent="0.25">
      <c r="E410" s="7"/>
      <c r="F410" s="7"/>
      <c r="G410" s="7"/>
      <c r="H410" s="7"/>
      <c r="I410" s="7"/>
      <c r="J410" s="7"/>
      <c r="K410" s="7"/>
      <c r="L410" s="7"/>
      <c r="M410" s="7"/>
    </row>
    <row r="411" spans="5:13" hidden="1" x14ac:dyDescent="0.25">
      <c r="E411" s="117"/>
      <c r="F411" s="117"/>
      <c r="G411" s="117">
        <f>G406</f>
        <v>2021</v>
      </c>
      <c r="H411" s="117">
        <f t="shared" ref="H411:K411" si="121">H406</f>
        <v>2022</v>
      </c>
      <c r="I411" s="117">
        <f t="shared" si="121"/>
        <v>2023</v>
      </c>
      <c r="J411" s="117">
        <f t="shared" si="121"/>
        <v>2024</v>
      </c>
      <c r="K411" s="117">
        <f t="shared" si="121"/>
        <v>2025</v>
      </c>
      <c r="L411" s="7"/>
      <c r="M411" s="7"/>
    </row>
    <row r="412" spans="5:13" hidden="1" x14ac:dyDescent="0.25">
      <c r="E412" s="122" t="s">
        <v>433</v>
      </c>
      <c r="F412" s="117"/>
      <c r="G412" s="117">
        <f>G369+G374+G379+G384+G389</f>
        <v>0</v>
      </c>
      <c r="H412" s="117">
        <f>H369+H374+H379+H384+H389</f>
        <v>0</v>
      </c>
      <c r="I412" s="117">
        <f t="shared" ref="I412:K412" si="122">I369+I374+I379+I384+I389</f>
        <v>0</v>
      </c>
      <c r="J412" s="117">
        <f t="shared" si="122"/>
        <v>0</v>
      </c>
      <c r="K412" s="117">
        <f t="shared" si="122"/>
        <v>0</v>
      </c>
      <c r="L412" s="7"/>
      <c r="M412" s="7"/>
    </row>
    <row r="413" spans="5:13" hidden="1" x14ac:dyDescent="0.25">
      <c r="E413" s="122" t="s">
        <v>434</v>
      </c>
      <c r="F413" s="117"/>
      <c r="G413" s="117">
        <f>G394+G399+G404+G409</f>
        <v>0</v>
      </c>
      <c r="H413" s="117">
        <f t="shared" ref="H413:K413" si="123">H394+H399+H404+H409</f>
        <v>0</v>
      </c>
      <c r="I413" s="117">
        <f t="shared" si="123"/>
        <v>0</v>
      </c>
      <c r="J413" s="117">
        <f t="shared" si="123"/>
        <v>0</v>
      </c>
      <c r="K413" s="117">
        <f t="shared" si="123"/>
        <v>0</v>
      </c>
      <c r="L413" s="7"/>
      <c r="M413" s="7"/>
    </row>
    <row r="414" spans="5:13" hidden="1" x14ac:dyDescent="0.25">
      <c r="E414" s="7"/>
      <c r="F414" s="7"/>
      <c r="G414" s="7"/>
      <c r="H414" s="7"/>
      <c r="I414" s="7"/>
      <c r="J414" s="7"/>
      <c r="K414" s="7"/>
      <c r="L414" s="7"/>
      <c r="M414" s="7"/>
    </row>
    <row r="415" spans="5:13" hidden="1" x14ac:dyDescent="0.25">
      <c r="E415" s="122" t="s">
        <v>60</v>
      </c>
      <c r="F415" s="117" t="str">
        <f>F406</f>
        <v>AÑO 0</v>
      </c>
      <c r="G415" s="117">
        <f t="shared" ref="G415:K415" si="124">G406</f>
        <v>2021</v>
      </c>
      <c r="H415" s="117">
        <f t="shared" si="124"/>
        <v>2022</v>
      </c>
      <c r="I415" s="117">
        <f t="shared" si="124"/>
        <v>2023</v>
      </c>
      <c r="J415" s="117">
        <f t="shared" si="124"/>
        <v>2024</v>
      </c>
      <c r="K415" s="117">
        <f t="shared" si="124"/>
        <v>2025</v>
      </c>
      <c r="L415" s="7"/>
      <c r="M415" s="7"/>
    </row>
    <row r="416" spans="5:13" hidden="1" x14ac:dyDescent="0.25">
      <c r="E416" s="117" t="s">
        <v>304</v>
      </c>
      <c r="F416" s="117">
        <f>F36</f>
        <v>0</v>
      </c>
      <c r="G416" s="117">
        <f>F416+G36</f>
        <v>0</v>
      </c>
      <c r="H416" s="117">
        <f>G416+H36</f>
        <v>0</v>
      </c>
      <c r="I416" s="117">
        <f>H416+I36</f>
        <v>0</v>
      </c>
      <c r="J416" s="117">
        <f>I416+J36</f>
        <v>0</v>
      </c>
      <c r="K416" s="117">
        <f>J416+K36</f>
        <v>0</v>
      </c>
      <c r="L416" s="7"/>
      <c r="M416" s="7"/>
    </row>
    <row r="417" spans="5:13" hidden="1" x14ac:dyDescent="0.25">
      <c r="E417" s="7"/>
      <c r="F417" s="7"/>
      <c r="G417" s="7"/>
      <c r="H417" s="7"/>
      <c r="I417" s="7"/>
      <c r="J417" s="7"/>
      <c r="K417" s="7"/>
      <c r="L417" s="7"/>
      <c r="M417" s="7"/>
    </row>
  </sheetData>
  <sheetProtection algorithmName="SHA-512" hashValue="dxTwkqRQT582DSD0nNIR4BTEjKbz0HBaAG/wSYNTtu02KhXfOTkBsfjJlUCVzDs64pd+iWb7r3v8B3ee/Bl8qQ==" saltValue="6OBn8QqGpZ4TQ7iulZXUUQ==" spinCount="100000" sheet="1" objects="1" scenarios="1"/>
  <mergeCells count="41">
    <mergeCell ref="E278:L278"/>
    <mergeCell ref="E300:K300"/>
    <mergeCell ref="E322:J322"/>
    <mergeCell ref="E344:I344"/>
    <mergeCell ref="D6:O6"/>
    <mergeCell ref="E243:G243"/>
    <mergeCell ref="E251:G251"/>
    <mergeCell ref="E253:G253"/>
    <mergeCell ref="F7:G7"/>
    <mergeCell ref="H7:I7"/>
    <mergeCell ref="J7:K7"/>
    <mergeCell ref="L7:M7"/>
    <mergeCell ref="N7:O7"/>
    <mergeCell ref="D12:F12"/>
    <mergeCell ref="D13:F13"/>
    <mergeCell ref="D14:F14"/>
    <mergeCell ref="D20:T20"/>
    <mergeCell ref="D30:G33"/>
    <mergeCell ref="I30:K33"/>
    <mergeCell ref="L21:N21"/>
    <mergeCell ref="E256:M256"/>
    <mergeCell ref="F21:H21"/>
    <mergeCell ref="I21:K21"/>
    <mergeCell ref="O21:Q21"/>
    <mergeCell ref="E194:E195"/>
    <mergeCell ref="R21:T21"/>
    <mergeCell ref="U39:W39"/>
    <mergeCell ref="E38:W38"/>
    <mergeCell ref="E184:G184"/>
    <mergeCell ref="F194:H194"/>
    <mergeCell ref="I194:K194"/>
    <mergeCell ref="L194:N194"/>
    <mergeCell ref="O194:Q194"/>
    <mergeCell ref="R194:T194"/>
    <mergeCell ref="U194:W194"/>
    <mergeCell ref="F39:H39"/>
    <mergeCell ref="I39:K39"/>
    <mergeCell ref="L39:N39"/>
    <mergeCell ref="O39:Q39"/>
    <mergeCell ref="R39:T39"/>
    <mergeCell ref="D187:G19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20</xdr:row>
                    <xdr:rowOff>123825</xdr:rowOff>
                  </from>
                  <to>
                    <xdr:col>2</xdr:col>
                    <xdr:colOff>400050</xdr:colOff>
                    <xdr:row>22</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zoomScaleNormal="100" workbookViewId="0">
      <selection activeCell="E158" sqref="E158"/>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79" t="s">
        <v>402</v>
      </c>
      <c r="B6" s="680"/>
    </row>
    <row r="7" spans="1:16" x14ac:dyDescent="0.25">
      <c r="A7" s="681"/>
      <c r="B7" s="682"/>
    </row>
    <row r="8" spans="1:16" x14ac:dyDescent="0.25">
      <c r="A8" s="681"/>
      <c r="B8" s="682"/>
    </row>
    <row r="9" spans="1:16" ht="15.75" thickBot="1" x14ac:dyDescent="0.3">
      <c r="A9" s="683"/>
      <c r="B9" s="684"/>
    </row>
    <row r="14" spans="1:16" x14ac:dyDescent="0.25">
      <c r="A14" s="689" t="s">
        <v>70</v>
      </c>
      <c r="B14" s="689"/>
      <c r="C14" s="689"/>
      <c r="D14" s="689"/>
      <c r="E14" s="689"/>
      <c r="F14" s="689"/>
      <c r="G14" s="689"/>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147"/>
      <c r="D17" s="147"/>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147"/>
      <c r="D18" s="147"/>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147"/>
      <c r="D19" s="147"/>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147"/>
      <c r="D20" s="147"/>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147"/>
      <c r="D21" s="147"/>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147"/>
      <c r="D22" s="147"/>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147"/>
      <c r="D23" s="147"/>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147"/>
      <c r="D24" s="147"/>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147"/>
      <c r="D25" s="147"/>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147"/>
      <c r="D26" s="147"/>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147"/>
      <c r="D27" s="147"/>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5" t="s">
        <v>78</v>
      </c>
      <c r="C28" s="196">
        <f>SUM(C17:C27)</f>
        <v>0</v>
      </c>
      <c r="D28" s="196">
        <f t="shared" ref="D28:P28" si="11">SUM(D17:D27)</f>
        <v>0</v>
      </c>
      <c r="E28" s="196">
        <f t="shared" si="11"/>
        <v>0</v>
      </c>
      <c r="F28" s="196">
        <f t="shared" si="11"/>
        <v>0</v>
      </c>
      <c r="G28" s="196">
        <f t="shared" si="11"/>
        <v>0</v>
      </c>
      <c r="H28" s="196">
        <f t="shared" si="11"/>
        <v>0</v>
      </c>
      <c r="I28" s="196">
        <f t="shared" si="11"/>
        <v>0</v>
      </c>
      <c r="J28" s="196">
        <f t="shared" si="11"/>
        <v>0</v>
      </c>
      <c r="K28" s="196"/>
      <c r="L28" s="196">
        <f t="shared" si="11"/>
        <v>0</v>
      </c>
      <c r="M28" s="196">
        <f t="shared" si="11"/>
        <v>0</v>
      </c>
      <c r="N28" s="196">
        <f t="shared" si="11"/>
        <v>0</v>
      </c>
      <c r="O28" s="196">
        <f t="shared" si="11"/>
        <v>0</v>
      </c>
      <c r="P28" s="196">
        <f t="shared" si="11"/>
        <v>0</v>
      </c>
    </row>
    <row r="29" spans="1:16" x14ac:dyDescent="0.25">
      <c r="A29" s="150"/>
      <c r="B29" s="195" t="s">
        <v>80</v>
      </c>
      <c r="C29" s="196">
        <f>C28*12</f>
        <v>0</v>
      </c>
      <c r="D29" s="196">
        <f t="shared" ref="D29:O29" si="12">D28*12</f>
        <v>0</v>
      </c>
      <c r="E29" s="196">
        <f t="shared" si="12"/>
        <v>0</v>
      </c>
      <c r="F29" s="196">
        <f t="shared" si="12"/>
        <v>0</v>
      </c>
      <c r="G29" s="196">
        <f t="shared" si="12"/>
        <v>0</v>
      </c>
      <c r="H29" s="196">
        <f t="shared" si="12"/>
        <v>0</v>
      </c>
      <c r="I29" s="196">
        <f t="shared" si="12"/>
        <v>0</v>
      </c>
      <c r="J29" s="196">
        <f t="shared" si="12"/>
        <v>0</v>
      </c>
      <c r="K29" s="196"/>
      <c r="L29" s="196">
        <f t="shared" si="12"/>
        <v>0</v>
      </c>
      <c r="M29" s="196">
        <f t="shared" si="12"/>
        <v>0</v>
      </c>
      <c r="N29" s="196">
        <f t="shared" si="12"/>
        <v>0</v>
      </c>
      <c r="O29" s="196">
        <f t="shared" si="12"/>
        <v>0</v>
      </c>
      <c r="P29" s="196"/>
    </row>
    <row r="32" spans="1:16" x14ac:dyDescent="0.25">
      <c r="A32" s="688" t="s">
        <v>81</v>
      </c>
      <c r="B32" s="688"/>
      <c r="C32" s="688"/>
      <c r="D32" s="688"/>
      <c r="E32" s="688"/>
      <c r="F32" s="688"/>
      <c r="G32" s="688"/>
      <c r="H32" s="688"/>
      <c r="I32" s="688"/>
      <c r="J32" s="688"/>
      <c r="K32" s="688"/>
      <c r="L32" s="688"/>
      <c r="M32" s="688"/>
      <c r="N32" s="688"/>
      <c r="O32" s="688"/>
      <c r="P32" s="688"/>
    </row>
    <row r="34" spans="1:4" x14ac:dyDescent="0.25">
      <c r="A34" s="197" t="s">
        <v>71</v>
      </c>
      <c r="B34" s="197" t="s">
        <v>72</v>
      </c>
      <c r="C34" s="197" t="s">
        <v>73</v>
      </c>
      <c r="D34" s="197" t="s">
        <v>82</v>
      </c>
    </row>
    <row r="35" spans="1:4" x14ac:dyDescent="0.25">
      <c r="A35" s="145">
        <v>1</v>
      </c>
      <c r="B35" s="146"/>
      <c r="C35" s="147"/>
      <c r="D35" s="151">
        <f>C35*12</f>
        <v>0</v>
      </c>
    </row>
    <row r="36" spans="1:4" x14ac:dyDescent="0.25">
      <c r="A36" s="145">
        <v>2</v>
      </c>
      <c r="B36" s="146"/>
      <c r="C36" s="147"/>
      <c r="D36" s="151">
        <f t="shared" ref="D36:D45" si="13">C36*12</f>
        <v>0</v>
      </c>
    </row>
    <row r="37" spans="1:4" x14ac:dyDescent="0.25">
      <c r="A37" s="145">
        <v>3</v>
      </c>
      <c r="B37" s="146"/>
      <c r="C37" s="147"/>
      <c r="D37" s="151">
        <f t="shared" si="13"/>
        <v>0</v>
      </c>
    </row>
    <row r="38" spans="1:4" x14ac:dyDescent="0.25">
      <c r="A38" s="145">
        <v>4</v>
      </c>
      <c r="B38" s="146"/>
      <c r="C38" s="147"/>
      <c r="D38" s="151">
        <f t="shared" si="13"/>
        <v>0</v>
      </c>
    </row>
    <row r="39" spans="1:4" x14ac:dyDescent="0.25">
      <c r="A39" s="145">
        <v>5</v>
      </c>
      <c r="B39" s="146"/>
      <c r="C39" s="147"/>
      <c r="D39" s="151">
        <f t="shared" si="13"/>
        <v>0</v>
      </c>
    </row>
    <row r="40" spans="1:4" x14ac:dyDescent="0.25">
      <c r="A40" s="145">
        <v>6</v>
      </c>
      <c r="B40" s="146"/>
      <c r="C40" s="147"/>
      <c r="D40" s="151">
        <f t="shared" si="13"/>
        <v>0</v>
      </c>
    </row>
    <row r="41" spans="1:4" x14ac:dyDescent="0.25">
      <c r="A41" s="145">
        <v>7</v>
      </c>
      <c r="B41" s="146"/>
      <c r="C41" s="147"/>
      <c r="D41" s="151">
        <f t="shared" si="13"/>
        <v>0</v>
      </c>
    </row>
    <row r="42" spans="1:4" x14ac:dyDescent="0.25">
      <c r="A42" s="145">
        <v>8</v>
      </c>
      <c r="B42" s="146"/>
      <c r="C42" s="147"/>
      <c r="D42" s="151">
        <f t="shared" si="13"/>
        <v>0</v>
      </c>
    </row>
    <row r="43" spans="1:4" x14ac:dyDescent="0.25">
      <c r="A43" s="145">
        <v>9</v>
      </c>
      <c r="B43" s="146"/>
      <c r="C43" s="147"/>
      <c r="D43" s="151">
        <f t="shared" si="13"/>
        <v>0</v>
      </c>
    </row>
    <row r="44" spans="1:4" x14ac:dyDescent="0.25">
      <c r="A44" s="145">
        <v>10</v>
      </c>
      <c r="B44" s="146"/>
      <c r="C44" s="147"/>
      <c r="D44" s="151">
        <f t="shared" si="13"/>
        <v>0</v>
      </c>
    </row>
    <row r="45" spans="1:4" x14ac:dyDescent="0.25">
      <c r="A45" s="145">
        <v>11</v>
      </c>
      <c r="B45" s="146"/>
      <c r="C45" s="147"/>
      <c r="D45" s="151">
        <f t="shared" si="13"/>
        <v>0</v>
      </c>
    </row>
    <row r="46" spans="1:4" x14ac:dyDescent="0.25">
      <c r="A46" s="141"/>
      <c r="B46" s="195" t="s">
        <v>83</v>
      </c>
      <c r="C46" s="198">
        <f>SUM(C35:C45)</f>
        <v>0</v>
      </c>
      <c r="D46" s="198">
        <f>SUM(D35:D45)</f>
        <v>0</v>
      </c>
    </row>
    <row r="47" spans="1:4" x14ac:dyDescent="0.25">
      <c r="A47" s="141"/>
      <c r="B47" s="195" t="s">
        <v>79</v>
      </c>
      <c r="C47" s="198">
        <f>C46*12</f>
        <v>0</v>
      </c>
      <c r="D47" s="199"/>
    </row>
    <row r="50" spans="1:16" ht="15.75" thickBot="1" x14ac:dyDescent="0.3"/>
    <row r="51" spans="1:16" x14ac:dyDescent="0.25">
      <c r="A51" s="679" t="s">
        <v>403</v>
      </c>
      <c r="B51" s="685"/>
      <c r="C51" s="680"/>
    </row>
    <row r="52" spans="1:16" x14ac:dyDescent="0.25">
      <c r="A52" s="681"/>
      <c r="B52" s="686"/>
      <c r="C52" s="682"/>
    </row>
    <row r="53" spans="1:16" x14ac:dyDescent="0.25">
      <c r="A53" s="681"/>
      <c r="B53" s="686"/>
      <c r="C53" s="682"/>
    </row>
    <row r="54" spans="1:16" ht="15.75" thickBot="1" x14ac:dyDescent="0.3">
      <c r="A54" s="683"/>
      <c r="B54" s="687"/>
      <c r="C54" s="684"/>
    </row>
    <row r="56" spans="1:16" x14ac:dyDescent="0.25">
      <c r="A56" s="689" t="s">
        <v>70</v>
      </c>
      <c r="B56" s="689"/>
      <c r="C56" s="689"/>
      <c r="D56" s="689"/>
      <c r="E56" s="689"/>
      <c r="F56" s="689"/>
      <c r="G56" s="689"/>
      <c r="H56" s="689"/>
      <c r="I56" s="689"/>
      <c r="J56" s="689"/>
      <c r="K56" s="689"/>
      <c r="L56" s="689"/>
      <c r="M56" s="689"/>
      <c r="N56" s="689"/>
      <c r="O56" s="689"/>
      <c r="P56" s="689"/>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147"/>
      <c r="D60" s="147"/>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147"/>
      <c r="D61" s="147"/>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147"/>
      <c r="D62" s="147"/>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147"/>
      <c r="D63" s="147"/>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147"/>
      <c r="D64" s="147"/>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147"/>
      <c r="D65" s="147"/>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147"/>
      <c r="D66" s="147"/>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147"/>
      <c r="D67" s="147"/>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147"/>
      <c r="D68" s="147"/>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147"/>
      <c r="D69" s="147"/>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200" t="s">
        <v>78</v>
      </c>
      <c r="C70" s="198">
        <f>SUM(C60:C69)</f>
        <v>0</v>
      </c>
      <c r="D70" s="198">
        <f t="shared" ref="D70:P70" si="25">SUM(D60:D69)</f>
        <v>0</v>
      </c>
      <c r="E70" s="198">
        <f t="shared" si="25"/>
        <v>0</v>
      </c>
      <c r="F70" s="198">
        <f t="shared" si="25"/>
        <v>0</v>
      </c>
      <c r="G70" s="198">
        <f t="shared" si="25"/>
        <v>0</v>
      </c>
      <c r="H70" s="198">
        <f t="shared" si="25"/>
        <v>0</v>
      </c>
      <c r="I70" s="198">
        <f t="shared" si="25"/>
        <v>0</v>
      </c>
      <c r="J70" s="198">
        <f t="shared" si="25"/>
        <v>0</v>
      </c>
      <c r="K70" s="198"/>
      <c r="L70" s="198">
        <f t="shared" si="25"/>
        <v>0</v>
      </c>
      <c r="M70" s="198">
        <f t="shared" si="25"/>
        <v>0</v>
      </c>
      <c r="N70" s="198">
        <f t="shared" si="25"/>
        <v>0</v>
      </c>
      <c r="O70" s="198">
        <f t="shared" si="25"/>
        <v>0</v>
      </c>
      <c r="P70" s="198">
        <f t="shared" si="25"/>
        <v>0</v>
      </c>
    </row>
    <row r="71" spans="1:16" x14ac:dyDescent="0.25">
      <c r="A71" s="141"/>
      <c r="B71" s="200" t="s">
        <v>79</v>
      </c>
      <c r="C71" s="198">
        <f>C70*12</f>
        <v>0</v>
      </c>
      <c r="D71" s="198">
        <f t="shared" ref="D71:O71" si="26">D70*12</f>
        <v>0</v>
      </c>
      <c r="E71" s="198">
        <f t="shared" si="26"/>
        <v>0</v>
      </c>
      <c r="F71" s="198">
        <f t="shared" si="26"/>
        <v>0</v>
      </c>
      <c r="G71" s="198">
        <f t="shared" si="26"/>
        <v>0</v>
      </c>
      <c r="H71" s="198">
        <f t="shared" si="26"/>
        <v>0</v>
      </c>
      <c r="I71" s="198">
        <f t="shared" si="26"/>
        <v>0</v>
      </c>
      <c r="J71" s="198">
        <f t="shared" si="26"/>
        <v>0</v>
      </c>
      <c r="K71" s="198"/>
      <c r="L71" s="198">
        <f t="shared" si="26"/>
        <v>0</v>
      </c>
      <c r="M71" s="198">
        <f t="shared" si="26"/>
        <v>0</v>
      </c>
      <c r="N71" s="198">
        <f t="shared" si="26"/>
        <v>0</v>
      </c>
      <c r="O71" s="198">
        <f t="shared" si="26"/>
        <v>0</v>
      </c>
      <c r="P71" s="198"/>
    </row>
    <row r="74" spans="1:16" x14ac:dyDescent="0.25">
      <c r="A74" s="688" t="s">
        <v>84</v>
      </c>
      <c r="B74" s="688"/>
      <c r="C74" s="688"/>
      <c r="D74" s="688"/>
      <c r="E74" s="688"/>
    </row>
    <row r="75" spans="1:16" ht="15.75" thickBot="1" x14ac:dyDescent="0.3"/>
    <row r="76" spans="1:16" ht="15.75" thickBot="1" x14ac:dyDescent="0.3">
      <c r="A76" s="152" t="s">
        <v>71</v>
      </c>
      <c r="B76" s="153" t="s">
        <v>72</v>
      </c>
      <c r="C76" s="153" t="s">
        <v>73</v>
      </c>
      <c r="D76" s="154" t="s">
        <v>82</v>
      </c>
    </row>
    <row r="77" spans="1:16" x14ac:dyDescent="0.25">
      <c r="A77" s="155">
        <v>1</v>
      </c>
      <c r="B77" s="156"/>
      <c r="C77" s="157"/>
      <c r="D77" s="158">
        <f>C77*12</f>
        <v>0</v>
      </c>
    </row>
    <row r="78" spans="1:16" x14ac:dyDescent="0.25">
      <c r="A78" s="159">
        <v>2</v>
      </c>
      <c r="B78" s="146"/>
      <c r="C78" s="147"/>
      <c r="D78" s="158">
        <f t="shared" ref="D78:D87" si="27">C78*12</f>
        <v>0</v>
      </c>
    </row>
    <row r="79" spans="1:16" x14ac:dyDescent="0.25">
      <c r="A79" s="159">
        <v>3</v>
      </c>
      <c r="B79" s="146"/>
      <c r="C79" s="147"/>
      <c r="D79" s="158">
        <f t="shared" si="27"/>
        <v>0</v>
      </c>
    </row>
    <row r="80" spans="1:16" x14ac:dyDescent="0.25">
      <c r="A80" s="159">
        <v>4</v>
      </c>
      <c r="B80" s="146"/>
      <c r="C80" s="147"/>
      <c r="D80" s="158">
        <f t="shared" si="27"/>
        <v>0</v>
      </c>
    </row>
    <row r="81" spans="1:4" x14ac:dyDescent="0.25">
      <c r="A81" s="159">
        <v>5</v>
      </c>
      <c r="B81" s="146"/>
      <c r="C81" s="147"/>
      <c r="D81" s="158">
        <f t="shared" si="27"/>
        <v>0</v>
      </c>
    </row>
    <row r="82" spans="1:4" x14ac:dyDescent="0.25">
      <c r="A82" s="159">
        <v>6</v>
      </c>
      <c r="B82" s="146"/>
      <c r="C82" s="147"/>
      <c r="D82" s="158">
        <f t="shared" si="27"/>
        <v>0</v>
      </c>
    </row>
    <row r="83" spans="1:4" x14ac:dyDescent="0.25">
      <c r="A83" s="159">
        <v>7</v>
      </c>
      <c r="B83" s="146"/>
      <c r="C83" s="147"/>
      <c r="D83" s="158">
        <f t="shared" si="27"/>
        <v>0</v>
      </c>
    </row>
    <row r="84" spans="1:4" x14ac:dyDescent="0.25">
      <c r="A84" s="159">
        <v>8</v>
      </c>
      <c r="B84" s="146"/>
      <c r="C84" s="147"/>
      <c r="D84" s="158">
        <f t="shared" si="27"/>
        <v>0</v>
      </c>
    </row>
    <row r="85" spans="1:4" x14ac:dyDescent="0.25">
      <c r="A85" s="159">
        <v>9</v>
      </c>
      <c r="B85" s="146"/>
      <c r="C85" s="147"/>
      <c r="D85" s="158">
        <f t="shared" si="27"/>
        <v>0</v>
      </c>
    </row>
    <row r="86" spans="1:4" x14ac:dyDescent="0.25">
      <c r="A86" s="159">
        <v>10</v>
      </c>
      <c r="B86" s="146"/>
      <c r="C86" s="147"/>
      <c r="D86" s="158">
        <f t="shared" si="27"/>
        <v>0</v>
      </c>
    </row>
    <row r="87" spans="1:4" x14ac:dyDescent="0.25">
      <c r="A87" s="159">
        <v>11</v>
      </c>
      <c r="B87" s="146"/>
      <c r="C87" s="147"/>
      <c r="D87" s="158">
        <f t="shared" si="27"/>
        <v>0</v>
      </c>
    </row>
    <row r="88" spans="1:4" x14ac:dyDescent="0.25">
      <c r="A88" s="160"/>
      <c r="B88" s="195" t="s">
        <v>78</v>
      </c>
      <c r="C88" s="201">
        <f>SUM(C77:C87)</f>
        <v>0</v>
      </c>
      <c r="D88" s="202">
        <f>SUM(D77:D87)</f>
        <v>0</v>
      </c>
    </row>
    <row r="89" spans="1:4" ht="15.75" thickBot="1" x14ac:dyDescent="0.3">
      <c r="A89" s="161"/>
      <c r="B89" s="203" t="s">
        <v>80</v>
      </c>
      <c r="C89" s="204">
        <f>C88*12</f>
        <v>0</v>
      </c>
      <c r="D89" s="205"/>
    </row>
    <row r="91" spans="1:4" ht="15.75" thickBot="1" x14ac:dyDescent="0.3"/>
    <row r="92" spans="1:4" x14ac:dyDescent="0.25">
      <c r="A92" s="679" t="s">
        <v>404</v>
      </c>
      <c r="B92" s="685"/>
      <c r="C92" s="680"/>
    </row>
    <row r="93" spans="1:4" x14ac:dyDescent="0.25">
      <c r="A93" s="681"/>
      <c r="B93" s="686"/>
      <c r="C93" s="682"/>
    </row>
    <row r="94" spans="1:4" x14ac:dyDescent="0.25">
      <c r="A94" s="681"/>
      <c r="B94" s="686"/>
      <c r="C94" s="682"/>
    </row>
    <row r="95" spans="1:4" x14ac:dyDescent="0.25">
      <c r="A95" s="681"/>
      <c r="B95" s="686"/>
      <c r="C95" s="682"/>
    </row>
    <row r="96" spans="1:4" x14ac:dyDescent="0.25">
      <c r="A96" s="681"/>
      <c r="B96" s="686"/>
      <c r="C96" s="682"/>
    </row>
    <row r="97" spans="1:16" x14ac:dyDescent="0.25">
      <c r="A97" s="681"/>
      <c r="B97" s="686"/>
      <c r="C97" s="682"/>
    </row>
    <row r="98" spans="1:16" ht="15.75" thickBot="1" x14ac:dyDescent="0.3">
      <c r="A98" s="683"/>
      <c r="B98" s="687"/>
      <c r="C98" s="684"/>
    </row>
    <row r="101" spans="1:16" x14ac:dyDescent="0.25">
      <c r="D101" s="162" t="s">
        <v>85</v>
      </c>
    </row>
    <row r="103" spans="1:16" x14ac:dyDescent="0.25">
      <c r="A103" s="689" t="s">
        <v>70</v>
      </c>
      <c r="B103" s="689"/>
      <c r="C103" s="689"/>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3"/>
      <c r="F107" s="164">
        <f>F59</f>
        <v>8.3299999999999999E-2</v>
      </c>
      <c r="G107" s="164">
        <f>G59</f>
        <v>0.12</v>
      </c>
      <c r="H107" s="164">
        <f>H59</f>
        <v>8.3299999999999999E-2</v>
      </c>
      <c r="I107" s="164">
        <f>I59</f>
        <v>4.1700000000000001E-2</v>
      </c>
      <c r="J107" s="164">
        <f>J59</f>
        <v>0.09</v>
      </c>
      <c r="K107" s="164"/>
      <c r="L107" s="165">
        <f>L59</f>
        <v>0.12</v>
      </c>
      <c r="M107" s="164">
        <f>M59</f>
        <v>8.5000000000000006E-2</v>
      </c>
      <c r="N107" s="164">
        <f>N59</f>
        <v>5.2199999999999998E-3</v>
      </c>
      <c r="O107" s="163"/>
      <c r="P107" s="163"/>
    </row>
    <row r="108" spans="1:16" x14ac:dyDescent="0.25">
      <c r="A108" s="149">
        <v>1</v>
      </c>
      <c r="B108" s="146"/>
      <c r="C108" s="147"/>
      <c r="D108" s="147"/>
      <c r="E108" s="166">
        <f>C108+D108</f>
        <v>0</v>
      </c>
      <c r="F108" s="166">
        <f>C108*$F$107</f>
        <v>0</v>
      </c>
      <c r="G108" s="166">
        <f>C108*$G$107</f>
        <v>0</v>
      </c>
      <c r="H108" s="166">
        <f>C108*$H$107</f>
        <v>0</v>
      </c>
      <c r="I108" s="166">
        <f>C108*$I$107</f>
        <v>0</v>
      </c>
      <c r="J108" s="166">
        <f>C108*$J$107</f>
        <v>0</v>
      </c>
      <c r="K108" s="166"/>
      <c r="L108" s="166">
        <f>C108*$L$107</f>
        <v>0</v>
      </c>
      <c r="M108" s="166">
        <f>C108*$M$107</f>
        <v>0</v>
      </c>
      <c r="N108" s="166">
        <f>C108*$N$107</f>
        <v>0</v>
      </c>
      <c r="O108" s="166">
        <f>SUM(E108:N108)</f>
        <v>0</v>
      </c>
      <c r="P108" s="166">
        <f>O108*12</f>
        <v>0</v>
      </c>
    </row>
    <row r="109" spans="1:16" x14ac:dyDescent="0.25">
      <c r="A109" s="149">
        <v>2</v>
      </c>
      <c r="B109" s="146"/>
      <c r="C109" s="147"/>
      <c r="D109" s="147"/>
      <c r="E109" s="166">
        <f t="shared" ref="E109:E117" si="28">C109+D109</f>
        <v>0</v>
      </c>
      <c r="F109" s="166">
        <f t="shared" ref="F109:F117" si="29">C109*$F$107</f>
        <v>0</v>
      </c>
      <c r="G109" s="166">
        <f t="shared" ref="G109:G117" si="30">C109*$G$107</f>
        <v>0</v>
      </c>
      <c r="H109" s="166">
        <f t="shared" ref="H109:H117" si="31">C109*$H$107</f>
        <v>0</v>
      </c>
      <c r="I109" s="166">
        <f t="shared" ref="I109:I117" si="32">C109*$I$107</f>
        <v>0</v>
      </c>
      <c r="J109" s="166">
        <f t="shared" ref="J109:J117" si="33">C109*$J$107</f>
        <v>0</v>
      </c>
      <c r="K109" s="166"/>
      <c r="L109" s="166">
        <f t="shared" ref="L109:L117" si="34">C109*$L$107</f>
        <v>0</v>
      </c>
      <c r="M109" s="166">
        <f t="shared" ref="M109:M117" si="35">C109*$M$107</f>
        <v>0</v>
      </c>
      <c r="N109" s="166">
        <f t="shared" ref="N109:N117" si="36">C109*$N$107</f>
        <v>0</v>
      </c>
      <c r="O109" s="166">
        <f t="shared" ref="O109:O117" si="37">SUM(E109:N109)</f>
        <v>0</v>
      </c>
      <c r="P109" s="166">
        <f t="shared" ref="P109:P117" si="38">O109*12</f>
        <v>0</v>
      </c>
    </row>
    <row r="110" spans="1:16" x14ac:dyDescent="0.25">
      <c r="A110" s="149">
        <v>3</v>
      </c>
      <c r="B110" s="146"/>
      <c r="C110" s="147"/>
      <c r="D110" s="147"/>
      <c r="E110" s="166">
        <f t="shared" si="28"/>
        <v>0</v>
      </c>
      <c r="F110" s="166">
        <f t="shared" si="29"/>
        <v>0</v>
      </c>
      <c r="G110" s="166">
        <f t="shared" si="30"/>
        <v>0</v>
      </c>
      <c r="H110" s="166">
        <f t="shared" si="31"/>
        <v>0</v>
      </c>
      <c r="I110" s="166">
        <f t="shared" si="32"/>
        <v>0</v>
      </c>
      <c r="J110" s="166">
        <f t="shared" si="33"/>
        <v>0</v>
      </c>
      <c r="K110" s="166"/>
      <c r="L110" s="166">
        <f t="shared" si="34"/>
        <v>0</v>
      </c>
      <c r="M110" s="166">
        <f t="shared" si="35"/>
        <v>0</v>
      </c>
      <c r="N110" s="166">
        <f t="shared" si="36"/>
        <v>0</v>
      </c>
      <c r="O110" s="166">
        <f t="shared" si="37"/>
        <v>0</v>
      </c>
      <c r="P110" s="166">
        <f t="shared" si="38"/>
        <v>0</v>
      </c>
    </row>
    <row r="111" spans="1:16" x14ac:dyDescent="0.25">
      <c r="A111" s="149">
        <v>4</v>
      </c>
      <c r="B111" s="146"/>
      <c r="C111" s="147"/>
      <c r="D111" s="147"/>
      <c r="E111" s="166">
        <f t="shared" si="28"/>
        <v>0</v>
      </c>
      <c r="F111" s="166">
        <f t="shared" si="29"/>
        <v>0</v>
      </c>
      <c r="G111" s="166">
        <f t="shared" si="30"/>
        <v>0</v>
      </c>
      <c r="H111" s="166">
        <f t="shared" si="31"/>
        <v>0</v>
      </c>
      <c r="I111" s="166">
        <f t="shared" si="32"/>
        <v>0</v>
      </c>
      <c r="J111" s="166">
        <f t="shared" si="33"/>
        <v>0</v>
      </c>
      <c r="K111" s="166"/>
      <c r="L111" s="166">
        <f t="shared" si="34"/>
        <v>0</v>
      </c>
      <c r="M111" s="166">
        <f t="shared" si="35"/>
        <v>0</v>
      </c>
      <c r="N111" s="166">
        <f t="shared" si="36"/>
        <v>0</v>
      </c>
      <c r="O111" s="166">
        <f t="shared" si="37"/>
        <v>0</v>
      </c>
      <c r="P111" s="166">
        <f t="shared" si="38"/>
        <v>0</v>
      </c>
    </row>
    <row r="112" spans="1:16" x14ac:dyDescent="0.25">
      <c r="A112" s="149">
        <v>5</v>
      </c>
      <c r="B112" s="146"/>
      <c r="C112" s="147"/>
      <c r="D112" s="147"/>
      <c r="E112" s="166">
        <f t="shared" si="28"/>
        <v>0</v>
      </c>
      <c r="F112" s="166">
        <f t="shared" si="29"/>
        <v>0</v>
      </c>
      <c r="G112" s="166">
        <f t="shared" si="30"/>
        <v>0</v>
      </c>
      <c r="H112" s="166">
        <f t="shared" si="31"/>
        <v>0</v>
      </c>
      <c r="I112" s="166">
        <f t="shared" si="32"/>
        <v>0</v>
      </c>
      <c r="J112" s="166">
        <f t="shared" si="33"/>
        <v>0</v>
      </c>
      <c r="K112" s="166"/>
      <c r="L112" s="166">
        <f t="shared" si="34"/>
        <v>0</v>
      </c>
      <c r="M112" s="166">
        <f t="shared" si="35"/>
        <v>0</v>
      </c>
      <c r="N112" s="166">
        <f t="shared" si="36"/>
        <v>0</v>
      </c>
      <c r="O112" s="166">
        <f t="shared" si="37"/>
        <v>0</v>
      </c>
      <c r="P112" s="166">
        <f t="shared" si="38"/>
        <v>0</v>
      </c>
    </row>
    <row r="113" spans="1:16" x14ac:dyDescent="0.25">
      <c r="A113" s="149">
        <v>6</v>
      </c>
      <c r="B113" s="146"/>
      <c r="C113" s="147"/>
      <c r="D113" s="147"/>
      <c r="E113" s="166">
        <f t="shared" si="28"/>
        <v>0</v>
      </c>
      <c r="F113" s="166">
        <f t="shared" si="29"/>
        <v>0</v>
      </c>
      <c r="G113" s="166">
        <f t="shared" si="30"/>
        <v>0</v>
      </c>
      <c r="H113" s="166">
        <f t="shared" si="31"/>
        <v>0</v>
      </c>
      <c r="I113" s="166">
        <f t="shared" si="32"/>
        <v>0</v>
      </c>
      <c r="J113" s="166">
        <f t="shared" si="33"/>
        <v>0</v>
      </c>
      <c r="K113" s="166"/>
      <c r="L113" s="166">
        <f t="shared" si="34"/>
        <v>0</v>
      </c>
      <c r="M113" s="166">
        <f t="shared" si="35"/>
        <v>0</v>
      </c>
      <c r="N113" s="166">
        <f t="shared" si="36"/>
        <v>0</v>
      </c>
      <c r="O113" s="166">
        <f t="shared" si="37"/>
        <v>0</v>
      </c>
      <c r="P113" s="166">
        <f t="shared" si="38"/>
        <v>0</v>
      </c>
    </row>
    <row r="114" spans="1:16" x14ac:dyDescent="0.25">
      <c r="A114" s="149">
        <v>7</v>
      </c>
      <c r="B114" s="146"/>
      <c r="C114" s="147"/>
      <c r="D114" s="147"/>
      <c r="E114" s="166">
        <f t="shared" si="28"/>
        <v>0</v>
      </c>
      <c r="F114" s="166">
        <f t="shared" si="29"/>
        <v>0</v>
      </c>
      <c r="G114" s="166">
        <f t="shared" si="30"/>
        <v>0</v>
      </c>
      <c r="H114" s="166">
        <f t="shared" si="31"/>
        <v>0</v>
      </c>
      <c r="I114" s="166">
        <f t="shared" si="32"/>
        <v>0</v>
      </c>
      <c r="J114" s="166">
        <f t="shared" si="33"/>
        <v>0</v>
      </c>
      <c r="K114" s="166"/>
      <c r="L114" s="166">
        <f t="shared" si="34"/>
        <v>0</v>
      </c>
      <c r="M114" s="166">
        <f t="shared" si="35"/>
        <v>0</v>
      </c>
      <c r="N114" s="166">
        <f t="shared" si="36"/>
        <v>0</v>
      </c>
      <c r="O114" s="166">
        <f t="shared" si="37"/>
        <v>0</v>
      </c>
      <c r="P114" s="166">
        <f t="shared" si="38"/>
        <v>0</v>
      </c>
    </row>
    <row r="115" spans="1:16" x14ac:dyDescent="0.25">
      <c r="A115" s="149">
        <v>8</v>
      </c>
      <c r="B115" s="146"/>
      <c r="C115" s="147"/>
      <c r="D115" s="147"/>
      <c r="E115" s="166">
        <f t="shared" si="28"/>
        <v>0</v>
      </c>
      <c r="F115" s="166">
        <f t="shared" si="29"/>
        <v>0</v>
      </c>
      <c r="G115" s="166">
        <f t="shared" si="30"/>
        <v>0</v>
      </c>
      <c r="H115" s="166">
        <f t="shared" si="31"/>
        <v>0</v>
      </c>
      <c r="I115" s="166">
        <f t="shared" si="32"/>
        <v>0</v>
      </c>
      <c r="J115" s="166">
        <f t="shared" si="33"/>
        <v>0</v>
      </c>
      <c r="K115" s="166"/>
      <c r="L115" s="166">
        <f t="shared" si="34"/>
        <v>0</v>
      </c>
      <c r="M115" s="166">
        <f t="shared" si="35"/>
        <v>0</v>
      </c>
      <c r="N115" s="166">
        <f t="shared" si="36"/>
        <v>0</v>
      </c>
      <c r="O115" s="166">
        <f t="shared" si="37"/>
        <v>0</v>
      </c>
      <c r="P115" s="166">
        <f t="shared" si="38"/>
        <v>0</v>
      </c>
    </row>
    <row r="116" spans="1:16" x14ac:dyDescent="0.25">
      <c r="A116" s="149">
        <v>9</v>
      </c>
      <c r="B116" s="146"/>
      <c r="C116" s="147"/>
      <c r="D116" s="147"/>
      <c r="E116" s="166">
        <f t="shared" si="28"/>
        <v>0</v>
      </c>
      <c r="F116" s="166">
        <f t="shared" si="29"/>
        <v>0</v>
      </c>
      <c r="G116" s="166">
        <f t="shared" si="30"/>
        <v>0</v>
      </c>
      <c r="H116" s="166">
        <f t="shared" si="31"/>
        <v>0</v>
      </c>
      <c r="I116" s="166">
        <f t="shared" si="32"/>
        <v>0</v>
      </c>
      <c r="J116" s="166">
        <f t="shared" si="33"/>
        <v>0</v>
      </c>
      <c r="K116" s="166"/>
      <c r="L116" s="166">
        <f t="shared" si="34"/>
        <v>0</v>
      </c>
      <c r="M116" s="166">
        <f t="shared" si="35"/>
        <v>0</v>
      </c>
      <c r="N116" s="166">
        <f t="shared" si="36"/>
        <v>0</v>
      </c>
      <c r="O116" s="166">
        <f t="shared" si="37"/>
        <v>0</v>
      </c>
      <c r="P116" s="166">
        <f t="shared" si="38"/>
        <v>0</v>
      </c>
    </row>
    <row r="117" spans="1:16" x14ac:dyDescent="0.25">
      <c r="A117" s="149">
        <v>10</v>
      </c>
      <c r="B117" s="146"/>
      <c r="C117" s="147"/>
      <c r="D117" s="147"/>
      <c r="E117" s="166">
        <f t="shared" si="28"/>
        <v>0</v>
      </c>
      <c r="F117" s="166">
        <f t="shared" si="29"/>
        <v>0</v>
      </c>
      <c r="G117" s="166">
        <f t="shared" si="30"/>
        <v>0</v>
      </c>
      <c r="H117" s="166">
        <f t="shared" si="31"/>
        <v>0</v>
      </c>
      <c r="I117" s="166">
        <f t="shared" si="32"/>
        <v>0</v>
      </c>
      <c r="J117" s="166">
        <f t="shared" si="33"/>
        <v>0</v>
      </c>
      <c r="K117" s="166"/>
      <c r="L117" s="166">
        <f t="shared" si="34"/>
        <v>0</v>
      </c>
      <c r="M117" s="166">
        <f t="shared" si="35"/>
        <v>0</v>
      </c>
      <c r="N117" s="166">
        <f t="shared" si="36"/>
        <v>0</v>
      </c>
      <c r="O117" s="166">
        <f t="shared" si="37"/>
        <v>0</v>
      </c>
      <c r="P117" s="166">
        <f t="shared" si="38"/>
        <v>0</v>
      </c>
    </row>
    <row r="118" spans="1:16" x14ac:dyDescent="0.25">
      <c r="A118" s="150"/>
      <c r="B118" s="195" t="s">
        <v>78</v>
      </c>
      <c r="C118" s="198">
        <f>SUM(C108:C117)</f>
        <v>0</v>
      </c>
      <c r="D118" s="198">
        <f t="shared" ref="D118:P118" si="39">SUM(D108:D117)</f>
        <v>0</v>
      </c>
      <c r="E118" s="198">
        <f t="shared" si="39"/>
        <v>0</v>
      </c>
      <c r="F118" s="198">
        <f t="shared" si="39"/>
        <v>0</v>
      </c>
      <c r="G118" s="198">
        <f t="shared" si="39"/>
        <v>0</v>
      </c>
      <c r="H118" s="198">
        <f t="shared" si="39"/>
        <v>0</v>
      </c>
      <c r="I118" s="198">
        <f t="shared" si="39"/>
        <v>0</v>
      </c>
      <c r="J118" s="198">
        <f t="shared" si="39"/>
        <v>0</v>
      </c>
      <c r="K118" s="198"/>
      <c r="L118" s="198">
        <f t="shared" si="39"/>
        <v>0</v>
      </c>
      <c r="M118" s="198">
        <f t="shared" si="39"/>
        <v>0</v>
      </c>
      <c r="N118" s="198">
        <f t="shared" si="39"/>
        <v>0</v>
      </c>
      <c r="O118" s="198">
        <f t="shared" si="39"/>
        <v>0</v>
      </c>
      <c r="P118" s="198">
        <f t="shared" si="39"/>
        <v>0</v>
      </c>
    </row>
    <row r="119" spans="1:16" x14ac:dyDescent="0.25">
      <c r="A119" s="150"/>
      <c r="B119" s="195" t="s">
        <v>79</v>
      </c>
      <c r="C119" s="198">
        <f>C118*12</f>
        <v>0</v>
      </c>
      <c r="D119" s="198">
        <f t="shared" ref="D119:O119" si="40">D118*12</f>
        <v>0</v>
      </c>
      <c r="E119" s="198">
        <f t="shared" si="40"/>
        <v>0</v>
      </c>
      <c r="F119" s="198">
        <f t="shared" si="40"/>
        <v>0</v>
      </c>
      <c r="G119" s="198">
        <f t="shared" si="40"/>
        <v>0</v>
      </c>
      <c r="H119" s="198">
        <f t="shared" si="40"/>
        <v>0</v>
      </c>
      <c r="I119" s="198">
        <f t="shared" si="40"/>
        <v>0</v>
      </c>
      <c r="J119" s="198">
        <f t="shared" si="40"/>
        <v>0</v>
      </c>
      <c r="K119" s="198"/>
      <c r="L119" s="198">
        <f t="shared" si="40"/>
        <v>0</v>
      </c>
      <c r="M119" s="198">
        <f t="shared" si="40"/>
        <v>0</v>
      </c>
      <c r="N119" s="198">
        <f t="shared" si="40"/>
        <v>0</v>
      </c>
      <c r="O119" s="198">
        <f t="shared" si="40"/>
        <v>0</v>
      </c>
      <c r="P119" s="198"/>
    </row>
    <row r="122" spans="1:16" x14ac:dyDescent="0.25">
      <c r="A122" s="689" t="s">
        <v>81</v>
      </c>
      <c r="B122" s="689"/>
      <c r="C122" s="689"/>
    </row>
    <row r="123" spans="1:16" ht="15.75" thickBot="1" x14ac:dyDescent="0.3"/>
    <row r="124" spans="1:16" x14ac:dyDescent="0.25">
      <c r="A124" s="206" t="s">
        <v>71</v>
      </c>
      <c r="B124" s="207" t="s">
        <v>72</v>
      </c>
      <c r="C124" s="207" t="s">
        <v>73</v>
      </c>
      <c r="D124" s="208" t="s">
        <v>82</v>
      </c>
    </row>
    <row r="125" spans="1:16" x14ac:dyDescent="0.25">
      <c r="A125" s="167">
        <v>1</v>
      </c>
      <c r="B125" s="146"/>
      <c r="C125" s="147"/>
      <c r="D125" s="168">
        <f>C125*12</f>
        <v>0</v>
      </c>
    </row>
    <row r="126" spans="1:16" x14ac:dyDescent="0.25">
      <c r="A126" s="167">
        <v>2</v>
      </c>
      <c r="B126" s="146"/>
      <c r="C126" s="147"/>
      <c r="D126" s="168"/>
    </row>
    <row r="127" spans="1:16" x14ac:dyDescent="0.25">
      <c r="A127" s="167">
        <v>3</v>
      </c>
      <c r="B127" s="146"/>
      <c r="C127" s="147"/>
      <c r="D127" s="168"/>
    </row>
    <row r="128" spans="1:16" x14ac:dyDescent="0.25">
      <c r="A128" s="167">
        <v>4</v>
      </c>
      <c r="B128" s="146"/>
      <c r="C128" s="147"/>
      <c r="D128" s="168"/>
    </row>
    <row r="129" spans="1:12" x14ac:dyDescent="0.25">
      <c r="A129" s="167">
        <v>5</v>
      </c>
      <c r="B129" s="146"/>
      <c r="C129" s="147"/>
      <c r="D129" s="168"/>
    </row>
    <row r="130" spans="1:12" x14ac:dyDescent="0.25">
      <c r="A130" s="167">
        <v>6</v>
      </c>
      <c r="B130" s="146"/>
      <c r="C130" s="147"/>
      <c r="D130" s="168"/>
    </row>
    <row r="131" spans="1:12" x14ac:dyDescent="0.25">
      <c r="A131" s="167">
        <v>7</v>
      </c>
      <c r="B131" s="146"/>
      <c r="C131" s="147"/>
      <c r="D131" s="168"/>
    </row>
    <row r="132" spans="1:12" x14ac:dyDescent="0.25">
      <c r="A132" s="167">
        <v>8</v>
      </c>
      <c r="B132" s="146"/>
      <c r="C132" s="147"/>
      <c r="D132" s="168"/>
    </row>
    <row r="133" spans="1:12" x14ac:dyDescent="0.25">
      <c r="A133" s="167">
        <v>9</v>
      </c>
      <c r="B133" s="146"/>
      <c r="C133" s="147"/>
      <c r="D133" s="168"/>
    </row>
    <row r="134" spans="1:12" x14ac:dyDescent="0.25">
      <c r="A134" s="167">
        <v>10</v>
      </c>
      <c r="B134" s="146"/>
      <c r="C134" s="147"/>
      <c r="D134" s="168"/>
    </row>
    <row r="135" spans="1:12" ht="15.75" thickBot="1" x14ac:dyDescent="0.3">
      <c r="A135" s="167">
        <v>11</v>
      </c>
      <c r="B135" s="146"/>
      <c r="C135" s="147"/>
      <c r="D135" s="168"/>
    </row>
    <row r="136" spans="1:12" x14ac:dyDescent="0.25">
      <c r="A136" s="160"/>
      <c r="B136" s="195" t="s">
        <v>78</v>
      </c>
      <c r="C136" s="198">
        <f>SUM(C125:C135)</f>
        <v>0</v>
      </c>
      <c r="D136" s="209">
        <f>SUM(D125:D135)</f>
        <v>0</v>
      </c>
      <c r="G136" s="679" t="s">
        <v>406</v>
      </c>
      <c r="H136" s="685"/>
      <c r="I136" s="685"/>
      <c r="J136" s="685"/>
      <c r="K136" s="685"/>
      <c r="L136" s="680"/>
    </row>
    <row r="137" spans="1:12" ht="15.75" thickBot="1" x14ac:dyDescent="0.3">
      <c r="A137" s="161"/>
      <c r="B137" s="203" t="s">
        <v>80</v>
      </c>
      <c r="C137" s="210">
        <f>C136*12</f>
        <v>0</v>
      </c>
      <c r="D137" s="211"/>
      <c r="G137" s="681"/>
      <c r="H137" s="686"/>
      <c r="I137" s="686"/>
      <c r="J137" s="686"/>
      <c r="K137" s="686"/>
      <c r="L137" s="682"/>
    </row>
    <row r="138" spans="1:12" x14ac:dyDescent="0.25">
      <c r="G138" s="681"/>
      <c r="H138" s="686"/>
      <c r="I138" s="686"/>
      <c r="J138" s="686"/>
      <c r="K138" s="686"/>
      <c r="L138" s="682"/>
    </row>
    <row r="139" spans="1:12" ht="15.75" thickBot="1" x14ac:dyDescent="0.3">
      <c r="G139" s="681"/>
      <c r="H139" s="686"/>
      <c r="I139" s="686"/>
      <c r="J139" s="686"/>
      <c r="K139" s="686"/>
      <c r="L139" s="682"/>
    </row>
    <row r="140" spans="1:12" ht="15.75" thickBot="1" x14ac:dyDescent="0.3">
      <c r="A140" s="679" t="s">
        <v>405</v>
      </c>
      <c r="B140" s="685"/>
      <c r="C140" s="680"/>
      <c r="G140" s="683"/>
      <c r="H140" s="687"/>
      <c r="I140" s="687"/>
      <c r="J140" s="687"/>
      <c r="K140" s="687"/>
      <c r="L140" s="684"/>
    </row>
    <row r="141" spans="1:12" x14ac:dyDescent="0.25">
      <c r="A141" s="681"/>
      <c r="B141" s="686"/>
      <c r="C141" s="682"/>
    </row>
    <row r="142" spans="1:12" ht="15.75" thickBot="1" x14ac:dyDescent="0.3">
      <c r="A142" s="683"/>
      <c r="B142" s="687"/>
      <c r="C142" s="684"/>
    </row>
    <row r="143" spans="1:12" ht="15.75" thickBot="1" x14ac:dyDescent="0.3"/>
    <row r="144" spans="1:12" x14ac:dyDescent="0.25">
      <c r="A144" s="206" t="s">
        <v>86</v>
      </c>
      <c r="B144" s="207" t="s">
        <v>87</v>
      </c>
      <c r="C144" s="208" t="s">
        <v>88</v>
      </c>
    </row>
    <row r="145" spans="1:12" ht="15.75" thickBot="1" x14ac:dyDescent="0.3">
      <c r="A145" s="169"/>
      <c r="B145" s="170"/>
      <c r="C145" s="171">
        <f>B145*12</f>
        <v>0</v>
      </c>
    </row>
    <row r="146" spans="1:12" x14ac:dyDescent="0.25">
      <c r="A146" s="169"/>
      <c r="B146" s="170"/>
      <c r="C146" s="171">
        <f t="shared" ref="C146:C171" si="41">B146*12</f>
        <v>0</v>
      </c>
      <c r="G146" s="206" t="s">
        <v>90</v>
      </c>
      <c r="H146" s="212">
        <f>BASES!D7</f>
        <v>2021</v>
      </c>
      <c r="I146" s="212">
        <f>BASES!E7</f>
        <v>2022</v>
      </c>
      <c r="J146" s="212">
        <f>BASES!F7</f>
        <v>2023</v>
      </c>
      <c r="K146" s="212">
        <f>BASES!G7</f>
        <v>2024</v>
      </c>
      <c r="L146" s="212">
        <f>BASES!H7</f>
        <v>2025</v>
      </c>
    </row>
    <row r="147" spans="1:12" x14ac:dyDescent="0.25">
      <c r="A147" s="169"/>
      <c r="B147" s="170"/>
      <c r="C147" s="171">
        <f t="shared" si="41"/>
        <v>0</v>
      </c>
      <c r="G147" s="172" t="s">
        <v>91</v>
      </c>
      <c r="H147" s="173"/>
      <c r="I147" s="173"/>
      <c r="J147" s="173"/>
      <c r="K147" s="173"/>
      <c r="L147" s="173"/>
    </row>
    <row r="148" spans="1:12" ht="27" customHeight="1" x14ac:dyDescent="0.25">
      <c r="A148" s="169"/>
      <c r="B148" s="170"/>
      <c r="C148" s="171">
        <f t="shared" si="41"/>
        <v>0</v>
      </c>
      <c r="G148" s="174" t="s">
        <v>92</v>
      </c>
      <c r="H148" s="173"/>
      <c r="I148" s="173"/>
      <c r="J148" s="173"/>
      <c r="K148" s="173"/>
      <c r="L148" s="173"/>
    </row>
    <row r="149" spans="1:12" x14ac:dyDescent="0.25">
      <c r="A149" s="169"/>
      <c r="B149" s="170"/>
      <c r="C149" s="171">
        <f t="shared" si="41"/>
        <v>0</v>
      </c>
      <c r="G149" s="175" t="s">
        <v>93</v>
      </c>
      <c r="H149" s="173"/>
      <c r="I149" s="173"/>
      <c r="J149" s="173"/>
      <c r="K149" s="173"/>
      <c r="L149" s="173"/>
    </row>
    <row r="150" spans="1:12" ht="25.9" customHeight="1" x14ac:dyDescent="0.25">
      <c r="A150" s="169"/>
      <c r="B150" s="170"/>
      <c r="C150" s="171">
        <f t="shared" si="41"/>
        <v>0</v>
      </c>
      <c r="G150" s="176" t="s">
        <v>94</v>
      </c>
      <c r="H150" s="213"/>
      <c r="I150" s="213"/>
      <c r="J150" s="213"/>
      <c r="K150" s="213"/>
      <c r="L150" s="213"/>
    </row>
    <row r="151" spans="1:12" ht="15.75" thickBot="1" x14ac:dyDescent="0.3">
      <c r="A151" s="169"/>
      <c r="B151" s="170"/>
      <c r="C151" s="171">
        <f t="shared" si="41"/>
        <v>0</v>
      </c>
      <c r="G151" s="177" t="s">
        <v>95</v>
      </c>
      <c r="H151" s="210">
        <f>SUM(H147:H150)</f>
        <v>0</v>
      </c>
      <c r="I151" s="210">
        <f>SUM(I147:I150)</f>
        <v>0</v>
      </c>
      <c r="J151" s="210">
        <f>SUM(J147:J150)</f>
        <v>0</v>
      </c>
      <c r="K151" s="214">
        <f>SUM(K147:K150)</f>
        <v>0</v>
      </c>
      <c r="L151" s="215">
        <f>SUM(L147:L150)</f>
        <v>0</v>
      </c>
    </row>
    <row r="152" spans="1:12" x14ac:dyDescent="0.25">
      <c r="A152" s="169"/>
      <c r="B152" s="170"/>
      <c r="C152" s="171">
        <f t="shared" si="41"/>
        <v>0</v>
      </c>
    </row>
    <row r="153" spans="1:12" x14ac:dyDescent="0.25">
      <c r="A153" s="169"/>
      <c r="B153" s="170"/>
      <c r="C153" s="171">
        <f t="shared" si="41"/>
        <v>0</v>
      </c>
    </row>
    <row r="154" spans="1:12" x14ac:dyDescent="0.25">
      <c r="A154" s="169"/>
      <c r="B154" s="170"/>
      <c r="C154" s="171">
        <f t="shared" si="41"/>
        <v>0</v>
      </c>
    </row>
    <row r="155" spans="1:12" x14ac:dyDescent="0.25">
      <c r="A155" s="169"/>
      <c r="B155" s="170"/>
      <c r="C155" s="171">
        <f t="shared" si="41"/>
        <v>0</v>
      </c>
    </row>
    <row r="156" spans="1:12" x14ac:dyDescent="0.25">
      <c r="A156" s="169"/>
      <c r="B156" s="170"/>
      <c r="C156" s="171">
        <f t="shared" si="41"/>
        <v>0</v>
      </c>
    </row>
    <row r="157" spans="1:12" x14ac:dyDescent="0.25">
      <c r="A157" s="169"/>
      <c r="B157" s="170"/>
      <c r="C157" s="171">
        <f t="shared" si="41"/>
        <v>0</v>
      </c>
    </row>
    <row r="158" spans="1:12" x14ac:dyDescent="0.25">
      <c r="A158" s="169"/>
      <c r="B158" s="170"/>
      <c r="C158" s="171">
        <f t="shared" si="41"/>
        <v>0</v>
      </c>
    </row>
    <row r="159" spans="1:12" x14ac:dyDescent="0.25">
      <c r="A159" s="169"/>
      <c r="B159" s="170"/>
      <c r="C159" s="171">
        <f t="shared" si="41"/>
        <v>0</v>
      </c>
    </row>
    <row r="160" spans="1:12" x14ac:dyDescent="0.25">
      <c r="A160" s="169"/>
      <c r="B160" s="170"/>
      <c r="C160" s="171">
        <f t="shared" si="41"/>
        <v>0</v>
      </c>
    </row>
    <row r="161" spans="1:3" x14ac:dyDescent="0.25">
      <c r="A161" s="169"/>
      <c r="B161" s="170"/>
      <c r="C161" s="171">
        <f t="shared" si="41"/>
        <v>0</v>
      </c>
    </row>
    <row r="162" spans="1:3" x14ac:dyDescent="0.25">
      <c r="A162" s="169"/>
      <c r="B162" s="170"/>
      <c r="C162" s="171">
        <f t="shared" si="41"/>
        <v>0</v>
      </c>
    </row>
    <row r="163" spans="1:3" x14ac:dyDescent="0.25">
      <c r="A163" s="169"/>
      <c r="B163" s="170"/>
      <c r="C163" s="171">
        <f t="shared" si="41"/>
        <v>0</v>
      </c>
    </row>
    <row r="164" spans="1:3" x14ac:dyDescent="0.25">
      <c r="A164" s="169"/>
      <c r="B164" s="170"/>
      <c r="C164" s="171">
        <f t="shared" si="41"/>
        <v>0</v>
      </c>
    </row>
    <row r="165" spans="1:3" x14ac:dyDescent="0.25">
      <c r="A165" s="169"/>
      <c r="B165" s="170"/>
      <c r="C165" s="171">
        <f t="shared" si="41"/>
        <v>0</v>
      </c>
    </row>
    <row r="166" spans="1:3" x14ac:dyDescent="0.25">
      <c r="A166" s="169"/>
      <c r="B166" s="170"/>
      <c r="C166" s="171">
        <f t="shared" si="41"/>
        <v>0</v>
      </c>
    </row>
    <row r="167" spans="1:3" x14ac:dyDescent="0.25">
      <c r="A167" s="169"/>
      <c r="B167" s="170"/>
      <c r="C167" s="171">
        <f t="shared" si="41"/>
        <v>0</v>
      </c>
    </row>
    <row r="168" spans="1:3" x14ac:dyDescent="0.25">
      <c r="A168" s="169"/>
      <c r="B168" s="170"/>
      <c r="C168" s="171">
        <f t="shared" si="41"/>
        <v>0</v>
      </c>
    </row>
    <row r="169" spans="1:3" x14ac:dyDescent="0.25">
      <c r="A169" s="169"/>
      <c r="B169" s="170"/>
      <c r="C169" s="171">
        <f t="shared" si="41"/>
        <v>0</v>
      </c>
    </row>
    <row r="170" spans="1:3" x14ac:dyDescent="0.25">
      <c r="A170" s="169"/>
      <c r="B170" s="170"/>
      <c r="C170" s="171">
        <f t="shared" si="41"/>
        <v>0</v>
      </c>
    </row>
    <row r="171" spans="1:3" x14ac:dyDescent="0.25">
      <c r="A171" s="169"/>
      <c r="B171" s="170"/>
      <c r="C171" s="171">
        <f t="shared" si="41"/>
        <v>0</v>
      </c>
    </row>
    <row r="172" spans="1:3" ht="15.75" thickBot="1" x14ac:dyDescent="0.3">
      <c r="A172" s="216" t="s">
        <v>89</v>
      </c>
      <c r="B172" s="217"/>
      <c r="C172" s="215">
        <f>SUM(C145:C171)</f>
        <v>0</v>
      </c>
    </row>
  </sheetData>
  <sheetProtection algorithmName="SHA-512" hashValue="Vq+Q3TqPp1knk34sKWu+wjciEywm3C14QwtaI5q055q8hiCionKEr7DZDivd9sJtRdheA9LI5l9WwHuotqw7fg==" saltValue="R3LejEIyXGtXI4iNAsCCHg==" spinCount="100000"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Normal="100" workbookViewId="0">
      <selection activeCell="E11" sqref="E11"/>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3" style="139" bestFit="1" customWidth="1"/>
    <col min="7" max="7" width="24.7109375" style="139" bestFit="1" customWidth="1"/>
    <col min="8" max="16384" width="11.42578125" style="139"/>
  </cols>
  <sheetData>
    <row r="6" spans="2:5" ht="15.75" thickBot="1" x14ac:dyDescent="0.3"/>
    <row r="7" spans="2:5" x14ac:dyDescent="0.25">
      <c r="C7" s="218" t="s">
        <v>96</v>
      </c>
      <c r="D7" s="220">
        <f>'CTOS_VS_ING_OPER-INV_INFRAEST'!H253</f>
        <v>0</v>
      </c>
    </row>
    <row r="8" spans="2:5" ht="15.75" thickBot="1" x14ac:dyDescent="0.3">
      <c r="C8" s="219" t="s">
        <v>97</v>
      </c>
      <c r="D8" s="221">
        <f>'CTOS_VS_ING_OPER-INV_INFRAEST'!H241</f>
        <v>0</v>
      </c>
    </row>
    <row r="9" spans="2:5" ht="15.75" thickBot="1" x14ac:dyDescent="0.3">
      <c r="D9" s="224"/>
      <c r="E9" s="224"/>
    </row>
    <row r="10" spans="2:5" x14ac:dyDescent="0.25">
      <c r="B10" s="178"/>
      <c r="C10" s="179" t="s">
        <v>42</v>
      </c>
      <c r="D10" s="222" t="s">
        <v>98</v>
      </c>
      <c r="E10" s="223" t="s">
        <v>99</v>
      </c>
    </row>
    <row r="11" spans="2:5" ht="15.75" thickBot="1" x14ac:dyDescent="0.3">
      <c r="B11" s="180" t="s">
        <v>100</v>
      </c>
      <c r="C11" s="428">
        <f>COSTOS_DE_PRODUCCION!D180</f>
        <v>0</v>
      </c>
      <c r="D11" s="182"/>
      <c r="E11" s="786" t="e">
        <f>(C11*12)/D11</f>
        <v>#DIV/0!</v>
      </c>
    </row>
    <row r="12" spans="2:5" ht="15.75" thickBot="1" x14ac:dyDescent="0.3"/>
    <row r="13" spans="2:5" x14ac:dyDescent="0.25">
      <c r="B13" s="178"/>
      <c r="C13" s="179" t="s">
        <v>101</v>
      </c>
      <c r="D13" s="222" t="s">
        <v>98</v>
      </c>
      <c r="E13" s="223" t="s">
        <v>99</v>
      </c>
    </row>
    <row r="14" spans="2:5" ht="15.75" thickBot="1" x14ac:dyDescent="0.3">
      <c r="B14" s="180" t="s">
        <v>100</v>
      </c>
      <c r="C14" s="181">
        <f>COSTOS_DE_PRODUCCION!D179</f>
        <v>0</v>
      </c>
      <c r="D14" s="182"/>
      <c r="E14" s="786" t="e">
        <f>(C14*12)/D14</f>
        <v>#DIV/0!</v>
      </c>
    </row>
    <row r="15" spans="2:5" ht="15.75" thickBot="1" x14ac:dyDescent="0.3"/>
    <row r="16" spans="2:5" x14ac:dyDescent="0.25">
      <c r="B16" s="178"/>
      <c r="C16" s="179" t="s">
        <v>102</v>
      </c>
      <c r="D16" s="222" t="s">
        <v>98</v>
      </c>
      <c r="E16" s="223" t="s">
        <v>99</v>
      </c>
    </row>
    <row r="17" spans="2:7" ht="15.75" thickBot="1" x14ac:dyDescent="0.3">
      <c r="B17" s="180" t="s">
        <v>100</v>
      </c>
      <c r="C17" s="181">
        <f>COSTOS_DE_PRODUCCION!D181</f>
        <v>0</v>
      </c>
      <c r="D17" s="182"/>
      <c r="E17" s="786" t="e">
        <f>(C17*12)/D17</f>
        <v>#DIV/0!</v>
      </c>
    </row>
    <row r="19" spans="2:7" x14ac:dyDescent="0.25">
      <c r="C19" s="690" t="s">
        <v>103</v>
      </c>
      <c r="D19" s="690"/>
      <c r="E19" s="183" t="e">
        <f>D7+D8+E11+E14+E17</f>
        <v>#DIV/0!</v>
      </c>
    </row>
    <row r="20" spans="2:7" ht="15.75" thickBot="1" x14ac:dyDescent="0.3">
      <c r="C20" s="690" t="s">
        <v>104</v>
      </c>
      <c r="D20" s="690"/>
      <c r="E20" s="184"/>
    </row>
    <row r="21" spans="2:7" x14ac:dyDescent="0.25">
      <c r="C21" s="690" t="s">
        <v>105</v>
      </c>
      <c r="D21" s="690"/>
      <c r="E21" s="185" t="e">
        <f>E19-E20</f>
        <v>#DIV/0!</v>
      </c>
    </row>
    <row r="23" spans="2:7" x14ac:dyDescent="0.25">
      <c r="C23" s="149"/>
      <c r="D23" s="149" t="s">
        <v>78</v>
      </c>
      <c r="E23" s="149" t="s">
        <v>79</v>
      </c>
    </row>
    <row r="24" spans="2:7" x14ac:dyDescent="0.25">
      <c r="C24" s="149" t="s">
        <v>106</v>
      </c>
      <c r="D24" s="191"/>
      <c r="E24" s="192">
        <f>((1+D24)^12)-1</f>
        <v>0</v>
      </c>
    </row>
    <row r="25" spans="2:7" ht="15.75" thickBot="1" x14ac:dyDescent="0.3"/>
    <row r="26" spans="2:7" x14ac:dyDescent="0.25">
      <c r="C26" s="186" t="s">
        <v>58</v>
      </c>
      <c r="D26" s="187" t="s">
        <v>107</v>
      </c>
      <c r="E26" s="187" t="s">
        <v>108</v>
      </c>
      <c r="F26" s="187" t="s">
        <v>109</v>
      </c>
      <c r="G26" s="188" t="s">
        <v>110</v>
      </c>
    </row>
    <row r="27" spans="2:7" x14ac:dyDescent="0.25">
      <c r="C27" s="225" t="str">
        <f>BASES!C7</f>
        <v>AÑO 0</v>
      </c>
      <c r="D27" s="189"/>
      <c r="E27" s="189"/>
      <c r="F27" s="189"/>
      <c r="G27" s="190" t="e">
        <f>E21*-1</f>
        <v>#DIV/0!</v>
      </c>
    </row>
    <row r="28" spans="2:7" x14ac:dyDescent="0.25">
      <c r="C28" s="226">
        <f>BASES!D7</f>
        <v>2021</v>
      </c>
      <c r="D28" s="189" t="e">
        <f>E28+F28</f>
        <v>#DIV/0!</v>
      </c>
      <c r="E28" s="189" t="e">
        <f>$G$27/BASES!$G$22</f>
        <v>#DIV/0!</v>
      </c>
      <c r="F28" s="189" t="e">
        <f>G27*$E$24</f>
        <v>#DIV/0!</v>
      </c>
      <c r="G28" s="190" t="e">
        <f>G27-E28</f>
        <v>#DIV/0!</v>
      </c>
    </row>
    <row r="29" spans="2:7" x14ac:dyDescent="0.25">
      <c r="C29" s="226">
        <f>BASES!E7</f>
        <v>2022</v>
      </c>
      <c r="D29" s="189" t="e">
        <f>E29+F29</f>
        <v>#DIV/0!</v>
      </c>
      <c r="E29" s="189" t="e">
        <f>$G$27/BASES!$G$22</f>
        <v>#DIV/0!</v>
      </c>
      <c r="F29" s="189" t="e">
        <f>G28*$E$24</f>
        <v>#DIV/0!</v>
      </c>
      <c r="G29" s="190" t="e">
        <f>G28-E29</f>
        <v>#DIV/0!</v>
      </c>
    </row>
    <row r="30" spans="2:7" x14ac:dyDescent="0.25">
      <c r="C30" s="226">
        <f>BASES!F7</f>
        <v>2023</v>
      </c>
      <c r="D30" s="189" t="e">
        <f>E30+F30</f>
        <v>#DIV/0!</v>
      </c>
      <c r="E30" s="189" t="e">
        <f>$G$27/BASES!$G$22</f>
        <v>#DIV/0!</v>
      </c>
      <c r="F30" s="189" t="e">
        <f>G29*$E$24</f>
        <v>#DIV/0!</v>
      </c>
      <c r="G30" s="190" t="e">
        <f>G29-E30</f>
        <v>#DIV/0!</v>
      </c>
    </row>
    <row r="31" spans="2:7" x14ac:dyDescent="0.25">
      <c r="C31" s="226">
        <f>BASES!G7</f>
        <v>2024</v>
      </c>
      <c r="D31" s="189" t="e">
        <f>E31+F31</f>
        <v>#DIV/0!</v>
      </c>
      <c r="E31" s="189" t="e">
        <f>$G$27/BASES!$G$22</f>
        <v>#DIV/0!</v>
      </c>
      <c r="F31" s="189" t="e">
        <f>G30*$E$24</f>
        <v>#DIV/0!</v>
      </c>
      <c r="G31" s="190" t="e">
        <f>G30-E31</f>
        <v>#DIV/0!</v>
      </c>
    </row>
    <row r="32" spans="2:7" ht="15.75" thickBot="1" x14ac:dyDescent="0.3">
      <c r="C32" s="227">
        <f>BASES!H7</f>
        <v>2025</v>
      </c>
      <c r="D32" s="189" t="e">
        <f>E32+F32</f>
        <v>#DIV/0!</v>
      </c>
      <c r="E32" s="189" t="e">
        <f>$G$27/BASES!$G$22</f>
        <v>#DIV/0!</v>
      </c>
      <c r="F32" s="189" t="e">
        <f>G31*$E$24</f>
        <v>#DIV/0!</v>
      </c>
      <c r="G32" s="190" t="e">
        <f>G31-E32</f>
        <v>#DIV/0!</v>
      </c>
    </row>
  </sheetData>
  <sheetProtection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Normal="100" workbookViewId="0">
      <selection activeCell="I7" sqref="I7"/>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30" t="s">
        <v>111</v>
      </c>
      <c r="C3" s="228">
        <f>BASES!D7</f>
        <v>2021</v>
      </c>
      <c r="D3" s="228">
        <f>BASES!E7</f>
        <v>2022</v>
      </c>
      <c r="E3" s="228">
        <f>BASES!F7</f>
        <v>2023</v>
      </c>
      <c r="F3" s="228">
        <f>BASES!G7</f>
        <v>2024</v>
      </c>
      <c r="G3" s="229">
        <f>BASES!H7</f>
        <v>2025</v>
      </c>
    </row>
    <row r="4" spans="2:7" x14ac:dyDescent="0.25">
      <c r="B4" s="232" t="s">
        <v>56</v>
      </c>
      <c r="C4" s="393">
        <f>'CTOS_VS_ING_OPER-INV_INFRAEST'!G14</f>
        <v>0</v>
      </c>
      <c r="D4" s="393">
        <f>'CTOS_VS_ING_OPER-INV_INFRAEST'!I14</f>
        <v>0</v>
      </c>
      <c r="E4" s="393">
        <f>'CTOS_VS_ING_OPER-INV_INFRAEST'!K14</f>
        <v>0</v>
      </c>
      <c r="F4" s="393">
        <f>'CTOS_VS_ING_OPER-INV_INFRAEST'!M14</f>
        <v>0</v>
      </c>
      <c r="G4" s="394">
        <f>'CTOS_VS_ING_OPER-INV_INFRAEST'!O14</f>
        <v>0</v>
      </c>
    </row>
    <row r="5" spans="2:7" x14ac:dyDescent="0.25">
      <c r="B5" s="193" t="s">
        <v>112</v>
      </c>
      <c r="C5" s="395">
        <f>'GTOS_ADTIVO_Y_VTAS-CTOS_FIJOS'!P28+'GTOS_ADTIVO_Y_VTAS-CTOS_FIJOS'!D46</f>
        <v>0</v>
      </c>
      <c r="D5" s="395">
        <f>C5*(1+BASES!$E$8)</f>
        <v>0</v>
      </c>
      <c r="E5" s="395">
        <f>D5*(1+BASES!$F$8)</f>
        <v>0</v>
      </c>
      <c r="F5" s="395">
        <f>E5*(1+BASES!$G$8)</f>
        <v>0</v>
      </c>
      <c r="G5" s="396">
        <f>F5*(1+BASES!$H$8)</f>
        <v>0</v>
      </c>
    </row>
    <row r="6" spans="2:7" x14ac:dyDescent="0.25">
      <c r="B6" s="193" t="s">
        <v>113</v>
      </c>
      <c r="C6" s="395">
        <f>'GTOS_ADTIVO_Y_VTAS-CTOS_FIJOS'!D88+'GTOS_ADTIVO_Y_VTAS-CTOS_FIJOS'!O71</f>
        <v>0</v>
      </c>
      <c r="D6" s="395">
        <f>C6*(1+BASES!$E$8)</f>
        <v>0</v>
      </c>
      <c r="E6" s="395">
        <f>D6*(1+BASES!$F$8)</f>
        <v>0</v>
      </c>
      <c r="F6" s="395">
        <f>E6*(1+BASES!$G$8)</f>
        <v>0</v>
      </c>
      <c r="G6" s="396">
        <f>F6*(1+BASES!$H$8)</f>
        <v>0</v>
      </c>
    </row>
    <row r="7" spans="2:7" x14ac:dyDescent="0.25">
      <c r="B7" s="193" t="s">
        <v>114</v>
      </c>
      <c r="C7" s="395">
        <f>'GTOS_ADTIVO_Y_VTAS-CTOS_FIJOS'!C137+'GTOS_ADTIVO_Y_VTAS-CTOS_FIJOS'!O119</f>
        <v>0</v>
      </c>
      <c r="D7" s="395">
        <f>C7*(1+BASES!$E$8)</f>
        <v>0</v>
      </c>
      <c r="E7" s="395">
        <f>D7*(1+BASES!$F$8)</f>
        <v>0</v>
      </c>
      <c r="F7" s="395">
        <f>E7*(1+BASES!$G$8)</f>
        <v>0</v>
      </c>
      <c r="G7" s="396">
        <f>F7*(1+BASES!$H$8)</f>
        <v>0</v>
      </c>
    </row>
    <row r="8" spans="2:7" x14ac:dyDescent="0.25">
      <c r="B8" s="193" t="s">
        <v>115</v>
      </c>
      <c r="C8" s="395">
        <f>'GTOS_ADTIVO_Y_VTAS-CTOS_FIJOS'!H151</f>
        <v>0</v>
      </c>
      <c r="D8" s="395">
        <f>'GTOS_ADTIVO_Y_VTAS-CTOS_FIJOS'!I151</f>
        <v>0</v>
      </c>
      <c r="E8" s="395">
        <f>'GTOS_ADTIVO_Y_VTAS-CTOS_FIJOS'!J151</f>
        <v>0</v>
      </c>
      <c r="F8" s="395">
        <f>'GTOS_ADTIVO_Y_VTAS-CTOS_FIJOS'!K151</f>
        <v>0</v>
      </c>
      <c r="G8" s="396">
        <f>'GTOS_ADTIVO_Y_VTAS-CTOS_FIJOS'!L151</f>
        <v>0</v>
      </c>
    </row>
    <row r="9" spans="2:7" x14ac:dyDescent="0.25">
      <c r="B9" s="193" t="s">
        <v>116</v>
      </c>
      <c r="C9" s="395">
        <f>'GTOS_ADTIVO_Y_VTAS-CTOS_FIJOS'!C172</f>
        <v>0</v>
      </c>
      <c r="D9" s="395">
        <f>C9*(1+BASES!$E$8)</f>
        <v>0</v>
      </c>
      <c r="E9" s="395">
        <f>D9*(1+BASES!$F$8)</f>
        <v>0</v>
      </c>
      <c r="F9" s="395">
        <f>E9*(1+BASES!$G$8)</f>
        <v>0</v>
      </c>
      <c r="G9" s="396">
        <f>F9*(1+BASES!$H$8)</f>
        <v>0</v>
      </c>
    </row>
    <row r="10" spans="2:7" x14ac:dyDescent="0.25">
      <c r="B10" s="193" t="s">
        <v>117</v>
      </c>
      <c r="C10" s="395" t="e">
        <f>NECESIDADES_DE_FINANCIACION!D28*-1</f>
        <v>#DIV/0!</v>
      </c>
      <c r="D10" s="395" t="e">
        <f>NECESIDADES_DE_FINANCIACION!D29*-1</f>
        <v>#DIV/0!</v>
      </c>
      <c r="E10" s="395" t="e">
        <f>NECESIDADES_DE_FINANCIACION!D30*-1</f>
        <v>#DIV/0!</v>
      </c>
      <c r="F10" s="395" t="e">
        <f>NECESIDADES_DE_FINANCIACION!D31*-1</f>
        <v>#DIV/0!</v>
      </c>
      <c r="G10" s="396" t="e">
        <f>NECESIDADES_DE_FINANCIACION!D32*-1</f>
        <v>#DIV/0!</v>
      </c>
    </row>
    <row r="11" spans="2:7" x14ac:dyDescent="0.25">
      <c r="B11" s="193" t="s">
        <v>118</v>
      </c>
      <c r="C11" s="395">
        <f>ESTADO_DE_RESULTADOS!B7</f>
        <v>0</v>
      </c>
      <c r="D11" s="395">
        <f>ESTADO_DE_RESULTADOS!C7</f>
        <v>0</v>
      </c>
      <c r="E11" s="395">
        <f>ESTADO_DE_RESULTADOS!D7</f>
        <v>0</v>
      </c>
      <c r="F11" s="395">
        <f>ESTADO_DE_RESULTADOS!E7</f>
        <v>0</v>
      </c>
      <c r="G11" s="396">
        <f>ESTADO_DE_RESULTADOS!F7</f>
        <v>0</v>
      </c>
    </row>
    <row r="12" spans="2:7" x14ac:dyDescent="0.25">
      <c r="B12" s="193" t="s">
        <v>119</v>
      </c>
      <c r="C12" s="395">
        <f>ESTADO_DE_RESULTADOS!B8</f>
        <v>0</v>
      </c>
      <c r="D12" s="395">
        <f>ESTADO_DE_RESULTADOS!C8</f>
        <v>0</v>
      </c>
      <c r="E12" s="395">
        <f>ESTADO_DE_RESULTADOS!D8</f>
        <v>0</v>
      </c>
      <c r="F12" s="395">
        <f>ESTADO_DE_RESULTADOS!E8</f>
        <v>0</v>
      </c>
      <c r="G12" s="396">
        <f>ESTADO_DE_RESULTADOS!F8</f>
        <v>0</v>
      </c>
    </row>
    <row r="13" spans="2:7" x14ac:dyDescent="0.25">
      <c r="B13" s="231" t="s">
        <v>120</v>
      </c>
      <c r="C13" s="397" t="e">
        <f>SUM(C5:C12)</f>
        <v>#DIV/0!</v>
      </c>
      <c r="D13" s="397" t="e">
        <f>SUM(D5:D12)</f>
        <v>#DIV/0!</v>
      </c>
      <c r="E13" s="397" t="e">
        <f>SUM(E5:E12)</f>
        <v>#DIV/0!</v>
      </c>
      <c r="F13" s="397" t="e">
        <f>SUM(F5:F12)</f>
        <v>#DIV/0!</v>
      </c>
      <c r="G13" s="398" t="e">
        <f>SUM(G5:G12)</f>
        <v>#DIV/0!</v>
      </c>
    </row>
    <row r="14" spans="2:7" ht="15.75" thickBot="1" x14ac:dyDescent="0.3">
      <c r="B14" s="194" t="s">
        <v>121</v>
      </c>
      <c r="C14" s="399" t="e">
        <f>C4-C13</f>
        <v>#DIV/0!</v>
      </c>
      <c r="D14" s="399" t="e">
        <f>D4-D13</f>
        <v>#DIV/0!</v>
      </c>
      <c r="E14" s="399" t="e">
        <f>E4-E13</f>
        <v>#DIV/0!</v>
      </c>
      <c r="F14" s="399" t="e">
        <f>F4-F13</f>
        <v>#DIV/0!</v>
      </c>
      <c r="G14" s="400" t="e">
        <f>G4-G13</f>
        <v>#DIV/0!</v>
      </c>
    </row>
  </sheetData>
  <sheetProtection algorithmName="SHA-512" hashValue="iDpRKsl4moenmQw5XaGj4zDL6IQCv4SBCIRwtEQjXQDI+k8PjndI59Z8deh3Xd+QFwv09GulWDAolFztRuLl4Q==" saltValue="uulwfM0FjZ1/MzSMMZLN4A==" spinCount="100000"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Q45"/>
  <sheetViews>
    <sheetView showGridLines="0" zoomScaleNormal="100" workbookViewId="0">
      <selection activeCell="H14" sqref="H1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92" t="s">
        <v>419</v>
      </c>
      <c r="H2" s="693"/>
    </row>
    <row r="3" spans="5:11" ht="15.75" customHeight="1" thickBot="1" x14ac:dyDescent="0.3">
      <c r="G3" s="694"/>
      <c r="H3" s="695"/>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355</v>
      </c>
      <c r="F8" s="69" t="s">
        <v>407</v>
      </c>
      <c r="G8" s="69" t="s">
        <v>1194</v>
      </c>
      <c r="H8" s="69" t="s">
        <v>122</v>
      </c>
      <c r="I8" s="401" t="s">
        <v>123</v>
      </c>
      <c r="J8" s="69" t="s">
        <v>124</v>
      </c>
      <c r="K8" s="69" t="s">
        <v>408</v>
      </c>
    </row>
    <row r="9" spans="5:11" ht="15.75" x14ac:dyDescent="0.25">
      <c r="E9" s="62">
        <v>0</v>
      </c>
      <c r="F9" s="72" t="str">
        <f>VLOOKUP(Tabla6[[#This Row],[CÓDIGO ]],Tabla3[],2,0)</f>
        <v xml:space="preserve">Seleccionar producto o servicio </v>
      </c>
      <c r="G9" s="73">
        <f>VLOOKUP(Tabla6[[#This Row],[CÓDIGO ]],Tabla2[],4,0)</f>
        <v>0</v>
      </c>
      <c r="H9" s="73">
        <f>VLOOKUP(Tabla6[[#This Row],[CÓDIGO ]],Tabla3[],4)</f>
        <v>0</v>
      </c>
      <c r="I9" s="73">
        <f>VLOOKUP(Tabla6[[#This Row],[CÓDIGO ]],Tabla15[],18)</f>
        <v>0</v>
      </c>
      <c r="J9" s="73">
        <f>Tabla6[[#This Row],[PRECIO DE VENTA ]]-Tabla6[[#This Row],[COSTOS DE PRODUCCIÓN ]]</f>
        <v>0</v>
      </c>
      <c r="K9" s="112">
        <f>IF($G$12=0,0,G9/$G$12)</f>
        <v>0</v>
      </c>
    </row>
    <row r="10" spans="5:11" ht="15.75" x14ac:dyDescent="0.25">
      <c r="E10" s="62"/>
      <c r="F10" s="72" t="str">
        <f>VLOOKUP(Tabla6[[#This Row],[CÓDIGO ]],Tabla3[],2,0)</f>
        <v xml:space="preserve">Seleccionar producto o servicio </v>
      </c>
      <c r="G10" s="73">
        <f>VLOOKUP(Tabla6[[#This Row],[CÓDIGO ]],Tabla2[],4,0)</f>
        <v>0</v>
      </c>
      <c r="H10" s="73">
        <f>VLOOKUP(Tabla6[[#This Row],[CÓDIGO ]],Tabla3[],4)</f>
        <v>0</v>
      </c>
      <c r="I10" s="73">
        <f>VLOOKUP(Tabla6[[#This Row],[CÓDIGO ]],Tabla15[],18)</f>
        <v>0</v>
      </c>
      <c r="J10" s="73">
        <f>Tabla6[[#This Row],[PRECIO DE VENTA ]]-Tabla6[[#This Row],[COSTOS DE PRODUCCIÓN ]]</f>
        <v>0</v>
      </c>
      <c r="K10" s="112">
        <f>IF($G$12=0,0,G10/$G$12)</f>
        <v>0</v>
      </c>
    </row>
    <row r="12" spans="5:11" ht="15.75" x14ac:dyDescent="0.25">
      <c r="E12" s="674" t="s">
        <v>125</v>
      </c>
      <c r="F12" s="674"/>
      <c r="G12" s="109">
        <f>SUM(Tabla6[INGRESOS TOTALES])</f>
        <v>0</v>
      </c>
    </row>
    <row r="13" spans="5:11" s="74" customFormat="1" ht="15.75" x14ac:dyDescent="0.25">
      <c r="E13" s="133"/>
      <c r="F13" s="133"/>
      <c r="G13" s="134"/>
    </row>
    <row r="14" spans="5:11" s="74" customFormat="1" ht="15.75" x14ac:dyDescent="0.25">
      <c r="E14" s="133"/>
      <c r="F14" s="133"/>
      <c r="G14" s="134"/>
    </row>
    <row r="15" spans="5:11" s="74" customFormat="1" ht="15.75" x14ac:dyDescent="0.25">
      <c r="E15" s="133"/>
      <c r="F15" s="133"/>
      <c r="G15" s="134"/>
    </row>
    <row r="16" spans="5:11" s="74" customFormat="1" ht="15.75" x14ac:dyDescent="0.25">
      <c r="E16" s="133"/>
      <c r="F16" s="133"/>
      <c r="G16" s="134"/>
    </row>
    <row r="18" spans="5:17" ht="15.75" x14ac:dyDescent="0.25">
      <c r="E18" s="613" t="s">
        <v>126</v>
      </c>
      <c r="F18" s="614"/>
      <c r="G18" s="614"/>
      <c r="H18" s="614"/>
      <c r="I18" s="615"/>
    </row>
    <row r="19" spans="5:17" ht="15.75" x14ac:dyDescent="0.25">
      <c r="E19" s="69" t="s">
        <v>355</v>
      </c>
      <c r="F19" s="69" t="s">
        <v>407</v>
      </c>
      <c r="G19" s="69" t="s">
        <v>124</v>
      </c>
      <c r="H19" s="69" t="s">
        <v>127</v>
      </c>
      <c r="I19" s="69" t="s">
        <v>409</v>
      </c>
    </row>
    <row r="20" spans="5:17" ht="15.75" x14ac:dyDescent="0.25">
      <c r="E20" s="67">
        <v>0</v>
      </c>
      <c r="F20" s="72" t="str">
        <f>VLOOKUP(Tabla7[[#This Row],[CÓDIGO ]],Tabla3[],2)</f>
        <v xml:space="preserve">Seleccionar producto o servicio </v>
      </c>
      <c r="G20" s="73">
        <f>VLOOKUP(Tabla7[[#This Row],[CÓDIGO ]],Tabla6[],6,0)</f>
        <v>0</v>
      </c>
      <c r="H20" s="112">
        <f>VLOOKUP(Tabla7[[#This Row],[CÓDIGO ]],Tabla6[],7,0)</f>
        <v>0</v>
      </c>
      <c r="I20" s="73">
        <f>Tabla7[[#This Row],[MARGEN DE CONTRIBUCIÓN UNITARIO ]]*Tabla7[[#This Row],[PARTICIPACIÓN % EN VENTAS ]]</f>
        <v>0</v>
      </c>
    </row>
    <row r="21" spans="5:17" ht="15.75" x14ac:dyDescent="0.25">
      <c r="E21" s="62"/>
      <c r="F21" s="72" t="str">
        <f>VLOOKUP(Tabla7[[#This Row],[CÓDIGO ]],Tabla3[],2)</f>
        <v xml:space="preserve">Seleccionar producto o servicio </v>
      </c>
      <c r="G21" s="73">
        <f>VLOOKUP(Tabla7[[#This Row],[CÓDIGO ]],Tabla6[],6,0)</f>
        <v>0</v>
      </c>
      <c r="H21" s="112">
        <f>VLOOKUP(Tabla7[[#This Row],[CÓDIGO ]],Tabla6[],7,0)</f>
        <v>0</v>
      </c>
      <c r="I21" s="73">
        <f>Tabla7[[#This Row],[MARGEN DE CONTRIBUCIÓN UNITARIO ]]*Tabla7[[#This Row],[PARTICIPACIÓN % EN VENTAS ]]</f>
        <v>0</v>
      </c>
    </row>
    <row r="23" spans="5:17" ht="15.75" x14ac:dyDescent="0.25">
      <c r="N23" s="115" t="s">
        <v>130</v>
      </c>
      <c r="O23" s="613" t="s">
        <v>131</v>
      </c>
      <c r="P23" s="614"/>
      <c r="Q23" s="615"/>
    </row>
    <row r="24" spans="5:17" ht="15.75" x14ac:dyDescent="0.25">
      <c r="N24" s="91" t="s">
        <v>412</v>
      </c>
      <c r="O24" s="93">
        <v>0</v>
      </c>
      <c r="P24" s="93">
        <f>G45</f>
        <v>0</v>
      </c>
      <c r="Q24" s="93">
        <f>P24*2</f>
        <v>0</v>
      </c>
    </row>
    <row r="25" spans="5:17" ht="15.75" x14ac:dyDescent="0.25">
      <c r="N25" s="116" t="s">
        <v>413</v>
      </c>
      <c r="O25" s="94">
        <v>0</v>
      </c>
      <c r="P25" s="94">
        <f>SUMPRODUCT(Tabla8[-],Tabla6[[PRECIO DE VENTA ]])</f>
        <v>0</v>
      </c>
      <c r="Q25" s="94">
        <f>SUMPRODUCT(Tabla8[[UNIDADES CALCULADAS PARA EL GRÁFICO ]],Tabla6[[PRECIO DE VENTA ]])</f>
        <v>0</v>
      </c>
    </row>
    <row r="26" spans="5:17" ht="15.75" x14ac:dyDescent="0.25">
      <c r="N26" s="91" t="s">
        <v>414</v>
      </c>
      <c r="O26" s="94" t="e">
        <f>G31</f>
        <v>#DIV/0!</v>
      </c>
      <c r="P26" s="94" t="e">
        <f>O26</f>
        <v>#DIV/0!</v>
      </c>
      <c r="Q26" s="94" t="e">
        <f>P26</f>
        <v>#DIV/0!</v>
      </c>
    </row>
    <row r="27" spans="5:17" ht="15.75" x14ac:dyDescent="0.25">
      <c r="N27" s="91" t="s">
        <v>415</v>
      </c>
      <c r="O27" s="94">
        <v>0</v>
      </c>
      <c r="P27" s="94">
        <f>SUMPRODUCT(Tabla6[[COSTOS DE PRODUCCIÓN ]],Tabla8[-])</f>
        <v>0</v>
      </c>
      <c r="Q27" s="94">
        <f>SUMPRODUCT(Tabla6[[COSTOS DE PRODUCCIÓN ]],Tabla8[[UNIDADES CALCULADAS PARA EL GRÁFICO ]])</f>
        <v>0</v>
      </c>
    </row>
    <row r="28" spans="5:17" ht="15.75" x14ac:dyDescent="0.25">
      <c r="N28" s="116" t="s">
        <v>416</v>
      </c>
      <c r="O28" s="94" t="e">
        <f>O26+O27</f>
        <v>#DIV/0!</v>
      </c>
      <c r="P28" s="94" t="e">
        <f>P26+P27</f>
        <v>#DIV/0!</v>
      </c>
      <c r="Q28" s="94" t="e">
        <f>Q26+Q27</f>
        <v>#DIV/0!</v>
      </c>
    </row>
    <row r="29" spans="5:17" ht="15.75" x14ac:dyDescent="0.25">
      <c r="E29" s="691" t="s">
        <v>411</v>
      </c>
      <c r="F29" s="691"/>
      <c r="G29" s="691"/>
      <c r="H29" s="691"/>
      <c r="I29" s="95">
        <f>SUM(Tabla7[[MARGEN PONDERADO ]])</f>
        <v>0</v>
      </c>
      <c r="N29" s="90" t="s">
        <v>417</v>
      </c>
      <c r="O29" s="94" t="e">
        <f>O25-O28</f>
        <v>#DIV/0!</v>
      </c>
      <c r="P29" s="94" t="e">
        <f t="shared" ref="P29:Q29" si="0">P25-P28</f>
        <v>#DIV/0!</v>
      </c>
      <c r="Q29" s="94" t="e">
        <f t="shared" si="0"/>
        <v>#DIV/0!</v>
      </c>
    </row>
    <row r="31" spans="5:17" ht="15.75" x14ac:dyDescent="0.25">
      <c r="E31" s="674" t="s">
        <v>89</v>
      </c>
      <c r="F31" s="674"/>
      <c r="G31" s="109" t="e">
        <f>CUADRO_DE_COSTOS_Y_GASTOS_FIJOS!$C$13</f>
        <v>#DIV/0!</v>
      </c>
    </row>
    <row r="33" spans="5:8" ht="15.75" x14ac:dyDescent="0.25">
      <c r="E33" s="648" t="s">
        <v>410</v>
      </c>
      <c r="F33" s="650"/>
      <c r="G33" s="113">
        <f>IF(I29=0,0,G31/I29)</f>
        <v>0</v>
      </c>
    </row>
    <row r="39" spans="5:8" ht="15.75" x14ac:dyDescent="0.25">
      <c r="E39" s="561" t="s">
        <v>128</v>
      </c>
      <c r="F39" s="561"/>
      <c r="G39" s="561"/>
    </row>
    <row r="40" spans="5:8" ht="15.75" x14ac:dyDescent="0.25">
      <c r="E40" s="69" t="s">
        <v>355</v>
      </c>
      <c r="F40" s="69" t="s">
        <v>407</v>
      </c>
      <c r="G40" s="69" t="s">
        <v>283</v>
      </c>
      <c r="H40" s="102" t="s">
        <v>129</v>
      </c>
    </row>
    <row r="41" spans="5:8" ht="15.75" x14ac:dyDescent="0.25">
      <c r="E41" s="67">
        <v>0</v>
      </c>
      <c r="F41" s="72" t="str">
        <f>VLOOKUP(Tabla8[[#This Row],[CÓDIGO ]],Tabla3[],2)</f>
        <v xml:space="preserve">Seleccionar producto o servicio </v>
      </c>
      <c r="G41" s="114">
        <f>$G$33*VLOOKUP(Tabla8[[#This Row],[CÓDIGO ]],Tabla6[],7,0)</f>
        <v>0</v>
      </c>
      <c r="H41" s="114">
        <f>$Q$24*VLOOKUP(Tabla8[[#This Row],[CÓDIGO ]],Tabla6[],7,0)</f>
        <v>0</v>
      </c>
    </row>
    <row r="42" spans="5:8" ht="15.75" x14ac:dyDescent="0.25">
      <c r="E42" s="62"/>
      <c r="F42" s="72" t="str">
        <f>VLOOKUP(Tabla8[[#This Row],[CÓDIGO ]],Tabla3[],2)</f>
        <v xml:space="preserve">Seleccionar producto o servicio </v>
      </c>
      <c r="G42" s="114">
        <f>$G$33*VLOOKUP(Tabla8[[#This Row],[CÓDIGO ]],Tabla6[],7,0)</f>
        <v>0</v>
      </c>
      <c r="H42" s="114">
        <f>$Q$24*VLOOKUP(Tabla8[[#This Row],[CÓDIGO ]],Tabla6[],7,0)</f>
        <v>0</v>
      </c>
    </row>
    <row r="45" spans="5:8" ht="15.75" x14ac:dyDescent="0.25">
      <c r="E45" s="691" t="s">
        <v>418</v>
      </c>
      <c r="F45" s="691"/>
      <c r="G45" s="93">
        <f>SUM(Tabla8[-])</f>
        <v>0</v>
      </c>
      <c r="H45" s="93">
        <f>SUM(Tabla8[[UNIDADES CALCULADAS PARA EL GRÁFICO ]])</f>
        <v>0</v>
      </c>
    </row>
  </sheetData>
  <sheetProtection algorithmName="SHA-512" hashValue="2lEinzlZgmLc2kkHygSLjxRRVklmCrx41mgHgm/0x+ZX920LtTeB2O9y5BKAcfbcLiiFVwgagR8Jw1c7T2YFAA==" saltValue="DKx0bOPkSxf9uFnx3uUcLA==" spinCount="100000" sheet="1" objects="1" scenarios="1"/>
  <mergeCells count="9">
    <mergeCell ref="O23:Q23"/>
    <mergeCell ref="E12:F12"/>
    <mergeCell ref="E18:I18"/>
    <mergeCell ref="E31:F31"/>
    <mergeCell ref="E45:F45"/>
    <mergeCell ref="G2:H3"/>
    <mergeCell ref="E33:F33"/>
    <mergeCell ref="E29:H29"/>
    <mergeCell ref="E39:G39"/>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17</xdr:row>
                    <xdr:rowOff>85725</xdr:rowOff>
                  </from>
                  <to>
                    <xdr:col>2</xdr:col>
                    <xdr:colOff>676275</xdr:colOff>
                    <xdr:row>19</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38</xdr:row>
                    <xdr:rowOff>28575</xdr:rowOff>
                  </from>
                  <to>
                    <xdr:col>2</xdr:col>
                    <xdr:colOff>685800</xdr:colOff>
                    <xdr:row>39</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Normal="100" workbookViewId="0">
      <selection activeCell="F2" sqref="F2"/>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702" t="s">
        <v>132</v>
      </c>
      <c r="B7" s="703"/>
      <c r="C7" s="275" t="str">
        <f>BASES!C7</f>
        <v>AÑO 0</v>
      </c>
      <c r="D7" s="275">
        <f>BASES!D7</f>
        <v>2021</v>
      </c>
      <c r="E7" s="275">
        <f>BASES!E7</f>
        <v>2022</v>
      </c>
      <c r="F7" s="275">
        <f>BASES!F7</f>
        <v>2023</v>
      </c>
      <c r="G7" s="275">
        <f>BASES!G7</f>
        <v>2024</v>
      </c>
      <c r="H7" s="275">
        <f>BASES!H7</f>
        <v>2025</v>
      </c>
    </row>
    <row r="8" spans="1:9" x14ac:dyDescent="0.25">
      <c r="A8" s="233" t="s">
        <v>133</v>
      </c>
      <c r="B8" s="234" t="s">
        <v>142</v>
      </c>
      <c r="C8" s="235"/>
      <c r="D8" s="236"/>
      <c r="E8" s="236"/>
      <c r="F8" s="236"/>
      <c r="G8" s="236"/>
      <c r="H8" s="237"/>
    </row>
    <row r="9" spans="1:9" x14ac:dyDescent="0.25">
      <c r="A9" s="238" t="s">
        <v>134</v>
      </c>
      <c r="B9" s="149" t="s">
        <v>143</v>
      </c>
      <c r="C9" s="455" t="e">
        <f>NECESIDADES_DE_FINANCIACION!E14+NECESIDADES_DE_FINANCIACION!E17</f>
        <v>#DIV/0!</v>
      </c>
      <c r="D9" s="403">
        <f>(COSTOS_DE_PRODUCCION!D179*BALANCE_GENERAL!D8)/360</f>
        <v>0</v>
      </c>
      <c r="E9" s="403">
        <f>(COSTOS_DE_PRODUCCION!F179*BALANCE_GENERAL!E8)/360</f>
        <v>0</v>
      </c>
      <c r="F9" s="403">
        <f>(COSTOS_DE_PRODUCCION!G179*BALANCE_GENERAL!F8)/360</f>
        <v>0</v>
      </c>
      <c r="G9" s="403">
        <f>(COSTOS_DE_PRODUCCION!H179*BALANCE_GENERAL!G8)/360</f>
        <v>0</v>
      </c>
      <c r="H9" s="403">
        <f>(COSTOS_DE_PRODUCCION!I179*BALANCE_GENERAL!H8)/360</f>
        <v>0</v>
      </c>
      <c r="I9" s="402"/>
    </row>
    <row r="10" spans="1:9" x14ac:dyDescent="0.25">
      <c r="A10" s="238" t="s">
        <v>135</v>
      </c>
      <c r="B10" s="149" t="s">
        <v>143</v>
      </c>
      <c r="C10" s="404"/>
      <c r="D10" s="405" t="e">
        <f>C9-D9</f>
        <v>#DIV/0!</v>
      </c>
      <c r="E10" s="405">
        <f>D9-E9</f>
        <v>0</v>
      </c>
      <c r="F10" s="405">
        <f>E9-F9</f>
        <v>0</v>
      </c>
      <c r="G10" s="405">
        <f>F9-G9</f>
        <v>0</v>
      </c>
      <c r="H10" s="405">
        <f>G9-H9</f>
        <v>0</v>
      </c>
    </row>
    <row r="11" spans="1:9" x14ac:dyDescent="0.25">
      <c r="A11" s="240" t="s">
        <v>136</v>
      </c>
      <c r="B11" s="149" t="s">
        <v>144</v>
      </c>
      <c r="C11" s="239"/>
      <c r="D11" s="241"/>
      <c r="E11" s="241"/>
      <c r="F11" s="241"/>
      <c r="G11" s="241"/>
      <c r="H11" s="242"/>
    </row>
    <row r="12" spans="1:9" x14ac:dyDescent="0.25">
      <c r="A12" s="240" t="s">
        <v>137</v>
      </c>
      <c r="B12" s="149" t="s">
        <v>143</v>
      </c>
      <c r="C12" s="406"/>
      <c r="D12" s="407">
        <f>ESTADO_DE_RESULTADOS!B4*BALANCE_GENERAL!D11/360</f>
        <v>0</v>
      </c>
      <c r="E12" s="407">
        <f>ESTADO_DE_RESULTADOS!C4*BALANCE_GENERAL!E11/360</f>
        <v>0</v>
      </c>
      <c r="F12" s="407">
        <f>ESTADO_DE_RESULTADOS!D4*BALANCE_GENERAL!F11/360</f>
        <v>0</v>
      </c>
      <c r="G12" s="407">
        <f>ESTADO_DE_RESULTADOS!E4*BALANCE_GENERAL!G11/360</f>
        <v>0</v>
      </c>
      <c r="H12" s="407">
        <f>ESTADO_DE_RESULTADOS!F4*BALANCE_GENERAL!H11/360</f>
        <v>0</v>
      </c>
    </row>
    <row r="13" spans="1:9" x14ac:dyDescent="0.25">
      <c r="A13" s="240" t="s">
        <v>138</v>
      </c>
      <c r="B13" s="149" t="s">
        <v>143</v>
      </c>
      <c r="C13" s="404"/>
      <c r="D13" s="405">
        <f>C12-D12</f>
        <v>0</v>
      </c>
      <c r="E13" s="405">
        <f>D12-E12</f>
        <v>0</v>
      </c>
      <c r="F13" s="405">
        <f>E12-F12</f>
        <v>0</v>
      </c>
      <c r="G13" s="405">
        <f>F12-G12</f>
        <v>0</v>
      </c>
      <c r="H13" s="405">
        <f>G12-H12</f>
        <v>0</v>
      </c>
    </row>
    <row r="14" spans="1:9" x14ac:dyDescent="0.25">
      <c r="A14" s="238" t="s">
        <v>139</v>
      </c>
      <c r="B14" s="149" t="s">
        <v>145</v>
      </c>
      <c r="C14" s="243"/>
      <c r="D14" s="244"/>
      <c r="E14" s="244"/>
      <c r="F14" s="244"/>
      <c r="G14" s="244"/>
      <c r="H14" s="245"/>
    </row>
    <row r="15" spans="1:9" x14ac:dyDescent="0.25">
      <c r="A15" s="238" t="s">
        <v>140</v>
      </c>
      <c r="B15" s="149" t="s">
        <v>143</v>
      </c>
      <c r="C15" s="408"/>
      <c r="D15" s="409">
        <f>(COSTOS_DE_PRODUCCION!D179+COSTOS_DE_PRODUCCION!D180)*BALANCE_GENERAL!D14/360</f>
        <v>0</v>
      </c>
      <c r="E15" s="409">
        <f>(COSTOS_DE_PRODUCCION!F179+COSTOS_DE_PRODUCCION!F180)*BALANCE_GENERAL!E14/360</f>
        <v>0</v>
      </c>
      <c r="F15" s="409">
        <f>(COSTOS_DE_PRODUCCION!G179+COSTOS_DE_PRODUCCION!G180)*BALANCE_GENERAL!F14/360</f>
        <v>0</v>
      </c>
      <c r="G15" s="409">
        <f>(COSTOS_DE_PRODUCCION!H179+COSTOS_DE_PRODUCCION!H180)*BALANCE_GENERAL!G14/360</f>
        <v>0</v>
      </c>
      <c r="H15" s="409">
        <f>(COSTOS_DE_PRODUCCION!I179+COSTOS_DE_PRODUCCION!I180)*BALANCE_GENERAL!H14/360</f>
        <v>0</v>
      </c>
      <c r="I15" s="402"/>
    </row>
    <row r="16" spans="1:9" ht="15.75" thickBot="1" x14ac:dyDescent="0.3">
      <c r="A16" s="246" t="s">
        <v>141</v>
      </c>
      <c r="B16" s="247" t="s">
        <v>146</v>
      </c>
      <c r="C16" s="410"/>
      <c r="D16" s="411">
        <f>C15-D15</f>
        <v>0</v>
      </c>
      <c r="E16" s="411">
        <f>D15-E15</f>
        <v>0</v>
      </c>
      <c r="F16" s="411">
        <f>E15-F15</f>
        <v>0</v>
      </c>
      <c r="G16" s="411">
        <f>F15-G15</f>
        <v>0</v>
      </c>
      <c r="H16" s="411">
        <f>G15-H15</f>
        <v>0</v>
      </c>
    </row>
    <row r="18" spans="1:8" ht="15.75" thickBot="1" x14ac:dyDescent="0.3"/>
    <row r="19" spans="1:8" x14ac:dyDescent="0.25">
      <c r="A19" s="248" t="s">
        <v>147</v>
      </c>
      <c r="B19" s="704" t="s">
        <v>111</v>
      </c>
      <c r="C19" s="704"/>
      <c r="D19" s="704"/>
      <c r="E19" s="704"/>
      <c r="F19" s="704"/>
      <c r="G19" s="705"/>
    </row>
    <row r="20" spans="1:8" x14ac:dyDescent="0.25">
      <c r="A20" s="249"/>
      <c r="B20" s="294" t="str">
        <f>C7</f>
        <v>AÑO 0</v>
      </c>
      <c r="C20" s="294">
        <f>D7</f>
        <v>2021</v>
      </c>
      <c r="D20" s="294">
        <f t="shared" ref="D20:G20" si="0">E7</f>
        <v>2022</v>
      </c>
      <c r="E20" s="294">
        <f t="shared" si="0"/>
        <v>2023</v>
      </c>
      <c r="F20" s="294">
        <f t="shared" si="0"/>
        <v>2024</v>
      </c>
      <c r="G20" s="294">
        <f t="shared" si="0"/>
        <v>2025</v>
      </c>
    </row>
    <row r="21" spans="1:8" ht="18.75" x14ac:dyDescent="0.3">
      <c r="A21" s="699" t="s">
        <v>148</v>
      </c>
      <c r="B21" s="700"/>
      <c r="C21" s="700"/>
      <c r="D21" s="700"/>
      <c r="E21" s="700"/>
      <c r="F21" s="700"/>
      <c r="G21" s="701"/>
    </row>
    <row r="22" spans="1:8" x14ac:dyDescent="0.25">
      <c r="A22" s="250" t="s">
        <v>149</v>
      </c>
      <c r="B22" s="251" t="e">
        <f>B74-B23-B24-B30-B33-B36-B39-B42-B45-B48-B51-B26-B27-B56</f>
        <v>#DIV/0!</v>
      </c>
      <c r="C22" s="251" t="e">
        <f t="shared" ref="C22:G22" si="1">C74-C23-C24-C30-C33-C36-C39-C42-C45-C48-C51-C26-C27-C56</f>
        <v>#DIV/0!</v>
      </c>
      <c r="D22" s="251" t="e">
        <f t="shared" si="1"/>
        <v>#DIV/0!</v>
      </c>
      <c r="E22" s="251" t="e">
        <f t="shared" si="1"/>
        <v>#DIV/0!</v>
      </c>
      <c r="F22" s="251" t="e">
        <f t="shared" si="1"/>
        <v>#DIV/0!</v>
      </c>
      <c r="G22" s="251" t="e">
        <f t="shared" si="1"/>
        <v>#DIV/0!</v>
      </c>
    </row>
    <row r="23" spans="1:8" x14ac:dyDescent="0.25">
      <c r="A23" s="250" t="s">
        <v>150</v>
      </c>
      <c r="B23" s="251" t="e">
        <f t="shared" ref="B23:G23" si="2">C9</f>
        <v>#DIV/0!</v>
      </c>
      <c r="C23" s="251">
        <f t="shared" si="2"/>
        <v>0</v>
      </c>
      <c r="D23" s="251">
        <f t="shared" si="2"/>
        <v>0</v>
      </c>
      <c r="E23" s="251">
        <f t="shared" si="2"/>
        <v>0</v>
      </c>
      <c r="F23" s="251">
        <f t="shared" si="2"/>
        <v>0</v>
      </c>
      <c r="G23" s="252">
        <f t="shared" si="2"/>
        <v>0</v>
      </c>
    </row>
    <row r="24" spans="1:8" x14ac:dyDescent="0.25">
      <c r="A24" s="250" t="s">
        <v>151</v>
      </c>
      <c r="B24" s="251">
        <f t="shared" ref="B24:G24" si="3">C12</f>
        <v>0</v>
      </c>
      <c r="C24" s="251">
        <f t="shared" si="3"/>
        <v>0</v>
      </c>
      <c r="D24" s="251">
        <f t="shared" si="3"/>
        <v>0</v>
      </c>
      <c r="E24" s="251">
        <f t="shared" si="3"/>
        <v>0</v>
      </c>
      <c r="F24" s="251">
        <f t="shared" si="3"/>
        <v>0</v>
      </c>
      <c r="G24" s="252">
        <f t="shared" si="3"/>
        <v>0</v>
      </c>
    </row>
    <row r="25" spans="1:8" x14ac:dyDescent="0.25">
      <c r="A25" s="253" t="s">
        <v>152</v>
      </c>
      <c r="B25" s="254" t="e">
        <f t="shared" ref="B25:G25" si="4">B22+B23+B24</f>
        <v>#DIV/0!</v>
      </c>
      <c r="C25" s="254" t="e">
        <f t="shared" si="4"/>
        <v>#DIV/0!</v>
      </c>
      <c r="D25" s="254" t="e">
        <f t="shared" si="4"/>
        <v>#DIV/0!</v>
      </c>
      <c r="E25" s="254" t="e">
        <f t="shared" si="4"/>
        <v>#DIV/0!</v>
      </c>
      <c r="F25" s="254" t="e">
        <f t="shared" si="4"/>
        <v>#DIV/0!</v>
      </c>
      <c r="G25" s="255" t="e">
        <f t="shared" si="4"/>
        <v>#DIV/0!</v>
      </c>
    </row>
    <row r="26" spans="1:8" x14ac:dyDescent="0.25">
      <c r="A26" s="250" t="s">
        <v>153</v>
      </c>
      <c r="B26" s="251">
        <f>'CTOS_VS_ING_OPER-INV_INFRAEST'!F402</f>
        <v>0</v>
      </c>
      <c r="C26" s="251">
        <f>'CTOS_VS_ING_OPER-INV_INFRAEST'!G402</f>
        <v>0</v>
      </c>
      <c r="D26" s="251">
        <f>'CTOS_VS_ING_OPER-INV_INFRAEST'!H402</f>
        <v>0</v>
      </c>
      <c r="E26" s="251">
        <f>'CTOS_VS_ING_OPER-INV_INFRAEST'!I402</f>
        <v>0</v>
      </c>
      <c r="F26" s="251">
        <f>'CTOS_VS_ING_OPER-INV_INFRAEST'!J402</f>
        <v>0</v>
      </c>
      <c r="G26" s="251">
        <f>'CTOS_VS_ING_OPER-INV_INFRAEST'!K402</f>
        <v>0</v>
      </c>
      <c r="H26" s="256"/>
    </row>
    <row r="27" spans="1:8" x14ac:dyDescent="0.25">
      <c r="A27" s="250" t="s">
        <v>154</v>
      </c>
      <c r="B27" s="251"/>
      <c r="C27" s="251">
        <f>'CTOS_VS_ING_OPER-INV_INFRAEST'!G403</f>
        <v>0</v>
      </c>
      <c r="D27" s="251">
        <f>'CTOS_VS_ING_OPER-INV_INFRAEST'!H403</f>
        <v>0</v>
      </c>
      <c r="E27" s="251">
        <f>'CTOS_VS_ING_OPER-INV_INFRAEST'!I403</f>
        <v>0</v>
      </c>
      <c r="F27" s="251">
        <f>'CTOS_VS_ING_OPER-INV_INFRAEST'!J403</f>
        <v>0</v>
      </c>
      <c r="G27" s="251">
        <f>'CTOS_VS_ING_OPER-INV_INFRAEST'!K403</f>
        <v>0</v>
      </c>
      <c r="H27" s="256"/>
    </row>
    <row r="28" spans="1:8" x14ac:dyDescent="0.25">
      <c r="A28" s="253" t="s">
        <v>155</v>
      </c>
      <c r="B28" s="257">
        <f t="shared" ref="B28:G28" si="5">B26+B27</f>
        <v>0</v>
      </c>
      <c r="C28" s="257">
        <f t="shared" si="5"/>
        <v>0</v>
      </c>
      <c r="D28" s="257">
        <f t="shared" si="5"/>
        <v>0</v>
      </c>
      <c r="E28" s="257">
        <f t="shared" si="5"/>
        <v>0</v>
      </c>
      <c r="F28" s="257">
        <f t="shared" si="5"/>
        <v>0</v>
      </c>
      <c r="G28" s="257">
        <f t="shared" si="5"/>
        <v>0</v>
      </c>
    </row>
    <row r="29" spans="1:8" ht="18.75" x14ac:dyDescent="0.3">
      <c r="A29" s="706" t="s">
        <v>156</v>
      </c>
      <c r="B29" s="707"/>
      <c r="C29" s="707"/>
      <c r="D29" s="707"/>
      <c r="E29" s="707"/>
      <c r="F29" s="707"/>
      <c r="G29" s="708"/>
    </row>
    <row r="30" spans="1:8" x14ac:dyDescent="0.25">
      <c r="A30" s="258" t="s">
        <v>157</v>
      </c>
      <c r="B30" s="259">
        <f>'CTOS_VS_ING_OPER-INV_INFRAEST'!F416</f>
        <v>0</v>
      </c>
      <c r="C30" s="259">
        <f>'CTOS_VS_ING_OPER-INV_INFRAEST'!G416</f>
        <v>0</v>
      </c>
      <c r="D30" s="259">
        <f>'CTOS_VS_ING_OPER-INV_INFRAEST'!H416</f>
        <v>0</v>
      </c>
      <c r="E30" s="259">
        <f>'CTOS_VS_ING_OPER-INV_INFRAEST'!I416</f>
        <v>0</v>
      </c>
      <c r="F30" s="259">
        <f>'CTOS_VS_ING_OPER-INV_INFRAEST'!J416</f>
        <v>0</v>
      </c>
      <c r="G30" s="259">
        <f>'CTOS_VS_ING_OPER-INV_INFRAEST'!K416</f>
        <v>0</v>
      </c>
      <c r="H30" s="256"/>
    </row>
    <row r="31" spans="1:8" x14ac:dyDescent="0.25">
      <c r="A31" s="260" t="s">
        <v>158</v>
      </c>
      <c r="B31" s="261">
        <f>'CTOS_VS_ING_OPER-INV_INFRAEST'!F367</f>
        <v>0</v>
      </c>
      <c r="C31" s="261">
        <f>'CTOS_VS_ING_OPER-INV_INFRAEST'!G367</f>
        <v>0</v>
      </c>
      <c r="D31" s="261">
        <f>'CTOS_VS_ING_OPER-INV_INFRAEST'!H367</f>
        <v>0</v>
      </c>
      <c r="E31" s="261">
        <f>'CTOS_VS_ING_OPER-INV_INFRAEST'!I367</f>
        <v>0</v>
      </c>
      <c r="F31" s="261">
        <f>'CTOS_VS_ING_OPER-INV_INFRAEST'!J367</f>
        <v>0</v>
      </c>
      <c r="G31" s="261">
        <f>'CTOS_VS_ING_OPER-INV_INFRAEST'!K367</f>
        <v>0</v>
      </c>
      <c r="H31" s="256"/>
    </row>
    <row r="32" spans="1:8" x14ac:dyDescent="0.25">
      <c r="A32" s="260" t="s">
        <v>160</v>
      </c>
      <c r="B32" s="261"/>
      <c r="C32" s="261">
        <f>'CTOS_VS_ING_OPER-INV_INFRAEST'!G368</f>
        <v>0</v>
      </c>
      <c r="D32" s="261">
        <f>'CTOS_VS_ING_OPER-INV_INFRAEST'!H368</f>
        <v>0</v>
      </c>
      <c r="E32" s="261">
        <f>'CTOS_VS_ING_OPER-INV_INFRAEST'!I368</f>
        <v>0</v>
      </c>
      <c r="F32" s="261">
        <f>'CTOS_VS_ING_OPER-INV_INFRAEST'!J368</f>
        <v>0</v>
      </c>
      <c r="G32" s="261">
        <f>'CTOS_VS_ING_OPER-INV_INFRAEST'!K368</f>
        <v>0</v>
      </c>
      <c r="H32" s="256"/>
    </row>
    <row r="33" spans="1:8" x14ac:dyDescent="0.25">
      <c r="A33" s="260" t="s">
        <v>161</v>
      </c>
      <c r="B33" s="261">
        <f t="shared" ref="B33:G33" si="6">B31+B32</f>
        <v>0</v>
      </c>
      <c r="C33" s="261">
        <f t="shared" si="6"/>
        <v>0</v>
      </c>
      <c r="D33" s="261">
        <f t="shared" si="6"/>
        <v>0</v>
      </c>
      <c r="E33" s="261">
        <f t="shared" si="6"/>
        <v>0</v>
      </c>
      <c r="F33" s="261">
        <f t="shared" si="6"/>
        <v>0</v>
      </c>
      <c r="G33" s="261">
        <f t="shared" si="6"/>
        <v>0</v>
      </c>
      <c r="H33" s="256"/>
    </row>
    <row r="34" spans="1:8" x14ac:dyDescent="0.25">
      <c r="A34" s="258" t="s">
        <v>162</v>
      </c>
      <c r="B34" s="259">
        <f>'CTOS_VS_ING_OPER-INV_INFRAEST'!F372</f>
        <v>0</v>
      </c>
      <c r="C34" s="259">
        <f>'CTOS_VS_ING_OPER-INV_INFRAEST'!G372</f>
        <v>0</v>
      </c>
      <c r="D34" s="259">
        <f>'CTOS_VS_ING_OPER-INV_INFRAEST'!H372</f>
        <v>0</v>
      </c>
      <c r="E34" s="259">
        <f>'CTOS_VS_ING_OPER-INV_INFRAEST'!I372</f>
        <v>0</v>
      </c>
      <c r="F34" s="259">
        <f>'CTOS_VS_ING_OPER-INV_INFRAEST'!J372</f>
        <v>0</v>
      </c>
      <c r="G34" s="259">
        <f>'CTOS_VS_ING_OPER-INV_INFRAEST'!K372</f>
        <v>0</v>
      </c>
      <c r="H34" s="256"/>
    </row>
    <row r="35" spans="1:8" x14ac:dyDescent="0.25">
      <c r="A35" s="258" t="s">
        <v>163</v>
      </c>
      <c r="B35" s="259"/>
      <c r="C35" s="259">
        <f>'CTOS_VS_ING_OPER-INV_INFRAEST'!G373</f>
        <v>0</v>
      </c>
      <c r="D35" s="259">
        <f>'CTOS_VS_ING_OPER-INV_INFRAEST'!H373</f>
        <v>0</v>
      </c>
      <c r="E35" s="259">
        <f>'CTOS_VS_ING_OPER-INV_INFRAEST'!I373</f>
        <v>0</v>
      </c>
      <c r="F35" s="259">
        <f>'CTOS_VS_ING_OPER-INV_INFRAEST'!J373</f>
        <v>0</v>
      </c>
      <c r="G35" s="259">
        <f>'CTOS_VS_ING_OPER-INV_INFRAEST'!K373</f>
        <v>0</v>
      </c>
      <c r="H35" s="256"/>
    </row>
    <row r="36" spans="1:8" x14ac:dyDescent="0.25">
      <c r="A36" s="258" t="s">
        <v>164</v>
      </c>
      <c r="B36" s="259">
        <f>B34+B35</f>
        <v>0</v>
      </c>
      <c r="C36" s="259">
        <f t="shared" ref="C36:G36" si="7">C34+C35</f>
        <v>0</v>
      </c>
      <c r="D36" s="259">
        <f t="shared" si="7"/>
        <v>0</v>
      </c>
      <c r="E36" s="259">
        <f t="shared" si="7"/>
        <v>0</v>
      </c>
      <c r="F36" s="259">
        <f t="shared" si="7"/>
        <v>0</v>
      </c>
      <c r="G36" s="259">
        <f t="shared" si="7"/>
        <v>0</v>
      </c>
      <c r="H36" s="256"/>
    </row>
    <row r="37" spans="1:8" x14ac:dyDescent="0.25">
      <c r="A37" s="260" t="s">
        <v>165</v>
      </c>
      <c r="B37" s="261">
        <f>'CTOS_VS_ING_OPER-INV_INFRAEST'!F377</f>
        <v>0</v>
      </c>
      <c r="C37" s="261">
        <f>'CTOS_VS_ING_OPER-INV_INFRAEST'!G377</f>
        <v>0</v>
      </c>
      <c r="D37" s="261">
        <f>'CTOS_VS_ING_OPER-INV_INFRAEST'!H377</f>
        <v>0</v>
      </c>
      <c r="E37" s="261">
        <f>'CTOS_VS_ING_OPER-INV_INFRAEST'!I377</f>
        <v>0</v>
      </c>
      <c r="F37" s="261">
        <f>'CTOS_VS_ING_OPER-INV_INFRAEST'!J377</f>
        <v>0</v>
      </c>
      <c r="G37" s="261">
        <f>'CTOS_VS_ING_OPER-INV_INFRAEST'!K377</f>
        <v>0</v>
      </c>
      <c r="H37" s="256"/>
    </row>
    <row r="38" spans="1:8" x14ac:dyDescent="0.25">
      <c r="A38" s="260" t="s">
        <v>159</v>
      </c>
      <c r="B38" s="261"/>
      <c r="C38" s="261">
        <f>'CTOS_VS_ING_OPER-INV_INFRAEST'!G378</f>
        <v>0</v>
      </c>
      <c r="D38" s="261">
        <f>'CTOS_VS_ING_OPER-INV_INFRAEST'!H378</f>
        <v>0</v>
      </c>
      <c r="E38" s="261">
        <f>'CTOS_VS_ING_OPER-INV_INFRAEST'!I378</f>
        <v>0</v>
      </c>
      <c r="F38" s="261">
        <f>'CTOS_VS_ING_OPER-INV_INFRAEST'!J378</f>
        <v>0</v>
      </c>
      <c r="G38" s="261">
        <f>'CTOS_VS_ING_OPER-INV_INFRAEST'!K378</f>
        <v>0</v>
      </c>
      <c r="H38" s="256"/>
    </row>
    <row r="39" spans="1:8" x14ac:dyDescent="0.25">
      <c r="A39" s="260" t="s">
        <v>166</v>
      </c>
      <c r="B39" s="261">
        <f t="shared" ref="B39:G39" si="8">B37+B38</f>
        <v>0</v>
      </c>
      <c r="C39" s="261">
        <f t="shared" si="8"/>
        <v>0</v>
      </c>
      <c r="D39" s="261">
        <f t="shared" si="8"/>
        <v>0</v>
      </c>
      <c r="E39" s="261">
        <f t="shared" si="8"/>
        <v>0</v>
      </c>
      <c r="F39" s="261">
        <f t="shared" si="8"/>
        <v>0</v>
      </c>
      <c r="G39" s="261">
        <f t="shared" si="8"/>
        <v>0</v>
      </c>
      <c r="H39" s="256"/>
    </row>
    <row r="40" spans="1:8" x14ac:dyDescent="0.25">
      <c r="A40" s="258" t="s">
        <v>167</v>
      </c>
      <c r="B40" s="259">
        <f>'CTOS_VS_ING_OPER-INV_INFRAEST'!F382</f>
        <v>0</v>
      </c>
      <c r="C40" s="259">
        <f>'CTOS_VS_ING_OPER-INV_INFRAEST'!G382</f>
        <v>0</v>
      </c>
      <c r="D40" s="259">
        <f>'CTOS_VS_ING_OPER-INV_INFRAEST'!H382</f>
        <v>0</v>
      </c>
      <c r="E40" s="259">
        <f>'CTOS_VS_ING_OPER-INV_INFRAEST'!I382</f>
        <v>0</v>
      </c>
      <c r="F40" s="259">
        <f>'CTOS_VS_ING_OPER-INV_INFRAEST'!J382</f>
        <v>0</v>
      </c>
      <c r="G40" s="259">
        <f>'CTOS_VS_ING_OPER-INV_INFRAEST'!K382</f>
        <v>0</v>
      </c>
      <c r="H40" s="256"/>
    </row>
    <row r="41" spans="1:8" x14ac:dyDescent="0.25">
      <c r="A41" s="258" t="s">
        <v>159</v>
      </c>
      <c r="B41" s="259"/>
      <c r="C41" s="259">
        <f>'CTOS_VS_ING_OPER-INV_INFRAEST'!G383</f>
        <v>0</v>
      </c>
      <c r="D41" s="259">
        <f>'CTOS_VS_ING_OPER-INV_INFRAEST'!H383</f>
        <v>0</v>
      </c>
      <c r="E41" s="259">
        <f>'CTOS_VS_ING_OPER-INV_INFRAEST'!I383</f>
        <v>0</v>
      </c>
      <c r="F41" s="259">
        <f>'CTOS_VS_ING_OPER-INV_INFRAEST'!J383</f>
        <v>0</v>
      </c>
      <c r="G41" s="259">
        <f>'CTOS_VS_ING_OPER-INV_INFRAEST'!K383</f>
        <v>0</v>
      </c>
      <c r="H41" s="256"/>
    </row>
    <row r="42" spans="1:8" x14ac:dyDescent="0.25">
      <c r="A42" s="258" t="s">
        <v>168</v>
      </c>
      <c r="B42" s="259">
        <f t="shared" ref="B42:G42" si="9">B40+B41</f>
        <v>0</v>
      </c>
      <c r="C42" s="259">
        <f t="shared" si="9"/>
        <v>0</v>
      </c>
      <c r="D42" s="259">
        <f t="shared" si="9"/>
        <v>0</v>
      </c>
      <c r="E42" s="259">
        <f t="shared" si="9"/>
        <v>0</v>
      </c>
      <c r="F42" s="259">
        <f t="shared" si="9"/>
        <v>0</v>
      </c>
      <c r="G42" s="259">
        <f t="shared" si="9"/>
        <v>0</v>
      </c>
      <c r="H42" s="256"/>
    </row>
    <row r="43" spans="1:8" x14ac:dyDescent="0.25">
      <c r="A43" s="260" t="s">
        <v>169</v>
      </c>
      <c r="B43" s="261">
        <f>'CTOS_VS_ING_OPER-INV_INFRAEST'!F387</f>
        <v>0</v>
      </c>
      <c r="C43" s="261">
        <f>'CTOS_VS_ING_OPER-INV_INFRAEST'!G387</f>
        <v>0</v>
      </c>
      <c r="D43" s="261">
        <f>'CTOS_VS_ING_OPER-INV_INFRAEST'!H387</f>
        <v>0</v>
      </c>
      <c r="E43" s="261">
        <f>'CTOS_VS_ING_OPER-INV_INFRAEST'!I387</f>
        <v>0</v>
      </c>
      <c r="F43" s="261">
        <f>'CTOS_VS_ING_OPER-INV_INFRAEST'!J387</f>
        <v>0</v>
      </c>
      <c r="G43" s="261">
        <f>'CTOS_VS_ING_OPER-INV_INFRAEST'!K387</f>
        <v>0</v>
      </c>
      <c r="H43" s="256"/>
    </row>
    <row r="44" spans="1:8" x14ac:dyDescent="0.25">
      <c r="A44" s="260" t="s">
        <v>159</v>
      </c>
      <c r="B44" s="261"/>
      <c r="C44" s="261">
        <f>'CTOS_VS_ING_OPER-INV_INFRAEST'!G388</f>
        <v>0</v>
      </c>
      <c r="D44" s="261">
        <f>'CTOS_VS_ING_OPER-INV_INFRAEST'!H388</f>
        <v>0</v>
      </c>
      <c r="E44" s="261">
        <f>'CTOS_VS_ING_OPER-INV_INFRAEST'!I388</f>
        <v>0</v>
      </c>
      <c r="F44" s="261">
        <f>'CTOS_VS_ING_OPER-INV_INFRAEST'!J388</f>
        <v>0</v>
      </c>
      <c r="G44" s="261">
        <f>'CTOS_VS_ING_OPER-INV_INFRAEST'!K388</f>
        <v>0</v>
      </c>
      <c r="H44" s="256"/>
    </row>
    <row r="45" spans="1:8" x14ac:dyDescent="0.25">
      <c r="A45" s="260" t="s">
        <v>170</v>
      </c>
      <c r="B45" s="261">
        <f t="shared" ref="B45:G45" si="10">B43+B44</f>
        <v>0</v>
      </c>
      <c r="C45" s="261">
        <f t="shared" si="10"/>
        <v>0</v>
      </c>
      <c r="D45" s="261">
        <f t="shared" si="10"/>
        <v>0</v>
      </c>
      <c r="E45" s="261">
        <f t="shared" si="10"/>
        <v>0</v>
      </c>
      <c r="F45" s="261">
        <f t="shared" si="10"/>
        <v>0</v>
      </c>
      <c r="G45" s="261">
        <f t="shared" si="10"/>
        <v>0</v>
      </c>
      <c r="H45" s="256"/>
    </row>
    <row r="46" spans="1:8" x14ac:dyDescent="0.25">
      <c r="A46" s="258" t="s">
        <v>171</v>
      </c>
      <c r="B46" s="259">
        <f>'CTOS_VS_ING_OPER-INV_INFRAEST'!F392</f>
        <v>0</v>
      </c>
      <c r="C46" s="259">
        <f>'CTOS_VS_ING_OPER-INV_INFRAEST'!G392</f>
        <v>0</v>
      </c>
      <c r="D46" s="259">
        <f>'CTOS_VS_ING_OPER-INV_INFRAEST'!H392</f>
        <v>0</v>
      </c>
      <c r="E46" s="259">
        <f>'CTOS_VS_ING_OPER-INV_INFRAEST'!I392</f>
        <v>0</v>
      </c>
      <c r="F46" s="259">
        <f>'CTOS_VS_ING_OPER-INV_INFRAEST'!J392</f>
        <v>0</v>
      </c>
      <c r="G46" s="259">
        <f>'CTOS_VS_ING_OPER-INV_INFRAEST'!K392</f>
        <v>0</v>
      </c>
      <c r="H46" s="256"/>
    </row>
    <row r="47" spans="1:8" x14ac:dyDescent="0.25">
      <c r="A47" s="258" t="s">
        <v>172</v>
      </c>
      <c r="B47" s="259"/>
      <c r="C47" s="259">
        <f>'CTOS_VS_ING_OPER-INV_INFRAEST'!G393</f>
        <v>0</v>
      </c>
      <c r="D47" s="259">
        <f>'CTOS_VS_ING_OPER-INV_INFRAEST'!H393</f>
        <v>0</v>
      </c>
      <c r="E47" s="259">
        <f>'CTOS_VS_ING_OPER-INV_INFRAEST'!I393</f>
        <v>0</v>
      </c>
      <c r="F47" s="259">
        <f>'CTOS_VS_ING_OPER-INV_INFRAEST'!J393</f>
        <v>0</v>
      </c>
      <c r="G47" s="259">
        <f>'CTOS_VS_ING_OPER-INV_INFRAEST'!K393</f>
        <v>0</v>
      </c>
      <c r="H47" s="256"/>
    </row>
    <row r="48" spans="1:8" x14ac:dyDescent="0.25">
      <c r="A48" s="258" t="s">
        <v>171</v>
      </c>
      <c r="B48" s="259">
        <f>B46+B47</f>
        <v>0</v>
      </c>
      <c r="C48" s="259">
        <f t="shared" ref="C48:G48" si="11">C46+C47</f>
        <v>0</v>
      </c>
      <c r="D48" s="259">
        <f t="shared" si="11"/>
        <v>0</v>
      </c>
      <c r="E48" s="259">
        <f t="shared" si="11"/>
        <v>0</v>
      </c>
      <c r="F48" s="259">
        <f t="shared" si="11"/>
        <v>0</v>
      </c>
      <c r="G48" s="259">
        <f t="shared" si="11"/>
        <v>0</v>
      </c>
      <c r="H48" s="256"/>
    </row>
    <row r="49" spans="1:8" x14ac:dyDescent="0.25">
      <c r="A49" s="260" t="s">
        <v>173</v>
      </c>
      <c r="B49" s="261">
        <f>'CTOS_VS_ING_OPER-INV_INFRAEST'!F397</f>
        <v>0</v>
      </c>
      <c r="C49" s="261">
        <f>'CTOS_VS_ING_OPER-INV_INFRAEST'!G397</f>
        <v>0</v>
      </c>
      <c r="D49" s="261">
        <f>'CTOS_VS_ING_OPER-INV_INFRAEST'!H397</f>
        <v>0</v>
      </c>
      <c r="E49" s="261">
        <f>'CTOS_VS_ING_OPER-INV_INFRAEST'!I397</f>
        <v>0</v>
      </c>
      <c r="F49" s="261">
        <f>'CTOS_VS_ING_OPER-INV_INFRAEST'!J397</f>
        <v>0</v>
      </c>
      <c r="G49" s="261">
        <f>'CTOS_VS_ING_OPER-INV_INFRAEST'!K397</f>
        <v>0</v>
      </c>
      <c r="H49" s="256"/>
    </row>
    <row r="50" spans="1:8" x14ac:dyDescent="0.25">
      <c r="A50" s="260" t="s">
        <v>172</v>
      </c>
      <c r="B50" s="261"/>
      <c r="C50" s="261">
        <f>'CTOS_VS_ING_OPER-INV_INFRAEST'!G398</f>
        <v>0</v>
      </c>
      <c r="D50" s="261">
        <f>'CTOS_VS_ING_OPER-INV_INFRAEST'!H398</f>
        <v>0</v>
      </c>
      <c r="E50" s="261">
        <f>'CTOS_VS_ING_OPER-INV_INFRAEST'!I398</f>
        <v>0</v>
      </c>
      <c r="F50" s="261">
        <f>'CTOS_VS_ING_OPER-INV_INFRAEST'!J398</f>
        <v>0</v>
      </c>
      <c r="G50" s="261">
        <f>'CTOS_VS_ING_OPER-INV_INFRAEST'!K398</f>
        <v>0</v>
      </c>
      <c r="H50" s="256"/>
    </row>
    <row r="51" spans="1:8" x14ac:dyDescent="0.25">
      <c r="A51" s="260" t="s">
        <v>311</v>
      </c>
      <c r="B51" s="261">
        <f>B49+B50</f>
        <v>0</v>
      </c>
      <c r="C51" s="261">
        <f t="shared" ref="C51:G51" si="12">C49+C50</f>
        <v>0</v>
      </c>
      <c r="D51" s="261">
        <f t="shared" si="12"/>
        <v>0</v>
      </c>
      <c r="E51" s="261">
        <f t="shared" si="12"/>
        <v>0</v>
      </c>
      <c r="F51" s="261">
        <f t="shared" si="12"/>
        <v>0</v>
      </c>
      <c r="G51" s="261">
        <f t="shared" si="12"/>
        <v>0</v>
      </c>
      <c r="H51" s="256"/>
    </row>
    <row r="52" spans="1:8" x14ac:dyDescent="0.25">
      <c r="A52" s="262" t="s">
        <v>174</v>
      </c>
      <c r="B52" s="257">
        <f>B30+B33+B36+B39+B42+B45+B48+B51</f>
        <v>0</v>
      </c>
      <c r="C52" s="257">
        <f t="shared" ref="C52:G52" si="13">C30+C33+C36+C39+C42+C45+C48+C51</f>
        <v>0</v>
      </c>
      <c r="D52" s="257">
        <f t="shared" si="13"/>
        <v>0</v>
      </c>
      <c r="E52" s="257">
        <f t="shared" si="13"/>
        <v>0</v>
      </c>
      <c r="F52" s="257">
        <f t="shared" si="13"/>
        <v>0</v>
      </c>
      <c r="G52" s="257">
        <f t="shared" si="13"/>
        <v>0</v>
      </c>
    </row>
    <row r="53" spans="1:8" ht="18.75" x14ac:dyDescent="0.3">
      <c r="A53" s="699" t="s">
        <v>69</v>
      </c>
      <c r="B53" s="700"/>
      <c r="C53" s="700"/>
      <c r="D53" s="700"/>
      <c r="E53" s="700"/>
      <c r="F53" s="700"/>
      <c r="G53" s="701"/>
    </row>
    <row r="54" spans="1:8" x14ac:dyDescent="0.25">
      <c r="A54" s="258" t="s">
        <v>69</v>
      </c>
      <c r="B54" s="263">
        <f>'CTOS_VS_ING_OPER-INV_INFRAEST'!F407</f>
        <v>0</v>
      </c>
      <c r="C54" s="263">
        <f>'CTOS_VS_ING_OPER-INV_INFRAEST'!G407</f>
        <v>0</v>
      </c>
      <c r="D54" s="263">
        <f>'CTOS_VS_ING_OPER-INV_INFRAEST'!H407</f>
        <v>0</v>
      </c>
      <c r="E54" s="263">
        <f>'CTOS_VS_ING_OPER-INV_INFRAEST'!I407</f>
        <v>0</v>
      </c>
      <c r="F54" s="263">
        <f>'CTOS_VS_ING_OPER-INV_INFRAEST'!J407</f>
        <v>0</v>
      </c>
      <c r="G54" s="263">
        <f>'CTOS_VS_ING_OPER-INV_INFRAEST'!K407</f>
        <v>0</v>
      </c>
      <c r="H54" s="256"/>
    </row>
    <row r="55" spans="1:8" x14ac:dyDescent="0.25">
      <c r="A55" s="258" t="s">
        <v>175</v>
      </c>
      <c r="B55" s="263">
        <f>'CTOS_VS_ING_OPER-INV_INFRAEST'!F409</f>
        <v>0</v>
      </c>
      <c r="C55" s="263">
        <f>'CTOS_VS_ING_OPER-INV_INFRAEST'!G409</f>
        <v>0</v>
      </c>
      <c r="D55" s="263">
        <f>'CTOS_VS_ING_OPER-INV_INFRAEST'!H409</f>
        <v>0</v>
      </c>
      <c r="E55" s="263">
        <f>'CTOS_VS_ING_OPER-INV_INFRAEST'!I409</f>
        <v>0</v>
      </c>
      <c r="F55" s="263">
        <f>'CTOS_VS_ING_OPER-INV_INFRAEST'!J409</f>
        <v>0</v>
      </c>
      <c r="G55" s="263">
        <f>'CTOS_VS_ING_OPER-INV_INFRAEST'!K409</f>
        <v>0</v>
      </c>
      <c r="H55" s="256"/>
    </row>
    <row r="56" spans="1:8" x14ac:dyDescent="0.25">
      <c r="A56" s="258" t="s">
        <v>69</v>
      </c>
      <c r="B56" s="263">
        <f>B54+B55</f>
        <v>0</v>
      </c>
      <c r="C56" s="263">
        <f t="shared" ref="C56:G56" si="14">C54+C55</f>
        <v>0</v>
      </c>
      <c r="D56" s="263">
        <f t="shared" si="14"/>
        <v>0</v>
      </c>
      <c r="E56" s="263">
        <f t="shared" si="14"/>
        <v>0</v>
      </c>
      <c r="F56" s="263">
        <f t="shared" si="14"/>
        <v>0</v>
      </c>
      <c r="G56" s="263">
        <f t="shared" si="14"/>
        <v>0</v>
      </c>
      <c r="H56" s="256"/>
    </row>
    <row r="57" spans="1:8" ht="15.75" thickBot="1" x14ac:dyDescent="0.3">
      <c r="A57" s="264" t="s">
        <v>176</v>
      </c>
      <c r="B57" s="265" t="e">
        <f t="shared" ref="B57:G57" si="15">B25+B28+B52+B56</f>
        <v>#DIV/0!</v>
      </c>
      <c r="C57" s="265" t="e">
        <f t="shared" si="15"/>
        <v>#DIV/0!</v>
      </c>
      <c r="D57" s="265" t="e">
        <f t="shared" si="15"/>
        <v>#DIV/0!</v>
      </c>
      <c r="E57" s="265" t="e">
        <f t="shared" si="15"/>
        <v>#DIV/0!</v>
      </c>
      <c r="F57" s="265" t="e">
        <f t="shared" si="15"/>
        <v>#DIV/0!</v>
      </c>
      <c r="G57" s="265" t="e">
        <f t="shared" si="15"/>
        <v>#DIV/0!</v>
      </c>
    </row>
    <row r="59" spans="1:8" ht="15.75" thickBot="1" x14ac:dyDescent="0.3"/>
    <row r="60" spans="1:8" ht="18.75" x14ac:dyDescent="0.3">
      <c r="A60" s="696" t="s">
        <v>177</v>
      </c>
      <c r="B60" s="697"/>
      <c r="C60" s="697"/>
      <c r="D60" s="697"/>
      <c r="E60" s="697"/>
      <c r="F60" s="697"/>
      <c r="G60" s="698"/>
    </row>
    <row r="61" spans="1:8" x14ac:dyDescent="0.25">
      <c r="A61" s="266" t="s">
        <v>139</v>
      </c>
      <c r="B61" s="267">
        <f t="shared" ref="B61:G61" si="16">C15</f>
        <v>0</v>
      </c>
      <c r="C61" s="267">
        <f t="shared" si="16"/>
        <v>0</v>
      </c>
      <c r="D61" s="267">
        <f t="shared" si="16"/>
        <v>0</v>
      </c>
      <c r="E61" s="267">
        <f t="shared" si="16"/>
        <v>0</v>
      </c>
      <c r="F61" s="267">
        <f t="shared" si="16"/>
        <v>0</v>
      </c>
      <c r="G61" s="267">
        <f t="shared" si="16"/>
        <v>0</v>
      </c>
    </row>
    <row r="62" spans="1:8" x14ac:dyDescent="0.25">
      <c r="A62" s="266" t="s">
        <v>178</v>
      </c>
      <c r="B62" s="267" t="e">
        <f>ESTADO_DE_RESULTADOS!B28</f>
        <v>#DIV/0!</v>
      </c>
      <c r="C62" s="267" t="e">
        <f>ESTADO_DE_RESULTADOS!C28</f>
        <v>#DIV/0!</v>
      </c>
      <c r="D62" s="267" t="e">
        <f>ESTADO_DE_RESULTADOS!D28</f>
        <v>#DIV/0!</v>
      </c>
      <c r="E62" s="267" t="e">
        <f>ESTADO_DE_RESULTADOS!E28</f>
        <v>#DIV/0!</v>
      </c>
      <c r="F62" s="267" t="e">
        <f>ESTADO_DE_RESULTADOS!F28</f>
        <v>#DIV/0!</v>
      </c>
      <c r="G62" s="267">
        <f>ESTADO_DE_RESULTADOS!G29</f>
        <v>0</v>
      </c>
    </row>
    <row r="63" spans="1:8" x14ac:dyDescent="0.25">
      <c r="A63" s="262" t="s">
        <v>179</v>
      </c>
      <c r="B63" s="257" t="e">
        <f t="shared" ref="B63:G63" si="17">SUM(B61:B62)</f>
        <v>#DIV/0!</v>
      </c>
      <c r="C63" s="257" t="e">
        <f t="shared" si="17"/>
        <v>#DIV/0!</v>
      </c>
      <c r="D63" s="257" t="e">
        <f t="shared" si="17"/>
        <v>#DIV/0!</v>
      </c>
      <c r="E63" s="257" t="e">
        <f t="shared" si="17"/>
        <v>#DIV/0!</v>
      </c>
      <c r="F63" s="257" t="e">
        <f t="shared" si="17"/>
        <v>#DIV/0!</v>
      </c>
      <c r="G63" s="257">
        <f t="shared" si="17"/>
        <v>0</v>
      </c>
    </row>
    <row r="64" spans="1:8" x14ac:dyDescent="0.25">
      <c r="A64" s="266" t="s">
        <v>180</v>
      </c>
      <c r="B64" s="267" t="e">
        <f>NECESIDADES_DE_FINANCIACION!E21</f>
        <v>#DIV/0!</v>
      </c>
      <c r="C64" s="267" t="e">
        <f>NECESIDADES_DE_FINANCIACION!G28*-1</f>
        <v>#DIV/0!</v>
      </c>
      <c r="D64" s="267" t="e">
        <f>NECESIDADES_DE_FINANCIACION!G29*-1</f>
        <v>#DIV/0!</v>
      </c>
      <c r="E64" s="267" t="e">
        <f>NECESIDADES_DE_FINANCIACION!G30*-1</f>
        <v>#DIV/0!</v>
      </c>
      <c r="F64" s="267" t="e">
        <f>NECESIDADES_DE_FINANCIACION!G31*-1</f>
        <v>#DIV/0!</v>
      </c>
      <c r="G64" s="267" t="e">
        <f>NECESIDADES_DE_FINANCIACION!G32*-1</f>
        <v>#DIV/0!</v>
      </c>
    </row>
    <row r="65" spans="1:7" x14ac:dyDescent="0.25">
      <c r="A65" s="262" t="s">
        <v>181</v>
      </c>
      <c r="B65" s="257" t="e">
        <f t="shared" ref="B65:G65" si="18">B63+B64</f>
        <v>#DIV/0!</v>
      </c>
      <c r="C65" s="257" t="e">
        <f t="shared" si="18"/>
        <v>#DIV/0!</v>
      </c>
      <c r="D65" s="257" t="e">
        <f t="shared" si="18"/>
        <v>#DIV/0!</v>
      </c>
      <c r="E65" s="257" t="e">
        <f t="shared" si="18"/>
        <v>#DIV/0!</v>
      </c>
      <c r="F65" s="257" t="e">
        <f t="shared" si="18"/>
        <v>#DIV/0!</v>
      </c>
      <c r="G65" s="257" t="e">
        <f t="shared" si="18"/>
        <v>#DIV/0!</v>
      </c>
    </row>
    <row r="66" spans="1:7" ht="18.75" x14ac:dyDescent="0.3">
      <c r="A66" s="699" t="s">
        <v>182</v>
      </c>
      <c r="B66" s="700"/>
      <c r="C66" s="700"/>
      <c r="D66" s="700"/>
      <c r="E66" s="700"/>
      <c r="F66" s="700"/>
      <c r="G66" s="701"/>
    </row>
    <row r="67" spans="1:7" x14ac:dyDescent="0.25">
      <c r="A67" s="268" t="s">
        <v>183</v>
      </c>
      <c r="B67" s="269">
        <f>NECESIDADES_DE_FINANCIACION!E20</f>
        <v>0</v>
      </c>
      <c r="C67" s="269">
        <f>B67+FLUJO_DE_CAJA!B39</f>
        <v>0</v>
      </c>
      <c r="D67" s="269">
        <f>C67+FLUJO_DE_CAJA!C39</f>
        <v>0</v>
      </c>
      <c r="E67" s="269">
        <f>D67+FLUJO_DE_CAJA!D39</f>
        <v>0</v>
      </c>
      <c r="F67" s="269">
        <f>E67+FLUJO_DE_CAJA!E39</f>
        <v>0</v>
      </c>
      <c r="G67" s="269">
        <f>F67+FLUJO_DE_CAJA!F39</f>
        <v>0</v>
      </c>
    </row>
    <row r="68" spans="1:7" x14ac:dyDescent="0.25">
      <c r="A68" s="268" t="s">
        <v>184</v>
      </c>
      <c r="B68" s="269">
        <f>0</f>
        <v>0</v>
      </c>
      <c r="C68" s="269" t="e">
        <f>ESTADO_DE_RESULTADOS!B29</f>
        <v>#DIV/0!</v>
      </c>
      <c r="D68" s="269" t="e">
        <f>ESTADO_DE_RESULTADOS!C29</f>
        <v>#DIV/0!</v>
      </c>
      <c r="E68" s="269" t="e">
        <f>ESTADO_DE_RESULTADOS!D29</f>
        <v>#DIV/0!</v>
      </c>
      <c r="F68" s="269" t="e">
        <f>ESTADO_DE_RESULTADOS!E29</f>
        <v>#DIV/0!</v>
      </c>
      <c r="G68" s="269" t="e">
        <f>ESTADO_DE_RESULTADOS!F29</f>
        <v>#DIV/0!</v>
      </c>
    </row>
    <row r="69" spans="1:7" x14ac:dyDescent="0.25">
      <c r="A69" s="268" t="s">
        <v>185</v>
      </c>
      <c r="B69" s="269">
        <f>0</f>
        <v>0</v>
      </c>
      <c r="C69" s="269">
        <f>ESTADO_DE_RESULTADOS!B35</f>
        <v>0</v>
      </c>
      <c r="D69" s="269" t="e">
        <f>ESTADO_DE_RESULTADOS!C35</f>
        <v>#DIV/0!</v>
      </c>
      <c r="E69" s="269" t="e">
        <f>ESTADO_DE_RESULTADOS!D35</f>
        <v>#DIV/0!</v>
      </c>
      <c r="F69" s="269" t="e">
        <f>ESTADO_DE_RESULTADOS!E35</f>
        <v>#DIV/0!</v>
      </c>
      <c r="G69" s="269" t="e">
        <f>ESTADO_DE_RESULTADOS!F35</f>
        <v>#DIV/0!</v>
      </c>
    </row>
    <row r="70" spans="1:7" x14ac:dyDescent="0.25">
      <c r="A70" s="268" t="s">
        <v>186</v>
      </c>
      <c r="B70" s="269">
        <f>0</f>
        <v>0</v>
      </c>
      <c r="C70" s="269" t="e">
        <f>ESTADO_DE_RESULTADOS!B31</f>
        <v>#DIV/0!</v>
      </c>
      <c r="D70" s="269" t="e">
        <f>ESTADO_DE_RESULTADOS!C31</f>
        <v>#DIV/0!</v>
      </c>
      <c r="E70" s="269" t="e">
        <f>ESTADO_DE_RESULTADOS!D31</f>
        <v>#DIV/0!</v>
      </c>
      <c r="F70" s="269" t="e">
        <f>ESTADO_DE_RESULTADOS!E31</f>
        <v>#DIV/0!</v>
      </c>
      <c r="G70" s="269" t="e">
        <f>ESTADO_DE_RESULTADOS!F31</f>
        <v>#DIV/0!</v>
      </c>
    </row>
    <row r="71" spans="1:7" x14ac:dyDescent="0.25">
      <c r="A71" s="268" t="s">
        <v>187</v>
      </c>
      <c r="B71" s="269">
        <f>0</f>
        <v>0</v>
      </c>
      <c r="C71" s="269"/>
      <c r="D71" s="269"/>
      <c r="E71" s="269"/>
      <c r="F71" s="269"/>
      <c r="G71" s="270"/>
    </row>
    <row r="72" spans="1:7" x14ac:dyDescent="0.25">
      <c r="A72" s="262" t="s">
        <v>188</v>
      </c>
      <c r="B72" s="257">
        <f t="shared" ref="B72:G72" si="19">B67+B68+B69+B70+B71</f>
        <v>0</v>
      </c>
      <c r="C72" s="257" t="e">
        <f t="shared" si="19"/>
        <v>#DIV/0!</v>
      </c>
      <c r="D72" s="257" t="e">
        <f t="shared" si="19"/>
        <v>#DIV/0!</v>
      </c>
      <c r="E72" s="257" t="e">
        <f t="shared" si="19"/>
        <v>#DIV/0!</v>
      </c>
      <c r="F72" s="257" t="e">
        <f t="shared" si="19"/>
        <v>#DIV/0!</v>
      </c>
      <c r="G72" s="257" t="e">
        <f t="shared" si="19"/>
        <v>#DIV/0!</v>
      </c>
    </row>
    <row r="73" spans="1:7" x14ac:dyDescent="0.25">
      <c r="A73" s="271"/>
      <c r="B73" s="150"/>
      <c r="C73" s="150"/>
      <c r="D73" s="150"/>
      <c r="E73" s="150"/>
      <c r="F73" s="150"/>
      <c r="G73" s="272"/>
    </row>
    <row r="74" spans="1:7" ht="15.75" thickBot="1" x14ac:dyDescent="0.3">
      <c r="A74" s="264" t="s">
        <v>189</v>
      </c>
      <c r="B74" s="265" t="e">
        <f t="shared" ref="B74:G74" si="20">B65+B72</f>
        <v>#DIV/0!</v>
      </c>
      <c r="C74" s="265" t="e">
        <f t="shared" si="20"/>
        <v>#DIV/0!</v>
      </c>
      <c r="D74" s="265" t="e">
        <f t="shared" si="20"/>
        <v>#DIV/0!</v>
      </c>
      <c r="E74" s="265" t="e">
        <f t="shared" si="20"/>
        <v>#DIV/0!</v>
      </c>
      <c r="F74" s="265" t="e">
        <f t="shared" si="20"/>
        <v>#DIV/0!</v>
      </c>
      <c r="G74" s="265" t="e">
        <f t="shared" si="20"/>
        <v>#DIV/0!</v>
      </c>
    </row>
    <row r="76" spans="1:7" x14ac:dyDescent="0.25">
      <c r="A76" s="273" t="s">
        <v>190</v>
      </c>
      <c r="B76" s="274" t="e">
        <f t="shared" ref="B76:G76" si="21">B74-B57</f>
        <v>#DIV/0!</v>
      </c>
      <c r="C76" s="274" t="e">
        <f t="shared" si="21"/>
        <v>#DIV/0!</v>
      </c>
      <c r="D76" s="274" t="e">
        <f t="shared" si="21"/>
        <v>#DIV/0!</v>
      </c>
      <c r="E76" s="274" t="e">
        <f t="shared" si="21"/>
        <v>#DIV/0!</v>
      </c>
      <c r="F76" s="274" t="e">
        <f t="shared" si="21"/>
        <v>#DIV/0!</v>
      </c>
      <c r="G76" s="274" t="e">
        <f t="shared" si="21"/>
        <v>#DIV/0!</v>
      </c>
    </row>
  </sheetData>
  <sheetProtection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Normal="100" workbookViewId="0">
      <selection activeCell="I17" sqref="I17"/>
    </sheetView>
  </sheetViews>
  <sheetFormatPr baseColWidth="10" defaultRowHeight="15" x14ac:dyDescent="0.25"/>
  <cols>
    <col min="1" max="1" width="33.28515625" style="139" bestFit="1" customWidth="1"/>
    <col min="2" max="2" width="16.28515625" style="139" customWidth="1"/>
    <col min="3" max="3" width="18.5703125" style="139" customWidth="1"/>
    <col min="4" max="4" width="16.85546875" style="139" customWidth="1"/>
    <col min="5" max="5" width="15.42578125" style="139" customWidth="1"/>
    <col min="6" max="6" width="15.7109375" style="139" customWidth="1"/>
    <col min="7" max="7" width="11.42578125" style="139"/>
    <col min="8" max="8" width="32.28515625" style="139" bestFit="1" customWidth="1"/>
    <col min="9" max="16384" width="11.42578125" style="139"/>
  </cols>
  <sheetData>
    <row r="2" spans="1:9" ht="15.75" thickBot="1" x14ac:dyDescent="0.3"/>
    <row r="3" spans="1:9" ht="37.5" x14ac:dyDescent="0.25">
      <c r="A3" s="287" t="s">
        <v>191</v>
      </c>
      <c r="B3" s="295">
        <f>BASES!D7</f>
        <v>2021</v>
      </c>
      <c r="C3" s="295">
        <f>BASES!E7</f>
        <v>2022</v>
      </c>
      <c r="D3" s="295">
        <f>BASES!F7</f>
        <v>2023</v>
      </c>
      <c r="E3" s="295">
        <f>BASES!G7</f>
        <v>2024</v>
      </c>
      <c r="F3" s="295">
        <f>BASES!H7</f>
        <v>2025</v>
      </c>
      <c r="G3" s="224"/>
    </row>
    <row r="4" spans="1:9" x14ac:dyDescent="0.25">
      <c r="A4" s="276" t="s">
        <v>192</v>
      </c>
      <c r="B4" s="437">
        <f>'CTOS_VS_ING_OPER-INV_INFRAEST'!G12</f>
        <v>0</v>
      </c>
      <c r="C4" s="437">
        <f>'CTOS_VS_ING_OPER-INV_INFRAEST'!I12</f>
        <v>0</v>
      </c>
      <c r="D4" s="437">
        <f>'CTOS_VS_ING_OPER-INV_INFRAEST'!K12</f>
        <v>0</v>
      </c>
      <c r="E4" s="437">
        <f>'CTOS_VS_ING_OPER-INV_INFRAEST'!M12</f>
        <v>0</v>
      </c>
      <c r="F4" s="437">
        <f>'CTOS_VS_ING_OPER-INV_INFRAEST'!O12</f>
        <v>0</v>
      </c>
    </row>
    <row r="5" spans="1:9" x14ac:dyDescent="0.25">
      <c r="A5" s="276" t="s">
        <v>193</v>
      </c>
      <c r="B5" s="277">
        <f>B4*$I$12</f>
        <v>0</v>
      </c>
      <c r="C5" s="277">
        <f>C4*$I$12</f>
        <v>0</v>
      </c>
      <c r="D5" s="277">
        <f>D4*$I$12</f>
        <v>0</v>
      </c>
      <c r="E5" s="277">
        <f>E4*$I$12</f>
        <v>0</v>
      </c>
      <c r="F5" s="277">
        <f>F4*$I$12</f>
        <v>0</v>
      </c>
    </row>
    <row r="6" spans="1:9" x14ac:dyDescent="0.25">
      <c r="A6" s="276" t="s">
        <v>194</v>
      </c>
      <c r="B6" s="437">
        <f>COSTOS_DE_PRODUCCION!D182</f>
        <v>0</v>
      </c>
      <c r="C6" s="437">
        <f>COSTOS_DE_PRODUCCION!F182</f>
        <v>0</v>
      </c>
      <c r="D6" s="437">
        <f>COSTOS_DE_PRODUCCION!G182</f>
        <v>0</v>
      </c>
      <c r="E6" s="437">
        <f>COSTOS_DE_PRODUCCION!H182</f>
        <v>0</v>
      </c>
      <c r="F6" s="437">
        <f>COSTOS_DE_PRODUCCION!I182</f>
        <v>0</v>
      </c>
      <c r="G6" s="402"/>
    </row>
    <row r="7" spans="1:9" x14ac:dyDescent="0.25">
      <c r="A7" s="276" t="s">
        <v>34</v>
      </c>
      <c r="B7" s="437">
        <f>'CTOS_VS_ING_OPER-INV_INFRAEST'!G412</f>
        <v>0</v>
      </c>
      <c r="C7" s="437">
        <f>'CTOS_VS_ING_OPER-INV_INFRAEST'!H412</f>
        <v>0</v>
      </c>
      <c r="D7" s="437">
        <f>'CTOS_VS_ING_OPER-INV_INFRAEST'!I412</f>
        <v>0</v>
      </c>
      <c r="E7" s="437">
        <f>'CTOS_VS_ING_OPER-INV_INFRAEST'!J412</f>
        <v>0</v>
      </c>
      <c r="F7" s="437">
        <f>'CTOS_VS_ING_OPER-INV_INFRAEST'!K412</f>
        <v>0</v>
      </c>
      <c r="G7" s="256"/>
    </row>
    <row r="8" spans="1:9" ht="15.75" thickBot="1" x14ac:dyDescent="0.3">
      <c r="A8" s="276" t="s">
        <v>195</v>
      </c>
      <c r="B8" s="437">
        <f>'CTOS_VS_ING_OPER-INV_INFRAEST'!G413</f>
        <v>0</v>
      </c>
      <c r="C8" s="437">
        <f>'CTOS_VS_ING_OPER-INV_INFRAEST'!H413</f>
        <v>0</v>
      </c>
      <c r="D8" s="437">
        <f>'CTOS_VS_ING_OPER-INV_INFRAEST'!I413</f>
        <v>0</v>
      </c>
      <c r="E8" s="437">
        <f>'CTOS_VS_ING_OPER-INV_INFRAEST'!J413</f>
        <v>0</v>
      </c>
      <c r="F8" s="437">
        <f>'CTOS_VS_ING_OPER-INV_INFRAEST'!K413</f>
        <v>0</v>
      </c>
      <c r="G8" s="256"/>
    </row>
    <row r="9" spans="1:9" x14ac:dyDescent="0.25">
      <c r="A9" s="288" t="s">
        <v>196</v>
      </c>
      <c r="B9" s="442">
        <f>B4-B5-B6-B7-B8</f>
        <v>0</v>
      </c>
      <c r="C9" s="442">
        <f>C4-C5-C6-C7-C8</f>
        <v>0</v>
      </c>
      <c r="D9" s="442">
        <f>D4-D5-D6-D7-D8</f>
        <v>0</v>
      </c>
      <c r="E9" s="442">
        <f>E4-E5-E6-E7-E8</f>
        <v>0</v>
      </c>
      <c r="F9" s="442">
        <f>F4-F5-F6-F7-F8</f>
        <v>0</v>
      </c>
      <c r="H9" s="292" t="s">
        <v>211</v>
      </c>
      <c r="I9" s="290">
        <v>0</v>
      </c>
    </row>
    <row r="10" spans="1:9" x14ac:dyDescent="0.25">
      <c r="A10" s="276" t="s">
        <v>197</v>
      </c>
      <c r="B10" s="437">
        <f>CUADRO_DE_COSTOS_Y_GASTOS_FIJOS!C6+CUADRO_DE_COSTOS_Y_GASTOS_FIJOS!C8</f>
        <v>0</v>
      </c>
      <c r="C10" s="437">
        <f>CUADRO_DE_COSTOS_Y_GASTOS_FIJOS!D6+CUADRO_DE_COSTOS_Y_GASTOS_FIJOS!D8</f>
        <v>0</v>
      </c>
      <c r="D10" s="437">
        <f>CUADRO_DE_COSTOS_Y_GASTOS_FIJOS!E6+CUADRO_DE_COSTOS_Y_GASTOS_FIJOS!E8</f>
        <v>0</v>
      </c>
      <c r="E10" s="437">
        <f>CUADRO_DE_COSTOS_Y_GASTOS_FIJOS!F6+CUADRO_DE_COSTOS_Y_GASTOS_FIJOS!F8</f>
        <v>0</v>
      </c>
      <c r="F10" s="437">
        <f>CUADRO_DE_COSTOS_Y_GASTOS_FIJOS!G6+CUADRO_DE_COSTOS_Y_GASTOS_FIJOS!G8</f>
        <v>0</v>
      </c>
      <c r="H10" s="293" t="s">
        <v>212</v>
      </c>
      <c r="I10" s="291">
        <v>0</v>
      </c>
    </row>
    <row r="11" spans="1:9" x14ac:dyDescent="0.25">
      <c r="A11" s="276" t="s">
        <v>198</v>
      </c>
      <c r="B11" s="437">
        <f>CUADRO_DE_COSTOS_Y_GASTOS_FIJOS!C5+CUADRO_DE_COSTOS_Y_GASTOS_FIJOS!C9</f>
        <v>0</v>
      </c>
      <c r="C11" s="437">
        <f>CUADRO_DE_COSTOS_Y_GASTOS_FIJOS!D5+CUADRO_DE_COSTOS_Y_GASTOS_FIJOS!D9</f>
        <v>0</v>
      </c>
      <c r="D11" s="437">
        <f>CUADRO_DE_COSTOS_Y_GASTOS_FIJOS!E5+CUADRO_DE_COSTOS_Y_GASTOS_FIJOS!E9</f>
        <v>0</v>
      </c>
      <c r="E11" s="437">
        <f>CUADRO_DE_COSTOS_Y_GASTOS_FIJOS!F5+CUADRO_DE_COSTOS_Y_GASTOS_FIJOS!F9</f>
        <v>0</v>
      </c>
      <c r="F11" s="437">
        <f>CUADRO_DE_COSTOS_Y_GASTOS_FIJOS!G5+CUADRO_DE_COSTOS_Y_GASTOS_FIJOS!G9</f>
        <v>0</v>
      </c>
      <c r="H11" s="293" t="s">
        <v>213</v>
      </c>
      <c r="I11" s="291">
        <v>0</v>
      </c>
    </row>
    <row r="12" spans="1:9" x14ac:dyDescent="0.25">
      <c r="A12" s="276" t="s">
        <v>199</v>
      </c>
      <c r="B12" s="437">
        <f>CUADRO_DE_COSTOS_Y_GASTOS_FIJOS!C7</f>
        <v>0</v>
      </c>
      <c r="C12" s="437">
        <f>CUADRO_DE_COSTOS_Y_GASTOS_FIJOS!D7</f>
        <v>0</v>
      </c>
      <c r="D12" s="437">
        <f>CUADRO_DE_COSTOS_Y_GASTOS_FIJOS!E7</f>
        <v>0</v>
      </c>
      <c r="E12" s="437">
        <f>CUADRO_DE_COSTOS_Y_GASTOS_FIJOS!F7</f>
        <v>0</v>
      </c>
      <c r="F12" s="437">
        <f>CUADRO_DE_COSTOS_Y_GASTOS_FIJOS!G7</f>
        <v>0</v>
      </c>
      <c r="H12" s="293" t="s">
        <v>214</v>
      </c>
      <c r="I12" s="291">
        <v>0</v>
      </c>
    </row>
    <row r="13" spans="1:9" x14ac:dyDescent="0.25">
      <c r="A13" s="276" t="s">
        <v>200</v>
      </c>
      <c r="B13" s="437">
        <f>B4*BASES!$H$14</f>
        <v>0</v>
      </c>
      <c r="C13" s="437">
        <f>C4*BASES!$H$14</f>
        <v>0</v>
      </c>
      <c r="D13" s="437">
        <f>D4*BASES!$H$14</f>
        <v>0</v>
      </c>
      <c r="E13" s="437">
        <f>E4*BASES!$H$14</f>
        <v>0</v>
      </c>
      <c r="F13" s="437">
        <f>F4*BASES!$H$14</f>
        <v>0</v>
      </c>
      <c r="H13" s="293" t="s">
        <v>215</v>
      </c>
      <c r="I13" s="291">
        <v>0</v>
      </c>
    </row>
    <row r="14" spans="1:9" ht="13.9" customHeight="1" thickBot="1" x14ac:dyDescent="0.3">
      <c r="A14" s="276" t="s">
        <v>201</v>
      </c>
      <c r="B14" s="437">
        <f>B4*$I$13</f>
        <v>0</v>
      </c>
      <c r="C14" s="437">
        <f>C4*$I$13</f>
        <v>0</v>
      </c>
      <c r="D14" s="437">
        <f>D4*$I$13</f>
        <v>0</v>
      </c>
      <c r="E14" s="437">
        <f>E4*$I$13</f>
        <v>0</v>
      </c>
      <c r="F14" s="437">
        <f>F4*$I$13</f>
        <v>0</v>
      </c>
      <c r="H14" s="264" t="s">
        <v>216</v>
      </c>
      <c r="I14" s="444">
        <v>0</v>
      </c>
    </row>
    <row r="15" spans="1:9" ht="19.149999999999999" hidden="1" customHeight="1" x14ac:dyDescent="0.25">
      <c r="A15" s="443" t="s">
        <v>312</v>
      </c>
      <c r="B15" s="277"/>
      <c r="C15" s="277"/>
      <c r="D15" s="277"/>
      <c r="E15" s="277"/>
      <c r="F15" s="279"/>
    </row>
    <row r="16" spans="1:9" x14ac:dyDescent="0.25">
      <c r="A16" s="288" t="s">
        <v>202</v>
      </c>
      <c r="B16" s="442">
        <f>B9-SUM(B10:B15)</f>
        <v>0</v>
      </c>
      <c r="C16" s="442">
        <f>C9-SUM(C10:C15)</f>
        <v>0</v>
      </c>
      <c r="D16" s="442">
        <f>D9-SUM(D10:D15)</f>
        <v>0</v>
      </c>
      <c r="E16" s="442">
        <f>E9-SUM(E10:E15)</f>
        <v>0</v>
      </c>
      <c r="F16" s="442">
        <f>F9-SUM(F10:F15)</f>
        <v>0</v>
      </c>
      <c r="H16" s="280"/>
      <c r="I16" s="281"/>
    </row>
    <row r="17" spans="1:6" x14ac:dyDescent="0.25">
      <c r="A17" s="278" t="s">
        <v>313</v>
      </c>
      <c r="B17" s="277"/>
      <c r="C17" s="277"/>
      <c r="D17" s="277"/>
      <c r="E17" s="277"/>
      <c r="F17" s="279"/>
    </row>
    <row r="18" spans="1:6" x14ac:dyDescent="0.25">
      <c r="A18" s="276" t="s">
        <v>203</v>
      </c>
      <c r="B18" s="437" t="e">
        <f>NECESIDADES_DE_FINANCIACION!F28</f>
        <v>#DIV/0!</v>
      </c>
      <c r="C18" s="437" t="e">
        <f>NECESIDADES_DE_FINANCIACION!F29</f>
        <v>#DIV/0!</v>
      </c>
      <c r="D18" s="437" t="e">
        <f>NECESIDADES_DE_FINANCIACION!F30</f>
        <v>#DIV/0!</v>
      </c>
      <c r="E18" s="437" t="e">
        <f>NECESIDADES_DE_FINANCIACION!F31</f>
        <v>#DIV/0!</v>
      </c>
      <c r="F18" s="438" t="e">
        <f>NECESIDADES_DE_FINANCIACION!F32</f>
        <v>#DIV/0!</v>
      </c>
    </row>
    <row r="19" spans="1:6" x14ac:dyDescent="0.25">
      <c r="A19" s="276" t="s">
        <v>204</v>
      </c>
      <c r="B19" s="437" t="e">
        <f>NECESIDADES_DE_FINANCIACION!E28</f>
        <v>#DIV/0!</v>
      </c>
      <c r="C19" s="437" t="e">
        <f>B19</f>
        <v>#DIV/0!</v>
      </c>
      <c r="D19" s="437" t="e">
        <f>C19</f>
        <v>#DIV/0!</v>
      </c>
      <c r="E19" s="437" t="e">
        <f>D19</f>
        <v>#DIV/0!</v>
      </c>
      <c r="F19" s="437" t="e">
        <f>E19</f>
        <v>#DIV/0!</v>
      </c>
    </row>
    <row r="20" spans="1:6" x14ac:dyDescent="0.25">
      <c r="A20" s="276" t="s">
        <v>205</v>
      </c>
      <c r="B20" s="437" t="e">
        <f>B17+B18+B19</f>
        <v>#DIV/0!</v>
      </c>
      <c r="C20" s="437" t="e">
        <f>C17+C18+C19</f>
        <v>#DIV/0!</v>
      </c>
      <c r="D20" s="437" t="e">
        <f>D17+D18+D19</f>
        <v>#DIV/0!</v>
      </c>
      <c r="E20" s="437" t="e">
        <f>E17+E18+E19</f>
        <v>#DIV/0!</v>
      </c>
      <c r="F20" s="437" t="e">
        <f>F17+F18+F19</f>
        <v>#DIV/0!</v>
      </c>
    </row>
    <row r="21" spans="1:6" hidden="1" x14ac:dyDescent="0.25">
      <c r="A21" s="282" t="s">
        <v>314</v>
      </c>
      <c r="B21" s="439">
        <v>0</v>
      </c>
      <c r="C21" s="439">
        <v>0</v>
      </c>
      <c r="D21" s="439">
        <v>0</v>
      </c>
      <c r="E21" s="439">
        <v>0</v>
      </c>
      <c r="F21" s="440">
        <v>0</v>
      </c>
    </row>
    <row r="22" spans="1:6" hidden="1" x14ac:dyDescent="0.25">
      <c r="A22" s="282" t="s">
        <v>315</v>
      </c>
      <c r="B22" s="439">
        <v>0</v>
      </c>
      <c r="C22" s="439">
        <v>0</v>
      </c>
      <c r="D22" s="439">
        <v>0</v>
      </c>
      <c r="E22" s="439">
        <v>0</v>
      </c>
      <c r="F22" s="440">
        <v>0</v>
      </c>
    </row>
    <row r="23" spans="1:6" hidden="1" x14ac:dyDescent="0.25">
      <c r="A23" s="282" t="s">
        <v>316</v>
      </c>
      <c r="B23" s="439">
        <v>0</v>
      </c>
      <c r="C23" s="439">
        <v>0</v>
      </c>
      <c r="D23" s="439">
        <v>0</v>
      </c>
      <c r="E23" s="439">
        <v>0</v>
      </c>
      <c r="F23" s="440">
        <v>0</v>
      </c>
    </row>
    <row r="24" spans="1:6" hidden="1" x14ac:dyDescent="0.25">
      <c r="A24" s="282" t="s">
        <v>317</v>
      </c>
      <c r="B24" s="439">
        <v>0</v>
      </c>
      <c r="C24" s="439">
        <v>0</v>
      </c>
      <c r="D24" s="439">
        <v>0</v>
      </c>
      <c r="E24" s="439">
        <v>0</v>
      </c>
      <c r="F24" s="440">
        <v>0</v>
      </c>
    </row>
    <row r="25" spans="1:6" hidden="1" x14ac:dyDescent="0.25">
      <c r="A25" s="282" t="s">
        <v>318</v>
      </c>
      <c r="B25" s="439">
        <v>0</v>
      </c>
      <c r="C25" s="439">
        <v>0</v>
      </c>
      <c r="D25" s="439">
        <v>0</v>
      </c>
      <c r="E25" s="439">
        <v>0</v>
      </c>
      <c r="F25" s="440">
        <v>0</v>
      </c>
    </row>
    <row r="26" spans="1:6" hidden="1" x14ac:dyDescent="0.25">
      <c r="A26" s="283" t="s">
        <v>319</v>
      </c>
      <c r="B26" s="439">
        <f>B21+B22+B23+B24+B25</f>
        <v>0</v>
      </c>
      <c r="C26" s="439">
        <f>C21+C22+C23+C24+C25</f>
        <v>0</v>
      </c>
      <c r="D26" s="439">
        <f>D21+D22+D23+D24+D25</f>
        <v>0</v>
      </c>
      <c r="E26" s="439">
        <f>E21+E22+E23+E24+E25</f>
        <v>0</v>
      </c>
      <c r="F26" s="439">
        <f>F21+F22+F23+F24+F25</f>
        <v>0</v>
      </c>
    </row>
    <row r="27" spans="1:6" x14ac:dyDescent="0.25">
      <c r="A27" s="288" t="s">
        <v>206</v>
      </c>
      <c r="B27" s="442" t="e">
        <f>B16+B20+B26</f>
        <v>#DIV/0!</v>
      </c>
      <c r="C27" s="442" t="e">
        <f>C16+C20+C26</f>
        <v>#DIV/0!</v>
      </c>
      <c r="D27" s="442" t="e">
        <f>D16+D20+D26</f>
        <v>#DIV/0!</v>
      </c>
      <c r="E27" s="442" t="e">
        <f>E16+E20+E26</f>
        <v>#DIV/0!</v>
      </c>
      <c r="F27" s="442" t="e">
        <f>F16+F20+F26</f>
        <v>#DIV/0!</v>
      </c>
    </row>
    <row r="28" spans="1:6" x14ac:dyDescent="0.25">
      <c r="A28" s="276" t="s">
        <v>207</v>
      </c>
      <c r="B28" s="437" t="e">
        <f>IF(B27*$I$9&lt;0,0,B27*$I$9)</f>
        <v>#DIV/0!</v>
      </c>
      <c r="C28" s="437" t="e">
        <f>IF(C27*$I$9&lt;0,0,C27*$I$9)</f>
        <v>#DIV/0!</v>
      </c>
      <c r="D28" s="437" t="e">
        <f>IF(D27*$I$9&lt;0,0,D27*$I$9)</f>
        <v>#DIV/0!</v>
      </c>
      <c r="E28" s="437" t="e">
        <f>IF(E27*$I$9&lt;0,0,E27*$I$9)</f>
        <v>#DIV/0!</v>
      </c>
      <c r="F28" s="437" t="e">
        <f>IF(F27*$I$9&lt;0,0,F27*$I$9)</f>
        <v>#DIV/0!</v>
      </c>
    </row>
    <row r="29" spans="1:6" x14ac:dyDescent="0.25">
      <c r="A29" s="276" t="s">
        <v>208</v>
      </c>
      <c r="B29" s="437" t="e">
        <f>IF(B27*$I$10=0,0,B27*$I$10)</f>
        <v>#DIV/0!</v>
      </c>
      <c r="C29" s="437" t="e">
        <f>IF(C27*$I$10=0,0,C27*$I$10)</f>
        <v>#DIV/0!</v>
      </c>
      <c r="D29" s="437" t="e">
        <f>IF(D27*$I$10=0,0,D27*$I$10)</f>
        <v>#DIV/0!</v>
      </c>
      <c r="E29" s="437" t="e">
        <f>IF(E27*$I$10=0,0,E27*$I$10)</f>
        <v>#DIV/0!</v>
      </c>
      <c r="F29" s="437" t="e">
        <f>IF(F27*$I$10=0,0,F27*$I$10)</f>
        <v>#DIV/0!</v>
      </c>
    </row>
    <row r="30" spans="1:6" x14ac:dyDescent="0.25">
      <c r="A30" s="276" t="s">
        <v>209</v>
      </c>
      <c r="B30" s="437" t="e">
        <f>IF(B27*$I$11&lt;0,0,B27*$I$11)</f>
        <v>#DIV/0!</v>
      </c>
      <c r="C30" s="437" t="e">
        <f>IF(C27*$I$11&lt;0,0,C27*$I$11)</f>
        <v>#DIV/0!</v>
      </c>
      <c r="D30" s="437" t="e">
        <f>IF(D27*$I$11&lt;0,0,D27*$I$11)</f>
        <v>#DIV/0!</v>
      </c>
      <c r="E30" s="437" t="e">
        <f>IF(E27*$I$11&lt;0,0,E27*$I$11)</f>
        <v>#DIV/0!</v>
      </c>
      <c r="F30" s="437" t="e">
        <f>IF(F27*$I$11&lt;0,0,F27*$I$11)</f>
        <v>#DIV/0!</v>
      </c>
    </row>
    <row r="31" spans="1:6" ht="15.75" thickBot="1" x14ac:dyDescent="0.3">
      <c r="A31" s="289" t="s">
        <v>210</v>
      </c>
      <c r="B31" s="441" t="e">
        <f>B27-B28-B29-B30</f>
        <v>#DIV/0!</v>
      </c>
      <c r="C31" s="441" t="e">
        <f>C27-C28-C29-C30</f>
        <v>#DIV/0!</v>
      </c>
      <c r="D31" s="441" t="e">
        <f>D27-D28-D29-D30</f>
        <v>#DIV/0!</v>
      </c>
      <c r="E31" s="441" t="e">
        <f>E27-E28-E29-E30</f>
        <v>#DIV/0!</v>
      </c>
      <c r="F31" s="441" t="e">
        <f>F27-F28-F29-F30</f>
        <v>#DIV/0!</v>
      </c>
    </row>
    <row r="35" spans="1:6" ht="15" hidden="1" customHeight="1" x14ac:dyDescent="0.25">
      <c r="A35" s="284" t="s">
        <v>185</v>
      </c>
      <c r="B35" s="285">
        <v>0</v>
      </c>
      <c r="C35" s="285" t="e">
        <f>B31-B36</f>
        <v>#DIV/0!</v>
      </c>
      <c r="D35" s="285" t="e">
        <f>C31-C36</f>
        <v>#DIV/0!</v>
      </c>
      <c r="E35" s="285" t="e">
        <f>D31-D36</f>
        <v>#DIV/0!</v>
      </c>
      <c r="F35" s="285" t="e">
        <f>E31-E36</f>
        <v>#DIV/0!</v>
      </c>
    </row>
    <row r="36" spans="1:6" hidden="1" x14ac:dyDescent="0.25">
      <c r="A36" s="284" t="s">
        <v>216</v>
      </c>
      <c r="B36" s="286" t="e">
        <f>IF(B31*$I$14&lt;0,0,B31*$I$14)</f>
        <v>#DIV/0!</v>
      </c>
      <c r="C36" s="286" t="e">
        <f>IF(C31*$I$14&lt;0,0,C31*$I$14)</f>
        <v>#DIV/0!</v>
      </c>
      <c r="D36" s="286" t="e">
        <f>IF(D31*$I$14&lt;0,0,D31*$I$14)</f>
        <v>#DIV/0!</v>
      </c>
      <c r="E36" s="286" t="e">
        <f>IF(E31*$I$14&lt;0,0,E31*$I$14)</f>
        <v>#DIV/0!</v>
      </c>
      <c r="F36" s="286" t="e">
        <f>IF(F31*$I$14&lt;0,0,F31*$I$14)</f>
        <v>#DIV/0!</v>
      </c>
    </row>
  </sheetData>
  <sheetProtection algorithmName="SHA-512" hashValue="m6Esi0dG1xYTsjOeS2dmlVlyj7juZ5z8B7/aWGkLSOaJtouDh1jqyvRWFNBOsUTNM+2TXX/GMdwYKKsiBG/Bjg==" saltValue="pL8VzOnkOw2fzbdJajnaD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zoomScaleNormal="100" workbookViewId="0">
      <selection activeCell="B45" sqref="B45"/>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3" t="s">
        <v>217</v>
      </c>
      <c r="B6" s="304">
        <f>BASES!D7</f>
        <v>2021</v>
      </c>
      <c r="C6" s="304">
        <f>BASES!E7</f>
        <v>2022</v>
      </c>
      <c r="D6" s="304">
        <f>BASES!F7</f>
        <v>2023</v>
      </c>
      <c r="E6" s="304">
        <f>BASES!G7</f>
        <v>2024</v>
      </c>
      <c r="F6" s="304">
        <f>BASES!H7</f>
        <v>2025</v>
      </c>
    </row>
    <row r="7" spans="1:7" ht="18.75" x14ac:dyDescent="0.25">
      <c r="A7" s="709" t="s">
        <v>218</v>
      </c>
      <c r="B7" s="710"/>
      <c r="C7" s="710"/>
      <c r="D7" s="710"/>
      <c r="E7" s="710"/>
      <c r="F7" s="711"/>
    </row>
    <row r="8" spans="1:7" x14ac:dyDescent="0.25">
      <c r="A8" s="296" t="s">
        <v>219</v>
      </c>
      <c r="B8" s="412">
        <f>ESTADO_DE_RESULTADOS!B16</f>
        <v>0</v>
      </c>
      <c r="C8" s="412">
        <f>ESTADO_DE_RESULTADOS!C16</f>
        <v>0</v>
      </c>
      <c r="D8" s="412">
        <f>ESTADO_DE_RESULTADOS!D16</f>
        <v>0</v>
      </c>
      <c r="E8" s="412">
        <f>ESTADO_DE_RESULTADOS!E16</f>
        <v>0</v>
      </c>
      <c r="F8" s="412">
        <f>ESTADO_DE_RESULTADOS!F16</f>
        <v>0</v>
      </c>
    </row>
    <row r="9" spans="1:7" x14ac:dyDescent="0.25">
      <c r="A9" s="296" t="s">
        <v>220</v>
      </c>
      <c r="B9" s="412">
        <f>'CTOS_VS_ING_OPER-INV_INFRAEST'!G412</f>
        <v>0</v>
      </c>
      <c r="C9" s="412">
        <f>'CTOS_VS_ING_OPER-INV_INFRAEST'!H412</f>
        <v>0</v>
      </c>
      <c r="D9" s="412">
        <f>'CTOS_VS_ING_OPER-INV_INFRAEST'!I412</f>
        <v>0</v>
      </c>
      <c r="E9" s="412">
        <f>'CTOS_VS_ING_OPER-INV_INFRAEST'!J412</f>
        <v>0</v>
      </c>
      <c r="F9" s="412">
        <f>'CTOS_VS_ING_OPER-INV_INFRAEST'!K412</f>
        <v>0</v>
      </c>
      <c r="G9" s="402"/>
    </row>
    <row r="10" spans="1:7" x14ac:dyDescent="0.25">
      <c r="A10" s="296" t="s">
        <v>221</v>
      </c>
      <c r="B10" s="412">
        <f>'CTOS_VS_ING_OPER-INV_INFRAEST'!G413</f>
        <v>0</v>
      </c>
      <c r="C10" s="412">
        <f>'CTOS_VS_ING_OPER-INV_INFRAEST'!H413</f>
        <v>0</v>
      </c>
      <c r="D10" s="412">
        <f>'CTOS_VS_ING_OPER-INV_INFRAEST'!I413</f>
        <v>0</v>
      </c>
      <c r="E10" s="412">
        <f>'CTOS_VS_ING_OPER-INV_INFRAEST'!J413</f>
        <v>0</v>
      </c>
      <c r="F10" s="412">
        <f>'CTOS_VS_ING_OPER-INV_INFRAEST'!K413</f>
        <v>0</v>
      </c>
      <c r="G10" s="402"/>
    </row>
    <row r="11" spans="1:7" x14ac:dyDescent="0.25">
      <c r="A11" s="296" t="s">
        <v>201</v>
      </c>
      <c r="B11" s="412">
        <f>ESTADO_DE_RESULTADOS!B14</f>
        <v>0</v>
      </c>
      <c r="C11" s="412">
        <f>ESTADO_DE_RESULTADOS!C14</f>
        <v>0</v>
      </c>
      <c r="D11" s="412">
        <f>ESTADO_DE_RESULTADOS!D14</f>
        <v>0</v>
      </c>
      <c r="E11" s="412">
        <f>ESTADO_DE_RESULTADOS!E14</f>
        <v>0</v>
      </c>
      <c r="F11" s="412">
        <f>ESTADO_DE_RESULTADOS!F14</f>
        <v>0</v>
      </c>
    </row>
    <row r="12" spans="1:7" x14ac:dyDescent="0.25">
      <c r="A12" s="296" t="s">
        <v>222</v>
      </c>
      <c r="B12" s="412"/>
      <c r="C12" s="412" t="e">
        <f>ESTADO_DE_RESULTADOS!B28*-1</f>
        <v>#DIV/0!</v>
      </c>
      <c r="D12" s="412" t="e">
        <f>ESTADO_DE_RESULTADOS!C28*-1</f>
        <v>#DIV/0!</v>
      </c>
      <c r="E12" s="412" t="e">
        <f>ESTADO_DE_RESULTADOS!D28*-1</f>
        <v>#DIV/0!</v>
      </c>
      <c r="F12" s="412" t="e">
        <f>ESTADO_DE_RESULTADOS!E28*-1</f>
        <v>#DIV/0!</v>
      </c>
    </row>
    <row r="13" spans="1:7" ht="15.75" thickBot="1" x14ac:dyDescent="0.3">
      <c r="A13" s="297" t="s">
        <v>223</v>
      </c>
      <c r="B13" s="413">
        <f>SUM(B8:B12)</f>
        <v>0</v>
      </c>
      <c r="C13" s="413" t="e">
        <f>SUM(C8:C12)</f>
        <v>#DIV/0!</v>
      </c>
      <c r="D13" s="413" t="e">
        <f>SUM(D8:D12)</f>
        <v>#DIV/0!</v>
      </c>
      <c r="E13" s="413" t="e">
        <f>SUM(E8:E12)</f>
        <v>#DIV/0!</v>
      </c>
      <c r="F13" s="413" t="e">
        <f>SUM(F8:F12)</f>
        <v>#DIV/0!</v>
      </c>
    </row>
    <row r="14" spans="1:7" ht="15.75" thickBot="1" x14ac:dyDescent="0.3"/>
    <row r="15" spans="1:7" ht="18.75" x14ac:dyDescent="0.25">
      <c r="A15" s="712" t="s">
        <v>224</v>
      </c>
      <c r="B15" s="713"/>
      <c r="C15" s="713"/>
      <c r="D15" s="713"/>
      <c r="E15" s="713"/>
      <c r="F15" s="714"/>
    </row>
    <row r="16" spans="1:7" ht="18.75" x14ac:dyDescent="0.25">
      <c r="A16" s="301" t="s">
        <v>225</v>
      </c>
      <c r="B16" s="302">
        <f>B6</f>
        <v>2021</v>
      </c>
      <c r="C16" s="302">
        <f>C6</f>
        <v>2022</v>
      </c>
      <c r="D16" s="302">
        <f>D6</f>
        <v>2023</v>
      </c>
      <c r="E16" s="302">
        <f>E6</f>
        <v>2024</v>
      </c>
      <c r="F16" s="302">
        <f>F6</f>
        <v>2025</v>
      </c>
    </row>
    <row r="17" spans="1:7" x14ac:dyDescent="0.25">
      <c r="A17" s="298" t="s">
        <v>226</v>
      </c>
      <c r="B17" s="414" t="e">
        <f>BALANCE_GENERAL!D10</f>
        <v>#DIV/0!</v>
      </c>
      <c r="C17" s="414">
        <f>BALANCE_GENERAL!E10</f>
        <v>0</v>
      </c>
      <c r="D17" s="414">
        <f>BALANCE_GENERAL!F10</f>
        <v>0</v>
      </c>
      <c r="E17" s="414">
        <f>BALANCE_GENERAL!G10</f>
        <v>0</v>
      </c>
      <c r="F17" s="414">
        <f>BALANCE_GENERAL!H10</f>
        <v>0</v>
      </c>
    </row>
    <row r="18" spans="1:7" x14ac:dyDescent="0.25">
      <c r="A18" s="298" t="s">
        <v>227</v>
      </c>
      <c r="B18" s="414">
        <f>BALANCE_GENERAL!D13</f>
        <v>0</v>
      </c>
      <c r="C18" s="414">
        <f>BALANCE_GENERAL!E13</f>
        <v>0</v>
      </c>
      <c r="D18" s="414">
        <f>BALANCE_GENERAL!F13</f>
        <v>0</v>
      </c>
      <c r="E18" s="414">
        <f>BALANCE_GENERAL!G13</f>
        <v>0</v>
      </c>
      <c r="F18" s="414">
        <f>BALANCE_GENERAL!H13</f>
        <v>0</v>
      </c>
    </row>
    <row r="19" spans="1:7" x14ac:dyDescent="0.25">
      <c r="A19" s="298" t="s">
        <v>228</v>
      </c>
      <c r="B19" s="414">
        <f>BALANCE_GENERAL!D16</f>
        <v>0</v>
      </c>
      <c r="C19" s="414">
        <f>BALANCE_GENERAL!E16</f>
        <v>0</v>
      </c>
      <c r="D19" s="414">
        <f>BALANCE_GENERAL!F16</f>
        <v>0</v>
      </c>
      <c r="E19" s="414">
        <f>BALANCE_GENERAL!G16</f>
        <v>0</v>
      </c>
      <c r="F19" s="414">
        <f>BALANCE_GENERAL!H16</f>
        <v>0</v>
      </c>
    </row>
    <row r="20" spans="1:7" x14ac:dyDescent="0.25">
      <c r="A20" s="445" t="s">
        <v>229</v>
      </c>
      <c r="B20" s="446" t="e">
        <f>SUM(B17:B19)</f>
        <v>#DIV/0!</v>
      </c>
      <c r="C20" s="446">
        <f>SUM(C17:C19)</f>
        <v>0</v>
      </c>
      <c r="D20" s="446">
        <f>SUM(D17:D19)</f>
        <v>0</v>
      </c>
      <c r="E20" s="446">
        <f>SUM(E17:E19)</f>
        <v>0</v>
      </c>
      <c r="F20" s="446">
        <f>SUM(F17:F19)</f>
        <v>0</v>
      </c>
    </row>
    <row r="21" spans="1:7" x14ac:dyDescent="0.25">
      <c r="A21" s="298" t="s">
        <v>230</v>
      </c>
      <c r="B21" s="414">
        <f>'CTOS_VS_ING_OPER-INV_INFRAEST'!G36</f>
        <v>0</v>
      </c>
      <c r="C21" s="414">
        <f>'CTOS_VS_ING_OPER-INV_INFRAEST'!H36</f>
        <v>0</v>
      </c>
      <c r="D21" s="414">
        <f>'CTOS_VS_ING_OPER-INV_INFRAEST'!I36</f>
        <v>0</v>
      </c>
      <c r="E21" s="414">
        <f>'CTOS_VS_ING_OPER-INV_INFRAEST'!J36</f>
        <v>0</v>
      </c>
      <c r="F21" s="414">
        <f>'CTOS_VS_ING_OPER-INV_INFRAEST'!K36</f>
        <v>0</v>
      </c>
    </row>
    <row r="22" spans="1:7" x14ac:dyDescent="0.25">
      <c r="A22" s="298" t="s">
        <v>231</v>
      </c>
      <c r="B22" s="414">
        <f>'CTOS_VS_ING_OPER-INV_INFRAEST'!K48</f>
        <v>0</v>
      </c>
      <c r="C22" s="414">
        <f>'CTOS_VS_ING_OPER-INV_INFRAEST'!N48</f>
        <v>0</v>
      </c>
      <c r="D22" s="414">
        <f>'CTOS_VS_ING_OPER-INV_INFRAEST'!Q48</f>
        <v>0</v>
      </c>
      <c r="E22" s="414">
        <f>'CTOS_VS_ING_OPER-INV_INFRAEST'!T48</f>
        <v>0</v>
      </c>
      <c r="F22" s="414">
        <f>'CTOS_VS_ING_OPER-INV_INFRAEST'!W48</f>
        <v>0</v>
      </c>
      <c r="G22" s="256"/>
    </row>
    <row r="23" spans="1:7" x14ac:dyDescent="0.25">
      <c r="A23" s="298" t="s">
        <v>232</v>
      </c>
      <c r="B23" s="414">
        <f>'CTOS_VS_ING_OPER-INV_INFRAEST'!K91</f>
        <v>0</v>
      </c>
      <c r="C23" s="414">
        <f>'CTOS_VS_ING_OPER-INV_INFRAEST'!N91</f>
        <v>0</v>
      </c>
      <c r="D23" s="414">
        <f>'CTOS_VS_ING_OPER-INV_INFRAEST'!Q91</f>
        <v>0</v>
      </c>
      <c r="E23" s="414">
        <f>'CTOS_VS_ING_OPER-INV_INFRAEST'!T91</f>
        <v>0</v>
      </c>
      <c r="F23" s="414">
        <f>'CTOS_VS_ING_OPER-INV_INFRAEST'!W91</f>
        <v>0</v>
      </c>
      <c r="G23" s="256"/>
    </row>
    <row r="24" spans="1:7" x14ac:dyDescent="0.25">
      <c r="A24" s="298" t="s">
        <v>233</v>
      </c>
      <c r="B24" s="414">
        <f>'CTOS_VS_ING_OPER-INV_INFRAEST'!K144</f>
        <v>0</v>
      </c>
      <c r="C24" s="414">
        <f>'CTOS_VS_ING_OPER-INV_INFRAEST'!N144</f>
        <v>0</v>
      </c>
      <c r="D24" s="414">
        <f>'CTOS_VS_ING_OPER-INV_INFRAEST'!Q144</f>
        <v>0</v>
      </c>
      <c r="E24" s="414">
        <f>'CTOS_VS_ING_OPER-INV_INFRAEST'!T144</f>
        <v>0</v>
      </c>
      <c r="F24" s="414">
        <f>'CTOS_VS_ING_OPER-INV_INFRAEST'!W144</f>
        <v>0</v>
      </c>
      <c r="G24" s="256"/>
    </row>
    <row r="25" spans="1:7" x14ac:dyDescent="0.25">
      <c r="A25" s="298" t="s">
        <v>234</v>
      </c>
      <c r="B25" s="414">
        <f>'CTOS_VS_ING_OPER-INV_INFRAEST'!K154</f>
        <v>0</v>
      </c>
      <c r="C25" s="414">
        <f>'CTOS_VS_ING_OPER-INV_INFRAEST'!N154</f>
        <v>0</v>
      </c>
      <c r="D25" s="414">
        <f>'CTOS_VS_ING_OPER-INV_INFRAEST'!Q154</f>
        <v>0</v>
      </c>
      <c r="E25" s="414">
        <f>'CTOS_VS_ING_OPER-INV_INFRAEST'!T154</f>
        <v>0</v>
      </c>
      <c r="F25" s="414">
        <f>'CTOS_VS_ING_OPER-INV_INFRAEST'!W154</f>
        <v>0</v>
      </c>
      <c r="G25" s="256"/>
    </row>
    <row r="26" spans="1:7" x14ac:dyDescent="0.25">
      <c r="A26" s="298" t="s">
        <v>235</v>
      </c>
      <c r="B26" s="414">
        <f>'CTOS_VS_ING_OPER-INV_INFRAEST'!K182</f>
        <v>0</v>
      </c>
      <c r="C26" s="414">
        <f>'CTOS_VS_ING_OPER-INV_INFRAEST'!N182</f>
        <v>0</v>
      </c>
      <c r="D26" s="414">
        <f>'CTOS_VS_ING_OPER-INV_INFRAEST'!Q182</f>
        <v>0</v>
      </c>
      <c r="E26" s="414">
        <f>'CTOS_VS_ING_OPER-INV_INFRAEST'!T182</f>
        <v>0</v>
      </c>
      <c r="F26" s="414">
        <f>'CTOS_VS_ING_OPER-INV_INFRAEST'!W182</f>
        <v>0</v>
      </c>
      <c r="G26" s="256"/>
    </row>
    <row r="27" spans="1:7" x14ac:dyDescent="0.25">
      <c r="A27" s="298" t="s">
        <v>236</v>
      </c>
      <c r="B27" s="414">
        <f>'CTOS_VS_ING_OPER-INV_INFRAEST'!K212</f>
        <v>0</v>
      </c>
      <c r="C27" s="414">
        <f>'CTOS_VS_ING_OPER-INV_INFRAEST'!N212</f>
        <v>0</v>
      </c>
      <c r="D27" s="414">
        <f>'CTOS_VS_ING_OPER-INV_INFRAEST'!Q212</f>
        <v>0</v>
      </c>
      <c r="E27" s="414">
        <f>'CTOS_VS_ING_OPER-INV_INFRAEST'!T212</f>
        <v>0</v>
      </c>
      <c r="F27" s="414">
        <f>'CTOS_VS_ING_OPER-INV_INFRAEST'!W212</f>
        <v>0</v>
      </c>
      <c r="G27" s="256"/>
    </row>
    <row r="28" spans="1:7" x14ac:dyDescent="0.25">
      <c r="A28" s="298" t="s">
        <v>237</v>
      </c>
      <c r="B28" s="414">
        <f>'CTOS_VS_ING_OPER-INV_INFRAEST'!K231</f>
        <v>0</v>
      </c>
      <c r="C28" s="414">
        <f>'CTOS_VS_ING_OPER-INV_INFRAEST'!N231</f>
        <v>0</v>
      </c>
      <c r="D28" s="414">
        <f>'CTOS_VS_ING_OPER-INV_INFRAEST'!Q231</f>
        <v>0</v>
      </c>
      <c r="E28" s="414">
        <f>'CTOS_VS_ING_OPER-INV_INFRAEST'!T231</f>
        <v>0</v>
      </c>
      <c r="F28" s="414">
        <f>'CTOS_VS_ING_OPER-INV_INFRAEST'!W231</f>
        <v>0</v>
      </c>
      <c r="G28" s="256"/>
    </row>
    <row r="29" spans="1:7" x14ac:dyDescent="0.25">
      <c r="A29" s="298" t="s">
        <v>238</v>
      </c>
      <c r="B29" s="414">
        <f>'CTOS_VS_ING_OPER-INV_INFRAEST'!K249</f>
        <v>0</v>
      </c>
      <c r="C29" s="414">
        <f>'CTOS_VS_ING_OPER-INV_INFRAEST'!N249</f>
        <v>0</v>
      </c>
      <c r="D29" s="414">
        <f>'CTOS_VS_ING_OPER-INV_INFRAEST'!Q249</f>
        <v>0</v>
      </c>
      <c r="E29" s="414">
        <f>'CTOS_VS_ING_OPER-INV_INFRAEST'!T249</f>
        <v>0</v>
      </c>
      <c r="F29" s="414">
        <f>'CTOS_VS_ING_OPER-INV_INFRAEST'!W249</f>
        <v>0</v>
      </c>
      <c r="G29" s="256"/>
    </row>
    <row r="30" spans="1:7" x14ac:dyDescent="0.25">
      <c r="A30" s="445" t="s">
        <v>239</v>
      </c>
      <c r="B30" s="446">
        <f>SUM(B21:B29)*-1</f>
        <v>0</v>
      </c>
      <c r="C30" s="446">
        <f>SUM(C21:C29)*-1</f>
        <v>0</v>
      </c>
      <c r="D30" s="446">
        <f>SUM(D21:D29)*-1</f>
        <v>0</v>
      </c>
      <c r="E30" s="446">
        <f>SUM(E21:E29)*-1</f>
        <v>0</v>
      </c>
      <c r="F30" s="446">
        <f>SUM(F21:F29)*-1</f>
        <v>0</v>
      </c>
    </row>
    <row r="31" spans="1:7" ht="15.75" thickBot="1" x14ac:dyDescent="0.3">
      <c r="A31" s="300" t="s">
        <v>240</v>
      </c>
      <c r="B31" s="415" t="e">
        <f>B20+B30</f>
        <v>#DIV/0!</v>
      </c>
      <c r="C31" s="415">
        <f>C20+C30</f>
        <v>0</v>
      </c>
      <c r="D31" s="415">
        <f>D20+D30</f>
        <v>0</v>
      </c>
      <c r="E31" s="415">
        <f>E20+E30</f>
        <v>0</v>
      </c>
      <c r="F31" s="415">
        <f>F20+F30</f>
        <v>0</v>
      </c>
    </row>
    <row r="32" spans="1:7" ht="15.75" thickBot="1" x14ac:dyDescent="0.3"/>
    <row r="33" spans="1:6" ht="18.75" x14ac:dyDescent="0.25">
      <c r="A33" s="712" t="s">
        <v>241</v>
      </c>
      <c r="B33" s="713"/>
      <c r="C33" s="713"/>
      <c r="D33" s="713"/>
      <c r="E33" s="713"/>
      <c r="F33" s="714"/>
    </row>
    <row r="34" spans="1:6" ht="18.75" x14ac:dyDescent="0.25">
      <c r="A34" s="301" t="s">
        <v>242</v>
      </c>
      <c r="B34" s="302">
        <f>B6</f>
        <v>2021</v>
      </c>
      <c r="C34" s="302">
        <f>C6</f>
        <v>2022</v>
      </c>
      <c r="D34" s="302">
        <f>D6</f>
        <v>2023</v>
      </c>
      <c r="E34" s="302">
        <f>E6</f>
        <v>2024</v>
      </c>
      <c r="F34" s="302">
        <f>F6</f>
        <v>2025</v>
      </c>
    </row>
    <row r="35" spans="1:6" x14ac:dyDescent="0.25">
      <c r="A35" s="298" t="s">
        <v>243</v>
      </c>
      <c r="B35" s="416">
        <v>0</v>
      </c>
      <c r="C35" s="416">
        <v>0</v>
      </c>
      <c r="D35" s="416">
        <v>0</v>
      </c>
      <c r="E35" s="416">
        <v>0</v>
      </c>
      <c r="F35" s="416">
        <v>0</v>
      </c>
    </row>
    <row r="36" spans="1:6" x14ac:dyDescent="0.25">
      <c r="A36" s="298" t="s">
        <v>244</v>
      </c>
      <c r="B36" s="416" t="e">
        <f>NECESIDADES_DE_FINANCIACION!E28</f>
        <v>#DIV/0!</v>
      </c>
      <c r="C36" s="416" t="e">
        <f>NECESIDADES_DE_FINANCIACION!F28</f>
        <v>#DIV/0!</v>
      </c>
      <c r="D36" s="416" t="e">
        <f>NECESIDADES_DE_FINANCIACION!G28</f>
        <v>#DIV/0!</v>
      </c>
      <c r="E36" s="416">
        <f>NECESIDADES_DE_FINANCIACION!H28</f>
        <v>0</v>
      </c>
      <c r="F36" s="416">
        <f>NECESIDADES_DE_FINANCIACION!I28</f>
        <v>0</v>
      </c>
    </row>
    <row r="37" spans="1:6" x14ac:dyDescent="0.25">
      <c r="A37" s="298" t="s">
        <v>245</v>
      </c>
      <c r="B37" s="416" t="e">
        <f>NECESIDADES_DE_FINANCIACION!F28</f>
        <v>#DIV/0!</v>
      </c>
      <c r="C37" s="416" t="e">
        <f>NECESIDADES_DE_FINANCIACION!G28</f>
        <v>#DIV/0!</v>
      </c>
      <c r="D37" s="416">
        <f>NECESIDADES_DE_FINANCIACION!H28</f>
        <v>0</v>
      </c>
      <c r="E37" s="416">
        <f>NECESIDADES_DE_FINANCIACION!I28</f>
        <v>0</v>
      </c>
      <c r="F37" s="416">
        <f>NECESIDADES_DE_FINANCIACION!J28</f>
        <v>0</v>
      </c>
    </row>
    <row r="38" spans="1:6" x14ac:dyDescent="0.25">
      <c r="A38" s="298" t="s">
        <v>246</v>
      </c>
      <c r="B38" s="416" t="e">
        <f>ESTADO_DE_RESULTADOS!B36*-1</f>
        <v>#DIV/0!</v>
      </c>
      <c r="C38" s="416" t="e">
        <f>ESTADO_DE_RESULTADOS!C36*-1</f>
        <v>#DIV/0!</v>
      </c>
      <c r="D38" s="416" t="e">
        <f>ESTADO_DE_RESULTADOS!D36*-1</f>
        <v>#DIV/0!</v>
      </c>
      <c r="E38" s="416" t="e">
        <f>ESTADO_DE_RESULTADOS!E36*-1</f>
        <v>#DIV/0!</v>
      </c>
      <c r="F38" s="416" t="e">
        <f>ESTADO_DE_RESULTADOS!F36*-1</f>
        <v>#DIV/0!</v>
      </c>
    </row>
    <row r="39" spans="1:6" x14ac:dyDescent="0.25">
      <c r="A39" s="231" t="s">
        <v>247</v>
      </c>
      <c r="B39" s="417"/>
      <c r="C39" s="417"/>
      <c r="D39" s="417"/>
      <c r="E39" s="417"/>
      <c r="F39" s="417"/>
    </row>
    <row r="40" spans="1:6" ht="15.75" thickBot="1" x14ac:dyDescent="0.3">
      <c r="A40" s="447" t="s">
        <v>248</v>
      </c>
      <c r="B40" s="448" t="e">
        <f>SUM(B35:B39)</f>
        <v>#DIV/0!</v>
      </c>
      <c r="C40" s="448" t="e">
        <f>SUM(C35:C39)</f>
        <v>#DIV/0!</v>
      </c>
      <c r="D40" s="448" t="e">
        <f>SUM(D35:D39)</f>
        <v>#DIV/0!</v>
      </c>
      <c r="E40" s="448" t="e">
        <f>SUM(E35:E39)</f>
        <v>#DIV/0!</v>
      </c>
      <c r="F40" s="448" t="e">
        <f>SUM(F35:F39)</f>
        <v>#DIV/0!</v>
      </c>
    </row>
    <row r="41" spans="1:6" ht="15.75" thickBot="1" x14ac:dyDescent="0.3"/>
    <row r="42" spans="1:6" x14ac:dyDescent="0.25">
      <c r="A42" s="299" t="s">
        <v>320</v>
      </c>
      <c r="B42" s="418" t="e">
        <f>B13+B31+B40</f>
        <v>#DIV/0!</v>
      </c>
      <c r="C42" s="418" t="e">
        <f>C13+C31+C40</f>
        <v>#DIV/0!</v>
      </c>
      <c r="D42" s="418" t="e">
        <f>D13+D31+D40</f>
        <v>#DIV/0!</v>
      </c>
      <c r="E42" s="418" t="e">
        <f>E13+E31+E40</f>
        <v>#DIV/0!</v>
      </c>
      <c r="F42" s="418" t="e">
        <f>F13+F31+F40</f>
        <v>#DIV/0!</v>
      </c>
    </row>
    <row r="43" spans="1:6" x14ac:dyDescent="0.25">
      <c r="A43" s="298" t="s">
        <v>249</v>
      </c>
      <c r="B43" s="416" t="e">
        <f>BALANCE_GENERAL!B22</f>
        <v>#DIV/0!</v>
      </c>
      <c r="C43" s="416" t="e">
        <f>BALANCE_GENERAL!C22</f>
        <v>#DIV/0!</v>
      </c>
      <c r="D43" s="416" t="e">
        <f>BALANCE_GENERAL!D22</f>
        <v>#DIV/0!</v>
      </c>
      <c r="E43" s="416" t="e">
        <f>BALANCE_GENERAL!E22</f>
        <v>#DIV/0!</v>
      </c>
      <c r="F43" s="416" t="e">
        <f>BALANCE_GENERAL!F22</f>
        <v>#DIV/0!</v>
      </c>
    </row>
    <row r="44" spans="1:6" ht="15.75" thickBot="1" x14ac:dyDescent="0.3">
      <c r="A44" s="449" t="s">
        <v>250</v>
      </c>
      <c r="B44" s="450" t="e">
        <f>B42+B43</f>
        <v>#DIV/0!</v>
      </c>
      <c r="C44" s="450" t="e">
        <f>C42+C43</f>
        <v>#DIV/0!</v>
      </c>
      <c r="D44" s="450" t="e">
        <f>D42+D43</f>
        <v>#DIV/0!</v>
      </c>
      <c r="E44" s="450" t="e">
        <f>E42+E43</f>
        <v>#DIV/0!</v>
      </c>
      <c r="F44" s="450" t="e">
        <f>F42+F43</f>
        <v>#DIV/0!</v>
      </c>
    </row>
  </sheetData>
  <sheetProtection algorithmName="SHA-512" hashValue="1IgK1vvuJjgxvkPs5x3yRoslT5qhE7vymgREfz9BKLIuqOPNWIiTxMH8QkAGeVJc5HCwRemP8omMuddD2Y/kwA==" saltValue="O1LvQqa5zDqWBK6dx9udmQ=="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topLeftCell="A3" zoomScaleNormal="100" workbookViewId="0">
      <selection activeCell="E6" sqref="E6"/>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5"/>
    </row>
    <row r="8" spans="1:8" ht="15.75" thickBot="1" x14ac:dyDescent="0.3"/>
    <row r="9" spans="1:8" ht="14.45" customHeight="1" x14ac:dyDescent="0.25">
      <c r="A9" s="750" t="s">
        <v>324</v>
      </c>
      <c r="B9" s="751"/>
      <c r="C9" s="751"/>
      <c r="D9" s="751"/>
      <c r="E9" s="751"/>
      <c r="F9" s="751"/>
      <c r="G9" s="751"/>
      <c r="H9" s="748">
        <f>BASES!H18</f>
        <v>0.38</v>
      </c>
    </row>
    <row r="10" spans="1:8" ht="15.75" thickBot="1" x14ac:dyDescent="0.3">
      <c r="A10" s="752"/>
      <c r="B10" s="753"/>
      <c r="C10" s="753"/>
      <c r="D10" s="753"/>
      <c r="E10" s="753"/>
      <c r="F10" s="753"/>
      <c r="G10" s="753"/>
      <c r="H10" s="749"/>
    </row>
    <row r="11" spans="1:8" ht="19.5" thickBot="1" x14ac:dyDescent="0.35">
      <c r="A11" s="754" t="s">
        <v>251</v>
      </c>
      <c r="B11" s="755"/>
      <c r="C11" s="755"/>
      <c r="D11" s="755"/>
      <c r="E11" s="755"/>
      <c r="F11" s="755"/>
      <c r="G11" s="755"/>
      <c r="H11" s="306" t="e">
        <f>NECESIDADES_DE_FINANCIACION!E19</f>
        <v>#DIV/0!</v>
      </c>
    </row>
    <row r="13" spans="1:8" ht="15.75" thickBot="1" x14ac:dyDescent="0.3"/>
    <row r="14" spans="1:8" ht="15.75" thickBot="1" x14ac:dyDescent="0.3">
      <c r="C14" s="756" t="s">
        <v>252</v>
      </c>
      <c r="D14" s="757"/>
      <c r="E14" s="757"/>
      <c r="F14" s="757"/>
      <c r="G14" s="757"/>
      <c r="H14" s="758"/>
    </row>
    <row r="15" spans="1:8" ht="15.75" thickBot="1" x14ac:dyDescent="0.3"/>
    <row r="16" spans="1:8" x14ac:dyDescent="0.25">
      <c r="A16" s="773" t="s">
        <v>242</v>
      </c>
      <c r="B16" s="774"/>
      <c r="C16" s="320" t="str">
        <f>BASES!C7</f>
        <v>AÑO 0</v>
      </c>
      <c r="D16" s="321">
        <f>BASES!D7</f>
        <v>2021</v>
      </c>
      <c r="E16" s="321">
        <f>BASES!E7</f>
        <v>2022</v>
      </c>
      <c r="F16" s="321">
        <f>BASES!F7</f>
        <v>2023</v>
      </c>
      <c r="G16" s="321">
        <f>BASES!G7</f>
        <v>2024</v>
      </c>
      <c r="H16" s="321">
        <f>BASES!H7</f>
        <v>2025</v>
      </c>
    </row>
    <row r="17" spans="1:10" ht="15.75" thickBot="1" x14ac:dyDescent="0.3">
      <c r="A17" s="740" t="s">
        <v>253</v>
      </c>
      <c r="B17" s="741"/>
      <c r="C17" s="307" t="e">
        <f>H11*-1</f>
        <v>#DIV/0!</v>
      </c>
      <c r="D17" s="307" t="e">
        <f>FLUJO_DE_CAJA!B44</f>
        <v>#DIV/0!</v>
      </c>
      <c r="E17" s="307" t="e">
        <f>FLUJO_DE_CAJA!C44</f>
        <v>#DIV/0!</v>
      </c>
      <c r="F17" s="307" t="e">
        <f>FLUJO_DE_CAJA!D44</f>
        <v>#DIV/0!</v>
      </c>
      <c r="G17" s="307" t="e">
        <f>FLUJO_DE_CAJA!E44</f>
        <v>#DIV/0!</v>
      </c>
      <c r="H17" s="307" t="e">
        <f>FLUJO_DE_CAJA!F44</f>
        <v>#DIV/0!</v>
      </c>
    </row>
    <row r="18" spans="1:10" ht="15.75" thickBot="1" x14ac:dyDescent="0.3"/>
    <row r="19" spans="1:10" x14ac:dyDescent="0.25">
      <c r="C19" s="759" t="s">
        <v>254</v>
      </c>
      <c r="D19" s="760"/>
      <c r="E19" s="308" t="e">
        <f>C17+NPV(H9,D17:H17)</f>
        <v>#DIV/0!</v>
      </c>
    </row>
    <row r="20" spans="1:10" ht="15.75" thickBot="1" x14ac:dyDescent="0.3">
      <c r="C20" s="761" t="s">
        <v>255</v>
      </c>
      <c r="D20" s="762"/>
      <c r="E20" s="309" t="e">
        <f>IRR(C17:H17)</f>
        <v>#VALUE!</v>
      </c>
    </row>
    <row r="22" spans="1:10" ht="15.75" thickBot="1" x14ac:dyDescent="0.3"/>
    <row r="23" spans="1:10" x14ac:dyDescent="0.25">
      <c r="A23" s="763" t="s">
        <v>256</v>
      </c>
      <c r="B23" s="765" t="e">
        <f>E20</f>
        <v>#VALUE!</v>
      </c>
      <c r="C23" s="767" t="s">
        <v>257</v>
      </c>
      <c r="D23" s="769">
        <f>H9</f>
        <v>0.38</v>
      </c>
      <c r="E23" s="734" t="s">
        <v>1200</v>
      </c>
      <c r="F23" s="734"/>
      <c r="G23" s="771" t="s">
        <v>262</v>
      </c>
      <c r="H23" s="744" t="s">
        <v>1186</v>
      </c>
    </row>
    <row r="24" spans="1:10" ht="15.75" thickBot="1" x14ac:dyDescent="0.3">
      <c r="A24" s="764"/>
      <c r="B24" s="766"/>
      <c r="C24" s="768"/>
      <c r="D24" s="770"/>
      <c r="E24" s="735"/>
      <c r="F24" s="735"/>
      <c r="G24" s="772"/>
      <c r="H24" s="745"/>
    </row>
    <row r="25" spans="1:10" ht="15.75" thickBot="1" x14ac:dyDescent="0.3">
      <c r="J25" s="310"/>
    </row>
    <row r="26" spans="1:10" x14ac:dyDescent="0.25">
      <c r="A26" s="723" t="s">
        <v>256</v>
      </c>
      <c r="B26" s="725" t="e">
        <f>E20</f>
        <v>#VALUE!</v>
      </c>
      <c r="C26" s="719" t="s">
        <v>258</v>
      </c>
      <c r="D26" s="725">
        <f>H9</f>
        <v>0.38</v>
      </c>
      <c r="E26" s="734" t="s">
        <v>1185</v>
      </c>
      <c r="F26" s="734"/>
      <c r="G26" s="717" t="s">
        <v>261</v>
      </c>
      <c r="H26" s="744" t="s">
        <v>1187</v>
      </c>
    </row>
    <row r="27" spans="1:10" ht="15.75" thickBot="1" x14ac:dyDescent="0.3">
      <c r="A27" s="724"/>
      <c r="B27" s="726"/>
      <c r="C27" s="720"/>
      <c r="D27" s="726"/>
      <c r="E27" s="735"/>
      <c r="F27" s="735"/>
      <c r="G27" s="718"/>
      <c r="H27" s="745"/>
    </row>
    <row r="28" spans="1:10" ht="15.75" thickBot="1" x14ac:dyDescent="0.3"/>
    <row r="29" spans="1:10" x14ac:dyDescent="0.25">
      <c r="A29" s="723" t="s">
        <v>256</v>
      </c>
      <c r="B29" s="727" t="e">
        <f>E20</f>
        <v>#VALUE!</v>
      </c>
      <c r="C29" s="719" t="s">
        <v>259</v>
      </c>
      <c r="D29" s="725">
        <f>H9</f>
        <v>0.38</v>
      </c>
      <c r="E29" s="734" t="s">
        <v>1200</v>
      </c>
      <c r="F29" s="734"/>
      <c r="G29" s="717" t="s">
        <v>260</v>
      </c>
      <c r="H29" s="746" t="s">
        <v>1188</v>
      </c>
    </row>
    <row r="30" spans="1:10" ht="15.75" thickBot="1" x14ac:dyDescent="0.3">
      <c r="A30" s="724"/>
      <c r="B30" s="726"/>
      <c r="C30" s="720"/>
      <c r="D30" s="726"/>
      <c r="E30" s="735"/>
      <c r="F30" s="735"/>
      <c r="G30" s="718"/>
      <c r="H30" s="747"/>
    </row>
    <row r="31" spans="1:10" ht="15.75" thickBot="1" x14ac:dyDescent="0.3"/>
    <row r="32" spans="1:10" x14ac:dyDescent="0.25">
      <c r="A32" s="736" t="s">
        <v>263</v>
      </c>
      <c r="B32" s="737"/>
      <c r="C32" s="311">
        <f>D16</f>
        <v>2021</v>
      </c>
      <c r="D32" s="311">
        <f>E16</f>
        <v>2022</v>
      </c>
      <c r="E32" s="311">
        <f>F16</f>
        <v>2023</v>
      </c>
      <c r="F32" s="311">
        <f>G16</f>
        <v>2024</v>
      </c>
      <c r="G32" s="311">
        <f>H16</f>
        <v>2025</v>
      </c>
    </row>
    <row r="33" spans="1:7" x14ac:dyDescent="0.25">
      <c r="A33" s="738" t="s">
        <v>264</v>
      </c>
      <c r="B33" s="739"/>
      <c r="C33" s="322" t="e">
        <f>IF(BALANCE_GENERAL!C63=0,0,BALANCE_GENERAL!C25/BALANCE_GENERAL!C63)</f>
        <v>#DIV/0!</v>
      </c>
      <c r="D33" s="322" t="e">
        <f>IF(BALANCE_GENERAL!D63=0,0,BALANCE_GENERAL!D25/BALANCE_GENERAL!D63)</f>
        <v>#DIV/0!</v>
      </c>
      <c r="E33" s="322" t="e">
        <f>IF(BALANCE_GENERAL!E63=0,0,BALANCE_GENERAL!E25/BALANCE_GENERAL!E63)</f>
        <v>#DIV/0!</v>
      </c>
      <c r="F33" s="322" t="e">
        <f>IF(BALANCE_GENERAL!F63=0,0,BALANCE_GENERAL!F25/BALANCE_GENERAL!F63)</f>
        <v>#DIV/0!</v>
      </c>
      <c r="G33" s="322">
        <f>IF(BALANCE_GENERAL!G63=0,0,BALANCE_GENERAL!G25/BALANCE_GENERAL!G63)</f>
        <v>0</v>
      </c>
    </row>
    <row r="34" spans="1:7" x14ac:dyDescent="0.25">
      <c r="A34" s="738" t="s">
        <v>321</v>
      </c>
      <c r="B34" s="739"/>
      <c r="C34" s="323" t="e">
        <f>IF(BALANCE_GENERAL!B57=0,0,BALANCE_GENERAL!B65/BALANCE_GENERAL!B57)</f>
        <v>#DIV/0!</v>
      </c>
      <c r="D34" s="323" t="e">
        <f>IF(BALANCE_GENERAL!C57=0,0,BALANCE_GENERAL!C65/BALANCE_GENERAL!C57)</f>
        <v>#DIV/0!</v>
      </c>
      <c r="E34" s="323" t="e">
        <f>IF(BALANCE_GENERAL!D57=0,0,BALANCE_GENERAL!D65/BALANCE_GENERAL!D57)</f>
        <v>#DIV/0!</v>
      </c>
      <c r="F34" s="323" t="e">
        <f>IF(BALANCE_GENERAL!E57=0,0,BALANCE_GENERAL!E65/BALANCE_GENERAL!E57)</f>
        <v>#DIV/0!</v>
      </c>
      <c r="G34" s="323" t="e">
        <f>IF(BALANCE_GENERAL!F57=0,0,BALANCE_GENERAL!F65/BALANCE_GENERAL!F57)</f>
        <v>#DIV/0!</v>
      </c>
    </row>
    <row r="35" spans="1:7" x14ac:dyDescent="0.25">
      <c r="A35" s="738" t="s">
        <v>265</v>
      </c>
      <c r="B35" s="739"/>
      <c r="C35" s="323">
        <f>IF(ESTADO_DE_RESULTADOS!B4=0,0,ESTADO_DE_RESULTADOS!B16/ESTADO_DE_RESULTADOS!B4)</f>
        <v>0</v>
      </c>
      <c r="D35" s="323">
        <f>IF(ESTADO_DE_RESULTADOS!C4=0,0,ESTADO_DE_RESULTADOS!C16/ESTADO_DE_RESULTADOS!C4)</f>
        <v>0</v>
      </c>
      <c r="E35" s="323">
        <f>IF(ESTADO_DE_RESULTADOS!D4=0,0,ESTADO_DE_RESULTADOS!D16/ESTADO_DE_RESULTADOS!D4)</f>
        <v>0</v>
      </c>
      <c r="F35" s="323">
        <f>IF(ESTADO_DE_RESULTADOS!E4=0,0,ESTADO_DE_RESULTADOS!E16/ESTADO_DE_RESULTADOS!E4)</f>
        <v>0</v>
      </c>
      <c r="G35" s="323">
        <f>IF(ESTADO_DE_RESULTADOS!F4=0,0,ESTADO_DE_RESULTADOS!F16/ESTADO_DE_RESULTADOS!F4)</f>
        <v>0</v>
      </c>
    </row>
    <row r="36" spans="1:7" x14ac:dyDescent="0.25">
      <c r="A36" s="738" t="s">
        <v>266</v>
      </c>
      <c r="B36" s="739"/>
      <c r="C36" s="323">
        <f>IF(ESTADO_DE_RESULTADOS!B4=0,0,ESTADO_DE_RESULTADOS!B31/ESTADO_DE_RESULTADOS!B4)</f>
        <v>0</v>
      </c>
      <c r="D36" s="323">
        <f>IF(ESTADO_DE_RESULTADOS!C4=0,0,ESTADO_DE_RESULTADOS!C31/ESTADO_DE_RESULTADOS!C4)</f>
        <v>0</v>
      </c>
      <c r="E36" s="323">
        <f>IF(ESTADO_DE_RESULTADOS!D4=0,0,ESTADO_DE_RESULTADOS!D31/ESTADO_DE_RESULTADOS!D4)</f>
        <v>0</v>
      </c>
      <c r="F36" s="323">
        <f>IF(ESTADO_DE_RESULTADOS!E4=0,0,ESTADO_DE_RESULTADOS!E31/ESTADO_DE_RESULTADOS!E4)</f>
        <v>0</v>
      </c>
      <c r="G36" s="323">
        <f>IF(ESTADO_DE_RESULTADOS!F4=0,0,ESTADO_DE_RESULTADOS!F31/ESTADO_DE_RESULTADOS!F4)</f>
        <v>0</v>
      </c>
    </row>
    <row r="37" spans="1:7" x14ac:dyDescent="0.25">
      <c r="A37" s="738" t="s">
        <v>267</v>
      </c>
      <c r="B37" s="739"/>
      <c r="C37" s="323">
        <f>IF(BALANCE_GENERAL!B72=0,0,BALANCE_GENERAL!B34/BALANCE_GENERAL!B72)</f>
        <v>0</v>
      </c>
      <c r="D37" s="323" t="e">
        <f>IF(BALANCE_GENERAL!C72=0,0,BALANCE_GENERAL!C34/BALANCE_GENERAL!C72)</f>
        <v>#DIV/0!</v>
      </c>
      <c r="E37" s="323" t="e">
        <f>IF(BALANCE_GENERAL!D72=0,0,BALANCE_GENERAL!D34/BALANCE_GENERAL!D72)</f>
        <v>#DIV/0!</v>
      </c>
      <c r="F37" s="323" t="e">
        <f>IF(BALANCE_GENERAL!E72=0,0,BALANCE_GENERAL!E34/BALANCE_GENERAL!E72)</f>
        <v>#DIV/0!</v>
      </c>
      <c r="G37" s="323" t="e">
        <f>IF(BALANCE_GENERAL!F72=0,0,BALANCE_GENERAL!F34/BALANCE_GENERAL!F72)</f>
        <v>#DIV/0!</v>
      </c>
    </row>
    <row r="38" spans="1:7" ht="15.75" thickBot="1" x14ac:dyDescent="0.3">
      <c r="A38" s="721" t="s">
        <v>268</v>
      </c>
      <c r="B38" s="722"/>
      <c r="C38" s="324" t="e">
        <f>IF(BALANCE_GENERAL!B57=0,0,BALANCE_GENERAL!B34/BALANCE_GENERAL!B57)</f>
        <v>#DIV/0!</v>
      </c>
      <c r="D38" s="324" t="e">
        <f>IF(BALANCE_GENERAL!C57=0,0,BALANCE_GENERAL!C34/BALANCE_GENERAL!C57)</f>
        <v>#DIV/0!</v>
      </c>
      <c r="E38" s="324" t="e">
        <f>IF(BALANCE_GENERAL!D57=0,0,BALANCE_GENERAL!D34/BALANCE_GENERAL!D57)</f>
        <v>#DIV/0!</v>
      </c>
      <c r="F38" s="324" t="e">
        <f>IF(BALANCE_GENERAL!E57=0,0,BALANCE_GENERAL!E34/BALANCE_GENERAL!E57)</f>
        <v>#DIV/0!</v>
      </c>
      <c r="G38" s="324" t="e">
        <f>IF(BALANCE_GENERAL!F57=0,0,BALANCE_GENERAL!F34/BALANCE_GENERAL!F57)</f>
        <v>#DIV/0!</v>
      </c>
    </row>
    <row r="39" spans="1:7" x14ac:dyDescent="0.25">
      <c r="A39" s="728" t="s">
        <v>269</v>
      </c>
      <c r="B39" s="729"/>
      <c r="C39" s="732" t="str">
        <f>IF(ISERROR(-C17/AVERAGE(D17:H17)),"N.A.",(-C17/AVERAGE(D17:H17)))</f>
        <v>N.A.</v>
      </c>
      <c r="D39" s="732"/>
      <c r="E39" s="715" t="s">
        <v>58</v>
      </c>
      <c r="F39" s="312"/>
      <c r="G39" s="312"/>
    </row>
    <row r="40" spans="1:7" ht="15.75" thickBot="1" x14ac:dyDescent="0.3">
      <c r="A40" s="730"/>
      <c r="B40" s="731"/>
      <c r="C40" s="733"/>
      <c r="D40" s="733"/>
      <c r="E40" s="716"/>
      <c r="F40" s="312"/>
      <c r="G40" s="312"/>
    </row>
    <row r="44" spans="1:7" ht="15.75" thickBot="1" x14ac:dyDescent="0.3"/>
    <row r="45" spans="1:7" ht="46.9" customHeight="1" thickBot="1" x14ac:dyDescent="0.3">
      <c r="A45" s="313" t="s">
        <v>270</v>
      </c>
      <c r="B45" s="314" t="s">
        <v>273</v>
      </c>
      <c r="C45" s="518" t="e">
        <f>C17*-1</f>
        <v>#DIV/0!</v>
      </c>
      <c r="D45" s="314" t="s">
        <v>274</v>
      </c>
      <c r="E45" s="315" t="s">
        <v>275</v>
      </c>
      <c r="F45" s="316" t="s">
        <v>211</v>
      </c>
    </row>
    <row r="46" spans="1:7" ht="35.450000000000003" customHeight="1" thickBot="1" x14ac:dyDescent="0.3">
      <c r="A46" s="742" t="s">
        <v>278</v>
      </c>
      <c r="B46" s="317" t="s">
        <v>276</v>
      </c>
      <c r="C46" s="511">
        <f>NECESIDADES_DE_FINANCIACION!E20</f>
        <v>0</v>
      </c>
      <c r="D46" s="512" t="e">
        <f>IF(C45=0,0,C46/C45)</f>
        <v>#DIV/0!</v>
      </c>
      <c r="E46" s="513">
        <f>H9</f>
        <v>0.38</v>
      </c>
      <c r="F46" s="514">
        <f>ESTADO_DE_RESULTADOS!I9</f>
        <v>0</v>
      </c>
    </row>
    <row r="47" spans="1:7" ht="45" customHeight="1" thickBot="1" x14ac:dyDescent="0.3">
      <c r="A47" s="743"/>
      <c r="B47" s="318" t="s">
        <v>277</v>
      </c>
      <c r="C47" s="519" t="e">
        <f>NECESIDADES_DE_FINANCIACION!E21</f>
        <v>#DIV/0!</v>
      </c>
      <c r="D47" s="515" t="e">
        <f>IF(C45=0,0,C47/C45)</f>
        <v>#DIV/0!</v>
      </c>
      <c r="E47" s="516">
        <f>NECESIDADES_DE_FINANCIACION!E24</f>
        <v>0</v>
      </c>
      <c r="F47" s="517"/>
    </row>
    <row r="49" spans="1:2" ht="15.75" thickBot="1" x14ac:dyDescent="0.3"/>
    <row r="50" spans="1:2" ht="15.75" thickBot="1" x14ac:dyDescent="0.3">
      <c r="A50" s="319" t="s">
        <v>279</v>
      </c>
      <c r="B50" s="325" t="e">
        <f>IF((D47*E47*(1-F46))+(D46*E46)&lt;0,"N.A.",(D47*E47*(1-F46))+(D46*E46))</f>
        <v>#DIV/0!</v>
      </c>
    </row>
    <row r="75" spans="14:14" x14ac:dyDescent="0.25">
      <c r="N75" s="139" t="s">
        <v>41</v>
      </c>
    </row>
  </sheetData>
  <sheetProtection sheet="1" objects="1" scenarios="1"/>
  <mergeCells count="40">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 ref="A26:A27"/>
    <mergeCell ref="A17:B17"/>
    <mergeCell ref="A46:A47"/>
    <mergeCell ref="A37:B37"/>
    <mergeCell ref="D26:D27"/>
    <mergeCell ref="D29:D30"/>
    <mergeCell ref="A35:B35"/>
    <mergeCell ref="A36:B36"/>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1:Z82"/>
  <sheetViews>
    <sheetView showGridLines="0" zoomScaleNormal="100" workbookViewId="0">
      <selection activeCell="B6" sqref="B6"/>
    </sheetView>
  </sheetViews>
  <sheetFormatPr baseColWidth="10" defaultRowHeight="15.75" x14ac:dyDescent="0.25"/>
  <cols>
    <col min="1" max="1" width="11.42578125" style="63"/>
    <col min="2" max="2" width="57.5703125" style="63" bestFit="1" customWidth="1"/>
    <col min="3" max="10" width="11.42578125" style="63"/>
    <col min="11" max="11" width="25.42578125" style="63" bestFit="1" customWidth="1"/>
    <col min="12" max="12" width="24.7109375" style="63" customWidth="1"/>
    <col min="13" max="13" width="12.7109375" style="63" customWidth="1"/>
    <col min="14" max="14" width="25.5703125" style="63" bestFit="1" customWidth="1"/>
    <col min="15" max="15" width="16.42578125" style="63" customWidth="1"/>
    <col min="16" max="20" width="16.85546875" style="63" bestFit="1" customWidth="1"/>
    <col min="21" max="21" width="23.85546875" style="63" bestFit="1" customWidth="1"/>
    <col min="22" max="26" width="16.85546875" style="63" bestFit="1" customWidth="1"/>
    <col min="27" max="16384" width="11.42578125" style="63"/>
  </cols>
  <sheetData>
    <row r="1" spans="2:26" ht="16.5" thickBot="1" x14ac:dyDescent="0.3"/>
    <row r="2" spans="2:26" ht="16.5" thickBot="1" x14ac:dyDescent="0.3">
      <c r="B2" s="776" t="s">
        <v>1184</v>
      </c>
      <c r="C2" s="777"/>
      <c r="D2" s="777"/>
      <c r="E2" s="777"/>
      <c r="F2" s="777"/>
      <c r="G2" s="777"/>
      <c r="H2" s="777"/>
      <c r="I2" s="777"/>
      <c r="J2" s="777"/>
      <c r="K2" s="777"/>
      <c r="L2" s="777"/>
      <c r="M2" s="777"/>
      <c r="N2" s="777"/>
      <c r="O2" s="777"/>
      <c r="P2" s="777"/>
      <c r="Q2" s="777"/>
      <c r="R2" s="777"/>
      <c r="S2" s="777"/>
      <c r="T2" s="777"/>
      <c r="U2" s="777"/>
      <c r="V2" s="777"/>
      <c r="W2" s="777"/>
      <c r="X2" s="777"/>
      <c r="Y2" s="777"/>
      <c r="Z2" s="778"/>
    </row>
    <row r="3" spans="2:26" ht="16.5" thickBot="1" x14ac:dyDescent="0.3"/>
    <row r="4" spans="2:26" ht="16.5" thickBot="1" x14ac:dyDescent="0.3">
      <c r="P4" s="779" t="s">
        <v>1180</v>
      </c>
      <c r="Q4" s="780"/>
      <c r="R4" s="780"/>
      <c r="S4" s="780"/>
      <c r="T4" s="781"/>
      <c r="U4" s="469" t="s">
        <v>1183</v>
      </c>
      <c r="V4" s="780" t="s">
        <v>1181</v>
      </c>
      <c r="W4" s="780"/>
      <c r="X4" s="780"/>
      <c r="Y4" s="780"/>
      <c r="Z4" s="781"/>
    </row>
    <row r="5" spans="2:26" ht="32.25" customHeight="1" x14ac:dyDescent="0.25"/>
    <row r="6" spans="2:26" x14ac:dyDescent="0.25">
      <c r="N6" s="52"/>
      <c r="O6" s="52"/>
      <c r="P6" s="775" t="s">
        <v>1179</v>
      </c>
      <c r="Q6" s="775"/>
      <c r="R6" s="775"/>
      <c r="S6" s="775"/>
      <c r="T6" s="775"/>
      <c r="U6" s="775"/>
      <c r="V6" s="775"/>
      <c r="W6" s="775"/>
      <c r="X6" s="775"/>
      <c r="Y6" s="775"/>
      <c r="Z6" s="775"/>
    </row>
    <row r="7" spans="2:26" x14ac:dyDescent="0.25">
      <c r="B7" s="456" t="s">
        <v>1182</v>
      </c>
      <c r="C7" s="457">
        <v>0</v>
      </c>
      <c r="N7" s="52"/>
      <c r="O7" s="52"/>
      <c r="P7" s="782" t="s">
        <v>1195</v>
      </c>
      <c r="Q7" s="782"/>
      <c r="R7" s="782"/>
      <c r="S7" s="782"/>
      <c r="T7" s="782"/>
      <c r="U7" s="782"/>
      <c r="V7" s="782"/>
      <c r="W7" s="782"/>
      <c r="X7" s="782"/>
      <c r="Y7" s="782"/>
      <c r="Z7" s="782"/>
    </row>
    <row r="8" spans="2:26" x14ac:dyDescent="0.25">
      <c r="N8" s="462"/>
      <c r="O8" s="462"/>
      <c r="P8" s="463">
        <v>-0.1</v>
      </c>
      <c r="Q8" s="463">
        <v>-0.08</v>
      </c>
      <c r="R8" s="463">
        <v>-0.06</v>
      </c>
      <c r="S8" s="463">
        <v>-0.04</v>
      </c>
      <c r="T8" s="463">
        <v>-0.02</v>
      </c>
      <c r="U8" s="463">
        <v>0</v>
      </c>
      <c r="V8" s="463">
        <v>0.02</v>
      </c>
      <c r="W8" s="463">
        <v>0.04</v>
      </c>
      <c r="X8" s="463">
        <v>0.06</v>
      </c>
      <c r="Y8" s="463">
        <v>0.08</v>
      </c>
      <c r="Z8" s="463">
        <v>0.1</v>
      </c>
    </row>
    <row r="9" spans="2:26" ht="31.5" customHeight="1" x14ac:dyDescent="0.25">
      <c r="B9" s="473" t="s">
        <v>191</v>
      </c>
      <c r="C9" s="474">
        <f>ESTADO_DE_RESULTADOS!B3</f>
        <v>2021</v>
      </c>
      <c r="D9" s="474">
        <f>ESTADO_DE_RESULTADOS!C3</f>
        <v>2022</v>
      </c>
      <c r="E9" s="474">
        <f>ESTADO_DE_RESULTADOS!D3</f>
        <v>2023</v>
      </c>
      <c r="F9" s="474">
        <f>ESTADO_DE_RESULTADOS!E3</f>
        <v>2024</v>
      </c>
      <c r="G9" s="474">
        <f>ESTADO_DE_RESULTADOS!F3</f>
        <v>2025</v>
      </c>
      <c r="N9" s="464" t="s">
        <v>192</v>
      </c>
      <c r="O9" s="468">
        <f>C10</f>
        <v>0</v>
      </c>
      <c r="P9" s="470"/>
      <c r="Q9" s="470"/>
      <c r="R9" s="470"/>
      <c r="S9" s="470"/>
      <c r="T9" s="470"/>
      <c r="U9" s="468"/>
      <c r="V9" s="470"/>
      <c r="W9" s="470"/>
      <c r="X9" s="470"/>
      <c r="Y9" s="470"/>
      <c r="Z9" s="470"/>
    </row>
    <row r="10" spans="2:26" x14ac:dyDescent="0.25">
      <c r="B10" s="475" t="s">
        <v>192</v>
      </c>
      <c r="C10" s="465">
        <f>ESTADO_DE_RESULTADOS!B4*(1+$C$7)</f>
        <v>0</v>
      </c>
      <c r="D10" s="465">
        <f>ESTADO_DE_RESULTADOS!C4*(1+$C$7)</f>
        <v>0</v>
      </c>
      <c r="E10" s="465">
        <f>ESTADO_DE_RESULTADOS!D4*(1+$C$7)</f>
        <v>0</v>
      </c>
      <c r="F10" s="465">
        <f>ESTADO_DE_RESULTADOS!E4*(1+$C$7)</f>
        <v>0</v>
      </c>
      <c r="G10" s="465">
        <f>ESTADO_DE_RESULTADOS!F4*(1+$C$7)</f>
        <v>0</v>
      </c>
      <c r="N10" s="464" t="s">
        <v>196</v>
      </c>
      <c r="O10" s="468">
        <f>C15</f>
        <v>0</v>
      </c>
      <c r="P10" s="470"/>
      <c r="Q10" s="470"/>
      <c r="R10" s="470"/>
      <c r="S10" s="470"/>
      <c r="T10" s="470"/>
      <c r="U10" s="468"/>
      <c r="V10" s="470"/>
      <c r="W10" s="470"/>
      <c r="X10" s="470"/>
      <c r="Y10" s="470"/>
      <c r="Z10" s="470"/>
    </row>
    <row r="11" spans="2:26" x14ac:dyDescent="0.25">
      <c r="B11" s="475" t="s">
        <v>193</v>
      </c>
      <c r="C11" s="476">
        <f>ESTADO_DE_RESULTADOS!B5</f>
        <v>0</v>
      </c>
      <c r="D11" s="476">
        <f>ESTADO_DE_RESULTADOS!C5</f>
        <v>0</v>
      </c>
      <c r="E11" s="476">
        <f>ESTADO_DE_RESULTADOS!D5</f>
        <v>0</v>
      </c>
      <c r="F11" s="476">
        <f>ESTADO_DE_RESULTADOS!E5</f>
        <v>0</v>
      </c>
      <c r="G11" s="476">
        <f>ESTADO_DE_RESULTADOS!F5</f>
        <v>0</v>
      </c>
      <c r="N11" s="464" t="s">
        <v>1168</v>
      </c>
      <c r="O11" s="468">
        <f>C22</f>
        <v>0</v>
      </c>
      <c r="P11" s="470"/>
      <c r="Q11" s="470"/>
      <c r="R11" s="470"/>
      <c r="S11" s="470"/>
      <c r="T11" s="470"/>
      <c r="U11" s="468"/>
      <c r="V11" s="470"/>
      <c r="W11" s="470"/>
      <c r="X11" s="470"/>
      <c r="Y11" s="470"/>
      <c r="Z11" s="470"/>
    </row>
    <row r="12" spans="2:26" x14ac:dyDescent="0.25">
      <c r="B12" s="475" t="s">
        <v>194</v>
      </c>
      <c r="C12" s="465">
        <f>ESTADO_DE_RESULTADOS!B6</f>
        <v>0</v>
      </c>
      <c r="D12" s="465">
        <f>ESTADO_DE_RESULTADOS!C6</f>
        <v>0</v>
      </c>
      <c r="E12" s="465">
        <f>ESTADO_DE_RESULTADOS!D6</f>
        <v>0</v>
      </c>
      <c r="F12" s="465">
        <f>ESTADO_DE_RESULTADOS!E6</f>
        <v>0</v>
      </c>
      <c r="G12" s="465">
        <f>ESTADO_DE_RESULTADOS!F6</f>
        <v>0</v>
      </c>
      <c r="N12" s="464" t="s">
        <v>1169</v>
      </c>
      <c r="O12" s="468" t="e">
        <f>C33</f>
        <v>#DIV/0!</v>
      </c>
      <c r="P12" s="470"/>
      <c r="Q12" s="470"/>
      <c r="R12" s="470"/>
      <c r="S12" s="470"/>
      <c r="T12" s="470"/>
      <c r="U12" s="468"/>
      <c r="V12" s="470"/>
      <c r="W12" s="470"/>
      <c r="X12" s="470"/>
      <c r="Y12" s="470"/>
      <c r="Z12" s="470"/>
    </row>
    <row r="13" spans="2:26" x14ac:dyDescent="0.25">
      <c r="B13" s="475" t="s">
        <v>34</v>
      </c>
      <c r="C13" s="465">
        <f>ESTADO_DE_RESULTADOS!B7</f>
        <v>0</v>
      </c>
      <c r="D13" s="465">
        <f>ESTADO_DE_RESULTADOS!C7</f>
        <v>0</v>
      </c>
      <c r="E13" s="465">
        <f>ESTADO_DE_RESULTADOS!D7</f>
        <v>0</v>
      </c>
      <c r="F13" s="465">
        <f>ESTADO_DE_RESULTADOS!E7</f>
        <v>0</v>
      </c>
      <c r="G13" s="465">
        <f>ESTADO_DE_RESULTADOS!F7</f>
        <v>0</v>
      </c>
      <c r="N13" s="464" t="s">
        <v>1170</v>
      </c>
      <c r="O13" s="468" t="e">
        <f>C37</f>
        <v>#DIV/0!</v>
      </c>
      <c r="P13" s="470"/>
      <c r="Q13" s="470"/>
      <c r="R13" s="470"/>
      <c r="S13" s="470"/>
      <c r="T13" s="470"/>
      <c r="U13" s="468"/>
      <c r="V13" s="470"/>
      <c r="W13" s="470"/>
      <c r="X13" s="470"/>
      <c r="Y13" s="470"/>
      <c r="Z13" s="470"/>
    </row>
    <row r="14" spans="2:26" x14ac:dyDescent="0.25">
      <c r="B14" s="475" t="s">
        <v>195</v>
      </c>
      <c r="C14" s="465">
        <f>ESTADO_DE_RESULTADOS!B8</f>
        <v>0</v>
      </c>
      <c r="D14" s="465">
        <f>ESTADO_DE_RESULTADOS!C8</f>
        <v>0</v>
      </c>
      <c r="E14" s="465">
        <f>ESTADO_DE_RESULTADOS!D8</f>
        <v>0</v>
      </c>
      <c r="F14" s="465">
        <f>ESTADO_DE_RESULTADOS!E8</f>
        <v>0</v>
      </c>
      <c r="G14" s="465">
        <f>ESTADO_DE_RESULTADOS!F8</f>
        <v>0</v>
      </c>
      <c r="N14" s="464" t="s">
        <v>218</v>
      </c>
      <c r="O14" s="468">
        <f>C46</f>
        <v>0</v>
      </c>
      <c r="P14" s="470"/>
      <c r="Q14" s="470"/>
      <c r="R14" s="470"/>
      <c r="S14" s="470"/>
      <c r="T14" s="470"/>
      <c r="U14" s="468"/>
      <c r="V14" s="470"/>
      <c r="W14" s="470"/>
      <c r="X14" s="470"/>
      <c r="Y14" s="470"/>
      <c r="Z14" s="470"/>
    </row>
    <row r="15" spans="2:26" x14ac:dyDescent="0.25">
      <c r="B15" s="477" t="s">
        <v>196</v>
      </c>
      <c r="C15" s="478">
        <f>C10-C11-C12-C13-C14</f>
        <v>0</v>
      </c>
      <c r="D15" s="478">
        <f t="shared" ref="D15:G15" si="0">D10-D11-D12-D13-D14</f>
        <v>0</v>
      </c>
      <c r="E15" s="478">
        <f t="shared" si="0"/>
        <v>0</v>
      </c>
      <c r="F15" s="478">
        <f t="shared" si="0"/>
        <v>0</v>
      </c>
      <c r="G15" s="478">
        <f t="shared" si="0"/>
        <v>0</v>
      </c>
      <c r="N15" s="464" t="s">
        <v>253</v>
      </c>
      <c r="O15" s="468" t="e">
        <f>D77</f>
        <v>#DIV/0!</v>
      </c>
      <c r="P15" s="470"/>
      <c r="Q15" s="470"/>
      <c r="R15" s="470"/>
      <c r="S15" s="470"/>
      <c r="T15" s="470"/>
      <c r="U15" s="468"/>
      <c r="V15" s="470"/>
      <c r="W15" s="470"/>
      <c r="X15" s="470"/>
      <c r="Y15" s="470"/>
      <c r="Z15" s="470"/>
    </row>
    <row r="16" spans="2:26" x14ac:dyDescent="0.25">
      <c r="B16" s="475" t="s">
        <v>197</v>
      </c>
      <c r="C16" s="465">
        <f>ESTADO_DE_RESULTADOS!B10</f>
        <v>0</v>
      </c>
      <c r="D16" s="465">
        <f>ESTADO_DE_RESULTADOS!C10</f>
        <v>0</v>
      </c>
      <c r="E16" s="465">
        <f>ESTADO_DE_RESULTADOS!D10</f>
        <v>0</v>
      </c>
      <c r="F16" s="465">
        <f>ESTADO_DE_RESULTADOS!E10</f>
        <v>0</v>
      </c>
      <c r="G16" s="465">
        <f>ESTADO_DE_RESULTADOS!F10</f>
        <v>0</v>
      </c>
      <c r="N16" s="464" t="s">
        <v>1171</v>
      </c>
      <c r="O16" s="468" t="e">
        <f>C79</f>
        <v>#DIV/0!</v>
      </c>
      <c r="P16" s="470"/>
      <c r="Q16" s="470"/>
      <c r="R16" s="470"/>
      <c r="S16" s="470"/>
      <c r="T16" s="470"/>
      <c r="U16" s="468"/>
      <c r="V16" s="470"/>
      <c r="W16" s="470"/>
      <c r="X16" s="470"/>
      <c r="Y16" s="470"/>
      <c r="Z16" s="470"/>
    </row>
    <row r="17" spans="2:26" x14ac:dyDescent="0.25">
      <c r="B17" s="475" t="s">
        <v>198</v>
      </c>
      <c r="C17" s="465">
        <f>ESTADO_DE_RESULTADOS!B11</f>
        <v>0</v>
      </c>
      <c r="D17" s="465">
        <f>ESTADO_DE_RESULTADOS!C11</f>
        <v>0</v>
      </c>
      <c r="E17" s="465">
        <f>ESTADO_DE_RESULTADOS!D11</f>
        <v>0</v>
      </c>
      <c r="F17" s="465">
        <f>ESTADO_DE_RESULTADOS!E11</f>
        <v>0</v>
      </c>
      <c r="G17" s="465">
        <f>ESTADO_DE_RESULTADOS!F11</f>
        <v>0</v>
      </c>
    </row>
    <row r="18" spans="2:26" x14ac:dyDescent="0.25">
      <c r="B18" s="475" t="s">
        <v>199</v>
      </c>
      <c r="C18" s="465">
        <f>ESTADO_DE_RESULTADOS!B12</f>
        <v>0</v>
      </c>
      <c r="D18" s="465">
        <f>ESTADO_DE_RESULTADOS!C12</f>
        <v>0</v>
      </c>
      <c r="E18" s="465">
        <f>ESTADO_DE_RESULTADOS!D12</f>
        <v>0</v>
      </c>
      <c r="F18" s="465">
        <f>ESTADO_DE_RESULTADOS!E12</f>
        <v>0</v>
      </c>
      <c r="G18" s="465">
        <f>ESTADO_DE_RESULTADOS!F12</f>
        <v>0</v>
      </c>
    </row>
    <row r="19" spans="2:26" x14ac:dyDescent="0.25">
      <c r="B19" s="475" t="s">
        <v>200</v>
      </c>
      <c r="C19" s="465">
        <f>ESTADO_DE_RESULTADOS!B13</f>
        <v>0</v>
      </c>
      <c r="D19" s="465">
        <f>ESTADO_DE_RESULTADOS!C13</f>
        <v>0</v>
      </c>
      <c r="E19" s="465">
        <f>ESTADO_DE_RESULTADOS!D13</f>
        <v>0</v>
      </c>
      <c r="F19" s="465">
        <f>ESTADO_DE_RESULTADOS!E13</f>
        <v>0</v>
      </c>
      <c r="G19" s="465">
        <f>ESTADO_DE_RESULTADOS!F13</f>
        <v>0</v>
      </c>
      <c r="P19" s="775" t="s">
        <v>1196</v>
      </c>
      <c r="Q19" s="775"/>
      <c r="R19" s="775"/>
      <c r="S19" s="775"/>
      <c r="T19" s="775"/>
      <c r="U19" s="775"/>
      <c r="V19" s="775"/>
      <c r="W19" s="775"/>
      <c r="X19" s="775"/>
      <c r="Y19" s="775"/>
      <c r="Z19" s="775"/>
    </row>
    <row r="20" spans="2:26" x14ac:dyDescent="0.25">
      <c r="B20" s="475" t="s">
        <v>201</v>
      </c>
      <c r="C20" s="465">
        <f>ESTADO_DE_RESULTADOS!B14</f>
        <v>0</v>
      </c>
      <c r="D20" s="465">
        <f>ESTADO_DE_RESULTADOS!C14</f>
        <v>0</v>
      </c>
      <c r="E20" s="465">
        <f>ESTADO_DE_RESULTADOS!D14</f>
        <v>0</v>
      </c>
      <c r="F20" s="465">
        <f>ESTADO_DE_RESULTADOS!E14</f>
        <v>0</v>
      </c>
      <c r="G20" s="465">
        <f>ESTADO_DE_RESULTADOS!F14</f>
        <v>0</v>
      </c>
      <c r="P20" s="784" t="s">
        <v>1195</v>
      </c>
      <c r="Q20" s="784"/>
      <c r="R20" s="784"/>
      <c r="S20" s="784"/>
      <c r="T20" s="784"/>
      <c r="U20" s="784"/>
      <c r="V20" s="784"/>
      <c r="W20" s="784"/>
      <c r="X20" s="784"/>
      <c r="Y20" s="784"/>
      <c r="Z20" s="784"/>
    </row>
    <row r="21" spans="2:26" hidden="1" x14ac:dyDescent="0.25">
      <c r="B21" s="479" t="s">
        <v>312</v>
      </c>
      <c r="C21" s="79">
        <f>ESTADO_DE_RESULTADOS!B15</f>
        <v>0</v>
      </c>
      <c r="D21" s="79">
        <f>ESTADO_DE_RESULTADOS!C15</f>
        <v>0</v>
      </c>
      <c r="E21" s="79">
        <f>ESTADO_DE_RESULTADOS!D15</f>
        <v>0</v>
      </c>
      <c r="F21" s="79">
        <f>ESTADO_DE_RESULTADOS!E15</f>
        <v>0</v>
      </c>
      <c r="G21" s="79">
        <f>ESTADO_DE_RESULTADOS!F15</f>
        <v>0</v>
      </c>
    </row>
    <row r="22" spans="2:26" x14ac:dyDescent="0.25">
      <c r="B22" s="477" t="s">
        <v>202</v>
      </c>
      <c r="C22" s="478">
        <f>C15-SUM(C16:C21)</f>
        <v>0</v>
      </c>
      <c r="D22" s="478">
        <f t="shared" ref="D22:G22" si="1">D15-SUM(D16:D21)</f>
        <v>0</v>
      </c>
      <c r="E22" s="478">
        <f t="shared" si="1"/>
        <v>0</v>
      </c>
      <c r="F22" s="478">
        <f t="shared" si="1"/>
        <v>0</v>
      </c>
      <c r="G22" s="478">
        <f t="shared" si="1"/>
        <v>0</v>
      </c>
      <c r="N22" s="461"/>
      <c r="O22" s="461"/>
      <c r="P22" s="463">
        <v>-0.1</v>
      </c>
      <c r="Q22" s="463">
        <v>-0.08</v>
      </c>
      <c r="R22" s="463">
        <v>-0.06</v>
      </c>
      <c r="S22" s="463">
        <v>-0.04</v>
      </c>
      <c r="T22" s="463">
        <v>-0.02</v>
      </c>
      <c r="U22" s="463">
        <v>0</v>
      </c>
      <c r="V22" s="463">
        <v>0.02</v>
      </c>
      <c r="W22" s="463">
        <v>0.04</v>
      </c>
      <c r="X22" s="463">
        <v>0.06</v>
      </c>
      <c r="Y22" s="463">
        <v>0.08</v>
      </c>
      <c r="Z22" s="463">
        <v>0.1</v>
      </c>
    </row>
    <row r="23" spans="2:26" x14ac:dyDescent="0.25">
      <c r="B23" s="480" t="s">
        <v>313</v>
      </c>
      <c r="C23" s="465">
        <f>ESTADO_DE_RESULTADOS!B17</f>
        <v>0</v>
      </c>
      <c r="D23" s="465">
        <f>ESTADO_DE_RESULTADOS!C17</f>
        <v>0</v>
      </c>
      <c r="E23" s="465">
        <f>ESTADO_DE_RESULTADOS!D17</f>
        <v>0</v>
      </c>
      <c r="F23" s="465">
        <f>ESTADO_DE_RESULTADOS!E17</f>
        <v>0</v>
      </c>
      <c r="G23" s="465">
        <f>ESTADO_DE_RESULTADOS!F17</f>
        <v>0</v>
      </c>
      <c r="N23" s="464" t="s">
        <v>192</v>
      </c>
      <c r="O23" s="466">
        <f>D10</f>
        <v>0</v>
      </c>
      <c r="P23" s="467"/>
      <c r="Q23" s="467"/>
      <c r="R23" s="467"/>
      <c r="S23" s="467"/>
      <c r="T23" s="467"/>
      <c r="U23" s="481"/>
      <c r="V23" s="467"/>
      <c r="W23" s="467"/>
      <c r="X23" s="467"/>
      <c r="Y23" s="467"/>
      <c r="Z23" s="467"/>
    </row>
    <row r="24" spans="2:26" x14ac:dyDescent="0.25">
      <c r="B24" s="480" t="s">
        <v>203</v>
      </c>
      <c r="C24" s="465" t="e">
        <f>ESTADO_DE_RESULTADOS!B18</f>
        <v>#DIV/0!</v>
      </c>
      <c r="D24" s="465" t="e">
        <f>ESTADO_DE_RESULTADOS!C18</f>
        <v>#DIV/0!</v>
      </c>
      <c r="E24" s="465" t="e">
        <f>ESTADO_DE_RESULTADOS!D18</f>
        <v>#DIV/0!</v>
      </c>
      <c r="F24" s="465" t="e">
        <f>ESTADO_DE_RESULTADOS!E18</f>
        <v>#DIV/0!</v>
      </c>
      <c r="G24" s="465" t="e">
        <f>ESTADO_DE_RESULTADOS!F18</f>
        <v>#DIV/0!</v>
      </c>
      <c r="N24" s="464" t="s">
        <v>196</v>
      </c>
      <c r="O24" s="466">
        <f>D15</f>
        <v>0</v>
      </c>
      <c r="P24" s="467"/>
      <c r="Q24" s="467"/>
      <c r="R24" s="467"/>
      <c r="S24" s="467"/>
      <c r="T24" s="467"/>
      <c r="U24" s="481"/>
      <c r="V24" s="467"/>
      <c r="W24" s="467"/>
      <c r="X24" s="467"/>
      <c r="Y24" s="467"/>
      <c r="Z24" s="467"/>
    </row>
    <row r="25" spans="2:26" x14ac:dyDescent="0.25">
      <c r="B25" s="480" t="s">
        <v>204</v>
      </c>
      <c r="C25" s="465" t="e">
        <f>ESTADO_DE_RESULTADOS!B19</f>
        <v>#DIV/0!</v>
      </c>
      <c r="D25" s="465" t="e">
        <f>ESTADO_DE_RESULTADOS!C19</f>
        <v>#DIV/0!</v>
      </c>
      <c r="E25" s="465" t="e">
        <f>ESTADO_DE_RESULTADOS!D19</f>
        <v>#DIV/0!</v>
      </c>
      <c r="F25" s="465" t="e">
        <f>ESTADO_DE_RESULTADOS!E19</f>
        <v>#DIV/0!</v>
      </c>
      <c r="G25" s="465" t="e">
        <f>ESTADO_DE_RESULTADOS!F19</f>
        <v>#DIV/0!</v>
      </c>
      <c r="N25" s="464" t="s">
        <v>202</v>
      </c>
      <c r="O25" s="466">
        <f>D22</f>
        <v>0</v>
      </c>
      <c r="P25" s="467"/>
      <c r="Q25" s="467"/>
      <c r="R25" s="467"/>
      <c r="S25" s="467"/>
      <c r="T25" s="467"/>
      <c r="U25" s="481"/>
      <c r="V25" s="467"/>
      <c r="W25" s="467"/>
      <c r="X25" s="467"/>
      <c r="Y25" s="467"/>
      <c r="Z25" s="467"/>
    </row>
    <row r="26" spans="2:26" x14ac:dyDescent="0.25">
      <c r="B26" s="480" t="s">
        <v>205</v>
      </c>
      <c r="C26" s="465" t="e">
        <f>C23+C24+C25</f>
        <v>#DIV/0!</v>
      </c>
      <c r="D26" s="465" t="e">
        <f t="shared" ref="D26:G26" si="2">D23+D24+D25</f>
        <v>#DIV/0!</v>
      </c>
      <c r="E26" s="465" t="e">
        <f t="shared" si="2"/>
        <v>#DIV/0!</v>
      </c>
      <c r="F26" s="465" t="e">
        <f t="shared" si="2"/>
        <v>#DIV/0!</v>
      </c>
      <c r="G26" s="465" t="e">
        <f t="shared" si="2"/>
        <v>#DIV/0!</v>
      </c>
      <c r="N26" s="464" t="s">
        <v>1169</v>
      </c>
      <c r="O26" s="466" t="e">
        <f>D33</f>
        <v>#DIV/0!</v>
      </c>
      <c r="P26" s="467"/>
      <c r="Q26" s="467"/>
      <c r="R26" s="467"/>
      <c r="S26" s="467"/>
      <c r="T26" s="467"/>
      <c r="U26" s="481"/>
      <c r="V26" s="467"/>
      <c r="W26" s="467"/>
      <c r="X26" s="467"/>
      <c r="Y26" s="467"/>
      <c r="Z26" s="467"/>
    </row>
    <row r="27" spans="2:26" hidden="1" x14ac:dyDescent="0.25">
      <c r="B27" s="482" t="s">
        <v>314</v>
      </c>
      <c r="C27" s="79">
        <f>ESTADO_DE_RESULTADOS!B21</f>
        <v>0</v>
      </c>
      <c r="D27" s="79">
        <f>ESTADO_DE_RESULTADOS!C21</f>
        <v>0</v>
      </c>
      <c r="E27" s="79">
        <f>ESTADO_DE_RESULTADOS!D21</f>
        <v>0</v>
      </c>
      <c r="F27" s="79">
        <f>ESTADO_DE_RESULTADOS!E21</f>
        <v>0</v>
      </c>
      <c r="G27" s="79">
        <f>ESTADO_DE_RESULTADOS!F21</f>
        <v>0</v>
      </c>
      <c r="N27" s="460"/>
      <c r="O27" s="467"/>
      <c r="P27" s="467"/>
      <c r="Q27" s="467"/>
      <c r="R27" s="467"/>
      <c r="S27" s="467"/>
      <c r="T27" s="467"/>
      <c r="U27" s="481"/>
      <c r="V27" s="467"/>
      <c r="W27" s="467"/>
      <c r="X27" s="467"/>
      <c r="Y27" s="467"/>
      <c r="Z27" s="467"/>
    </row>
    <row r="28" spans="2:26" hidden="1" x14ac:dyDescent="0.25">
      <c r="B28" s="482" t="s">
        <v>315</v>
      </c>
      <c r="C28" s="79">
        <f>ESTADO_DE_RESULTADOS!B22</f>
        <v>0</v>
      </c>
      <c r="D28" s="79">
        <f>ESTADO_DE_RESULTADOS!C22</f>
        <v>0</v>
      </c>
      <c r="E28" s="79">
        <f>ESTADO_DE_RESULTADOS!D22</f>
        <v>0</v>
      </c>
      <c r="F28" s="79">
        <f>ESTADO_DE_RESULTADOS!E22</f>
        <v>0</v>
      </c>
      <c r="G28" s="79">
        <f>ESTADO_DE_RESULTADOS!F22</f>
        <v>0</v>
      </c>
      <c r="N28" s="460"/>
      <c r="O28" s="467"/>
      <c r="P28" s="467"/>
      <c r="Q28" s="467"/>
      <c r="R28" s="467"/>
      <c r="S28" s="467"/>
      <c r="T28" s="467"/>
      <c r="U28" s="481"/>
      <c r="V28" s="467"/>
      <c r="W28" s="467"/>
      <c r="X28" s="467"/>
      <c r="Y28" s="467"/>
      <c r="Z28" s="467"/>
    </row>
    <row r="29" spans="2:26" hidden="1" x14ac:dyDescent="0.25">
      <c r="B29" s="482" t="s">
        <v>316</v>
      </c>
      <c r="C29" s="79">
        <f>ESTADO_DE_RESULTADOS!B23</f>
        <v>0</v>
      </c>
      <c r="D29" s="79">
        <f>ESTADO_DE_RESULTADOS!C23</f>
        <v>0</v>
      </c>
      <c r="E29" s="79">
        <f>ESTADO_DE_RESULTADOS!D23</f>
        <v>0</v>
      </c>
      <c r="F29" s="79">
        <f>ESTADO_DE_RESULTADOS!E23</f>
        <v>0</v>
      </c>
      <c r="G29" s="79">
        <f>ESTADO_DE_RESULTADOS!F23</f>
        <v>0</v>
      </c>
      <c r="N29" s="460"/>
      <c r="O29" s="467"/>
      <c r="P29" s="467"/>
      <c r="Q29" s="467"/>
      <c r="R29" s="467"/>
      <c r="S29" s="467"/>
      <c r="T29" s="467"/>
      <c r="U29" s="481"/>
      <c r="V29" s="467"/>
      <c r="W29" s="467"/>
      <c r="X29" s="467"/>
      <c r="Y29" s="467"/>
      <c r="Z29" s="467"/>
    </row>
    <row r="30" spans="2:26" hidden="1" x14ac:dyDescent="0.25">
      <c r="B30" s="482" t="s">
        <v>317</v>
      </c>
      <c r="C30" s="79">
        <f>ESTADO_DE_RESULTADOS!B24</f>
        <v>0</v>
      </c>
      <c r="D30" s="79">
        <f>ESTADO_DE_RESULTADOS!C24</f>
        <v>0</v>
      </c>
      <c r="E30" s="79">
        <f>ESTADO_DE_RESULTADOS!D24</f>
        <v>0</v>
      </c>
      <c r="F30" s="79">
        <f>ESTADO_DE_RESULTADOS!E24</f>
        <v>0</v>
      </c>
      <c r="G30" s="79">
        <f>ESTADO_DE_RESULTADOS!F24</f>
        <v>0</v>
      </c>
      <c r="N30" s="460"/>
      <c r="O30" s="467"/>
      <c r="P30" s="467"/>
      <c r="Q30" s="467"/>
      <c r="R30" s="467"/>
      <c r="S30" s="467"/>
      <c r="T30" s="467"/>
      <c r="U30" s="481"/>
      <c r="V30" s="467"/>
      <c r="W30" s="467"/>
      <c r="X30" s="467"/>
      <c r="Y30" s="467"/>
      <c r="Z30" s="467"/>
    </row>
    <row r="31" spans="2:26" hidden="1" x14ac:dyDescent="0.25">
      <c r="B31" s="482" t="s">
        <v>318</v>
      </c>
      <c r="C31" s="79">
        <f>ESTADO_DE_RESULTADOS!B25</f>
        <v>0</v>
      </c>
      <c r="D31" s="79">
        <f>ESTADO_DE_RESULTADOS!C25</f>
        <v>0</v>
      </c>
      <c r="E31" s="79">
        <f>ESTADO_DE_RESULTADOS!D25</f>
        <v>0</v>
      </c>
      <c r="F31" s="79">
        <f>ESTADO_DE_RESULTADOS!E25</f>
        <v>0</v>
      </c>
      <c r="G31" s="79">
        <f>ESTADO_DE_RESULTADOS!F25</f>
        <v>0</v>
      </c>
      <c r="N31" s="460"/>
      <c r="O31" s="467"/>
      <c r="P31" s="467"/>
      <c r="Q31" s="467"/>
      <c r="R31" s="467"/>
      <c r="S31" s="467"/>
      <c r="T31" s="467"/>
      <c r="U31" s="481"/>
      <c r="V31" s="467"/>
      <c r="W31" s="467"/>
      <c r="X31" s="467"/>
      <c r="Y31" s="467"/>
      <c r="Z31" s="467"/>
    </row>
    <row r="32" spans="2:26" hidden="1" x14ac:dyDescent="0.25">
      <c r="B32" s="479" t="s">
        <v>319</v>
      </c>
      <c r="C32" s="79">
        <f>C27+C28+C29+C30+C31</f>
        <v>0</v>
      </c>
      <c r="D32" s="79">
        <f t="shared" ref="D32:G32" si="3">D27+D28+D29+D30+D31</f>
        <v>0</v>
      </c>
      <c r="E32" s="79">
        <f t="shared" si="3"/>
        <v>0</v>
      </c>
      <c r="F32" s="79">
        <f t="shared" si="3"/>
        <v>0</v>
      </c>
      <c r="G32" s="79">
        <f t="shared" si="3"/>
        <v>0</v>
      </c>
      <c r="N32" s="460"/>
      <c r="O32" s="467"/>
      <c r="P32" s="467"/>
      <c r="Q32" s="467"/>
      <c r="R32" s="467"/>
      <c r="S32" s="467"/>
      <c r="T32" s="467"/>
      <c r="U32" s="481"/>
      <c r="V32" s="467"/>
      <c r="W32" s="467"/>
      <c r="X32" s="467"/>
      <c r="Y32" s="467"/>
      <c r="Z32" s="467"/>
    </row>
    <row r="33" spans="2:26" x14ac:dyDescent="0.25">
      <c r="B33" s="477" t="s">
        <v>1169</v>
      </c>
      <c r="C33" s="478" t="e">
        <f>C22+C26+C32</f>
        <v>#DIV/0!</v>
      </c>
      <c r="D33" s="478" t="e">
        <f t="shared" ref="D33:G33" si="4">D22+D26+D32</f>
        <v>#DIV/0!</v>
      </c>
      <c r="E33" s="478" t="e">
        <f t="shared" si="4"/>
        <v>#DIV/0!</v>
      </c>
      <c r="F33" s="478" t="e">
        <f t="shared" si="4"/>
        <v>#DIV/0!</v>
      </c>
      <c r="G33" s="478" t="e">
        <f t="shared" si="4"/>
        <v>#DIV/0!</v>
      </c>
      <c r="N33" s="464" t="s">
        <v>1170</v>
      </c>
      <c r="O33" s="466" t="e">
        <f>D37</f>
        <v>#DIV/0!</v>
      </c>
      <c r="P33" s="467"/>
      <c r="Q33" s="467"/>
      <c r="R33" s="467"/>
      <c r="S33" s="467"/>
      <c r="T33" s="467"/>
      <c r="U33" s="481"/>
      <c r="V33" s="467"/>
      <c r="W33" s="467"/>
      <c r="X33" s="467"/>
      <c r="Y33" s="467"/>
      <c r="Z33" s="467"/>
    </row>
    <row r="34" spans="2:26" x14ac:dyDescent="0.25">
      <c r="B34" s="475" t="s">
        <v>207</v>
      </c>
      <c r="C34" s="465" t="e">
        <f>IF(C33*ESTADO_DE_RESULTADOS!$I$9&lt;0,0,ANALISIS_DE_SENSIBILIDAD!C33*ESTADO_DE_RESULTADOS!$I$9)</f>
        <v>#DIV/0!</v>
      </c>
      <c r="D34" s="465" t="e">
        <f>IF(D33*ESTADO_DE_RESULTADOS!$I$9&lt;0,0,ANALISIS_DE_SENSIBILIDAD!D33*ESTADO_DE_RESULTADOS!$I$9)</f>
        <v>#DIV/0!</v>
      </c>
      <c r="E34" s="465" t="e">
        <f>IF(E33*ESTADO_DE_RESULTADOS!$I$9&lt;0,0,ANALISIS_DE_SENSIBILIDAD!E33*ESTADO_DE_RESULTADOS!$I$9)</f>
        <v>#DIV/0!</v>
      </c>
      <c r="F34" s="465" t="e">
        <f>IF(F33*ESTADO_DE_RESULTADOS!$I$9&lt;0,0,ANALISIS_DE_SENSIBILIDAD!F33*ESTADO_DE_RESULTADOS!$I$9)</f>
        <v>#DIV/0!</v>
      </c>
      <c r="G34" s="465" t="e">
        <f>IF(G33*ESTADO_DE_RESULTADOS!$I$9&lt;0,0,ANALISIS_DE_SENSIBILIDAD!G33*ESTADO_DE_RESULTADOS!$I$9)</f>
        <v>#DIV/0!</v>
      </c>
      <c r="N34" s="464" t="s">
        <v>218</v>
      </c>
      <c r="O34" s="466" t="e">
        <f>D46</f>
        <v>#DIV/0!</v>
      </c>
      <c r="P34" s="467"/>
      <c r="Q34" s="467"/>
      <c r="R34" s="467"/>
      <c r="S34" s="467"/>
      <c r="T34" s="467"/>
      <c r="U34" s="481"/>
      <c r="V34" s="467"/>
      <c r="W34" s="467"/>
      <c r="X34" s="467"/>
      <c r="Y34" s="467"/>
      <c r="Z34" s="467"/>
    </row>
    <row r="35" spans="2:26" x14ac:dyDescent="0.25">
      <c r="B35" s="475" t="s">
        <v>208</v>
      </c>
      <c r="C35" s="465" t="e">
        <f>IF(C33*ESTADO_DE_RESULTADOS!$I$10=0,0,ANALISIS_DE_SENSIBILIDAD!C33*ESTADO_DE_RESULTADOS!$I$10)</f>
        <v>#DIV/0!</v>
      </c>
      <c r="D35" s="465" t="e">
        <f>IF(D33*ESTADO_DE_RESULTADOS!$I$10=0,0,ANALISIS_DE_SENSIBILIDAD!D33*ESTADO_DE_RESULTADOS!$I$10)</f>
        <v>#DIV/0!</v>
      </c>
      <c r="E35" s="465" t="e">
        <f>IF(E33*ESTADO_DE_RESULTADOS!$I$10=0,0,ANALISIS_DE_SENSIBILIDAD!E33*ESTADO_DE_RESULTADOS!$I$10)</f>
        <v>#DIV/0!</v>
      </c>
      <c r="F35" s="465" t="e">
        <f>IF(F33*ESTADO_DE_RESULTADOS!$I$10=0,0,ANALISIS_DE_SENSIBILIDAD!F33*ESTADO_DE_RESULTADOS!$I$10)</f>
        <v>#DIV/0!</v>
      </c>
      <c r="G35" s="465" t="e">
        <f>IF(G33*ESTADO_DE_RESULTADOS!$I$10=0,0,ANALISIS_DE_SENSIBILIDAD!G33*ESTADO_DE_RESULTADOS!$I$10)</f>
        <v>#DIV/0!</v>
      </c>
      <c r="N35" s="464" t="s">
        <v>253</v>
      </c>
      <c r="O35" s="466" t="e">
        <f>E77</f>
        <v>#DIV/0!</v>
      </c>
      <c r="P35" s="467"/>
      <c r="Q35" s="467"/>
      <c r="R35" s="467"/>
      <c r="S35" s="467"/>
      <c r="T35" s="467"/>
      <c r="U35" s="481"/>
      <c r="V35" s="467"/>
      <c r="W35" s="467"/>
      <c r="X35" s="467"/>
      <c r="Y35" s="467"/>
      <c r="Z35" s="467"/>
    </row>
    <row r="36" spans="2:26" x14ac:dyDescent="0.25">
      <c r="B36" s="475" t="s">
        <v>209</v>
      </c>
      <c r="C36" s="465" t="e">
        <f>IF(C33*ESTADO_DE_RESULTADOS!$I$11&lt;0,0,ANALISIS_DE_SENSIBILIDAD!C33*ESTADO_DE_RESULTADOS!$I$11)</f>
        <v>#DIV/0!</v>
      </c>
      <c r="D36" s="465" t="e">
        <f>IF(D33*ESTADO_DE_RESULTADOS!$I$11&lt;0,0,ANALISIS_DE_SENSIBILIDAD!D33*ESTADO_DE_RESULTADOS!$I$11)</f>
        <v>#DIV/0!</v>
      </c>
      <c r="E36" s="465" t="e">
        <f>IF(E33*ESTADO_DE_RESULTADOS!$I$11&lt;0,0,ANALISIS_DE_SENSIBILIDAD!E33*ESTADO_DE_RESULTADOS!$I$11)</f>
        <v>#DIV/0!</v>
      </c>
      <c r="F36" s="465" t="e">
        <f>IF(F33*ESTADO_DE_RESULTADOS!$I$11&lt;0,0,ANALISIS_DE_SENSIBILIDAD!F33*ESTADO_DE_RESULTADOS!$I$11)</f>
        <v>#DIV/0!</v>
      </c>
      <c r="G36" s="465" t="e">
        <f>IF(G33*ESTADO_DE_RESULTADOS!$I$11&lt;0,0,ANALISIS_DE_SENSIBILIDAD!G33*ESTADO_DE_RESULTADOS!$I$11)</f>
        <v>#DIV/0!</v>
      </c>
      <c r="N36" s="464" t="s">
        <v>1171</v>
      </c>
      <c r="O36" s="466" t="e">
        <f>C79</f>
        <v>#DIV/0!</v>
      </c>
      <c r="P36" s="467"/>
      <c r="Q36" s="467"/>
      <c r="R36" s="467"/>
      <c r="S36" s="467"/>
      <c r="T36" s="467"/>
      <c r="U36" s="481"/>
      <c r="V36" s="467"/>
      <c r="W36" s="467"/>
      <c r="X36" s="467"/>
      <c r="Y36" s="467"/>
      <c r="Z36" s="467"/>
    </row>
    <row r="37" spans="2:26" ht="16.5" thickBot="1" x14ac:dyDescent="0.3">
      <c r="B37" s="483" t="s">
        <v>210</v>
      </c>
      <c r="C37" s="478" t="e">
        <f>C33-C34-C35-C36</f>
        <v>#DIV/0!</v>
      </c>
      <c r="D37" s="478" t="e">
        <f t="shared" ref="D37:G37" si="5">D33-D34-D35-D36</f>
        <v>#DIV/0!</v>
      </c>
      <c r="E37" s="478" t="e">
        <f t="shared" si="5"/>
        <v>#DIV/0!</v>
      </c>
      <c r="F37" s="478" t="e">
        <f t="shared" si="5"/>
        <v>#DIV/0!</v>
      </c>
      <c r="G37" s="478" t="e">
        <f t="shared" si="5"/>
        <v>#DIV/0!</v>
      </c>
    </row>
    <row r="40" spans="2:26" ht="31.5" customHeight="1" x14ac:dyDescent="0.25">
      <c r="B40" s="484" t="s">
        <v>1172</v>
      </c>
      <c r="C40" s="485">
        <f>FLUJO_DE_CAJA!B6</f>
        <v>2021</v>
      </c>
      <c r="D40" s="485">
        <f>FLUJO_DE_CAJA!C6</f>
        <v>2022</v>
      </c>
      <c r="E40" s="485">
        <f>FLUJO_DE_CAJA!D6</f>
        <v>2023</v>
      </c>
      <c r="F40" s="485">
        <f>FLUJO_DE_CAJA!E6</f>
        <v>2024</v>
      </c>
      <c r="G40" s="485">
        <f>FLUJO_DE_CAJA!F6</f>
        <v>2025</v>
      </c>
      <c r="P40" s="785" t="s">
        <v>1197</v>
      </c>
      <c r="Q40" s="785"/>
      <c r="R40" s="785"/>
      <c r="S40" s="785"/>
      <c r="T40" s="785"/>
      <c r="U40" s="785"/>
      <c r="V40" s="785"/>
      <c r="W40" s="785"/>
      <c r="X40" s="785"/>
      <c r="Y40" s="785"/>
      <c r="Z40" s="785"/>
    </row>
    <row r="41" spans="2:26" x14ac:dyDescent="0.25">
      <c r="B41" s="486" t="s">
        <v>219</v>
      </c>
      <c r="C41" s="465">
        <f>C22</f>
        <v>0</v>
      </c>
      <c r="D41" s="465">
        <f>D22</f>
        <v>0</v>
      </c>
      <c r="E41" s="465">
        <f>E22</f>
        <v>0</v>
      </c>
      <c r="F41" s="465">
        <f>F22</f>
        <v>0</v>
      </c>
      <c r="G41" s="465">
        <f>G22</f>
        <v>0</v>
      </c>
      <c r="P41" s="783" t="s">
        <v>1195</v>
      </c>
      <c r="Q41" s="783"/>
      <c r="R41" s="783"/>
      <c r="S41" s="783"/>
      <c r="T41" s="783"/>
      <c r="U41" s="783"/>
      <c r="V41" s="783"/>
      <c r="W41" s="783"/>
      <c r="X41" s="783"/>
      <c r="Y41" s="783"/>
      <c r="Z41" s="783"/>
    </row>
    <row r="42" spans="2:26" x14ac:dyDescent="0.25">
      <c r="B42" s="486" t="s">
        <v>220</v>
      </c>
      <c r="C42" s="465">
        <f>FLUJO_DE_CAJA!B9</f>
        <v>0</v>
      </c>
      <c r="D42" s="465">
        <f>FLUJO_DE_CAJA!C9</f>
        <v>0</v>
      </c>
      <c r="E42" s="465">
        <f>FLUJO_DE_CAJA!D9</f>
        <v>0</v>
      </c>
      <c r="F42" s="465">
        <f>FLUJO_DE_CAJA!E9</f>
        <v>0</v>
      </c>
      <c r="G42" s="465">
        <f>FLUJO_DE_CAJA!F9</f>
        <v>0</v>
      </c>
      <c r="N42" s="462"/>
      <c r="O42" s="462"/>
      <c r="P42" s="452">
        <v>-0.1</v>
      </c>
      <c r="Q42" s="452">
        <v>-0.08</v>
      </c>
      <c r="R42" s="452">
        <v>-0.06</v>
      </c>
      <c r="S42" s="452">
        <v>-0.04</v>
      </c>
      <c r="T42" s="452">
        <v>-0.02</v>
      </c>
      <c r="U42" s="452">
        <v>0</v>
      </c>
      <c r="V42" s="452">
        <v>0.02</v>
      </c>
      <c r="W42" s="452">
        <v>0.04</v>
      </c>
      <c r="X42" s="452">
        <v>0.06</v>
      </c>
      <c r="Y42" s="452">
        <v>0.08</v>
      </c>
      <c r="Z42" s="452">
        <v>0.1</v>
      </c>
    </row>
    <row r="43" spans="2:26" x14ac:dyDescent="0.25">
      <c r="B43" s="486" t="s">
        <v>221</v>
      </c>
      <c r="C43" s="465">
        <f>FLUJO_DE_CAJA!B10</f>
        <v>0</v>
      </c>
      <c r="D43" s="465">
        <f>FLUJO_DE_CAJA!C10</f>
        <v>0</v>
      </c>
      <c r="E43" s="465">
        <f>FLUJO_DE_CAJA!D10</f>
        <v>0</v>
      </c>
      <c r="F43" s="465">
        <f>FLUJO_DE_CAJA!E10</f>
        <v>0</v>
      </c>
      <c r="G43" s="465">
        <f>FLUJO_DE_CAJA!F10</f>
        <v>0</v>
      </c>
      <c r="N43" s="458" t="s">
        <v>192</v>
      </c>
      <c r="O43" s="453">
        <f>E10</f>
        <v>0</v>
      </c>
      <c r="P43" s="472"/>
      <c r="Q43" s="472"/>
      <c r="R43" s="472"/>
      <c r="S43" s="472"/>
      <c r="T43" s="472"/>
      <c r="U43" s="453"/>
      <c r="V43" s="472"/>
      <c r="W43" s="472"/>
      <c r="X43" s="472"/>
      <c r="Y43" s="472"/>
      <c r="Z43" s="472"/>
    </row>
    <row r="44" spans="2:26" x14ac:dyDescent="0.25">
      <c r="B44" s="486" t="s">
        <v>201</v>
      </c>
      <c r="C44" s="465">
        <f>C20</f>
        <v>0</v>
      </c>
      <c r="D44" s="465">
        <f>D20</f>
        <v>0</v>
      </c>
      <c r="E44" s="465">
        <f>E20</f>
        <v>0</v>
      </c>
      <c r="F44" s="465">
        <f>F20</f>
        <v>0</v>
      </c>
      <c r="G44" s="465">
        <f>G20</f>
        <v>0</v>
      </c>
      <c r="N44" s="458" t="s">
        <v>196</v>
      </c>
      <c r="O44" s="453">
        <f>E15</f>
        <v>0</v>
      </c>
      <c r="P44" s="472"/>
      <c r="Q44" s="472"/>
      <c r="R44" s="472"/>
      <c r="S44" s="472"/>
      <c r="T44" s="472"/>
      <c r="U44" s="453"/>
      <c r="V44" s="472"/>
      <c r="W44" s="472"/>
      <c r="X44" s="472"/>
      <c r="Y44" s="472"/>
      <c r="Z44" s="472"/>
    </row>
    <row r="45" spans="2:26" x14ac:dyDescent="0.25">
      <c r="B45" s="486" t="s">
        <v>222</v>
      </c>
      <c r="C45" s="487"/>
      <c r="D45" s="465" t="e">
        <f>C34*-1</f>
        <v>#DIV/0!</v>
      </c>
      <c r="E45" s="465" t="e">
        <f>D34*-1</f>
        <v>#DIV/0!</v>
      </c>
      <c r="F45" s="465" t="e">
        <f>E34*-1</f>
        <v>#DIV/0!</v>
      </c>
      <c r="G45" s="465" t="e">
        <f>F34*-1</f>
        <v>#DIV/0!</v>
      </c>
      <c r="N45" s="458" t="s">
        <v>1168</v>
      </c>
      <c r="O45" s="453">
        <f>E22</f>
        <v>0</v>
      </c>
      <c r="P45" s="472"/>
      <c r="Q45" s="472"/>
      <c r="R45" s="472"/>
      <c r="S45" s="472"/>
      <c r="T45" s="472"/>
      <c r="U45" s="453"/>
      <c r="V45" s="472"/>
      <c r="W45" s="472"/>
      <c r="X45" s="472"/>
      <c r="Y45" s="472"/>
      <c r="Z45" s="472"/>
    </row>
    <row r="46" spans="2:26" ht="16.5" thickBot="1" x14ac:dyDescent="0.3">
      <c r="B46" s="488" t="s">
        <v>223</v>
      </c>
      <c r="C46" s="489">
        <f>SUM(C41:C45)</f>
        <v>0</v>
      </c>
      <c r="D46" s="489" t="e">
        <f t="shared" ref="D46:G46" si="6">SUM(D41:D45)</f>
        <v>#DIV/0!</v>
      </c>
      <c r="E46" s="489" t="e">
        <f t="shared" si="6"/>
        <v>#DIV/0!</v>
      </c>
      <c r="F46" s="489" t="e">
        <f t="shared" si="6"/>
        <v>#DIV/0!</v>
      </c>
      <c r="G46" s="489" t="e">
        <f t="shared" si="6"/>
        <v>#DIV/0!</v>
      </c>
      <c r="N46" s="458" t="s">
        <v>1169</v>
      </c>
      <c r="O46" s="453" t="e">
        <f>E33</f>
        <v>#DIV/0!</v>
      </c>
      <c r="P46" s="472"/>
      <c r="Q46" s="472"/>
      <c r="R46" s="472"/>
      <c r="S46" s="472"/>
      <c r="T46" s="472"/>
      <c r="U46" s="453"/>
      <c r="V46" s="472"/>
      <c r="W46" s="472"/>
      <c r="X46" s="472"/>
      <c r="Y46" s="472"/>
      <c r="Z46" s="472"/>
    </row>
    <row r="47" spans="2:26" x14ac:dyDescent="0.25">
      <c r="N47" s="458" t="s">
        <v>1170</v>
      </c>
      <c r="O47" s="453" t="e">
        <f>E37</f>
        <v>#DIV/0!</v>
      </c>
      <c r="P47" s="472"/>
      <c r="Q47" s="472"/>
      <c r="R47" s="472"/>
      <c r="S47" s="472"/>
      <c r="T47" s="472"/>
      <c r="U47" s="453"/>
      <c r="V47" s="472"/>
      <c r="W47" s="472"/>
      <c r="X47" s="472"/>
      <c r="Y47" s="472"/>
      <c r="Z47" s="472"/>
    </row>
    <row r="48" spans="2:26" x14ac:dyDescent="0.25">
      <c r="B48" s="490" t="s">
        <v>1175</v>
      </c>
      <c r="C48" s="491">
        <f>FLUJO_DE_CAJA!B16</f>
        <v>2021</v>
      </c>
      <c r="D48" s="491">
        <f>FLUJO_DE_CAJA!C16</f>
        <v>2022</v>
      </c>
      <c r="E48" s="491">
        <f>FLUJO_DE_CAJA!D16</f>
        <v>2023</v>
      </c>
      <c r="F48" s="492">
        <f>FLUJO_DE_CAJA!E16</f>
        <v>2024</v>
      </c>
      <c r="G48" s="492">
        <f>FLUJO_DE_CAJA!F16</f>
        <v>2025</v>
      </c>
      <c r="N48" s="458" t="s">
        <v>218</v>
      </c>
      <c r="O48" s="453" t="e">
        <f>E46</f>
        <v>#DIV/0!</v>
      </c>
      <c r="P48" s="472"/>
      <c r="Q48" s="472"/>
      <c r="R48" s="472"/>
      <c r="S48" s="472"/>
      <c r="T48" s="472"/>
      <c r="U48" s="453"/>
      <c r="V48" s="472"/>
      <c r="W48" s="472"/>
      <c r="X48" s="472"/>
      <c r="Y48" s="472"/>
      <c r="Z48" s="472"/>
    </row>
    <row r="49" spans="2:26" x14ac:dyDescent="0.25">
      <c r="B49" s="493" t="s">
        <v>226</v>
      </c>
      <c r="C49" s="465" t="e">
        <f>FLUJO_DE_CAJA!B17</f>
        <v>#DIV/0!</v>
      </c>
      <c r="D49" s="465">
        <f>FLUJO_DE_CAJA!C17</f>
        <v>0</v>
      </c>
      <c r="E49" s="465">
        <f>FLUJO_DE_CAJA!D17</f>
        <v>0</v>
      </c>
      <c r="F49" s="465">
        <f>FLUJO_DE_CAJA!E17</f>
        <v>0</v>
      </c>
      <c r="G49" s="465">
        <f>FLUJO_DE_CAJA!F17</f>
        <v>0</v>
      </c>
      <c r="N49" s="458" t="s">
        <v>253</v>
      </c>
      <c r="O49" s="453" t="e">
        <f>F77</f>
        <v>#DIV/0!</v>
      </c>
      <c r="P49" s="472"/>
      <c r="Q49" s="472"/>
      <c r="R49" s="472"/>
      <c r="S49" s="472"/>
      <c r="T49" s="472"/>
      <c r="U49" s="453"/>
      <c r="V49" s="472"/>
      <c r="W49" s="472"/>
      <c r="X49" s="472"/>
      <c r="Y49" s="472"/>
      <c r="Z49" s="472"/>
    </row>
    <row r="50" spans="2:26" x14ac:dyDescent="0.25">
      <c r="B50" s="493" t="s">
        <v>227</v>
      </c>
      <c r="C50" s="465">
        <f>FLUJO_DE_CAJA!B18</f>
        <v>0</v>
      </c>
      <c r="D50" s="465">
        <f>FLUJO_DE_CAJA!C18</f>
        <v>0</v>
      </c>
      <c r="E50" s="465">
        <f>FLUJO_DE_CAJA!D18</f>
        <v>0</v>
      </c>
      <c r="F50" s="465">
        <f>FLUJO_DE_CAJA!E18</f>
        <v>0</v>
      </c>
      <c r="G50" s="465">
        <f>FLUJO_DE_CAJA!F18</f>
        <v>0</v>
      </c>
      <c r="N50" s="458" t="s">
        <v>1171</v>
      </c>
      <c r="O50" s="453" t="e">
        <f>C79</f>
        <v>#DIV/0!</v>
      </c>
      <c r="P50" s="472"/>
      <c r="Q50" s="472"/>
      <c r="R50" s="472"/>
      <c r="S50" s="472"/>
      <c r="T50" s="472"/>
      <c r="U50" s="453"/>
      <c r="V50" s="472"/>
      <c r="W50" s="472"/>
      <c r="X50" s="472"/>
      <c r="Y50" s="472"/>
      <c r="Z50" s="472"/>
    </row>
    <row r="51" spans="2:26" x14ac:dyDescent="0.25">
      <c r="B51" s="493" t="s">
        <v>228</v>
      </c>
      <c r="C51" s="465">
        <f>FLUJO_DE_CAJA!B19</f>
        <v>0</v>
      </c>
      <c r="D51" s="465">
        <f>FLUJO_DE_CAJA!C19</f>
        <v>0</v>
      </c>
      <c r="E51" s="465">
        <f>FLUJO_DE_CAJA!D19</f>
        <v>0</v>
      </c>
      <c r="F51" s="465">
        <f>FLUJO_DE_CAJA!E19</f>
        <v>0</v>
      </c>
      <c r="G51" s="465">
        <f>FLUJO_DE_CAJA!F19</f>
        <v>0</v>
      </c>
    </row>
    <row r="52" spans="2:26" x14ac:dyDescent="0.25">
      <c r="B52" s="494" t="s">
        <v>1176</v>
      </c>
      <c r="C52" s="495" t="e">
        <f>SUM(C49:C51)</f>
        <v>#DIV/0!</v>
      </c>
      <c r="D52" s="495">
        <f t="shared" ref="D52:G52" si="7">SUM(D49:D51)</f>
        <v>0</v>
      </c>
      <c r="E52" s="495">
        <f t="shared" si="7"/>
        <v>0</v>
      </c>
      <c r="F52" s="495">
        <f t="shared" si="7"/>
        <v>0</v>
      </c>
      <c r="G52" s="495">
        <f t="shared" si="7"/>
        <v>0</v>
      </c>
    </row>
    <row r="53" spans="2:26" ht="15.75" customHeight="1" x14ac:dyDescent="0.25">
      <c r="B53" s="493" t="s">
        <v>230</v>
      </c>
      <c r="C53" s="465">
        <f>FLUJO_DE_CAJA!B21</f>
        <v>0</v>
      </c>
      <c r="D53" s="465">
        <f>FLUJO_DE_CAJA!C21</f>
        <v>0</v>
      </c>
      <c r="E53" s="465">
        <f>FLUJO_DE_CAJA!D21</f>
        <v>0</v>
      </c>
      <c r="F53" s="465">
        <f>FLUJO_DE_CAJA!E21</f>
        <v>0</v>
      </c>
      <c r="G53" s="465">
        <f>FLUJO_DE_CAJA!F21</f>
        <v>0</v>
      </c>
      <c r="P53" s="785" t="s">
        <v>1198</v>
      </c>
      <c r="Q53" s="785"/>
      <c r="R53" s="785"/>
      <c r="S53" s="785"/>
      <c r="T53" s="785"/>
      <c r="U53" s="785"/>
      <c r="V53" s="785"/>
      <c r="W53" s="785"/>
      <c r="X53" s="785"/>
      <c r="Y53" s="785"/>
      <c r="Z53" s="785"/>
    </row>
    <row r="54" spans="2:26" x14ac:dyDescent="0.25">
      <c r="B54" s="493" t="s">
        <v>231</v>
      </c>
      <c r="C54" s="465">
        <f>FLUJO_DE_CAJA!B22</f>
        <v>0</v>
      </c>
      <c r="D54" s="465">
        <f>FLUJO_DE_CAJA!C22</f>
        <v>0</v>
      </c>
      <c r="E54" s="465">
        <f>FLUJO_DE_CAJA!D22</f>
        <v>0</v>
      </c>
      <c r="F54" s="465">
        <f>FLUJO_DE_CAJA!E22</f>
        <v>0</v>
      </c>
      <c r="G54" s="465">
        <f>FLUJO_DE_CAJA!F22</f>
        <v>0</v>
      </c>
      <c r="P54" s="783" t="s">
        <v>1195</v>
      </c>
      <c r="Q54" s="783"/>
      <c r="R54" s="783"/>
      <c r="S54" s="783"/>
      <c r="T54" s="783"/>
      <c r="U54" s="783"/>
      <c r="V54" s="783"/>
      <c r="W54" s="783"/>
      <c r="X54" s="783"/>
      <c r="Y54" s="783"/>
      <c r="Z54" s="783"/>
    </row>
    <row r="55" spans="2:26" x14ac:dyDescent="0.25">
      <c r="B55" s="493" t="s">
        <v>232</v>
      </c>
      <c r="C55" s="465">
        <f>FLUJO_DE_CAJA!B23</f>
        <v>0</v>
      </c>
      <c r="D55" s="465">
        <f>FLUJO_DE_CAJA!C23</f>
        <v>0</v>
      </c>
      <c r="E55" s="465">
        <f>FLUJO_DE_CAJA!D23</f>
        <v>0</v>
      </c>
      <c r="F55" s="465">
        <f>FLUJO_DE_CAJA!E23</f>
        <v>0</v>
      </c>
      <c r="G55" s="465">
        <f>FLUJO_DE_CAJA!F23</f>
        <v>0</v>
      </c>
      <c r="N55" s="462"/>
      <c r="O55" s="462"/>
      <c r="P55" s="452">
        <v>-0.1</v>
      </c>
      <c r="Q55" s="452">
        <v>-0.08</v>
      </c>
      <c r="R55" s="452">
        <v>-0.06</v>
      </c>
      <c r="S55" s="452">
        <v>-0.04</v>
      </c>
      <c r="T55" s="452">
        <v>-0.02</v>
      </c>
      <c r="U55" s="452">
        <v>0</v>
      </c>
      <c r="V55" s="452">
        <v>0.02</v>
      </c>
      <c r="W55" s="452">
        <v>0.04</v>
      </c>
      <c r="X55" s="452">
        <v>0.06</v>
      </c>
      <c r="Y55" s="452">
        <v>0.08</v>
      </c>
      <c r="Z55" s="452">
        <v>0.1</v>
      </c>
    </row>
    <row r="56" spans="2:26" x14ac:dyDescent="0.25">
      <c r="B56" s="493" t="s">
        <v>233</v>
      </c>
      <c r="C56" s="465">
        <f>FLUJO_DE_CAJA!B24</f>
        <v>0</v>
      </c>
      <c r="D56" s="465">
        <f>FLUJO_DE_CAJA!C24</f>
        <v>0</v>
      </c>
      <c r="E56" s="465">
        <f>FLUJO_DE_CAJA!D24</f>
        <v>0</v>
      </c>
      <c r="F56" s="465">
        <f>FLUJO_DE_CAJA!E24</f>
        <v>0</v>
      </c>
      <c r="G56" s="465">
        <f>FLUJO_DE_CAJA!F24</f>
        <v>0</v>
      </c>
      <c r="N56" s="458" t="s">
        <v>192</v>
      </c>
      <c r="O56" s="459">
        <f>F10</f>
        <v>0</v>
      </c>
      <c r="P56" s="472"/>
      <c r="Q56" s="472"/>
      <c r="R56" s="472"/>
      <c r="S56" s="472"/>
      <c r="T56" s="472"/>
      <c r="U56" s="453"/>
      <c r="V56" s="472"/>
      <c r="W56" s="472"/>
      <c r="X56" s="472"/>
      <c r="Y56" s="472"/>
      <c r="Z56" s="472"/>
    </row>
    <row r="57" spans="2:26" x14ac:dyDescent="0.25">
      <c r="B57" s="493" t="s">
        <v>234</v>
      </c>
      <c r="C57" s="465">
        <f>FLUJO_DE_CAJA!B25</f>
        <v>0</v>
      </c>
      <c r="D57" s="465">
        <f>FLUJO_DE_CAJA!C25</f>
        <v>0</v>
      </c>
      <c r="E57" s="465">
        <f>FLUJO_DE_CAJA!D25</f>
        <v>0</v>
      </c>
      <c r="F57" s="465">
        <f>FLUJO_DE_CAJA!E25</f>
        <v>0</v>
      </c>
      <c r="G57" s="465">
        <f>FLUJO_DE_CAJA!F25</f>
        <v>0</v>
      </c>
      <c r="N57" s="458" t="s">
        <v>196</v>
      </c>
      <c r="O57" s="459">
        <f>F15</f>
        <v>0</v>
      </c>
      <c r="P57" s="472"/>
      <c r="Q57" s="472"/>
      <c r="R57" s="472"/>
      <c r="S57" s="472"/>
      <c r="T57" s="472"/>
      <c r="U57" s="453"/>
      <c r="V57" s="472"/>
      <c r="W57" s="472"/>
      <c r="X57" s="472"/>
      <c r="Y57" s="472"/>
      <c r="Z57" s="472"/>
    </row>
    <row r="58" spans="2:26" x14ac:dyDescent="0.25">
      <c r="B58" s="493" t="s">
        <v>235</v>
      </c>
      <c r="C58" s="465">
        <f>FLUJO_DE_CAJA!B26</f>
        <v>0</v>
      </c>
      <c r="D58" s="465">
        <f>FLUJO_DE_CAJA!C26</f>
        <v>0</v>
      </c>
      <c r="E58" s="465">
        <f>FLUJO_DE_CAJA!D26</f>
        <v>0</v>
      </c>
      <c r="F58" s="465">
        <f>FLUJO_DE_CAJA!E26</f>
        <v>0</v>
      </c>
      <c r="G58" s="465">
        <f>FLUJO_DE_CAJA!F26</f>
        <v>0</v>
      </c>
      <c r="N58" s="458" t="s">
        <v>1168</v>
      </c>
      <c r="O58" s="459">
        <f>F22</f>
        <v>0</v>
      </c>
      <c r="P58" s="472"/>
      <c r="Q58" s="472"/>
      <c r="R58" s="472"/>
      <c r="S58" s="472"/>
      <c r="T58" s="472"/>
      <c r="U58" s="453"/>
      <c r="V58" s="472"/>
      <c r="W58" s="472"/>
      <c r="X58" s="472"/>
      <c r="Y58" s="472"/>
      <c r="Z58" s="472"/>
    </row>
    <row r="59" spans="2:26" x14ac:dyDescent="0.25">
      <c r="B59" s="493" t="s">
        <v>236</v>
      </c>
      <c r="C59" s="465">
        <f>FLUJO_DE_CAJA!B27</f>
        <v>0</v>
      </c>
      <c r="D59" s="465">
        <f>FLUJO_DE_CAJA!C27</f>
        <v>0</v>
      </c>
      <c r="E59" s="465">
        <f>FLUJO_DE_CAJA!D27</f>
        <v>0</v>
      </c>
      <c r="F59" s="465">
        <f>FLUJO_DE_CAJA!E27</f>
        <v>0</v>
      </c>
      <c r="G59" s="465">
        <f>FLUJO_DE_CAJA!F27</f>
        <v>0</v>
      </c>
      <c r="N59" s="458" t="s">
        <v>1169</v>
      </c>
      <c r="O59" s="459" t="e">
        <f>F33</f>
        <v>#DIV/0!</v>
      </c>
      <c r="P59" s="472"/>
      <c r="Q59" s="472"/>
      <c r="R59" s="472"/>
      <c r="S59" s="472"/>
      <c r="T59" s="472"/>
      <c r="U59" s="453"/>
      <c r="V59" s="472"/>
      <c r="W59" s="472"/>
      <c r="X59" s="472"/>
      <c r="Y59" s="472"/>
      <c r="Z59" s="472"/>
    </row>
    <row r="60" spans="2:26" x14ac:dyDescent="0.25">
      <c r="B60" s="493" t="s">
        <v>237</v>
      </c>
      <c r="C60" s="465">
        <f>FLUJO_DE_CAJA!B28</f>
        <v>0</v>
      </c>
      <c r="D60" s="465">
        <f>FLUJO_DE_CAJA!C28</f>
        <v>0</v>
      </c>
      <c r="E60" s="465">
        <f>FLUJO_DE_CAJA!D28</f>
        <v>0</v>
      </c>
      <c r="F60" s="465">
        <f>FLUJO_DE_CAJA!E28</f>
        <v>0</v>
      </c>
      <c r="G60" s="465">
        <f>FLUJO_DE_CAJA!F28</f>
        <v>0</v>
      </c>
      <c r="N60" s="458" t="s">
        <v>1170</v>
      </c>
      <c r="O60" s="459" t="e">
        <f>F37</f>
        <v>#DIV/0!</v>
      </c>
      <c r="P60" s="472"/>
      <c r="Q60" s="472"/>
      <c r="R60" s="472"/>
      <c r="S60" s="472"/>
      <c r="T60" s="472"/>
      <c r="U60" s="453"/>
      <c r="V60" s="472"/>
      <c r="W60" s="472"/>
      <c r="X60" s="472"/>
      <c r="Y60" s="472"/>
      <c r="Z60" s="472"/>
    </row>
    <row r="61" spans="2:26" x14ac:dyDescent="0.25">
      <c r="B61" s="493" t="s">
        <v>238</v>
      </c>
      <c r="C61" s="465">
        <f>FLUJO_DE_CAJA!B29</f>
        <v>0</v>
      </c>
      <c r="D61" s="465">
        <f>FLUJO_DE_CAJA!C29</f>
        <v>0</v>
      </c>
      <c r="E61" s="465">
        <f>FLUJO_DE_CAJA!D29</f>
        <v>0</v>
      </c>
      <c r="F61" s="465">
        <f>FLUJO_DE_CAJA!E29</f>
        <v>0</v>
      </c>
      <c r="G61" s="465">
        <f>FLUJO_DE_CAJA!F29</f>
        <v>0</v>
      </c>
      <c r="N61" s="458" t="s">
        <v>218</v>
      </c>
      <c r="O61" s="459" t="e">
        <f>F46</f>
        <v>#DIV/0!</v>
      </c>
      <c r="P61" s="472"/>
      <c r="Q61" s="472"/>
      <c r="R61" s="472"/>
      <c r="S61" s="472"/>
      <c r="T61" s="472"/>
      <c r="U61" s="453"/>
      <c r="V61" s="472"/>
      <c r="W61" s="472"/>
      <c r="X61" s="472"/>
      <c r="Y61" s="472"/>
      <c r="Z61" s="472"/>
    </row>
    <row r="62" spans="2:26" x14ac:dyDescent="0.25">
      <c r="B62" s="494" t="s">
        <v>239</v>
      </c>
      <c r="C62" s="495">
        <f>SUM(C53:C61)*-1</f>
        <v>0</v>
      </c>
      <c r="D62" s="495">
        <f t="shared" ref="D62:G62" si="8">SUM(D53:D61)*-1</f>
        <v>0</v>
      </c>
      <c r="E62" s="495">
        <f t="shared" si="8"/>
        <v>0</v>
      </c>
      <c r="F62" s="495">
        <f t="shared" si="8"/>
        <v>0</v>
      </c>
      <c r="G62" s="495">
        <f t="shared" si="8"/>
        <v>0</v>
      </c>
      <c r="N62" s="458" t="s">
        <v>253</v>
      </c>
      <c r="O62" s="459" t="e">
        <f>G77</f>
        <v>#DIV/0!</v>
      </c>
      <c r="P62" s="472"/>
      <c r="Q62" s="472"/>
      <c r="R62" s="472"/>
      <c r="S62" s="472"/>
      <c r="T62" s="472"/>
      <c r="U62" s="453"/>
      <c r="V62" s="472"/>
      <c r="W62" s="472"/>
      <c r="X62" s="472"/>
      <c r="Y62" s="472"/>
      <c r="Z62" s="472"/>
    </row>
    <row r="63" spans="2:26" ht="16.5" thickBot="1" x14ac:dyDescent="0.3">
      <c r="B63" s="496" t="s">
        <v>240</v>
      </c>
      <c r="C63" s="497" t="e">
        <f>C52+C62</f>
        <v>#DIV/0!</v>
      </c>
      <c r="D63" s="497">
        <f t="shared" ref="D63:G63" si="9">D52+D62</f>
        <v>0</v>
      </c>
      <c r="E63" s="497">
        <f t="shared" si="9"/>
        <v>0</v>
      </c>
      <c r="F63" s="497">
        <f t="shared" si="9"/>
        <v>0</v>
      </c>
      <c r="G63" s="497">
        <f t="shared" si="9"/>
        <v>0</v>
      </c>
      <c r="N63" s="458" t="s">
        <v>1171</v>
      </c>
      <c r="O63" s="459" t="e">
        <f>C79</f>
        <v>#DIV/0!</v>
      </c>
      <c r="P63" s="472"/>
      <c r="Q63" s="472"/>
      <c r="R63" s="472"/>
      <c r="S63" s="472"/>
      <c r="T63" s="472"/>
      <c r="U63" s="453"/>
      <c r="V63" s="472"/>
      <c r="W63" s="472"/>
      <c r="X63" s="472"/>
      <c r="Y63" s="472"/>
      <c r="Z63" s="472"/>
    </row>
    <row r="65" spans="2:26" x14ac:dyDescent="0.25">
      <c r="B65" s="490" t="s">
        <v>1177</v>
      </c>
      <c r="C65" s="492">
        <f>FLUJO_DE_CAJA!B34</f>
        <v>2021</v>
      </c>
      <c r="D65" s="492">
        <f>FLUJO_DE_CAJA!C34</f>
        <v>2022</v>
      </c>
      <c r="E65" s="492">
        <f>FLUJO_DE_CAJA!D34</f>
        <v>2023</v>
      </c>
      <c r="F65" s="492">
        <f>FLUJO_DE_CAJA!E34</f>
        <v>2024</v>
      </c>
      <c r="G65" s="492">
        <f>FLUJO_DE_CAJA!F34</f>
        <v>2025</v>
      </c>
    </row>
    <row r="66" spans="2:26" x14ac:dyDescent="0.25">
      <c r="B66" s="498" t="s">
        <v>243</v>
      </c>
      <c r="C66" s="465">
        <f>FLUJO_DE_CAJA!B35</f>
        <v>0</v>
      </c>
      <c r="D66" s="465">
        <f>FLUJO_DE_CAJA!C35</f>
        <v>0</v>
      </c>
      <c r="E66" s="465">
        <f>FLUJO_DE_CAJA!D35</f>
        <v>0</v>
      </c>
      <c r="F66" s="465">
        <f>FLUJO_DE_CAJA!E35</f>
        <v>0</v>
      </c>
      <c r="G66" s="465">
        <f>FLUJO_DE_CAJA!F35</f>
        <v>0</v>
      </c>
      <c r="P66" s="785" t="s">
        <v>1199</v>
      </c>
      <c r="Q66" s="785"/>
      <c r="R66" s="785"/>
      <c r="S66" s="785"/>
      <c r="T66" s="785"/>
      <c r="U66" s="785"/>
      <c r="V66" s="785"/>
      <c r="W66" s="785"/>
      <c r="X66" s="785"/>
      <c r="Y66" s="785"/>
      <c r="Z66" s="785"/>
    </row>
    <row r="67" spans="2:26" x14ac:dyDescent="0.25">
      <c r="B67" s="498" t="s">
        <v>244</v>
      </c>
      <c r="C67" s="465" t="e">
        <f>FLUJO_DE_CAJA!B36</f>
        <v>#DIV/0!</v>
      </c>
      <c r="D67" s="465" t="e">
        <f>FLUJO_DE_CAJA!C36</f>
        <v>#DIV/0!</v>
      </c>
      <c r="E67" s="465" t="e">
        <f>FLUJO_DE_CAJA!D36</f>
        <v>#DIV/0!</v>
      </c>
      <c r="F67" s="465">
        <f>FLUJO_DE_CAJA!E36</f>
        <v>0</v>
      </c>
      <c r="G67" s="465">
        <f>FLUJO_DE_CAJA!F36</f>
        <v>0</v>
      </c>
      <c r="P67" s="783" t="s">
        <v>1195</v>
      </c>
      <c r="Q67" s="783"/>
      <c r="R67" s="783"/>
      <c r="S67" s="783"/>
      <c r="T67" s="783"/>
      <c r="U67" s="783"/>
      <c r="V67" s="783"/>
      <c r="W67" s="783"/>
      <c r="X67" s="783"/>
      <c r="Y67" s="783"/>
      <c r="Z67" s="783"/>
    </row>
    <row r="68" spans="2:26" x14ac:dyDescent="0.25">
      <c r="B68" s="498" t="s">
        <v>245</v>
      </c>
      <c r="C68" s="465" t="e">
        <f>FLUJO_DE_CAJA!B37</f>
        <v>#DIV/0!</v>
      </c>
      <c r="D68" s="465" t="e">
        <f>FLUJO_DE_CAJA!C37</f>
        <v>#DIV/0!</v>
      </c>
      <c r="E68" s="465">
        <f>FLUJO_DE_CAJA!D37</f>
        <v>0</v>
      </c>
      <c r="F68" s="465">
        <f>FLUJO_DE_CAJA!E37</f>
        <v>0</v>
      </c>
      <c r="G68" s="465">
        <f>FLUJO_DE_CAJA!F37</f>
        <v>0</v>
      </c>
      <c r="N68" s="462"/>
      <c r="O68" s="462"/>
      <c r="P68" s="452">
        <v>-0.1</v>
      </c>
      <c r="Q68" s="452">
        <v>-0.08</v>
      </c>
      <c r="R68" s="452">
        <v>-0.06</v>
      </c>
      <c r="S68" s="452">
        <v>-0.04</v>
      </c>
      <c r="T68" s="452">
        <v>-0.02</v>
      </c>
      <c r="U68" s="452">
        <v>0</v>
      </c>
      <c r="V68" s="452">
        <v>0.02</v>
      </c>
      <c r="W68" s="452">
        <v>0.04</v>
      </c>
      <c r="X68" s="452">
        <v>0.06</v>
      </c>
      <c r="Y68" s="452">
        <v>0.08</v>
      </c>
      <c r="Z68" s="452">
        <v>0.1</v>
      </c>
    </row>
    <row r="69" spans="2:26" x14ac:dyDescent="0.25">
      <c r="B69" s="498" t="s">
        <v>246</v>
      </c>
      <c r="C69" s="465" t="e">
        <f>ESTADO_DE_RESULTADOS!B36*-1</f>
        <v>#DIV/0!</v>
      </c>
      <c r="D69" s="465" t="e">
        <f>ESTADO_DE_RESULTADOS!C36*-1</f>
        <v>#DIV/0!</v>
      </c>
      <c r="E69" s="465" t="e">
        <f>ESTADO_DE_RESULTADOS!D36*-1</f>
        <v>#DIV/0!</v>
      </c>
      <c r="F69" s="465" t="e">
        <f>ESTADO_DE_RESULTADOS!E36*-1</f>
        <v>#DIV/0!</v>
      </c>
      <c r="G69" s="465" t="e">
        <f>ESTADO_DE_RESULTADOS!F36*-1</f>
        <v>#DIV/0!</v>
      </c>
      <c r="N69" s="458" t="s">
        <v>192</v>
      </c>
      <c r="O69" s="459">
        <f>G10</f>
        <v>0</v>
      </c>
      <c r="P69" s="472"/>
      <c r="Q69" s="472"/>
      <c r="R69" s="472"/>
      <c r="S69" s="472"/>
      <c r="T69" s="472"/>
      <c r="U69" s="453"/>
      <c r="V69" s="472"/>
      <c r="W69" s="472"/>
      <c r="X69" s="472"/>
      <c r="Y69" s="472"/>
      <c r="Z69" s="472"/>
    </row>
    <row r="70" spans="2:26" x14ac:dyDescent="0.25">
      <c r="B70" s="499" t="s">
        <v>247</v>
      </c>
      <c r="C70" s="465">
        <f>FLUJO_DE_CAJA!B39</f>
        <v>0</v>
      </c>
      <c r="D70" s="465">
        <f>FLUJO_DE_CAJA!C39</f>
        <v>0</v>
      </c>
      <c r="E70" s="465">
        <f>FLUJO_DE_CAJA!D39</f>
        <v>0</v>
      </c>
      <c r="F70" s="465">
        <f>FLUJO_DE_CAJA!E39</f>
        <v>0</v>
      </c>
      <c r="G70" s="465">
        <f>FLUJO_DE_CAJA!F39</f>
        <v>0</v>
      </c>
      <c r="N70" s="458" t="s">
        <v>196</v>
      </c>
      <c r="O70" s="459">
        <f>G15</f>
        <v>0</v>
      </c>
      <c r="P70" s="472"/>
      <c r="Q70" s="472"/>
      <c r="R70" s="472"/>
      <c r="S70" s="472"/>
      <c r="T70" s="472"/>
      <c r="U70" s="453"/>
      <c r="V70" s="472"/>
      <c r="W70" s="472"/>
      <c r="X70" s="472"/>
      <c r="Y70" s="472"/>
      <c r="Z70" s="472"/>
    </row>
    <row r="71" spans="2:26" x14ac:dyDescent="0.25">
      <c r="B71" s="500" t="s">
        <v>248</v>
      </c>
      <c r="C71" s="501" t="e">
        <f>SUM(C66:C70)</f>
        <v>#DIV/0!</v>
      </c>
      <c r="D71" s="501" t="e">
        <f t="shared" ref="D71:G71" si="10">SUM(D66:D70)</f>
        <v>#DIV/0!</v>
      </c>
      <c r="E71" s="501" t="e">
        <f t="shared" si="10"/>
        <v>#DIV/0!</v>
      </c>
      <c r="F71" s="501" t="e">
        <f t="shared" si="10"/>
        <v>#DIV/0!</v>
      </c>
      <c r="G71" s="501" t="e">
        <f t="shared" si="10"/>
        <v>#DIV/0!</v>
      </c>
      <c r="N71" s="458" t="s">
        <v>1168</v>
      </c>
      <c r="O71" s="459">
        <f>G22</f>
        <v>0</v>
      </c>
      <c r="P71" s="472"/>
      <c r="Q71" s="472"/>
      <c r="R71" s="472"/>
      <c r="S71" s="472"/>
      <c r="T71" s="472"/>
      <c r="U71" s="453"/>
      <c r="V71" s="472"/>
      <c r="W71" s="472"/>
      <c r="X71" s="472"/>
      <c r="Y71" s="472"/>
      <c r="Z71" s="472"/>
    </row>
    <row r="72" spans="2:26" x14ac:dyDescent="0.25">
      <c r="N72" s="458" t="s">
        <v>1169</v>
      </c>
      <c r="O72" s="459" t="e">
        <f>G33</f>
        <v>#DIV/0!</v>
      </c>
      <c r="P72" s="472"/>
      <c r="Q72" s="472"/>
      <c r="R72" s="472"/>
      <c r="S72" s="472"/>
      <c r="T72" s="472"/>
      <c r="U72" s="453"/>
      <c r="V72" s="472"/>
      <c r="W72" s="472"/>
      <c r="X72" s="472"/>
      <c r="Y72" s="472"/>
      <c r="Z72" s="472"/>
    </row>
    <row r="73" spans="2:26" x14ac:dyDescent="0.25">
      <c r="N73" s="458" t="s">
        <v>1170</v>
      </c>
      <c r="O73" s="459" t="e">
        <f>G37</f>
        <v>#DIV/0!</v>
      </c>
      <c r="P73" s="472"/>
      <c r="Q73" s="472"/>
      <c r="R73" s="472"/>
      <c r="S73" s="472"/>
      <c r="T73" s="472"/>
      <c r="U73" s="453"/>
      <c r="V73" s="472"/>
      <c r="W73" s="472"/>
      <c r="X73" s="472"/>
      <c r="Y73" s="472"/>
      <c r="Z73" s="472"/>
    </row>
    <row r="74" spans="2:26" x14ac:dyDescent="0.25">
      <c r="B74" s="502" t="s">
        <v>1173</v>
      </c>
      <c r="C74" s="503" t="str">
        <f>ANALISIS_DE_VPN_Y_TIR!C16</f>
        <v>AÑO 0</v>
      </c>
      <c r="D74" s="504">
        <f>ANALISIS_DE_VPN_Y_TIR!D16</f>
        <v>2021</v>
      </c>
      <c r="E74" s="503">
        <f>ANALISIS_DE_VPN_Y_TIR!E16</f>
        <v>2022</v>
      </c>
      <c r="F74" s="503">
        <f>ANALISIS_DE_VPN_Y_TIR!F16</f>
        <v>2023</v>
      </c>
      <c r="G74" s="503">
        <f>ANALISIS_DE_VPN_Y_TIR!G16</f>
        <v>2024</v>
      </c>
      <c r="H74" s="503">
        <f>ANALISIS_DE_VPN_Y_TIR!H16</f>
        <v>2025</v>
      </c>
      <c r="N74" s="458" t="s">
        <v>218</v>
      </c>
      <c r="O74" s="459" t="e">
        <f>G46</f>
        <v>#DIV/0!</v>
      </c>
      <c r="P74" s="472"/>
      <c r="Q74" s="472"/>
      <c r="R74" s="472"/>
      <c r="S74" s="472"/>
      <c r="T74" s="472"/>
      <c r="U74" s="453"/>
      <c r="V74" s="472"/>
      <c r="W74" s="472"/>
      <c r="X74" s="472"/>
      <c r="Y74" s="472"/>
      <c r="Z74" s="472"/>
    </row>
    <row r="75" spans="2:26" x14ac:dyDescent="0.25">
      <c r="B75" s="505" t="s">
        <v>320</v>
      </c>
      <c r="C75" s="506"/>
      <c r="D75" s="465" t="e">
        <f>C46+C63+C71</f>
        <v>#DIV/0!</v>
      </c>
      <c r="E75" s="465" t="e">
        <f t="shared" ref="E75:H75" si="11">D46+D63+D71</f>
        <v>#DIV/0!</v>
      </c>
      <c r="F75" s="465" t="e">
        <f t="shared" si="11"/>
        <v>#DIV/0!</v>
      </c>
      <c r="G75" s="465" t="e">
        <f t="shared" si="11"/>
        <v>#DIV/0!</v>
      </c>
      <c r="H75" s="465" t="e">
        <f t="shared" si="11"/>
        <v>#DIV/0!</v>
      </c>
      <c r="N75" s="458" t="s">
        <v>253</v>
      </c>
      <c r="O75" s="459" t="e">
        <f>H77</f>
        <v>#DIV/0!</v>
      </c>
      <c r="P75" s="472"/>
      <c r="Q75" s="472"/>
      <c r="R75" s="472"/>
      <c r="S75" s="472"/>
      <c r="T75" s="472"/>
      <c r="U75" s="453"/>
      <c r="V75" s="472"/>
      <c r="W75" s="472"/>
      <c r="X75" s="472"/>
      <c r="Y75" s="472"/>
      <c r="Z75" s="472"/>
    </row>
    <row r="76" spans="2:26" x14ac:dyDescent="0.25">
      <c r="B76" s="505" t="s">
        <v>249</v>
      </c>
      <c r="C76" s="487"/>
      <c r="D76" s="465" t="e">
        <f>FLUJO_DE_CAJA!B43</f>
        <v>#DIV/0!</v>
      </c>
      <c r="E76" s="465" t="e">
        <f>FLUJO_DE_CAJA!C43</f>
        <v>#DIV/0!</v>
      </c>
      <c r="F76" s="465" t="e">
        <f>FLUJO_DE_CAJA!D43</f>
        <v>#DIV/0!</v>
      </c>
      <c r="G76" s="465" t="e">
        <f>FLUJO_DE_CAJA!E43</f>
        <v>#DIV/0!</v>
      </c>
      <c r="H76" s="465" t="e">
        <f>FLUJO_DE_CAJA!F43</f>
        <v>#DIV/0!</v>
      </c>
      <c r="N76" s="458" t="s">
        <v>1171</v>
      </c>
      <c r="O76" s="459" t="e">
        <f>C79</f>
        <v>#DIV/0!</v>
      </c>
      <c r="P76" s="472"/>
      <c r="Q76" s="472"/>
      <c r="R76" s="472"/>
      <c r="S76" s="472"/>
      <c r="T76" s="472"/>
      <c r="U76" s="453"/>
      <c r="V76" s="472"/>
      <c r="W76" s="472"/>
      <c r="X76" s="472"/>
      <c r="Y76" s="472"/>
      <c r="Z76" s="472"/>
    </row>
    <row r="77" spans="2:26" x14ac:dyDescent="0.25">
      <c r="B77" s="507" t="s">
        <v>1174</v>
      </c>
      <c r="C77" s="508" t="e">
        <f>ANALISIS_DE_VPN_Y_TIR!H11*-1</f>
        <v>#DIV/0!</v>
      </c>
      <c r="D77" s="508" t="e">
        <f>SUM(D75:D76)</f>
        <v>#DIV/0!</v>
      </c>
      <c r="E77" s="508" t="e">
        <f t="shared" ref="E77:H77" si="12">SUM(E75:E76)</f>
        <v>#DIV/0!</v>
      </c>
      <c r="F77" s="508" t="e">
        <f t="shared" si="12"/>
        <v>#DIV/0!</v>
      </c>
      <c r="G77" s="508" t="e">
        <f t="shared" si="12"/>
        <v>#DIV/0!</v>
      </c>
      <c r="H77" s="508" t="e">
        <f t="shared" si="12"/>
        <v>#DIV/0!</v>
      </c>
    </row>
    <row r="78" spans="2:26" ht="16.5" thickBot="1" x14ac:dyDescent="0.3"/>
    <row r="79" spans="2:26" ht="16.5" thickBot="1" x14ac:dyDescent="0.3">
      <c r="B79" s="509" t="s">
        <v>1178</v>
      </c>
      <c r="C79" s="510" t="e">
        <f>C77+NPV(ANALISIS_DE_VPN_Y_TIR!H9,ANALISIS_DE_SENSIBILIDAD!D77:H77)</f>
        <v>#DIV/0!</v>
      </c>
    </row>
    <row r="82" spans="2:2" x14ac:dyDescent="0.25">
      <c r="B82" s="471"/>
    </row>
  </sheetData>
  <mergeCells count="13">
    <mergeCell ref="P67:Z67"/>
    <mergeCell ref="P20:Z20"/>
    <mergeCell ref="P40:Z40"/>
    <mergeCell ref="P41:Z41"/>
    <mergeCell ref="P53:Z53"/>
    <mergeCell ref="P54:Z54"/>
    <mergeCell ref="P66:Z66"/>
    <mergeCell ref="P19:Z19"/>
    <mergeCell ref="B2:Z2"/>
    <mergeCell ref="P4:T4"/>
    <mergeCell ref="V4:Z4"/>
    <mergeCell ref="P6:Z6"/>
    <mergeCell ref="P7:Z7"/>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3</xdr:row>
                    <xdr:rowOff>200025</xdr:rowOff>
                  </from>
                  <to>
                    <xdr:col>1</xdr:col>
                    <xdr:colOff>2638425</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2021-09-20T15:02:11Z</dcterms:modified>
</cp:coreProperties>
</file>