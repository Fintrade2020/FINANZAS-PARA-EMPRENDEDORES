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drawings/drawing16.xml" ContentType="application/vnd.openxmlformats-officedocument.drawing+xml"/>
  <Override PartName="/xl/ctrlProps/ctrlProp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7E844A2D-07AA-409B-ACE4-C3EACF936BA0}" xr6:coauthVersionLast="47" xr6:coauthVersionMax="47" xr10:uidLastSave="{00000000-0000-0000-0000-000000000000}"/>
  <bookViews>
    <workbookView xWindow="-120" yWindow="-120" windowWidth="20730" windowHeight="11160" tabRatio="889" firstSheet="4" activeTab="4"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HOJA_DE_APOYO" sheetId="39" r:id="rId15"/>
    <sheet name="ANALISIS_DE_SENSIBILIDAD" sheetId="40" r:id="rId16"/>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S107" i="38" l="1"/>
  <c r="GS108" i="38"/>
  <c r="GO107" i="38"/>
  <c r="GO108" i="38"/>
  <c r="GD104" i="38"/>
  <c r="FY107" i="38"/>
  <c r="FY108" i="38"/>
  <c r="FU107" i="38"/>
  <c r="FU108" i="38"/>
  <c r="FU55" i="38"/>
  <c r="FK107" i="38"/>
  <c r="FJ104" i="38"/>
  <c r="O9" i="40"/>
  <c r="P9" i="40" s="1"/>
  <c r="Q9" i="40" s="1"/>
  <c r="R9" i="40" s="1"/>
  <c r="S9" i="40" s="1"/>
  <c r="T9" i="40" s="1"/>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N9" i="40" l="1"/>
  <c r="M9" i="40" s="1"/>
  <c r="L9" i="40" s="1"/>
  <c r="K9" i="40" s="1"/>
  <c r="J9" i="40" s="1"/>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68" i="39"/>
  <c r="E68" i="39"/>
  <c r="F68" i="39"/>
  <c r="G68" i="39"/>
  <c r="C68"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6" i="39"/>
  <c r="F66" i="39"/>
  <c r="G66" i="39"/>
  <c r="F65" i="39"/>
  <c r="G65" i="39"/>
  <c r="D64" i="39"/>
  <c r="E64" i="39"/>
  <c r="F64" i="39"/>
  <c r="G64" i="39"/>
  <c r="C64" i="39"/>
  <c r="C72" i="39"/>
  <c r="B26" i="23"/>
  <c r="D29" i="39"/>
  <c r="E29" i="39"/>
  <c r="F29" i="39"/>
  <c r="G29" i="39"/>
  <c r="D28" i="39"/>
  <c r="E28" i="39"/>
  <c r="F28" i="39"/>
  <c r="G28" i="39"/>
  <c r="D26" i="39"/>
  <c r="E26" i="39"/>
  <c r="F26" i="39"/>
  <c r="G26" i="39"/>
  <c r="D27" i="39"/>
  <c r="E27" i="39"/>
  <c r="F27" i="39"/>
  <c r="G27" i="39"/>
  <c r="D25" i="39"/>
  <c r="D30" i="39" s="1"/>
  <c r="E25" i="39"/>
  <c r="E30" i="39" s="1"/>
  <c r="F25" i="39"/>
  <c r="F30" i="39" s="1"/>
  <c r="G25" i="39"/>
  <c r="G30" i="39" s="1"/>
  <c r="C25" i="39"/>
  <c r="C26" i="39"/>
  <c r="C27" i="39"/>
  <c r="C28" i="39"/>
  <c r="C29" i="39"/>
  <c r="D21" i="39"/>
  <c r="E21" i="39"/>
  <c r="F21" i="39"/>
  <c r="G21" i="39"/>
  <c r="C21" i="39"/>
  <c r="D19" i="39"/>
  <c r="E19" i="39"/>
  <c r="F19" i="39"/>
  <c r="G19" i="39"/>
  <c r="C15" i="39"/>
  <c r="C16" i="39"/>
  <c r="C19" i="39"/>
  <c r="C14" i="39"/>
  <c r="GZ165" i="38" l="1"/>
  <c r="GY165" i="38"/>
  <c r="GY108" i="38"/>
  <c r="HB165" i="38"/>
  <c r="HA165" i="38"/>
  <c r="GX165" i="38"/>
  <c r="HB108" i="38"/>
  <c r="OR56" i="38"/>
  <c r="GZ108" i="38"/>
  <c r="GX108" i="38"/>
  <c r="OP56" i="38"/>
  <c r="HA108" i="38"/>
  <c r="OQ56" i="38"/>
  <c r="OS56" i="38"/>
  <c r="OT56" i="38"/>
  <c r="C30" i="39"/>
  <c r="O35" i="40" s="1"/>
  <c r="P35" i="40" l="1"/>
  <c r="Q35" i="40" s="1"/>
  <c r="R35" i="40" s="1"/>
  <c r="S35" i="40" s="1"/>
  <c r="T35" i="40" s="1"/>
  <c r="N35" i="40"/>
  <c r="M35" i="40" s="1"/>
  <c r="L35" i="40" s="1"/>
  <c r="K35" i="40" s="1"/>
  <c r="J35" i="40" s="1"/>
  <c r="F23" i="33"/>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2" i="39" s="1"/>
  <c r="C16" i="25"/>
  <c r="B6" i="24"/>
  <c r="C38" i="39" s="1"/>
  <c r="B3" i="23"/>
  <c r="C7" i="39" s="1"/>
  <c r="C7" i="22"/>
  <c r="B16" i="24" l="1"/>
  <c r="C46" i="39" s="1"/>
  <c r="G55" i="38"/>
  <c r="I55" i="38" s="1"/>
  <c r="K55" i="38" s="1"/>
  <c r="M55" i="38" s="1"/>
  <c r="O55" i="38" s="1"/>
  <c r="F192" i="38"/>
  <c r="U192" i="38" s="1"/>
  <c r="J23" i="36" s="1"/>
  <c r="K23" i="36" s="1"/>
  <c r="D180" i="38"/>
  <c r="C11" i="19" s="1"/>
  <c r="E11" i="19" s="1"/>
  <c r="G181" i="38"/>
  <c r="H181" i="38"/>
  <c r="E180" i="38"/>
  <c r="I181" i="38"/>
  <c r="F181" i="38"/>
  <c r="E181" i="38"/>
  <c r="D181" i="38"/>
  <c r="C17" i="19" s="1"/>
  <c r="H180" i="38"/>
  <c r="G180" i="38"/>
  <c r="F180" i="38"/>
  <c r="I180" i="38"/>
  <c r="C3" i="38"/>
  <c r="B55" i="22"/>
  <c r="C3" i="20"/>
  <c r="D7" i="22"/>
  <c r="C20" i="22" s="1"/>
  <c r="B20" i="22"/>
  <c r="F416" i="36"/>
  <c r="G416" i="36" s="1"/>
  <c r="C21" i="24"/>
  <c r="D51" i="39" s="1"/>
  <c r="D21" i="24"/>
  <c r="E51" i="39" s="1"/>
  <c r="E21" i="24"/>
  <c r="F51" i="39" s="1"/>
  <c r="F21" i="24"/>
  <c r="G51"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1" i="39"/>
  <c r="J24" i="36"/>
  <c r="V55" i="38"/>
  <c r="W55" i="38"/>
  <c r="U55" i="38"/>
  <c r="X55" i="38"/>
  <c r="Q249" i="36"/>
  <c r="F340" i="36" s="1"/>
  <c r="W91" i="36"/>
  <c r="F23" i="24" s="1"/>
  <c r="G53" i="39" s="1"/>
  <c r="K144" i="36"/>
  <c r="B24" i="24" s="1"/>
  <c r="C54" i="39" s="1"/>
  <c r="O61" i="40" s="1"/>
  <c r="Q144" i="36"/>
  <c r="F328" i="36" s="1"/>
  <c r="W144" i="36"/>
  <c r="F24" i="24" s="1"/>
  <c r="G54"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58" i="39" s="1"/>
  <c r="T231" i="36"/>
  <c r="E28" i="24" s="1"/>
  <c r="F58" i="39" s="1"/>
  <c r="W231" i="36"/>
  <c r="F28" i="24" s="1"/>
  <c r="G58" i="39" s="1"/>
  <c r="K241" i="36"/>
  <c r="T91" i="36"/>
  <c r="E23" i="24" s="1"/>
  <c r="F53" i="39" s="1"/>
  <c r="K154" i="36"/>
  <c r="B25" i="24" s="1"/>
  <c r="C55" i="39" s="1"/>
  <c r="W154" i="36"/>
  <c r="F25" i="24" s="1"/>
  <c r="G55" i="39" s="1"/>
  <c r="Q182" i="36"/>
  <c r="D26" i="24" s="1"/>
  <c r="E56" i="39" s="1"/>
  <c r="K212" i="36"/>
  <c r="B27" i="24" s="1"/>
  <c r="C57" i="39" s="1"/>
  <c r="Q212" i="36"/>
  <c r="D27" i="24" s="1"/>
  <c r="E57" i="39" s="1"/>
  <c r="W212" i="36"/>
  <c r="F27" i="24" s="1"/>
  <c r="G57" i="39" s="1"/>
  <c r="N241" i="36"/>
  <c r="F316" i="36" s="1"/>
  <c r="H144" i="36"/>
  <c r="F262" i="36" s="1"/>
  <c r="F377" i="36" s="1"/>
  <c r="B37" i="22" s="1"/>
  <c r="K182" i="36"/>
  <c r="B26" i="24" s="1"/>
  <c r="C56" i="39" s="1"/>
  <c r="N182" i="36"/>
  <c r="C26" i="24" s="1"/>
  <c r="D56" i="39" s="1"/>
  <c r="Q48" i="36"/>
  <c r="D22" i="24" s="1"/>
  <c r="E52" i="39" s="1"/>
  <c r="W182" i="36"/>
  <c r="F26" i="24" s="1"/>
  <c r="G56" i="39" s="1"/>
  <c r="K91" i="36"/>
  <c r="B23" i="24" s="1"/>
  <c r="C53"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59"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P61" i="40" l="1"/>
  <c r="Q61" i="40" s="1"/>
  <c r="R61" i="40" s="1"/>
  <c r="S61" i="40" s="1"/>
  <c r="T61" i="40" s="1"/>
  <c r="N61" i="40"/>
  <c r="M61" i="40" s="1"/>
  <c r="L61" i="40" s="1"/>
  <c r="K61" i="40" s="1"/>
  <c r="J61" i="40" s="1"/>
  <c r="Y67" i="38"/>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6" i="39" s="1"/>
  <c r="F288" i="36"/>
  <c r="I288" i="36" s="1"/>
  <c r="W243" i="36"/>
  <c r="Q251" i="36"/>
  <c r="F335" i="36"/>
  <c r="I335" i="36" s="1"/>
  <c r="F324" i="36"/>
  <c r="I324" i="36" s="1"/>
  <c r="C29" i="24"/>
  <c r="D59" i="39" s="1"/>
  <c r="F332" i="36"/>
  <c r="I332" i="36" s="1"/>
  <c r="H328" i="36"/>
  <c r="I328" i="36"/>
  <c r="D24" i="24"/>
  <c r="E54"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3" i="39" s="1"/>
  <c r="F282" i="36"/>
  <c r="I282" i="36" s="1"/>
  <c r="J308" i="36"/>
  <c r="I308" i="36"/>
  <c r="N251" i="36"/>
  <c r="C25" i="24"/>
  <c r="D55" i="39" s="1"/>
  <c r="Q184" i="36"/>
  <c r="H308" i="36"/>
  <c r="H309" i="36" s="1"/>
  <c r="C22" i="24"/>
  <c r="D52" i="39" s="1"/>
  <c r="N184" i="36"/>
  <c r="F302" i="36"/>
  <c r="J302" i="36" s="1"/>
  <c r="F357" i="36"/>
  <c r="H357" i="36" s="1"/>
  <c r="I357" i="36" s="1"/>
  <c r="E27" i="24"/>
  <c r="F57" i="39" s="1"/>
  <c r="T243" i="36"/>
  <c r="F304" i="36"/>
  <c r="J304" i="36" s="1"/>
  <c r="C23" i="24"/>
  <c r="D53" i="39" s="1"/>
  <c r="F29" i="24"/>
  <c r="G59" i="39" s="1"/>
  <c r="W251" i="36"/>
  <c r="F269" i="36"/>
  <c r="F392" i="36" s="1"/>
  <c r="H243" i="36"/>
  <c r="E24" i="24"/>
  <c r="F54" i="39" s="1"/>
  <c r="F350" i="36"/>
  <c r="H350" i="36" s="1"/>
  <c r="H351" i="36" s="1"/>
  <c r="B54" i="22"/>
  <c r="B56" i="22" s="1"/>
  <c r="B34" i="22"/>
  <c r="B36" i="22" s="1"/>
  <c r="F258" i="36"/>
  <c r="H184" i="36"/>
  <c r="B28" i="24"/>
  <c r="C58" i="39" s="1"/>
  <c r="F292" i="36"/>
  <c r="G397" i="36" s="1"/>
  <c r="C49" i="22" s="1"/>
  <c r="F22" i="24"/>
  <c r="G52" i="39" s="1"/>
  <c r="G60" i="39" s="1"/>
  <c r="W184" i="36"/>
  <c r="C24" i="24"/>
  <c r="D54" i="39" s="1"/>
  <c r="F306" i="36"/>
  <c r="I306" i="36" s="1"/>
  <c r="B29" i="24"/>
  <c r="C59" i="39" s="1"/>
  <c r="K251" i="36"/>
  <c r="F296" i="36"/>
  <c r="G407" i="36" s="1"/>
  <c r="E25" i="24"/>
  <c r="F55" i="39" s="1"/>
  <c r="F352" i="36"/>
  <c r="H352" i="36" s="1"/>
  <c r="E22" i="24"/>
  <c r="F52" i="39" s="1"/>
  <c r="F346" i="36"/>
  <c r="T184" i="36"/>
  <c r="D28" i="24"/>
  <c r="E58" i="39" s="1"/>
  <c r="F336" i="36"/>
  <c r="D25" i="24"/>
  <c r="E55" i="39" s="1"/>
  <c r="F330" i="36"/>
  <c r="D8" i="19"/>
  <c r="F272" i="36"/>
  <c r="F402" i="36" s="1"/>
  <c r="H360" i="36"/>
  <c r="H361" i="36" s="1"/>
  <c r="I354" i="36"/>
  <c r="E29" i="24"/>
  <c r="F59" i="39" s="1"/>
  <c r="F362" i="36"/>
  <c r="T251" i="36"/>
  <c r="F313" i="36"/>
  <c r="C27" i="24"/>
  <c r="D57"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0" i="39"/>
  <c r="C52" i="39"/>
  <c r="C60" i="39" s="1"/>
  <c r="B30" i="24"/>
  <c r="F60" i="39"/>
  <c r="D60" i="39"/>
  <c r="H9" i="22"/>
  <c r="H15" i="22"/>
  <c r="C8" i="39"/>
  <c r="B5" i="23"/>
  <c r="C9" i="39" s="1"/>
  <c r="F179" i="38"/>
  <c r="F182" i="38" s="1"/>
  <c r="G182" i="38"/>
  <c r="F9" i="22"/>
  <c r="F15" i="22"/>
  <c r="H182" i="38"/>
  <c r="G15" i="22"/>
  <c r="G9" i="22"/>
  <c r="D182" i="38"/>
  <c r="D9" i="22"/>
  <c r="D15" i="22"/>
  <c r="O13" i="36"/>
  <c r="F6" i="23"/>
  <c r="G10"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I10" i="40"/>
  <c r="Q24" i="37"/>
  <c r="E9" i="22"/>
  <c r="E15" i="22"/>
  <c r="K13" i="36"/>
  <c r="D6" i="23"/>
  <c r="E10" i="39" s="1"/>
  <c r="M13" i="36"/>
  <c r="E6" i="23"/>
  <c r="F10" i="39" s="1"/>
  <c r="G13" i="36"/>
  <c r="G14" i="36" s="1"/>
  <c r="C4" i="20" s="1"/>
  <c r="B6" i="23"/>
  <c r="C10" i="39" s="1"/>
  <c r="I13" i="36"/>
  <c r="C6" i="23"/>
  <c r="D10"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1" i="39" s="1"/>
  <c r="B9" i="24"/>
  <c r="C40"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1" i="39" s="1"/>
  <c r="D9" i="24"/>
  <c r="E40" i="39" s="1"/>
  <c r="F8" i="23"/>
  <c r="G12" i="39" s="1"/>
  <c r="F10" i="24"/>
  <c r="G41" i="39" s="1"/>
  <c r="F7" i="23"/>
  <c r="G11" i="39" s="1"/>
  <c r="F9" i="24"/>
  <c r="G40" i="39" s="1"/>
  <c r="B8" i="23"/>
  <c r="B10" i="24"/>
  <c r="C41" i="39" s="1"/>
  <c r="O48" i="40" s="1"/>
  <c r="C8" i="23"/>
  <c r="D12" i="39" s="1"/>
  <c r="C10" i="24"/>
  <c r="D41" i="39" s="1"/>
  <c r="E7" i="23"/>
  <c r="F11" i="39" s="1"/>
  <c r="E9" i="24"/>
  <c r="F40" i="39" s="1"/>
  <c r="E8" i="23"/>
  <c r="F12" i="39" s="1"/>
  <c r="E10" i="24"/>
  <c r="F41" i="39" s="1"/>
  <c r="C7" i="23"/>
  <c r="D11" i="39" s="1"/>
  <c r="C9" i="24"/>
  <c r="D40" i="39" s="1"/>
  <c r="D8" i="23"/>
  <c r="E12" i="39" s="1"/>
  <c r="D10" i="24"/>
  <c r="E41"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P48" i="40" l="1"/>
  <c r="Q48" i="40" s="1"/>
  <c r="R48" i="40" s="1"/>
  <c r="S48" i="40" s="1"/>
  <c r="T48" i="40" s="1"/>
  <c r="N48" i="40"/>
  <c r="M48" i="40" s="1"/>
  <c r="L48" i="40" s="1"/>
  <c r="K48" i="40" s="1"/>
  <c r="J48" i="40" s="1"/>
  <c r="C12" i="39"/>
  <c r="C13"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I11" i="40" l="1"/>
  <c r="Q20" i="33"/>
  <c r="T20" i="33"/>
  <c r="U20" i="33" s="1"/>
  <c r="K367" i="36"/>
  <c r="G31" i="22" s="1"/>
  <c r="F31" i="22"/>
  <c r="J368" i="36"/>
  <c r="F32" i="22" s="1"/>
  <c r="L259" i="36"/>
  <c r="K368" i="36" s="1"/>
  <c r="G32" i="22" s="1"/>
  <c r="I12" i="36"/>
  <c r="K24" i="36"/>
  <c r="I23" i="33"/>
  <c r="I24" i="33" s="1"/>
  <c r="I25" i="33" s="1"/>
  <c r="C25" i="2"/>
  <c r="C20" i="2"/>
  <c r="K12" i="36" l="1"/>
  <c r="N24" i="36"/>
  <c r="I14" i="36"/>
  <c r="D4" i="20" s="1"/>
  <c r="C4" i="23"/>
  <c r="D8" i="39" s="1"/>
  <c r="M23" i="33"/>
  <c r="I23" i="40" l="1"/>
  <c r="M12" i="36"/>
  <c r="Q24" i="36"/>
  <c r="K14" i="36"/>
  <c r="E4" i="20" s="1"/>
  <c r="D4" i="23"/>
  <c r="E8" i="39" s="1"/>
  <c r="M24" i="33"/>
  <c r="M25" i="33" s="1"/>
  <c r="Q23" i="33"/>
  <c r="F46" i="25"/>
  <c r="C46" i="25"/>
  <c r="H9" i="25"/>
  <c r="E46" i="25" s="1"/>
  <c r="D37" i="24"/>
  <c r="E37" i="24"/>
  <c r="F37" i="24"/>
  <c r="E36" i="24"/>
  <c r="F36" i="24"/>
  <c r="I36" i="40" l="1"/>
  <c r="U23" i="33"/>
  <c r="U24" i="33" s="1"/>
  <c r="U25" i="33" s="1"/>
  <c r="T24" i="36"/>
  <c r="M14" i="36"/>
  <c r="F4" i="20" s="1"/>
  <c r="E4" i="23"/>
  <c r="F8" i="39" s="1"/>
  <c r="Q24" i="33"/>
  <c r="Q25" i="33" s="1"/>
  <c r="D29" i="25"/>
  <c r="D26" i="25"/>
  <c r="D30" i="24"/>
  <c r="C30" i="24"/>
  <c r="F30" i="24"/>
  <c r="I49" i="40" l="1"/>
  <c r="O12" i="36"/>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8" i="39" s="1"/>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I62" i="40" l="1"/>
  <c r="G64" i="18"/>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5" i="39" s="1"/>
  <c r="G11" i="20"/>
  <c r="E11" i="20"/>
  <c r="D6" i="20"/>
  <c r="B10" i="23"/>
  <c r="C51" i="22"/>
  <c r="C12" i="20"/>
  <c r="E42" i="22"/>
  <c r="C33" i="22"/>
  <c r="C48" i="22"/>
  <c r="D39" i="22"/>
  <c r="C56" i="22"/>
  <c r="D45" i="22"/>
  <c r="E45" i="22"/>
  <c r="E28" i="22"/>
  <c r="P108" i="18"/>
  <c r="P118" i="18" s="1"/>
  <c r="O118" i="18"/>
  <c r="O119" i="18" s="1"/>
  <c r="C7" i="20" s="1"/>
  <c r="F5" i="20" l="1"/>
  <c r="D11" i="23"/>
  <c r="E15" i="39" s="1"/>
  <c r="B12" i="23"/>
  <c r="D7" i="20"/>
  <c r="F11" i="20"/>
  <c r="D11" i="20"/>
  <c r="C52" i="22"/>
  <c r="E6" i="20"/>
  <c r="C10" i="23"/>
  <c r="D14" i="39" s="1"/>
  <c r="D36" i="22"/>
  <c r="D51" i="22"/>
  <c r="D33" i="22"/>
  <c r="G12" i="20"/>
  <c r="F12" i="20"/>
  <c r="F42" i="22"/>
  <c r="G42" i="22"/>
  <c r="D48" i="22"/>
  <c r="E12" i="20"/>
  <c r="E36" i="22"/>
  <c r="D56" i="22"/>
  <c r="G45" i="22"/>
  <c r="F45" i="22"/>
  <c r="E39" i="22"/>
  <c r="F28" i="22"/>
  <c r="G28" i="22"/>
  <c r="G5" i="20" l="1"/>
  <c r="F11" i="23" s="1"/>
  <c r="G15" i="39" s="1"/>
  <c r="E11" i="23"/>
  <c r="F15" i="39" s="1"/>
  <c r="E7" i="20"/>
  <c r="C12" i="23"/>
  <c r="D16" i="39" s="1"/>
  <c r="D52" i="22"/>
  <c r="F6" i="20"/>
  <c r="D10" i="23"/>
  <c r="E14" i="39" s="1"/>
  <c r="E51" i="22"/>
  <c r="E33" i="22"/>
  <c r="E48" i="22"/>
  <c r="G36" i="22"/>
  <c r="F36" i="22"/>
  <c r="E56" i="22"/>
  <c r="G39" i="22"/>
  <c r="F39" i="22"/>
  <c r="F7" i="20" l="1"/>
  <c r="D12" i="23"/>
  <c r="E16" i="39" s="1"/>
  <c r="G6" i="20"/>
  <c r="F10" i="23" s="1"/>
  <c r="G14" i="39" s="1"/>
  <c r="E10" i="23"/>
  <c r="F14" i="39" s="1"/>
  <c r="E52" i="22"/>
  <c r="G48" i="22"/>
  <c r="F48" i="22"/>
  <c r="G33" i="22"/>
  <c r="F33" i="22"/>
  <c r="G51" i="22"/>
  <c r="F51" i="22"/>
  <c r="G56" i="22"/>
  <c r="F56" i="22"/>
  <c r="G52" i="22" l="1"/>
  <c r="E12" i="23"/>
  <c r="F16" i="39" s="1"/>
  <c r="G7" i="20"/>
  <c r="F12" i="23" s="1"/>
  <c r="G16" i="39" s="1"/>
  <c r="F52" i="22"/>
  <c r="E7" i="2" l="1"/>
  <c r="C29" i="19" l="1"/>
  <c r="C6" i="24"/>
  <c r="D38" i="39" s="1"/>
  <c r="C3" i="23"/>
  <c r="D7" i="39" s="1"/>
  <c r="E16" i="25"/>
  <c r="E72"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2" i="39" s="1"/>
  <c r="D3" i="23"/>
  <c r="E7" i="39" s="1"/>
  <c r="D6" i="24"/>
  <c r="E38"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2" i="39" s="1"/>
  <c r="E3" i="23"/>
  <c r="F7" i="39" s="1"/>
  <c r="E6" i="24"/>
  <c r="F38"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38" i="39" s="1"/>
  <c r="H16" i="25"/>
  <c r="H72" i="39" s="1"/>
  <c r="F3" i="23"/>
  <c r="G7"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3" i="39" s="1"/>
  <c r="K415" i="36" l="1"/>
  <c r="K411" i="36"/>
  <c r="D32" i="25"/>
  <c r="C34" i="24"/>
  <c r="D63" i="39" s="1"/>
  <c r="C16" i="24"/>
  <c r="D46" i="39" s="1"/>
  <c r="D34" i="24" l="1"/>
  <c r="E63" i="39" s="1"/>
  <c r="E32" i="25"/>
  <c r="D16" i="24"/>
  <c r="E46" i="39" s="1"/>
  <c r="C30" i="2"/>
  <c r="F12" i="22" l="1"/>
  <c r="E24" i="22" s="1"/>
  <c r="D5" i="23"/>
  <c r="E9" i="39" s="1"/>
  <c r="E13" i="39" s="1"/>
  <c r="D14" i="23"/>
  <c r="D13" i="23"/>
  <c r="E17" i="39" s="1"/>
  <c r="E16" i="24"/>
  <c r="F46" i="39" s="1"/>
  <c r="F32" i="25"/>
  <c r="E34" i="24"/>
  <c r="F63" i="39" s="1"/>
  <c r="C31" i="2"/>
  <c r="I37" i="40" l="1"/>
  <c r="D11" i="24"/>
  <c r="E18" i="39"/>
  <c r="E42" i="39" s="1"/>
  <c r="G12" i="22"/>
  <c r="F24" i="22" s="1"/>
  <c r="E5" i="23"/>
  <c r="F9" i="39" s="1"/>
  <c r="F13" i="39" s="1"/>
  <c r="E13" i="23"/>
  <c r="F17" i="39" s="1"/>
  <c r="E14" i="23"/>
  <c r="C14" i="23"/>
  <c r="E12" i="22"/>
  <c r="C5" i="23"/>
  <c r="D9" i="39" s="1"/>
  <c r="D13" i="39" s="1"/>
  <c r="C13" i="23"/>
  <c r="D17" i="39" s="1"/>
  <c r="F16" i="24"/>
  <c r="G46" i="39" s="1"/>
  <c r="G32" i="25"/>
  <c r="F34" i="24"/>
  <c r="G63" i="39" s="1"/>
  <c r="D12" i="22"/>
  <c r="B13" i="23"/>
  <c r="C17" i="39" s="1"/>
  <c r="O22" i="40" s="1"/>
  <c r="B14" i="23"/>
  <c r="I50" i="40" l="1"/>
  <c r="N22" i="40"/>
  <c r="M22" i="40" s="1"/>
  <c r="L22" i="40" s="1"/>
  <c r="K22" i="40" s="1"/>
  <c r="J22" i="40" s="1"/>
  <c r="P22" i="40"/>
  <c r="Q22" i="40" s="1"/>
  <c r="R22" i="40" s="1"/>
  <c r="S22" i="40" s="1"/>
  <c r="T22" i="40" s="1"/>
  <c r="I24" i="40"/>
  <c r="C11" i="24"/>
  <c r="D18" i="39"/>
  <c r="D42" i="39" s="1"/>
  <c r="E11" i="24"/>
  <c r="F18" i="39"/>
  <c r="F42" i="39" s="1"/>
  <c r="B11" i="24"/>
  <c r="C18" i="39"/>
  <c r="B16" i="23"/>
  <c r="E20" i="39"/>
  <c r="G13" i="22"/>
  <c r="E18" i="24" s="1"/>
  <c r="F48" i="39" s="1"/>
  <c r="G23" i="22"/>
  <c r="E17" i="19"/>
  <c r="F13" i="22"/>
  <c r="D18" i="24" s="1"/>
  <c r="E48" i="39" s="1"/>
  <c r="D24" i="22"/>
  <c r="E14" i="19"/>
  <c r="C24" i="22"/>
  <c r="D13" i="22"/>
  <c r="B18" i="24" s="1"/>
  <c r="E13" i="22"/>
  <c r="C18" i="24" s="1"/>
  <c r="D48" i="39" s="1"/>
  <c r="I38" i="40" l="1"/>
  <c r="F20" i="39"/>
  <c r="D20" i="39"/>
  <c r="C42" i="39"/>
  <c r="C20" i="39"/>
  <c r="E39" i="39"/>
  <c r="C48" i="39"/>
  <c r="F16" i="22"/>
  <c r="D19" i="24" s="1"/>
  <c r="E49" i="39" s="1"/>
  <c r="H12" i="22"/>
  <c r="F5" i="23"/>
  <c r="G9" i="39" s="1"/>
  <c r="G13" i="39" s="1"/>
  <c r="F13" i="23"/>
  <c r="G17" i="39" s="1"/>
  <c r="F14" i="23"/>
  <c r="E19" i="19"/>
  <c r="E21" i="19" s="1"/>
  <c r="C47" i="25" s="1"/>
  <c r="D16" i="22"/>
  <c r="B19" i="24" s="1"/>
  <c r="C49" i="39" s="1"/>
  <c r="C9" i="22"/>
  <c r="B23" i="22" s="1"/>
  <c r="D9" i="23"/>
  <c r="D16" i="23" s="1"/>
  <c r="E35" i="25" s="1"/>
  <c r="C9" i="23"/>
  <c r="C16" i="23" s="1"/>
  <c r="D35" i="25" s="1"/>
  <c r="G61" i="22"/>
  <c r="G63" i="22" s="1"/>
  <c r="G33" i="25" s="1"/>
  <c r="F61" i="22"/>
  <c r="H10" i="22"/>
  <c r="F17" i="24" s="1"/>
  <c r="G47" i="39" s="1"/>
  <c r="F23" i="22"/>
  <c r="E61" i="22"/>
  <c r="C23" i="22"/>
  <c r="E10" i="22"/>
  <c r="C17" i="24" s="1"/>
  <c r="D47" i="39" s="1"/>
  <c r="D23" i="22"/>
  <c r="F10" i="22"/>
  <c r="D17" i="24" s="1"/>
  <c r="E47" i="39" s="1"/>
  <c r="E23" i="22"/>
  <c r="G10" i="22"/>
  <c r="E17" i="24" s="1"/>
  <c r="F47" i="39" s="1"/>
  <c r="D61" i="22"/>
  <c r="I63" i="40" l="1"/>
  <c r="I51" i="40"/>
  <c r="I25" i="40"/>
  <c r="I12" i="40"/>
  <c r="E50" i="39"/>
  <c r="E61" i="39" s="1"/>
  <c r="F39" i="39"/>
  <c r="D39" i="39"/>
  <c r="F11" i="24"/>
  <c r="G18" i="39"/>
  <c r="G42" i="39" s="1"/>
  <c r="C39" i="39"/>
  <c r="C44" i="39" s="1"/>
  <c r="C35" i="25"/>
  <c r="G24" i="22"/>
  <c r="H13" i="22"/>
  <c r="F18" i="24" s="1"/>
  <c r="G48" i="39" s="1"/>
  <c r="C61" i="22"/>
  <c r="E16" i="22"/>
  <c r="C19" i="24" s="1"/>
  <c r="D10" i="22"/>
  <c r="B17" i="24" s="1"/>
  <c r="F9" i="23"/>
  <c r="F16" i="23" s="1"/>
  <c r="G35" i="25" s="1"/>
  <c r="E9" i="23"/>
  <c r="E16" i="23" s="1"/>
  <c r="F35" i="25" s="1"/>
  <c r="G16" i="22"/>
  <c r="E19" i="24" s="1"/>
  <c r="H11" i="25"/>
  <c r="H16" i="22"/>
  <c r="F19" i="24" s="1"/>
  <c r="G49" i="39" s="1"/>
  <c r="C8" i="24"/>
  <c r="D20" i="24"/>
  <c r="D31" i="24" s="1"/>
  <c r="G27" i="19"/>
  <c r="B64" i="22"/>
  <c r="D8" i="24"/>
  <c r="I15" i="40" l="1"/>
  <c r="G50" i="39"/>
  <c r="G61" i="39" s="1"/>
  <c r="E20" i="24"/>
  <c r="E31" i="24" s="1"/>
  <c r="F49" i="39"/>
  <c r="F50" i="39" s="1"/>
  <c r="F61" i="39" s="1"/>
  <c r="C20" i="24"/>
  <c r="C31" i="24" s="1"/>
  <c r="D49" i="39"/>
  <c r="D50" i="39" s="1"/>
  <c r="D61" i="39" s="1"/>
  <c r="C17" i="25"/>
  <c r="C45" i="25" s="1"/>
  <c r="C75" i="39"/>
  <c r="C47" i="39"/>
  <c r="C50" i="39" s="1"/>
  <c r="C61" i="39" s="1"/>
  <c r="B20" i="24"/>
  <c r="B31" i="24" s="1"/>
  <c r="G20" i="39"/>
  <c r="F20" i="24"/>
  <c r="F31" i="24" s="1"/>
  <c r="B8" i="24"/>
  <c r="B13" i="24" s="1"/>
  <c r="F8" i="24"/>
  <c r="E8" i="24"/>
  <c r="E29" i="19"/>
  <c r="F28" i="19"/>
  <c r="E30" i="19"/>
  <c r="E28" i="19"/>
  <c r="G28" i="19" s="1"/>
  <c r="E31" i="19"/>
  <c r="E32" i="19"/>
  <c r="I64" i="40" l="1"/>
  <c r="G39" i="39"/>
  <c r="D47" i="25"/>
  <c r="D46" i="25"/>
  <c r="D36" i="24"/>
  <c r="E65" i="39" s="1"/>
  <c r="C37" i="24"/>
  <c r="D66" i="39" s="1"/>
  <c r="F29" i="19"/>
  <c r="C18" i="23" s="1"/>
  <c r="D22" i="39" s="1"/>
  <c r="G29" i="19"/>
  <c r="C64" i="22"/>
  <c r="D28" i="19"/>
  <c r="C10" i="20" s="1"/>
  <c r="C13" i="20" s="1"/>
  <c r="G31" i="37" s="1"/>
  <c r="O26" i="37" s="1"/>
  <c r="B37" i="24"/>
  <c r="C66" i="39" s="1"/>
  <c r="C36" i="24"/>
  <c r="D65" i="39" s="1"/>
  <c r="B18" i="23"/>
  <c r="B36" i="24"/>
  <c r="C65" i="39" s="1"/>
  <c r="B19" i="23"/>
  <c r="C19" i="23" l="1"/>
  <c r="C23" i="39"/>
  <c r="B20" i="23"/>
  <c r="B27" i="23" s="1"/>
  <c r="C22" i="39"/>
  <c r="O28" i="37"/>
  <c r="O29" i="37" s="1"/>
  <c r="P26" i="37"/>
  <c r="B50" i="25"/>
  <c r="C14" i="20"/>
  <c r="D29" i="19"/>
  <c r="D10" i="20" s="1"/>
  <c r="D13" i="20" s="1"/>
  <c r="D14" i="20" s="1"/>
  <c r="F30" i="19"/>
  <c r="D64" i="22"/>
  <c r="G30" i="19"/>
  <c r="C20" i="23"/>
  <c r="C27" i="23" s="1"/>
  <c r="C29" i="23" s="1"/>
  <c r="B28" i="23" l="1"/>
  <c r="B29" i="23"/>
  <c r="B30" i="23"/>
  <c r="C24" i="39"/>
  <c r="C31" i="39" s="1"/>
  <c r="I13" i="40" s="1"/>
  <c r="D19" i="23"/>
  <c r="D23" i="39"/>
  <c r="D24" i="39" s="1"/>
  <c r="D31" i="39" s="1"/>
  <c r="I26" i="40" s="1"/>
  <c r="Q26" i="37"/>
  <c r="Q28" i="37" s="1"/>
  <c r="Q29" i="37" s="1"/>
  <c r="P28" i="37"/>
  <c r="P29" i="37" s="1"/>
  <c r="E64" i="22"/>
  <c r="G31" i="19"/>
  <c r="G32" i="19" s="1"/>
  <c r="F31" i="19"/>
  <c r="C30" i="23"/>
  <c r="C28" i="23"/>
  <c r="D30" i="19"/>
  <c r="E10" i="20" s="1"/>
  <c r="E13" i="20" s="1"/>
  <c r="E14" i="20" s="1"/>
  <c r="D18" i="23"/>
  <c r="B31" i="23" l="1"/>
  <c r="B36" i="23" s="1"/>
  <c r="C67" i="39" s="1"/>
  <c r="C69" i="39" s="1"/>
  <c r="D73" i="39" s="1"/>
  <c r="D32" i="39"/>
  <c r="E43" i="39" s="1"/>
  <c r="E44" i="39" s="1"/>
  <c r="D33" i="39"/>
  <c r="D34" i="39"/>
  <c r="E19" i="23"/>
  <c r="E23" i="39"/>
  <c r="D20" i="23"/>
  <c r="D27" i="23" s="1"/>
  <c r="D29" i="23" s="1"/>
  <c r="E22" i="39"/>
  <c r="C34" i="39"/>
  <c r="C33" i="39"/>
  <c r="C32" i="39"/>
  <c r="D43" i="39" s="1"/>
  <c r="D44" i="39" s="1"/>
  <c r="C68" i="22"/>
  <c r="D68" i="22"/>
  <c r="B62" i="22"/>
  <c r="B63" i="22" s="1"/>
  <c r="B65" i="22" s="1"/>
  <c r="B74" i="22" s="1"/>
  <c r="C12" i="24"/>
  <c r="C13" i="24" s="1"/>
  <c r="C62" i="22"/>
  <c r="C63" i="22" s="1"/>
  <c r="D12" i="24"/>
  <c r="D13" i="24" s="1"/>
  <c r="D31" i="19"/>
  <c r="F10" i="20" s="1"/>
  <c r="F13" i="20" s="1"/>
  <c r="F14" i="20" s="1"/>
  <c r="E18" i="23"/>
  <c r="F64" i="22"/>
  <c r="G64" i="22"/>
  <c r="G65" i="22" s="1"/>
  <c r="F32" i="19"/>
  <c r="I41" i="40" l="1"/>
  <c r="I28" i="40"/>
  <c r="C35" i="39"/>
  <c r="E20" i="23"/>
  <c r="E27" i="23" s="1"/>
  <c r="E29" i="23" s="1"/>
  <c r="F22" i="39"/>
  <c r="F19" i="23"/>
  <c r="G23" i="39" s="1"/>
  <c r="F23" i="39"/>
  <c r="D28" i="23"/>
  <c r="E68" i="22" s="1"/>
  <c r="D30" i="23"/>
  <c r="E24" i="39"/>
  <c r="E31" i="39" s="1"/>
  <c r="I39" i="40" s="1"/>
  <c r="D35" i="39"/>
  <c r="B22" i="22"/>
  <c r="B25" i="22" s="1"/>
  <c r="B57" i="22" s="1"/>
  <c r="C65" i="22"/>
  <c r="C31" i="23"/>
  <c r="D32" i="19"/>
  <c r="G10" i="20" s="1"/>
  <c r="G13" i="20" s="1"/>
  <c r="G14" i="20" s="1"/>
  <c r="F18" i="23"/>
  <c r="I27" i="40" l="1"/>
  <c r="I14" i="40"/>
  <c r="E30" i="23"/>
  <c r="D62" i="22"/>
  <c r="D63" i="22" s="1"/>
  <c r="D65" i="22" s="1"/>
  <c r="E28" i="23"/>
  <c r="F68" i="22" s="1"/>
  <c r="E12" i="24"/>
  <c r="E13" i="24" s="1"/>
  <c r="D31" i="23"/>
  <c r="E70" i="22" s="1"/>
  <c r="F20" i="23"/>
  <c r="F27" i="23" s="1"/>
  <c r="F29" i="23" s="1"/>
  <c r="G22" i="39"/>
  <c r="G24" i="39" s="1"/>
  <c r="G31" i="39" s="1"/>
  <c r="I65" i="40" s="1"/>
  <c r="E32" i="39"/>
  <c r="F43" i="39" s="1"/>
  <c r="F44" i="39" s="1"/>
  <c r="E33" i="39"/>
  <c r="E34" i="39"/>
  <c r="F24" i="39"/>
  <c r="F31" i="39" s="1"/>
  <c r="I52" i="40" s="1"/>
  <c r="B43" i="24"/>
  <c r="D74" i="39" s="1"/>
  <c r="D75" i="39" s="1"/>
  <c r="I16" i="40" s="1"/>
  <c r="C38" i="25"/>
  <c r="B76" i="22"/>
  <c r="C34" i="25"/>
  <c r="C70" i="22"/>
  <c r="C72" i="22" s="1"/>
  <c r="C36" i="25"/>
  <c r="E36" i="25"/>
  <c r="C36" i="23"/>
  <c r="D36" i="25"/>
  <c r="C35" i="23"/>
  <c r="D69" i="22" s="1"/>
  <c r="D70" i="22"/>
  <c r="I54" i="40" l="1"/>
  <c r="E31" i="23"/>
  <c r="E36" i="23" s="1"/>
  <c r="F28" i="23"/>
  <c r="F62" i="22" s="1"/>
  <c r="F63" i="22" s="1"/>
  <c r="F65" i="22" s="1"/>
  <c r="F12" i="24"/>
  <c r="F13" i="24" s="1"/>
  <c r="E62" i="22"/>
  <c r="E63" i="22" s="1"/>
  <c r="E65" i="22" s="1"/>
  <c r="D36" i="23"/>
  <c r="E67" i="39" s="1"/>
  <c r="E69" i="39" s="1"/>
  <c r="F73" i="39" s="1"/>
  <c r="F30" i="23"/>
  <c r="F33" i="39"/>
  <c r="F32" i="39"/>
  <c r="G43" i="39" s="1"/>
  <c r="G44" i="39" s="1"/>
  <c r="F34" i="39"/>
  <c r="E35" i="39"/>
  <c r="G33" i="39"/>
  <c r="G34" i="39"/>
  <c r="G32" i="39"/>
  <c r="E35" i="23"/>
  <c r="F69" i="22" s="1"/>
  <c r="D35" i="23"/>
  <c r="E69" i="22" s="1"/>
  <c r="E72" i="22" s="1"/>
  <c r="D67" i="39"/>
  <c r="D69" i="39" s="1"/>
  <c r="E73" i="39" s="1"/>
  <c r="G68" i="22"/>
  <c r="C38" i="24"/>
  <c r="C40" i="24" s="1"/>
  <c r="C42" i="24" s="1"/>
  <c r="C74" i="22"/>
  <c r="C22" i="22" s="1"/>
  <c r="D37" i="25"/>
  <c r="F36" i="25"/>
  <c r="B38" i="24"/>
  <c r="B40" i="24" s="1"/>
  <c r="B42" i="24" s="1"/>
  <c r="B44" i="24" s="1"/>
  <c r="D72" i="22"/>
  <c r="I67" i="40" l="1"/>
  <c r="I40" i="40"/>
  <c r="F70" i="22"/>
  <c r="F72" i="22" s="1"/>
  <c r="G37" i="25" s="1"/>
  <c r="D38" i="24"/>
  <c r="D40" i="24" s="1"/>
  <c r="D42" i="24" s="1"/>
  <c r="G35" i="39"/>
  <c r="F35" i="39"/>
  <c r="F35" i="23"/>
  <c r="G69" i="22" s="1"/>
  <c r="F67" i="39"/>
  <c r="F69" i="39" s="1"/>
  <c r="G73" i="39" s="1"/>
  <c r="F31" i="23"/>
  <c r="F36" i="23" s="1"/>
  <c r="D17" i="25"/>
  <c r="C25" i="22"/>
  <c r="C43" i="24"/>
  <c r="G36" i="25"/>
  <c r="D74" i="22"/>
  <c r="D22" i="22" s="1"/>
  <c r="D25" i="22" s="1"/>
  <c r="E37" i="25"/>
  <c r="E74" i="22"/>
  <c r="E22" i="22" s="1"/>
  <c r="E25" i="22" s="1"/>
  <c r="F37" i="25"/>
  <c r="E38" i="24"/>
  <c r="E40" i="24" s="1"/>
  <c r="E42" i="24" s="1"/>
  <c r="I66" i="40" l="1"/>
  <c r="I53" i="40"/>
  <c r="F74" i="22"/>
  <c r="F22" i="22" s="1"/>
  <c r="F43" i="24" s="1"/>
  <c r="H74" i="39" s="1"/>
  <c r="G70" i="22"/>
  <c r="G72" i="22" s="1"/>
  <c r="G74" i="22" s="1"/>
  <c r="G22" i="22" s="1"/>
  <c r="G25" i="22" s="1"/>
  <c r="G57" i="22" s="1"/>
  <c r="G76" i="22" s="1"/>
  <c r="F38" i="24"/>
  <c r="F40" i="24" s="1"/>
  <c r="F42" i="24" s="1"/>
  <c r="G67" i="39"/>
  <c r="G69" i="39" s="1"/>
  <c r="H73" i="39" s="1"/>
  <c r="C44" i="24"/>
  <c r="E17" i="25" s="1"/>
  <c r="E74" i="39"/>
  <c r="E75" i="39" s="1"/>
  <c r="C57" i="22"/>
  <c r="C33" i="25"/>
  <c r="D43" i="24"/>
  <c r="E57" i="22"/>
  <c r="E33" i="25"/>
  <c r="E43" i="24"/>
  <c r="D57" i="22"/>
  <c r="D33" i="25"/>
  <c r="I29" i="40" l="1"/>
  <c r="H75" i="39"/>
  <c r="F25" i="22"/>
  <c r="F57" i="22" s="1"/>
  <c r="G34" i="25" s="1"/>
  <c r="F44" i="24"/>
  <c r="H17" i="25" s="1"/>
  <c r="D44" i="24"/>
  <c r="F17" i="25" s="1"/>
  <c r="F74" i="39"/>
  <c r="F75" i="39" s="1"/>
  <c r="E44" i="24"/>
  <c r="G17" i="25" s="1"/>
  <c r="G74" i="39"/>
  <c r="G75" i="39" s="1"/>
  <c r="I55" i="40" s="1"/>
  <c r="F33" i="25"/>
  <c r="C76" i="22"/>
  <c r="D34" i="25"/>
  <c r="D38" i="25"/>
  <c r="D76" i="22"/>
  <c r="E38" i="25"/>
  <c r="E34" i="25"/>
  <c r="E76" i="22"/>
  <c r="F34" i="25"/>
  <c r="F38" i="25"/>
  <c r="I68" i="40" l="1"/>
  <c r="I42" i="40"/>
  <c r="E20" i="25"/>
  <c r="B23" i="25" s="1"/>
  <c r="C39" i="25"/>
  <c r="G38" i="25"/>
  <c r="F76" i="22"/>
  <c r="E19" i="25"/>
  <c r="C77" i="39"/>
  <c r="I69" i="40" s="1"/>
  <c r="I43" i="40" l="1"/>
  <c r="I56" i="40"/>
  <c r="I17" i="40"/>
  <c r="I30" i="40"/>
  <c r="B29" i="25"/>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<sst xmlns="http://schemas.openxmlformats.org/spreadsheetml/2006/main" count="1915" uniqueCount="1202">
  <si>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</si>
  <si>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</si>
  <si>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</si>
  <si>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</si>
  <si>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</si>
  <si>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</si>
  <si>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</si>
  <si>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</si>
  <si>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</si>
  <si>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</si>
  <si>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</si>
  <si>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</si>
  <si>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</si>
  <si>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</si>
  <si>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</si>
  <si>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</si>
  <si>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</si>
  <si>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</si>
  <si>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</si>
  <si>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</si>
  <si>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</si>
  <si>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</si>
  <si>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</si>
  <si>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</si>
  <si>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</si>
  <si>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</si>
  <si>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</si>
  <si>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</si>
  <si>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</si>
  <si>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</si>
  <si>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</si>
  <si>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</si>
  <si>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</si>
  <si>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</si>
  <si>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</si>
  <si>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</si>
  <si>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</si>
  <si>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</si>
  <si>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</si>
  <si>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</si>
  <si>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</si>
  <si>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</si>
  <si>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</si>
  <si>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</si>
  <si>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</si>
  <si>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</si>
  <si>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</si>
  <si>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</si>
  <si>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</si>
  <si>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</si>
  <si>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</si>
  <si>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</si>
  <si>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</si>
  <si>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</si>
  <si>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</si>
  <si>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</si>
  <si>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</si>
  <si>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</si>
  <si>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</si>
  <si>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</si>
  <si>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</si>
  <si>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</si>
  <si>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</si>
  <si>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</si>
  <si>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</si>
  <si>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</si>
  <si>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</si>
  <si>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</si>
  <si>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</si>
  <si>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</si>
  <si>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</si>
  <si>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</si>
  <si>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</si>
  <si>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</si>
  <si>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</si>
  <si>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</si>
  <si>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</si>
  <si>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</si>
  <si>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</si>
  <si>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</si>
  <si>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</si>
  <si>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</si>
  <si>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</si>
  <si>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</si>
  <si>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</si>
  <si>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</si>
  <si>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</si>
  <si>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</si>
  <si>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</si>
  <si>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</si>
  <si>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</si>
  <si>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</si>
  <si>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</si>
  <si>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</si>
  <si>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</si>
  <si>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</si>
  <si>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</si>
  <si>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</si>
  <si>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</si>
  <si>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</si>
  <si>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</si>
  <si>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</si>
  <si>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</si>
  <si>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</si>
  <si>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</si>
  <si>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</si>
  <si>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</si>
  <si>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</si>
  <si>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</si>
  <si>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</si>
  <si>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</si>
  <si>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</si>
  <si>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</si>
  <si>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</si>
  <si>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</si>
  <si>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</si>
  <si>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</si>
  <si>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</si>
  <si>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</si>
  <si>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</si>
  <si>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</si>
  <si>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</si>
  <si>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</si>
  <si>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</si>
  <si>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</si>
  <si>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</si>
  <si>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</si>
  <si>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</si>
  <si>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</si>
  <si>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</si>
  <si>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</si>
  <si>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</si>
  <si>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</si>
  <si>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</si>
  <si>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</si>
  <si>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</si>
  <si>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</si>
  <si>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</si>
  <si>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</si>
  <si>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</si>
  <si>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</si>
  <si>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</si>
  <si>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</si>
  <si>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</si>
  <si>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</si>
  <si>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</si>
  <si>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</si>
  <si>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</si>
  <si>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</si>
  <si>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</si>
  <si>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</si>
  <si>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</si>
  <si>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</si>
  <si>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</si>
  <si>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</si>
  <si>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</si>
  <si>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</si>
  <si>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</si>
  <si>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</si>
  <si>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</si>
  <si>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</si>
  <si>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</si>
  <si>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</si>
  <si>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</si>
  <si>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</si>
  <si>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</si>
  <si>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</si>
  <si>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</si>
  <si>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</si>
  <si>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</si>
  <si>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</si>
  <si>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</si>
  <si>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</si>
  <si>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</si>
  <si>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</si>
  <si>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</si>
  <si>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</si>
  <si>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</si>
  <si>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</si>
  <si>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</si>
  <si>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</si>
  <si>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</si>
  <si>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</si>
  <si>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</si>
  <si>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</si>
  <si>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</si>
  <si>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</si>
  <si>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</si>
  <si>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</si>
  <si>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</si>
  <si>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</si>
  <si>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</si>
  <si>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</si>
  <si>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</si>
  <si>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</si>
  <si>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</si>
  <si>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</si>
  <si>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</si>
  <si>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</si>
  <si>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</si>
  <si>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</si>
  <si>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</si>
  <si>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</si>
  <si>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</si>
  <si>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</si>
  <si>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</si>
  <si>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</si>
  <si>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</si>
  <si>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</si>
  <si>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</si>
  <si>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</si>
  <si>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</si>
  <si>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</si>
  <si>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</si>
  <si>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</si>
  <si>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</si>
  <si>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</si>
  <si>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</si>
  <si>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</si>
  <si>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</si>
  <si>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</si>
  <si>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</si>
  <si>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</si>
  <si>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</si>
  <si>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</si>
  <si>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</si>
  <si>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</si>
  <si>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</si>
  <si>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</si>
  <si>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</si>
  <si>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</si>
  <si>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</si>
  <si>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</si>
  <si>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</si>
  <si>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</si>
  <si>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</si>
  <si>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</si>
  <si>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</si>
  <si>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</si>
  <si>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</si>
  <si>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</si>
  <si>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</si>
  <si>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</si>
  <si>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</si>
  <si>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</si>
  <si>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</si>
  <si>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</si>
  <si>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</si>
  <si>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</si>
  <si>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</si>
  <si>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</si>
  <si>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</si>
  <si>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</si>
  <si>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</si>
  <si>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</si>
  <si>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</si>
  <si>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</si>
  <si>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</si>
  <si>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</si>
  <si>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</si>
  <si>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</si>
  <si>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</si>
  <si>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</si>
  <si>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</si>
  <si>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</si>
  <si>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</si>
  <si>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</si>
  <si>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</si>
  <si>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</si>
  <si>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</si>
  <si>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</si>
  <si>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</si>
  <si>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</si>
  <si>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</si>
  <si>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</si>
  <si>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</si>
  <si>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</si>
  <si>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</si>
  <si>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</si>
  <si>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</si>
  <si>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</si>
  <si>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</si>
  <si>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</si>
  <si>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</si>
  <si>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</si>
  <si>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</si>
  <si>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</si>
  <si>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</si>
  <si>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</si>
  <si>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</si>
  <si>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</si>
  <si>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</si>
  <si>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</si>
  <si>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</si>
  <si>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</si>
  <si>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</si>
  <si>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</si>
  <si>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</si>
  <si>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</si>
  <si>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</si>
  <si>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</si>
  <si>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</si>
  <si>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</si>
  <si>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</si>
  <si>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</si>
  <si>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</si>
  <si>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</si>
  <si>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</si>
  <si>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</si>
  <si>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</si>
  <si>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</si>
  <si>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</si>
  <si>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</si>
  <si>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</si>
  <si>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</si>
  <si>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</si>
  <si>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</si>
  <si>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</si>
  <si>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</si>
  <si>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</si>
  <si>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</si>
  <si>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</si>
  <si>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</si>
  <si>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</si>
  <si>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</si>
  <si>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</si>
  <si>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</si>
  <si>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</si>
  <si>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</si>
  <si>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</si>
  <si>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</si>
  <si>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</si>
  <si>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</si>
  <si>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</si>
  <si>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</si>
  <si>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</si>
  <si>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</si>
  <si>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</si>
  <si>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</si>
  <si>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</si>
  <si>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</si>
  <si>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</si>
  <si>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</si>
  <si>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</si>
  <si>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</si>
  <si>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</si>
  <si>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</si>
  <si>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</si>
  <si>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</si>
  <si>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</si>
  <si>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</si>
  <si>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</si>
  <si>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</si>
  <si>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</si>
  <si>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</si>
  <si>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</si>
  <si>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</si>
  <si>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</si>
  <si>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</si>
  <si>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</si>
  <si>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</si>
  <si>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</si>
  <si>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</si>
  <si>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</si>
  <si>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</si>
  <si>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</si>
  <si>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</si>
  <si>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</si>
  <si>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</si>
  <si>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</si>
  <si>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</si>
  <si>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</si>
  <si>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</si>
  <si>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</si>
  <si>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</si>
  <si>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</si>
  <si>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</si>
  <si>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</si>
  <si>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</si>
  <si>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</si>
  <si>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</si>
  <si>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</si>
  <si>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</si>
  <si>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</si>
  <si>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</si>
  <si>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</si>
  <si>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</si>
  <si>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</si>
  <si>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</si>
  <si>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</si>
  <si>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</si>
  <si>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</si>
  <si>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</si>
  <si>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</si>
  <si>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</si>
  <si>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</si>
  <si>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</si>
  <si>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</si>
  <si>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</si>
  <si>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</si>
  <si>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</si>
  <si>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</si>
  <si>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</si>
  <si>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</si>
  <si>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</si>
  <si>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</si>
  <si>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</si>
  <si>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</si>
  <si>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</si>
  <si>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</si>
  <si>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</si>
  <si>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</si>
  <si>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</si>
  <si>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</si>
  <si>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</si>
  <si>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</si>
  <si>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</si>
  <si>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</si>
  <si>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</si>
  <si>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</si>
  <si>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</si>
  <si>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</si>
  <si>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</si>
  <si>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</si>
  <si>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</si>
  <si>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</si>
  <si>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</si>
  <si>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</si>
  <si>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</si>
  <si>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</si>
  <si>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</si>
  <si>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</si>
  <si>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</si>
  <si>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</si>
  <si>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</si>
  <si>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</si>
  <si>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</si>
  <si>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</si>
  <si>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</si>
  <si>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</si>
  <si>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</si>
  <si>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</si>
  <si>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</si>
  <si>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</si>
  <si>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</si>
  <si>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</si>
  <si>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</si>
  <si>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</si>
  <si>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</si>
  <si>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</si>
  <si>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</si>
  <si>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</si>
  <si>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</si>
  <si>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</si>
  <si>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</si>
  <si>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</si>
  <si>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</si>
  <si>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</si>
  <si>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</si>
  <si>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</si>
  <si>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</si>
  <si>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</si>
  <si>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</si>
  <si>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</si>
  <si>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</si>
  <si>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</si>
  <si>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</si>
  <si>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</si>
  <si>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</si>
  <si>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</si>
  <si>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</si>
  <si>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</si>
  <si>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</si>
  <si>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</si>
  <si>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</si>
  <si>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</si>
  <si>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</si>
  <si>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</si>
  <si>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</si>
  <si>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</si>
  <si>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</si>
  <si>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</si>
  <si>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</si>
  <si>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</si>
  <si>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</si>
  <si>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</si>
  <si>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</si>
  <si>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</si>
  <si>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</si>
  <si>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</si>
  <si>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</si>
  <si>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</si>
  <si>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</si>
  <si>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</si>
  <si>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</si>
  <si>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</si>
  <si>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</si>
  <si>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</si>
  <si>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</si>
  <si>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</si>
  <si>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</si>
  <si>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</si>
  <si>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</si>
  <si>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</si>
  <si>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</si>
  <si>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</si>
  <si>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</si>
  <si>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</si>
  <si>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</si>
  <si>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</si>
  <si>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</si>
  <si>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</si>
  <si>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</si>
  <si>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</si>
  <si>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</si>
  <si>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</si>
  <si>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</si>
  <si>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</si>
  <si>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</si>
  <si>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</si>
  <si>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</si>
  <si>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</si>
  <si>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</si>
  <si>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</si>
  <si>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</si>
  <si>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</si>
  <si>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</si>
  <si>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</si>
  <si>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</si>
  <si>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</si>
  <si>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</si>
  <si>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</si>
  <si>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</si>
  <si>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</si>
  <si>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</si>
  <si>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</si>
  <si>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</si>
  <si>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</si>
  <si>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</si>
  <si>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</si>
  <si>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</si>
  <si>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</si>
  <si>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</si>
  <si>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</si>
  <si>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</si>
  <si>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</si>
  <si>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</si>
  <si>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</si>
  <si>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</si>
  <si>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</si>
  <si>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</si>
  <si>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</si>
  <si>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</si>
  <si>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</si>
  <si>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</si>
  <si>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</si>
  <si>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</si>
  <si>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</si>
  <si>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</si>
  <si>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</si>
  <si>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</si>
  <si>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</si>
  <si>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</si>
  <si>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</si>
  <si>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</si>
  <si>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</si>
  <si>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</si>
  <si>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</si>
  <si>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</si>
  <si>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</si>
  <si>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</si>
  <si>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</si>
  <si>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</si>
  <si>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</si>
  <si>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</si>
  <si>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</si>
  <si>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</si>
  <si>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</si>
  <si>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</si>
  <si>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</si>
  <si>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</si>
  <si>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</si>
  <si>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</si>
  <si>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</si>
  <si>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</si>
  <si>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</si>
  <si>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</si>
  <si>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</si>
  <si>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</si>
  <si>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</si>
  <si>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</si>
  <si>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</si>
  <si>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</si>
  <si>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</si>
  <si>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</si>
  <si>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</si>
  <si>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</si>
  <si>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</si>
  <si>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</si>
  <si>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</si>
  <si>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</si>
  <si>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</si>
  <si>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</si>
  <si>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</si>
  <si>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</si>
  <si>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</si>
  <si>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</si>
  <si>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</si>
  <si>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</si>
  <si>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</si>
  <si>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</si>
  <si>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</si>
  <si>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</si>
  <si>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</si>
  <si>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</si>
  <si>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</si>
  <si>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</si>
  <si>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</si>
  <si>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</si>
  <si>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</si>
  <si>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</si>
  <si>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</si>
  <si>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</si>
  <si>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</si>
  <si>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</si>
  <si>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</si>
  <si>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</si>
  <si>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</si>
  <si>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</si>
  <si>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</si>
  <si>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</si>
  <si>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</si>
  <si>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</si>
  <si>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</si>
  <si>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</si>
  <si>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</si>
  <si>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</si>
  <si>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</si>
  <si>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</si>
  <si>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</si>
  <si>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</si>
  <si>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</si>
  <si>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</si>
  <si>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</si>
  <si>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</si>
  <si>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</si>
  <si>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</si>
  <si>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</si>
  <si>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</si>
  <si>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</si>
  <si>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</si>
  <si>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</si>
  <si>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</si>
  <si>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</si>
  <si>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</si>
  <si>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</si>
  <si>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</si>
  <si>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</si>
  <si>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</si>
  <si>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</si>
  <si>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</si>
  <si>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</si>
  <si>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</si>
  <si>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</si>
  <si>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</si>
  <si>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</si>
  <si>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</si>
  <si>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</si>
  <si>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</si>
  <si>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</si>
  <si>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</si>
  <si>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</si>
  <si>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</si>
  <si>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</si>
  <si>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</si>
  <si>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</si>
  <si>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</si>
  <si>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</si>
  <si>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</si>
  <si>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</si>
  <si>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</si>
  <si>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</si>
  <si>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</si>
  <si>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</si>
  <si>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</si>
  <si>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</si>
  <si>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</si>
  <si>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</si>
  <si>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</si>
  <si>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</si>
  <si>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</si>
  <si>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</si>
  <si>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</si>
  <si>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</si>
  <si>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</si>
  <si>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</si>
  <si>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</si>
  <si>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</si>
  <si>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</si>
  <si>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</si>
  <si>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</si>
  <si>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</si>
  <si>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</si>
  <si>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</si>
  <si>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</si>
  <si>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</si>
  <si>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</si>
  <si>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</si>
  <si>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</si>
  <si>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</si>
  <si>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</si>
  <si>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</si>
  <si>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</si>
  <si>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</si>
  <si>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</si>
  <si>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</si>
  <si>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</si>
  <si>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</si>
  <si>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</si>
  <si>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</si>
  <si>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</si>
  <si>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</si>
  <si>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</si>
  <si>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</si>
  <si>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</si>
  <si>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</si>
  <si>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</si>
  <si>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</si>
  <si>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</si>
  <si>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</si>
  <si>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</si>
  <si>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</si>
  <si>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</si>
  <si>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</si>
  <si>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</si>
  <si>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</si>
  <si>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</si>
  <si>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</si>
  <si>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</si>
  <si>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</si>
  <si>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</si>
  <si>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</si>
  <si>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</si>
  <si>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</si>
  <si>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</si>
  <si>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</si>
  <si>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</si>
  <si>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</si>
  <si>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</si>
  <si>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</si>
  <si>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</si>
  <si>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</si>
  <si>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</si>
  <si>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</si>
  <si>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</si>
  <si>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</si>
  <si>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</si>
  <si>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</si>
  <si>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</si>
  <si>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</si>
  <si>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</si>
  <si>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</si>
  <si>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</si>
  <si>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</si>
  <si>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</si>
  <si>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</si>
  <si>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</si>
  <si>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</si>
  <si>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</si>
  <si>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</si>
  <si>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</si>
  <si>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</si>
  <si>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</si>
  <si>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</si>
  <si>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</si>
  <si>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</si>
  <si>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</si>
  <si>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</si>
  <si>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</si>
  <si>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</si>
  <si>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</si>
  <si>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</si>
  <si>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</si>
  <si>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</si>
  <si>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</si>
  <si>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</si>
  <si>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</si>
  <si>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</si>
  <si>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</si>
  <si>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</si>
  <si>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</si>
  <si>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</si>
  <si>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</si>
  <si>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</si>
  <si>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</si>
  <si>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</si>
  <si>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</si>
  <si>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</si>
  <si>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</si>
  <si>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</si>
  <si>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</si>
  <si>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</si>
  <si>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</si>
  <si>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</si>
  <si>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</si>
  <si>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</si>
  <si>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</si>
  <si>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</si>
  <si>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</si>
  <si>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</si>
  <si>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</si>
  <si>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</si>
  <si>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</si>
  <si>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</si>
  <si>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</si>
  <si>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</si>
  <si>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</si>
  <si>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</si>
  <si>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</si>
  <si>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</si>
  <si>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</si>
  <si>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</si>
  <si>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</si>
  <si>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</si>
  <si>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</si>
  <si>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</si>
  <si>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</si>
  <si>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</si>
  <si>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</si>
  <si>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</si>
  <si>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</si>
  <si>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</si>
  <si>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</si>
  <si>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</si>
  <si>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</si>
  <si>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</si>
  <si>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</si>
  <si>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</si>
  <si>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</si>
  <si>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</si>
  <si>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</si>
  <si>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</si>
  <si>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</si>
  <si>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</si>
  <si>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</si>
  <si>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</si>
  <si>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</si>
  <si>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</si>
  <si>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</si>
  <si>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</si>
  <si>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</si>
  <si>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</si>
  <si>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</si>
  <si>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</si>
  <si>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</si>
  <si>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</si>
  <si>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</si>
  <si>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</si>
  <si>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</si>
  <si>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</si>
  <si>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</si>
  <si>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</si>
  <si>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</si>
  <si>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</si>
  <si>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</si>
  <si>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</si>
  <si>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</si>
  <si>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</si>
  <si>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</si>
  <si>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</si>
  <si>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</si>
  <si>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</si>
  <si>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</si>
  <si>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</si>
  <si>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</si>
  <si>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</si>
  <si>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</si>
  <si>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</si>
  <si>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</si>
  <si>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</si>
  <si>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</si>
  <si>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</si>
  <si>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</si>
  <si>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</si>
  <si>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</si>
  <si>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</si>
  <si>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</si>
  <si>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</si>
  <si>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</si>
  <si>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</si>
  <si>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</si>
  <si>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</si>
  <si>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</si>
  <si>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</si>
  <si>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</si>
  <si>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</si>
  <si>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</si>
  <si>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</si>
  <si>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</si>
  <si>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</si>
  <si>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</si>
  <si>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</si>
  <si>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</si>
  <si>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</si>
  <si>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</si>
  <si>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</si>
  <si>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</si>
  <si>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</si>
  <si>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</si>
  <si>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</si>
  <si>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</si>
  <si>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</si>
  <si>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</si>
  <si>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</si>
  <si>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</si>
  <si>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</si>
  <si>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</si>
  <si>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</si>
  <si>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</si>
  <si>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</si>
  <si>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</si>
  <si>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</si>
  <si>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</si>
  <si>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</si>
  <si>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</si>
  <si>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</si>
  <si>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</si>
  <si>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</si>
  <si>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</si>
  <si>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</si>
  <si>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</si>
  <si>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</si>
  <si>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</si>
  <si>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</si>
  <si>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</si>
  <si>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</si>
  <si>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</si>
  <si>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</si>
  <si>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</si>
  <si>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</si>
  <si>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</si>
  <si>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</si>
  <si>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</si>
  <si>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</si>
  <si>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</si>
  <si>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</si>
  <si>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</si>
  <si>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</si>
  <si>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</si>
  <si>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</si>
  <si>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</si>
  <si>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</si>
  <si>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</si>
  <si>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</si>
  <si>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</si>
  <si>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</si>
  <si>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</si>
  <si>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</si>
  <si>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</si>
  <si>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</si>
  <si>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</si>
  <si>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</si>
  <si>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</si>
  <si>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</si>
  <si>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</si>
  <si>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</si>
  <si>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</si>
  <si>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</si>
  <si>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</si>
  <si>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</si>
  <si>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</si>
  <si>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</si>
  <si>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</si>
  <si>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</si>
  <si>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</si>
  <si>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</si>
  <si>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</si>
  <si>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</si>
  <si>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</si>
  <si>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</si>
  <si>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</si>
  <si>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</si>
  <si>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</si>
  <si>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</si>
  <si>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</si>
  <si>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</si>
  <si>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</si>
  <si>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</si>
  <si>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</si>
  <si>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</si>
  <si>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</si>
  <si>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</si>
  <si>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</si>
  <si>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</si>
  <si>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</si>
  <si>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</si>
  <si>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</si>
  <si>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</si>
  <si>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</si>
  <si>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</si>
  <si>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</si>
  <si>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</si>
  <si>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</si>
  <si>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</si>
  <si>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</si>
  <si>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</si>
  <si>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</si>
  <si>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</si>
  <si>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</si>
  <si>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</si>
  <si>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</si>
  <si>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</si>
  <si>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</si>
  <si>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</si>
  <si>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</si>
  <si>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</si>
  <si>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</si>
  <si>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</si>
  <si>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</si>
  <si>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</si>
  <si>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</si>
  <si>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</si>
  <si>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</si>
  <si>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</si>
  <si>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</si>
  <si>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</si>
  <si>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</si>
  <si>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</si>
  <si>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</si>
  <si>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</si>
  <si>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</si>
  <si>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</si>
  <si>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</si>
  <si>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</si>
  <si>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</si>
  <si>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</si>
  <si>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</si>
  <si>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</si>
  <si>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</si>
  <si>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</si>
  <si>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</si>
  <si>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</si>
  <si>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</si>
  <si>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</si>
  <si>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</si>
  <si>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</si>
  <si>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</si>
  <si>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</si>
  <si>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</si>
  <si>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</si>
  <si>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</si>
  <si>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</si>
  <si>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</si>
  <si>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</si>
  <si>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</si>
  <si>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</si>
  <si>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</si>
  <si>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</si>
  <si>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</si>
  <si>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</si>
  <si>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</si>
  <si>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</si>
  <si>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</si>
  <si>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</si>
  <si>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</si>
  <si>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</si>
  <si>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</si>
  <si>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</si>
  <si>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</si>
  <si>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</si>
  <si>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</si>
  <si>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</si>
  <si>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</si>
  <si>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</si>
  <si>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</si>
  <si>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</si>
  <si>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</si>
  <si>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</si>
  <si>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</si>
  <si>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</si>
  <si>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</si>
  <si>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</si>
  <si>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</si>
  <si>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</si>
  <si>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</si>
  <si>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</si>
  <si>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</si>
  <si>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</si>
  <si>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</si>
  <si>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</si>
  <si>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</si>
  <si>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</si>
  <si>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</si>
  <si>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</si>
  <si>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</si>
  <si>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</si>
  <si>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</si>
  <si>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</si>
  <si>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</si>
  <si>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</si>
  <si>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</si>
  <si>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</si>
  <si>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</si>
  <si>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</si>
  <si>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</si>
  <si>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</si>
  <si>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</si>
  <si>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</si>
  <si>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</si>
  <si>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</si>
  <si>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</si>
  <si>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</si>
  <si>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</si>
  <si>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</si>
  <si>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</si>
  <si>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</si>
  <si>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</si>
  <si>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</si>
  <si>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</si>
  <si>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</si>
  <si>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</si>
  <si>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</si>
  <si>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</si>
  <si>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</si>
  <si>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</si>
  <si>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</si>
  <si>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</si>
  <si>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</si>
  <si>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</si>
  <si>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</si>
  <si>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</si>
  <si>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</si>
  <si>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</si>
  <si>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</si>
  <si>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</si>
  <si>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</si>
  <si>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</si>
  <si>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</si>
  <si>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</si>
  <si>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</si>
  <si>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</si>
  <si>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</si>
  <si>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</si>
  <si>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</si>
  <si>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</si>
  <si>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</si>
  <si>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</si>
  <si>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</si>
  <si>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</si>
  <si>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</si>
  <si>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</si>
  <si>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</si>
  <si>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</si>
  <si>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</si>
  <si>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</si>
  <si>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</si>
  <si>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</si>
  <si>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</si>
  <si>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</si>
  <si>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</si>
  <si>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</si>
  <si>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</si>
  <si>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</si>
  <si>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</si>
  <si>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</si>
  <si>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</si>
  <si>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</si>
  <si>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</si>
  <si>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Incremento en ventas </t>
  </si>
  <si>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</si>
  <si>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</si>
  <si>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</si>
  <si>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</si>
  <si>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</si>
  <si>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</si>
  <si>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</si>
  <si>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</si>
  <si>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</si>
  <si>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</si>
  <si>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</si>
  <si>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</si>
  <si>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</si>
  <si>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</si>
  <si>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</si>
  <si>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</si>
  <si>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</si>
  <si>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EMPRENDIMIENTOS </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</si>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</sst>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4"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20"/>
      <color theme="1"/>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75">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67" fontId="30" fillId="28" borderId="14" xfId="0" applyNumberFormat="1" applyFont="1" applyFill="1" applyBorder="1" applyProtection="1">
      <protection hidden="1"/>
    </xf>
    <xf numFmtId="0" fontId="30" fillId="28" borderId="3" xfId="0" applyFont="1" applyFill="1" applyBorder="1" applyProtection="1">
      <protection hidden="1"/>
    </xf>
    <xf numFmtId="0" fontId="30" fillId="28" borderId="15" xfId="0" applyFont="1" applyFill="1" applyBorder="1" applyProtection="1">
      <protection hidden="1"/>
    </xf>
    <xf numFmtId="10" fontId="30" fillId="28" borderId="3" xfId="0" applyNumberFormat="1" applyFont="1" applyFill="1" applyBorder="1" applyProtection="1">
      <protection hidden="1"/>
    </xf>
    <xf numFmtId="10" fontId="30" fillId="28" borderId="11" xfId="0" applyNumberFormat="1" applyFont="1" applyFill="1" applyBorder="1" applyProtection="1">
      <protection hidden="1"/>
    </xf>
    <xf numFmtId="10" fontId="30" fillId="28" borderId="15" xfId="0" applyNumberFormat="1" applyFont="1" applyFill="1" applyBorder="1" applyProtection="1">
      <protection hidden="1"/>
    </xf>
    <xf numFmtId="0" fontId="30" fillId="28" borderId="13" xfId="0" applyFont="1" applyFill="1" applyBorder="1" applyProtection="1">
      <protection hidden="1"/>
    </xf>
    <xf numFmtId="9" fontId="30" fillId="28" borderId="29" xfId="0"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1" borderId="3" xfId="0" applyFont="1" applyFill="1" applyBorder="1" applyAlignment="1" applyProtection="1">
      <alignment horizontal="center"/>
      <protection locked="0"/>
    </xf>
    <xf numFmtId="9" fontId="12" fillId="21" borderId="3" xfId="0" applyNumberFormat="1" applyFont="1" applyFill="1" applyBorder="1" applyAlignment="1" applyProtection="1">
      <alignment horizontal="center"/>
      <protection locked="0"/>
    </xf>
    <xf numFmtId="0" fontId="62" fillId="0" borderId="0" xfId="6" applyProtection="1">
      <protection locked="0"/>
    </xf>
    <xf numFmtId="9" fontId="12" fillId="0" borderId="3" xfId="0" applyNumberFormat="1" applyFont="1" applyBorder="1" applyAlignment="1" applyProtection="1">
      <alignment horizontal="center"/>
      <protection hidden="1"/>
    </xf>
    <xf numFmtId="0" fontId="13" fillId="23" borderId="3" xfId="6"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vertical="center"/>
      <protection hidden="1"/>
    </xf>
    <xf numFmtId="0" fontId="30" fillId="26" borderId="10" xfId="0" applyFont="1" applyFill="1" applyBorder="1" applyProtection="1">
      <protection hidden="1"/>
    </xf>
    <xf numFmtId="0" fontId="30" fillId="19" borderId="10" xfId="0" applyFont="1" applyFill="1" applyBorder="1" applyProtection="1">
      <protection hidden="1"/>
    </xf>
    <xf numFmtId="6" fontId="11" fillId="19" borderId="3" xfId="0" applyNumberFormat="1" applyFont="1" applyFill="1" applyBorder="1" applyAlignment="1" applyProtection="1">
      <alignment horizontal="center"/>
      <protection hidden="1"/>
    </xf>
    <xf numFmtId="0" fontId="34" fillId="10" borderId="10" xfId="0" applyFont="1" applyFill="1" applyBorder="1" applyProtection="1">
      <protection hidden="1"/>
    </xf>
    <xf numFmtId="0" fontId="28" fillId="26" borderId="10" xfId="0" applyFont="1" applyFill="1" applyBorder="1" applyProtection="1">
      <protection hidden="1"/>
    </xf>
    <xf numFmtId="0" fontId="34" fillId="10" borderId="10" xfId="0" applyFont="1" applyFill="1" applyBorder="1" applyAlignment="1" applyProtection="1">
      <alignment horizontal="left" indent="1"/>
      <protection hidden="1"/>
    </xf>
    <xf numFmtId="0" fontId="38" fillId="10" borderId="10" xfId="0" applyFont="1" applyFill="1" applyBorder="1" applyProtection="1">
      <protection hidden="1"/>
    </xf>
    <xf numFmtId="0" fontId="30" fillId="19" borderId="12" xfId="0" applyFont="1" applyFill="1" applyBorder="1" applyAlignment="1" applyProtection="1">
      <alignment horizontal="center"/>
      <protection hidden="1"/>
    </xf>
    <xf numFmtId="0" fontId="13" fillId="23" borderId="3" xfId="0"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horizontal="right" vertical="center"/>
      <protection hidden="1"/>
    </xf>
    <xf numFmtId="0" fontId="30" fillId="26" borderId="10" xfId="0" applyFont="1" applyFill="1" applyBorder="1" applyAlignment="1" applyProtection="1">
      <alignment horizontal="left" indent="1"/>
      <protection hidden="1"/>
    </xf>
    <xf numFmtId="0" fontId="12" fillId="26" borderId="3" xfId="0" applyFont="1" applyFill="1" applyBorder="1" applyProtection="1">
      <protection hidden="1"/>
    </xf>
    <xf numFmtId="0" fontId="30" fillId="18" borderId="12" xfId="0" applyFont="1" applyFill="1" applyBorder="1" applyProtection="1">
      <protection hidden="1"/>
    </xf>
    <xf numFmtId="6" fontId="12" fillId="18" borderId="3" xfId="0" applyNumberFormat="1" applyFont="1" applyFill="1" applyBorder="1" applyAlignment="1" applyProtection="1">
      <alignment horizontal="center"/>
      <protection hidden="1"/>
    </xf>
    <xf numFmtId="0" fontId="20" fillId="23" borderId="3" xfId="0" applyFont="1" applyFill="1" applyBorder="1" applyAlignment="1" applyProtection="1">
      <alignment horizontal="center"/>
      <protection hidden="1"/>
    </xf>
    <xf numFmtId="12" fontId="20" fillId="25" borderId="6" xfId="0" applyNumberFormat="1" applyFont="1" applyFill="1" applyBorder="1" applyAlignment="1" applyProtection="1">
      <alignment horizontal="right"/>
      <protection hidden="1"/>
    </xf>
    <xf numFmtId="12" fontId="20" fillId="25" borderId="3" xfId="0" applyNumberFormat="1" applyFont="1" applyFill="1" applyBorder="1" applyAlignment="1" applyProtection="1">
      <alignment horizontal="right"/>
      <protection hidden="1"/>
    </xf>
    <xf numFmtId="0" fontId="28" fillId="26" borderId="58" xfId="0" applyFont="1" applyFill="1" applyBorder="1" applyAlignment="1" applyProtection="1">
      <alignment horizontal="left" indent="1"/>
      <protection hidden="1"/>
    </xf>
    <xf numFmtId="0" fontId="28" fillId="16" borderId="58" xfId="0" applyFont="1" applyFill="1" applyBorder="1" applyProtection="1">
      <protection hidden="1"/>
    </xf>
    <xf numFmtId="6" fontId="12" fillId="16" borderId="3" xfId="0" applyNumberFormat="1" applyFont="1" applyFill="1" applyBorder="1" applyAlignment="1" applyProtection="1">
      <alignment horizontal="center"/>
      <protection hidden="1"/>
    </xf>
    <xf numFmtId="0" fontId="28" fillId="18" borderId="12" xfId="0" applyFont="1" applyFill="1" applyBorder="1" applyProtection="1">
      <protection hidden="1"/>
    </xf>
    <xf numFmtId="6" fontId="12" fillId="18" borderId="59" xfId="0" applyNumberFormat="1" applyFont="1" applyFill="1" applyBorder="1" applyAlignment="1" applyProtection="1">
      <alignment horizontal="center"/>
      <protection hidden="1"/>
    </xf>
    <xf numFmtId="0" fontId="28" fillId="26" borderId="3" xfId="0" applyFont="1" applyFill="1" applyBorder="1" applyAlignment="1" applyProtection="1">
      <alignment horizontal="left"/>
      <protection hidden="1"/>
    </xf>
    <xf numFmtId="0" fontId="30" fillId="26" borderId="3" xfId="0" applyFont="1" applyFill="1" applyBorder="1" applyAlignment="1" applyProtection="1">
      <alignment horizontal="left"/>
      <protection hidden="1"/>
    </xf>
    <xf numFmtId="0" fontId="41" fillId="19" borderId="3" xfId="0" applyFont="1" applyFill="1" applyBorder="1" applyAlignment="1" applyProtection="1">
      <alignment horizontal="left"/>
      <protection hidden="1"/>
    </xf>
    <xf numFmtId="6" fontId="22" fillId="19" borderId="3" xfId="0" applyNumberFormat="1" applyFont="1" applyFill="1" applyBorder="1" applyAlignment="1" applyProtection="1">
      <alignment horizontal="center"/>
      <protection hidden="1"/>
    </xf>
    <xf numFmtId="0" fontId="13" fillId="23" borderId="6" xfId="0" applyFont="1" applyFill="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12" fontId="20" fillId="25" borderId="6" xfId="0" applyNumberFormat="1" applyFont="1" applyFill="1" applyBorder="1" applyAlignment="1" applyProtection="1">
      <alignment horizontal="right" vertical="center"/>
      <protection hidden="1"/>
    </xf>
    <xf numFmtId="0" fontId="28" fillId="26" borderId="3" xfId="0" applyFont="1" applyFill="1" applyBorder="1" applyAlignment="1" applyProtection="1">
      <alignment horizontal="left" indent="1"/>
      <protection hidden="1"/>
    </xf>
    <xf numFmtId="6" fontId="12" fillId="26" borderId="3" xfId="0" applyNumberFormat="1" applyFont="1" applyFill="1" applyBorder="1" applyProtection="1">
      <protection hidden="1"/>
    </xf>
    <xf numFmtId="0" fontId="12" fillId="19" borderId="3" xfId="0" applyFont="1" applyFill="1" applyBorder="1" applyProtection="1">
      <protection hidden="1"/>
    </xf>
    <xf numFmtId="6" fontId="12" fillId="19" borderId="3" xfId="0" applyNumberFormat="1" applyFont="1" applyFill="1" applyBorder="1" applyAlignment="1" applyProtection="1">
      <alignment horizontal="center"/>
      <protection hidden="1"/>
    </xf>
    <xf numFmtId="0" fontId="12" fillId="16" borderId="29" xfId="0" applyFont="1" applyFill="1" applyBorder="1" applyAlignment="1" applyProtection="1">
      <alignment horizontal="center"/>
      <protection hidden="1"/>
    </xf>
    <xf numFmtId="8" fontId="12" fillId="16" borderId="29" xfId="0" applyNumberFormat="1" applyFont="1" applyFill="1" applyBorder="1" applyAlignment="1" applyProtection="1">
      <alignment horizontal="center"/>
      <protection hidden="1"/>
    </xf>
    <xf numFmtId="0" fontId="12" fillId="26" borderId="0" xfId="0" applyNumberFormat="1" applyFont="1" applyFill="1" applyAlignment="1" applyProtection="1">
      <alignment horizontal="center" vertical="center"/>
      <protection hidden="1"/>
    </xf>
    <xf numFmtId="0" fontId="28" fillId="7" borderId="29" xfId="0" applyFont="1" applyFill="1" applyBorder="1" applyAlignment="1" applyProtection="1">
      <alignment horizontal="center"/>
      <protection locked="0"/>
    </xf>
    <xf numFmtId="0" fontId="28" fillId="0" borderId="3" xfId="0" applyFont="1" applyBorder="1" applyProtection="1">
      <protection locked="0"/>
    </xf>
    <xf numFmtId="0" fontId="28" fillId="32" borderId="3" xfId="0" applyFont="1" applyFill="1" applyBorder="1" applyProtection="1">
      <protection locked="0"/>
    </xf>
    <xf numFmtId="9" fontId="28" fillId="32" borderId="3" xfId="0" applyNumberFormat="1" applyFont="1" applyFill="1" applyBorder="1" applyAlignment="1" applyProtection="1">
      <alignment horizontal="center"/>
      <protection locked="0"/>
    </xf>
    <xf numFmtId="0" fontId="28" fillId="26" borderId="3" xfId="0" applyFont="1" applyFill="1" applyBorder="1" applyProtection="1">
      <protection locked="0"/>
    </xf>
    <xf numFmtId="6" fontId="28" fillId="26"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left"/>
      <protection locked="0"/>
    </xf>
    <xf numFmtId="0" fontId="20" fillId="5" borderId="3" xfId="0" applyFont="1" applyFill="1" applyBorder="1" applyAlignment="1" applyProtection="1">
      <alignment horizontal="center"/>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23" xfId="0" applyFont="1" applyFill="1" applyBorder="1" applyAlignment="1" applyProtection="1">
      <alignment horizontal="center"/>
      <protection hidden="1"/>
    </xf>
    <xf numFmtId="0" fontId="16" fillId="9" borderId="48"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53" fillId="9" borderId="23"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vertical="center" wrapText="1"/>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25" fillId="0" borderId="3" xfId="0" applyFont="1" applyBorder="1" applyAlignment="1" applyProtection="1">
      <alignment horizontal="center"/>
      <protection hidden="1"/>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12" fillId="26" borderId="3" xfId="0" applyFont="1" applyFill="1" applyBorder="1" applyAlignment="1" applyProtection="1">
      <alignment horizontal="center" vertical="center"/>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12" fillId="26" borderId="3" xfId="0" applyFont="1" applyFill="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30" fillId="0" borderId="10" xfId="0" applyFont="1" applyBorder="1" applyAlignment="1">
      <alignment horizontal="left" indent="1"/>
    </xf>
    <xf numFmtId="0" fontId="30" fillId="0" borderId="3" xfId="0" applyFont="1" applyBorder="1" applyAlignment="1">
      <alignment horizontal="left" inden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30" fillId="0" borderId="8" xfId="0" applyFont="1" applyBorder="1" applyAlignment="1">
      <alignment horizontal="center"/>
    </xf>
    <xf numFmtId="0" fontId="30" fillId="0" borderId="14" xfId="0" applyFont="1" applyBorder="1" applyAlignment="1">
      <alignment horizontal="center"/>
    </xf>
    <xf numFmtId="0" fontId="11" fillId="17" borderId="3" xfId="0" applyFont="1" applyFill="1" applyBorder="1" applyAlignment="1" applyProtection="1">
      <alignment horizontal="center" vertical="center"/>
      <protection locked="0"/>
    </xf>
    <xf numFmtId="0" fontId="63" fillId="0" borderId="16" xfId="0" applyFont="1" applyBorder="1" applyAlignment="1" applyProtection="1">
      <alignment horizontal="center"/>
      <protection locked="0"/>
    </xf>
    <xf numFmtId="0" fontId="63" fillId="0" borderId="17" xfId="0" applyFont="1" applyBorder="1" applyAlignment="1" applyProtection="1">
      <alignment horizontal="center"/>
      <protection locked="0"/>
    </xf>
    <xf numFmtId="0" fontId="63" fillId="0" borderId="18" xfId="0" applyFont="1" applyBorder="1" applyAlignment="1" applyProtection="1">
      <alignment horizontal="center"/>
      <protection locked="0"/>
    </xf>
    <xf numFmtId="0" fontId="28" fillId="33" borderId="16" xfId="0" applyFont="1" applyFill="1" applyBorder="1" applyAlignment="1" applyProtection="1">
      <alignment horizontal="center"/>
      <protection locked="0"/>
    </xf>
    <xf numFmtId="0" fontId="28" fillId="33" borderId="17" xfId="0" applyFont="1" applyFill="1" applyBorder="1" applyAlignment="1" applyProtection="1">
      <alignment horizontal="center"/>
      <protection locked="0"/>
    </xf>
    <xf numFmtId="0" fontId="28" fillId="33" borderId="18" xfId="0" applyFont="1" applyFill="1" applyBorder="1" applyAlignment="1" applyProtection="1">
      <alignment horizontal="center"/>
      <protection locked="0"/>
    </xf>
    <xf numFmtId="0" fontId="28" fillId="17" borderId="6" xfId="0" applyFont="1" applyFill="1" applyBorder="1" applyAlignment="1" applyProtection="1">
      <alignment horizontal="center"/>
      <protection locked="0"/>
    </xf>
    <xf numFmtId="6" fontId="34" fillId="18" borderId="3" xfId="0" applyNumberFormat="1" applyFont="1" applyFill="1" applyBorder="1" applyAlignment="1" applyProtection="1">
      <alignment horizontal="center" wrapText="1"/>
      <protection hidden="1"/>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10</xdr:row>
          <xdr:rowOff>114300</xdr:rowOff>
        </xdr:from>
        <xdr:to>
          <xdr:col>17</xdr:col>
          <xdr:colOff>352425</xdr:colOff>
          <xdr:row>60</xdr:row>
          <xdr:rowOff>57150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490533</xdr:colOff>
      <xdr:row>0</xdr:row>
      <xdr:rowOff>190499</xdr:rowOff>
    </xdr:from>
    <xdr:to>
      <xdr:col>11</xdr:col>
      <xdr:colOff>1214437</xdr:colOff>
      <xdr:row>9</xdr:row>
      <xdr:rowOff>95249</xdr:rowOff>
    </xdr:to>
    <xdr:sp macro="" textlink="">
      <xdr:nvSpPr>
        <xdr:cNvPr id="2" name="CuadroTexto 1">
          <a:extLst>
            <a:ext uri="{FF2B5EF4-FFF2-40B4-BE49-F238E27FC236}">
              <a16:creationId xmlns:a16="http://schemas.microsoft.com/office/drawing/2014/main" id="{00000000-0008-0000-0E00-000002000000}"/>
            </a:ext>
          </a:extLst>
        </xdr:cNvPr>
        <xdr:cNvSpPr txBox="1"/>
      </xdr:nvSpPr>
      <xdr:spPr>
        <a:xfrm>
          <a:off x="8896346" y="190499"/>
          <a:ext cx="4700591" cy="2131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 celda</a:t>
          </a:r>
          <a:r>
            <a:rPr lang="es-CO" sz="2400" b="1" baseline="0"/>
            <a:t> </a:t>
          </a:r>
          <a:r>
            <a:rPr lang="es-CO" sz="2400" b="1"/>
            <a:t>naranja</a:t>
          </a:r>
          <a:r>
            <a:rPr lang="es-CO" sz="2400" b="1" baseline="0"/>
            <a:t> es </a:t>
          </a:r>
          <a:r>
            <a:rPr lang="es-CO" sz="2400" b="1"/>
            <a:t>modificable en esta</a:t>
          </a:r>
          <a:r>
            <a:rPr lang="es-CO" sz="2400" b="1" baseline="0"/>
            <a:t> página. Una vez se modifique este dato, nos trasladamos a la hoja 'ANÁLISIS DE SENSIBILIDAD'</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1228725</xdr:colOff>
          <xdr:row>0</xdr:row>
          <xdr:rowOff>200025</xdr:rowOff>
        </xdr:from>
        <xdr:to>
          <xdr:col>1</xdr:col>
          <xdr:colOff>2638425</xdr:colOff>
          <xdr:row>2</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295275</xdr:colOff>
      <xdr:row>8</xdr:row>
      <xdr:rowOff>57150</xdr:rowOff>
    </xdr:from>
    <xdr:to>
      <xdr:col>6</xdr:col>
      <xdr:colOff>104775</xdr:colOff>
      <xdr:row>16</xdr:row>
      <xdr:rowOff>114300</xdr:rowOff>
    </xdr:to>
    <xdr:sp macro="" textlink="">
      <xdr:nvSpPr>
        <xdr:cNvPr id="2" name="CuadroTexto 1">
          <a:extLst>
            <a:ext uri="{FF2B5EF4-FFF2-40B4-BE49-F238E27FC236}">
              <a16:creationId xmlns:a16="http://schemas.microsoft.com/office/drawing/2014/main" id="{00000000-0008-0000-0F00-000002000000}"/>
            </a:ext>
          </a:extLst>
        </xdr:cNvPr>
        <xdr:cNvSpPr txBox="1"/>
      </xdr:nvSpPr>
      <xdr:spPr>
        <a:xfrm>
          <a:off x="295275" y="19526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I10 hasta T17.</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12</xdr:row>
      <xdr:rowOff>76200</xdr:rowOff>
    </xdr:from>
    <xdr:to>
      <xdr:col>6</xdr:col>
      <xdr:colOff>647700</xdr:colOff>
      <xdr:row>12</xdr:row>
      <xdr:rowOff>76200</xdr:rowOff>
    </xdr:to>
    <xdr:cxnSp macro="">
      <xdr:nvCxnSpPr>
        <xdr:cNvPr id="4" name="Conector recto de flecha 3">
          <a:extLst>
            <a:ext uri="{FF2B5EF4-FFF2-40B4-BE49-F238E27FC236}">
              <a16:creationId xmlns:a16="http://schemas.microsoft.com/office/drawing/2014/main" id="{00000000-0008-0000-0F00-000004000000}"/>
            </a:ext>
          </a:extLst>
        </xdr:cNvPr>
        <xdr:cNvCxnSpPr/>
      </xdr:nvCxnSpPr>
      <xdr:spPr>
        <a:xfrm>
          <a:off x="4781550" y="2733675"/>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21</xdr:row>
      <xdr:rowOff>57150</xdr:rowOff>
    </xdr:from>
    <xdr:to>
      <xdr:col>6</xdr:col>
      <xdr:colOff>95250</xdr:colOff>
      <xdr:row>29</xdr:row>
      <xdr:rowOff>114300</xdr:rowOff>
    </xdr:to>
    <xdr:sp macro="" textlink="">
      <xdr:nvSpPr>
        <xdr:cNvPr id="5" name="CuadroTexto 4">
          <a:extLst>
            <a:ext uri="{FF2B5EF4-FFF2-40B4-BE49-F238E27FC236}">
              <a16:creationId xmlns:a16="http://schemas.microsoft.com/office/drawing/2014/main" id="{00000000-0008-0000-0F00-000005000000}"/>
            </a:ext>
          </a:extLst>
        </xdr:cNvPr>
        <xdr:cNvSpPr txBox="1"/>
      </xdr:nvSpPr>
      <xdr:spPr>
        <a:xfrm>
          <a:off x="285750" y="46291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I23 hasta T30.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25</xdr:row>
      <xdr:rowOff>114300</xdr:rowOff>
    </xdr:from>
    <xdr:to>
      <xdr:col>6</xdr:col>
      <xdr:colOff>628650</xdr:colOff>
      <xdr:row>25</xdr:row>
      <xdr:rowOff>114300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4762500" y="5448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34</xdr:row>
      <xdr:rowOff>66675</xdr:rowOff>
    </xdr:from>
    <xdr:to>
      <xdr:col>6</xdr:col>
      <xdr:colOff>95250</xdr:colOff>
      <xdr:row>42</xdr:row>
      <xdr:rowOff>123825</xdr:rowOff>
    </xdr:to>
    <xdr:sp macro="" textlink="">
      <xdr:nvSpPr>
        <xdr:cNvPr id="7" name="CuadroTexto 6">
          <a:extLst>
            <a:ext uri="{FF2B5EF4-FFF2-40B4-BE49-F238E27FC236}">
              <a16:creationId xmlns:a16="http://schemas.microsoft.com/office/drawing/2014/main" id="{00000000-0008-0000-0F00-000007000000}"/>
            </a:ext>
          </a:extLst>
        </xdr:cNvPr>
        <xdr:cNvSpPr txBox="1"/>
      </xdr:nvSpPr>
      <xdr:spPr>
        <a:xfrm>
          <a:off x="285750" y="7324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I36 hasta T43.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38</xdr:row>
      <xdr:rowOff>95250</xdr:rowOff>
    </xdr:from>
    <xdr:to>
      <xdr:col>6</xdr:col>
      <xdr:colOff>628650</xdr:colOff>
      <xdr:row>38</xdr:row>
      <xdr:rowOff>95250</xdr:rowOff>
    </xdr:to>
    <xdr:cxnSp macro="">
      <xdr:nvCxnSpPr>
        <xdr:cNvPr id="8" name="Conector recto de flecha 7">
          <a:extLst>
            <a:ext uri="{FF2B5EF4-FFF2-40B4-BE49-F238E27FC236}">
              <a16:creationId xmlns:a16="http://schemas.microsoft.com/office/drawing/2014/main" id="{00000000-0008-0000-0F00-000008000000}"/>
            </a:ext>
          </a:extLst>
        </xdr:cNvPr>
        <xdr:cNvCxnSpPr/>
      </xdr:nvCxnSpPr>
      <xdr:spPr>
        <a:xfrm>
          <a:off x="4762500" y="8115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295275</xdr:colOff>
      <xdr:row>47</xdr:row>
      <xdr:rowOff>57150</xdr:rowOff>
    </xdr:from>
    <xdr:to>
      <xdr:col>6</xdr:col>
      <xdr:colOff>104775</xdr:colOff>
      <xdr:row>55</xdr:row>
      <xdr:rowOff>114300</xdr:rowOff>
    </xdr:to>
    <xdr:sp macro="" textlink="">
      <xdr:nvSpPr>
        <xdr:cNvPr id="9" name="CuadroTexto 8">
          <a:extLst>
            <a:ext uri="{FF2B5EF4-FFF2-40B4-BE49-F238E27FC236}">
              <a16:creationId xmlns:a16="http://schemas.microsoft.com/office/drawing/2014/main" id="{00000000-0008-0000-0F00-000009000000}"/>
            </a:ext>
          </a:extLst>
        </xdr:cNvPr>
        <xdr:cNvSpPr txBox="1"/>
      </xdr:nvSpPr>
      <xdr:spPr>
        <a:xfrm>
          <a:off x="295275" y="9991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I49 hasta T56.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219075</xdr:colOff>
      <xdr:row>51</xdr:row>
      <xdr:rowOff>104775</xdr:rowOff>
    </xdr:from>
    <xdr:to>
      <xdr:col>6</xdr:col>
      <xdr:colOff>657225</xdr:colOff>
      <xdr:row>51</xdr:row>
      <xdr:rowOff>104775</xdr:rowOff>
    </xdr:to>
    <xdr:cxnSp macro="">
      <xdr:nvCxnSpPr>
        <xdr:cNvPr id="10" name="Conector recto de flecha 9">
          <a:extLst>
            <a:ext uri="{FF2B5EF4-FFF2-40B4-BE49-F238E27FC236}">
              <a16:creationId xmlns:a16="http://schemas.microsoft.com/office/drawing/2014/main" id="{00000000-0008-0000-0F00-00000A000000}"/>
            </a:ext>
          </a:extLst>
        </xdr:cNvPr>
        <xdr:cNvCxnSpPr/>
      </xdr:nvCxnSpPr>
      <xdr:spPr>
        <a:xfrm>
          <a:off x="4791075" y="1080135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314325</xdr:colOff>
      <xdr:row>60</xdr:row>
      <xdr:rowOff>57150</xdr:rowOff>
    </xdr:from>
    <xdr:to>
      <xdr:col>6</xdr:col>
      <xdr:colOff>123825</xdr:colOff>
      <xdr:row>68</xdr:row>
      <xdr:rowOff>114300</xdr:rowOff>
    </xdr:to>
    <xdr:sp macro="" textlink="">
      <xdr:nvSpPr>
        <xdr:cNvPr id="11" name="CuadroTexto 10">
          <a:extLst>
            <a:ext uri="{FF2B5EF4-FFF2-40B4-BE49-F238E27FC236}">
              <a16:creationId xmlns:a16="http://schemas.microsoft.com/office/drawing/2014/main" id="{00000000-0008-0000-0F00-00000B000000}"/>
            </a:ext>
          </a:extLst>
        </xdr:cNvPr>
        <xdr:cNvSpPr txBox="1"/>
      </xdr:nvSpPr>
      <xdr:spPr>
        <a:xfrm>
          <a:off x="314325" y="126682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I62 hasta T69.</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333375</xdr:colOff>
          <xdr:row>2</xdr:row>
          <xdr:rowOff>114300</xdr:rowOff>
        </xdr:from>
        <xdr:to>
          <xdr:col>4</xdr:col>
          <xdr:colOff>247650</xdr:colOff>
          <xdr:row>5</xdr:row>
          <xdr:rowOff>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F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1" dataDxfId="510">
  <autoFilter ref="C89:D91"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7" dataDxfId="506">
  <autoFilter ref="B127:C137"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3" dataDxfId="502">
  <autoFilter ref="C144:D146"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499" dataDxfId="498">
  <autoFilter ref="C106:HB108"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]],Tabla3[],2,0)</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1]]*F90</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$C$73*(1+BASES!$E$10)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(1)]]*$C$73*VLOOKUP(Tabla16[[#This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2]]*G90</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$C$74*(1+BASES!$E$10)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]]*$C$74*VLOOKUP(Tabla16[[#This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3]]*H90</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$C$75*(1+BASES!$E$10)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]]*$C$75*VLOOKUP(Tabla16[[#This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4]]*I90</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$C$76*(1+BASES!$E$10)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(4)]]*$C$76*VLOOKUP(Tabla16[[#This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5]]*J90</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$C$77*(1+BASES!$E$10)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]]*$C$77*VLOOKUP(Tabla16[[#This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6]]*K90</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$C$78*(1+BASES!$E$10)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]]*$C$78*VLOOKUP(Tabla16[[#This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7]]*L90</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$C$79*(1+BASES!$E$10)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]]*$C$79*VLOOKUP(Tabla16[[#This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8]]*M90</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$C$80*(1+BASES!$E$10)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]]*$C$80*VLOOKUP(Tabla16[[#This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9]]*N90</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$C$81*(1+BASES!$E$10)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]]*$C$81*VLOOKUP(Tabla16[[#This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10]]*O90</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$C$82*(1+BASES!$E$10)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]]*C82*VLOOKUP(Tabla16[[#This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89" dataDxfId="288">
  <autoFilter ref="C163:HB165"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]],Tabla3[],2,0)</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1 ]]*$F$145</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$C$128*(1+BASES!$E$10)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(1)]]*$C$128*VLOOKUP(Tabla12[[#This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2]]*G145</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$C$129*(1+BASES!$E$10)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(2)]]*$C$129*VLOOKUP(Tabla12[[#This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3]]*H145</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$C$130*(1+BASES!$E$10)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(3)]]*$C$130*VLOOKUP(Tabla12[[#This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4]]*I145</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$C$131*(1+BASES!$E$10)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(4)]]*$C$131*VLOOKUP(Tabla12[[#This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5]]*J145</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$C$132*(1+BASES!$E$10)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(5)]]*$C$132*VLOOKUP(Tabla12[[#This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6]]*K145</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$C$133*(1+BASES!$E$10)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(6)]]*$C$133*VLOOKUP(Tabla12[[#This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7]]*L145</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$C$134*(1+BASES!$E$10)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(7)]]*$C$134*VLOOKUP(Tabla12[[#This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8]]*M145</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$C$135*(1+BASES!$E$10)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(8)]]*$C$135*VLOOKUP(Tabla12[[#This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9 ]]*N145</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$C$136*(1+BASES!$E$10)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(9)]]*$C$136*VLOOKUP(Tabla12[[#This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10 ]]*O145</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$C$137*(1+BASES!$E$10)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(10)]]*$C$137*VLOOKUP(Tabla12[[#This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79" dataDxfId="78">
  <autoFilter ref="C191:Y193"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]],Tabla3[],2,0)</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IF(PRODUCTO_O_SERVICIO!D20=0,0,COSTOS_DE_PRODUCCION!GX107/PRODUCTO_O_SERVICIO!D20)</calculatedColumnFormula>
    </tableColumn>
    <tableColumn id="10" xr3:uid="{45CE1FE9-4F4D-4E3E-B269-DFA6B596A378}" name="AÑO 2 2" dataDxfId="68">
      <calculatedColumnFormula>IF(PRODUCTO_O_SERVICIO!G20=0,0,COSTOS_DE_PRODUCCION!GY107/PRODUCTO_O_SERVICIO!G20)</calculatedColumnFormula>
    </tableColumn>
    <tableColumn id="11" xr3:uid="{D7C76F0B-F43E-44FD-8DDA-96E4310E7410}" name="AÑO 3 2" dataDxfId="67">
      <calculatedColumnFormula>IF(PRODUCTO_O_SERVICIO!K20=0,0,COSTOS_DE_PRODUCCION!GZ107/PRODUCTO_O_SERVICIO!K20)</calculatedColumnFormula>
    </tableColumn>
    <tableColumn id="12" xr3:uid="{CCF1515F-2DE1-4C1B-A0F6-819772D5E28D}" name="AÑO 4 2" dataDxfId="66">
      <calculatedColumnFormula>IF(PRODUCTO_O_SERVICIO!O20=0,0,COSTOS_DE_PRODUCCION!HA107/PRODUCTO_O_SERVICIO!O20)</calculatedColumnFormula>
    </tableColumn>
    <tableColumn id="13" xr3:uid="{47D9F6F0-B17E-4F09-A79C-34A019FB96A4}" name="AÑO 5 2" dataDxfId="65">
      <calculatedColumnFormula>IF(PRODUCTO_O_SERVICIO!S20=0,0,COSTOS_DE_PRODUCCION!HB107/PRODUCTO_O_SERVICIO!S20)</calculatedColumnFormula>
    </tableColumn>
    <tableColumn id="14" xr3:uid="{C066EDE4-3C68-4CDD-972F-C9B4252CA429}" name="AÑO 1 3" dataDxfId="64">
      <calculatedColumnFormula>IF(PRODUCTO_O_SERVICIO!D20=0,0,COSTOS_DE_PRODUCCION!GX164/PRODUCTO_O_SERVICIO!D20)</calculatedColumnFormula>
    </tableColumn>
    <tableColumn id="15" xr3:uid="{C2455697-185B-4D02-A25A-EA9AD41BB78D}" name="AÑO 2 3" dataDxfId="63">
      <calculatedColumnFormula>IF(PRODUCTO_O_SERVICIO!G20=0,0,COSTOS_DE_PRODUCCION!GY164/PRODUCTO_O_SERVICIO!G20)</calculatedColumnFormula>
    </tableColumn>
    <tableColumn id="16" xr3:uid="{3296F73A-383A-4903-8519-D5F279E72FEC}" name="AÑO 3 3" dataDxfId="62">
      <calculatedColumnFormula>IF(PRODUCTO_O_SERVICIO!K20=0,0,COSTOS_DE_PRODUCCION!GZ164/PRODUCTO_O_SERVICIO!K20)</calculatedColumnFormula>
    </tableColumn>
    <tableColumn id="17" xr3:uid="{5CDBC2C6-4E1B-4DB8-890A-5A7A71CCBC53}" name="AÑO 4 3 " dataDxfId="61">
      <calculatedColumnFormula>IF(PRODUCTO_O_SERVICIO!O20=0,0,COSTOS_DE_PRODUCCION!HA164/PRODUCTO_O_SERVICIO!O20)</calculatedColumnFormula>
    </tableColumn>
    <tableColumn id="18" xr3:uid="{B36C44BE-EEEF-4779-A17E-BCDD15941819}" name="AÑO 5 3" dataDxfId="60">
      <calculatedColumnFormula>IF(PRODUCTO_O_SERVICIO!S20=0,0,COSTOS_DE_PRODUCCION!HB164/PRODUCTO_O_SERVICIO!S20)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54" dataDxfId="53">
  <autoFilter ref="D8:O10"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Precio de venta año 1 " dataDxfId="50">
      <calculatedColumnFormula>VLOOKUP(Tabla2[[#This Row],[CÓDIGO ]],Tabla3[],4,FALSE)</calculatedColumnFormula>
    </tableColumn>
    <tableColumn id="4" xr3:uid="{50A8B792-F0BA-4A00-9F05-A5F5C83493E3}" name="Ingresos totales año 1" dataDxfId="49">
      <calculatedColumnFormula>Tabla2[[#This Row],[Precio de venta año 1 ]]*VLOOKUP(Tabla2[[#This Row],[CÓDIGO ]],Tabla3[],3,FALSE)</calculatedColumnFormula>
    </tableColumn>
    <tableColumn id="5" xr3:uid="{7DAD203E-C194-4D65-9ED8-FEB8D4FAD109}" name="Precio de venta año 2 " dataDxfId="48">
      <calculatedColumnFormula>VLOOKUP(Tabla2[[#This Row],[CÓDIGO ]],Tabla3[],7,FALSE)</calculatedColumnFormula>
    </tableColumn>
    <tableColumn id="6" xr3:uid="{569C77A4-8AF0-43BC-9806-A0F634EAD358}" name="Ingresos totales año 2 " dataDxfId="47">
      <calculatedColumnFormula>Tabla2[[#This Row],[Precio de venta año 2 ]]*VLOOKUP(Tabla2[[#This Row],[CÓDIGO ]],Tabla3[],6,FALSE)</calculatedColumnFormula>
    </tableColumn>
    <tableColumn id="7" xr3:uid="{B1FF55E4-99B0-429C-9D3E-DC83156BDA7F}" name="Precio de venta año 3 " dataDxfId="46">
      <calculatedColumnFormula>VLOOKUP(Tabla2[[#This Row],[CÓDIGO ]],Tabla3[],11,FALSE)</calculatedColumnFormula>
    </tableColumn>
    <tableColumn id="8" xr3:uid="{7AEE6964-1003-4C2D-8751-80C8BD7A3365}" name="Ingresos totales año 3 " dataDxfId="45">
      <calculatedColumnFormula>Tabla2[[#This Row],[Precio de venta año 3 ]]*VLOOKUP(Tabla2[[#This Row],[CÓDIGO ]],Tabla3[],10,FALSE)</calculatedColumnFormula>
    </tableColumn>
    <tableColumn id="9" xr3:uid="{33C77107-CE26-4F16-8BBC-D955C929B0D4}" name="Precio de venta año 4 " dataDxfId="44">
      <calculatedColumnFormula>VLOOKUP(Tabla2[[#This Row],[CÓDIGO ]],Tabla3[],15,FALSE)</calculatedColumnFormula>
    </tableColumn>
    <tableColumn id="10" xr3:uid="{F66B203D-39C7-4D88-96B1-3C9681344D18}" name="Ingresos totales año 4" dataDxfId="43">
      <calculatedColumnFormula>Tabla2[[#This Row],[Precio de venta año 4 ]]*VLOOKUP(Tabla2[[#This Row],[CÓDIGO ]],Tabla3[],14,FALSE)</calculatedColumnFormula>
    </tableColumn>
    <tableColumn id="11" xr3:uid="{DEAE33E3-3D6D-4650-BCC2-EDB2BD417FD7}" name="Precio de venta año 5" dataDxfId="42">
      <calculatedColumnFormula>VLOOKUP(Tabla2[[#This Row],[CÓDIGO ]],Tabla3[],19,FALSE)</calculatedColumnFormula>
    </tableColumn>
    <tableColumn id="12" xr3:uid="{92942E89-5238-4917-8C6D-F965F1B3CB44}"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0" dataDxfId="39">
  <autoFilter ref="D22:T24"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]],Tabla3[],2,0)</calculatedColumnFormula>
    </tableColumn>
    <tableColumn id="3" xr3:uid="{648E0A4E-18DA-4264-BB9A-CD025964C64C}" name="Precio de venta unitario año 1" dataDxfId="36">
      <calculatedColumnFormula>VLOOKUP(Tabla5[[#This Row],[CÓDIGO ]],Tabla3[],4,0)</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VLOOKUP(Tabla5[[#This Row],[CÓDIGO ]],Tabla3[],7,0)</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VLOOKUP(Tabla5[[#This Row],[CÓDIGO ]],Tabla3[],11,0)</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VLOOKUP(Tabla5[[#This Row],[CÓDIGO ]],Tabla3[],15,0)</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VLOOKUP(Tabla5[[#This Row],[CÓDIGO ]],Tabla3[],19,0)</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1" dataDxfId="20">
  <autoFilter ref="E8:K10"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]],Tabla3[],2,0)</calculatedColumnFormula>
    </tableColumn>
    <tableColumn id="3" xr3:uid="{23B49039-2496-401B-BBD4-8D57BA7D6FD6}" name="INGRESOS TOTALES" dataDxfId="17">
      <calculatedColumnFormula>VLOOKUP(Tabla6[[#This Row],[CÓDIGO ]],Tabla2[],4,0)</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2" dataDxfId="11">
  <autoFilter ref="E19:I21"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VLOOKUP(Tabla7[[#This Row],[CÓDIGO ]],Tabla6[],6,0)</calculatedColumnFormula>
    </tableColumn>
    <tableColumn id="4" xr3:uid="{0DBE7B6A-A652-450B-A034-C648BBD1A290}" name="PARTICIPACIÓN % EN VENTAS " dataDxfId="7">
      <calculatedColumnFormula>VLOOKUP(Tabla7[[#This Row],[CÓDIGO ]],Tabla6[],7,0)</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5" dataDxfId="4">
  <autoFilter ref="E40:H42"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$G$33*VLOOKUP(Tabla8[[#This Row],[CÓDIGO ]],Tabla6[],7,0)</calculatedColumnFormula>
    </tableColumn>
    <tableColumn id="4" xr3:uid="{876FC78B-2BA3-4A09-8993-056E80DB55F0}" name="UNIDADES CALCULADAS PARA EL GRÁFICO " dataDxfId="0">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4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heetViews>
  <sheetFormatPr baseColWidth="10" defaultRowHeight="15" x14ac:dyDescent="0.25"/>
  <sheetData>
    <row r="3" spans="2:11" x14ac:dyDescent="0.25">
      <c r="B3" s="1" t="s">
        <v>289</v>
      </c>
      <c r="E3" s="8" t="s">
        <v>326</v>
      </c>
      <c r="F3" s="4"/>
      <c r="G3" s="4"/>
      <c r="H3" s="4"/>
      <c r="I3" s="4"/>
      <c r="J3" s="4"/>
      <c r="K3" s="4"/>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10</xdr:row>
                <xdr:rowOff>114300</xdr:rowOff>
              </from>
              <to>
                <xdr:col>17</xdr:col>
                <xdr:colOff>352425</xdr:colOff>
                <xdr:row>60</xdr:row>
                <xdr:rowOff>57150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511" t="s">
        <v>16</v>
      </c>
      <c r="C6" s="512"/>
      <c r="D6" s="512"/>
      <c r="E6" s="512"/>
      <c r="F6" s="512"/>
      <c r="G6" s="512"/>
      <c r="H6" s="513"/>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23" t="s">
        <v>20</v>
      </c>
      <c r="F14" s="524"/>
      <c r="G14" s="525"/>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23" t="s">
        <v>21</v>
      </c>
      <c r="F16" s="524"/>
      <c r="G16" s="525"/>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23" t="s">
        <v>22</v>
      </c>
      <c r="F18" s="524"/>
      <c r="G18" s="525"/>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14" t="s">
        <v>23</v>
      </c>
      <c r="F20" s="515"/>
      <c r="G20" s="516"/>
      <c r="H20" s="10"/>
      <c r="I20" s="10"/>
    </row>
    <row r="21" spans="2:11" ht="16.5" thickBot="1" x14ac:dyDescent="0.3">
      <c r="B21" s="19" t="s">
        <v>6</v>
      </c>
      <c r="C21" s="13"/>
      <c r="D21" s="10"/>
      <c r="E21" s="519" t="s">
        <v>24</v>
      </c>
      <c r="F21" s="520"/>
      <c r="G21" s="40" t="s">
        <v>283</v>
      </c>
      <c r="H21" s="10"/>
      <c r="I21" s="10"/>
    </row>
    <row r="22" spans="2:11" ht="15.75" x14ac:dyDescent="0.25">
      <c r="B22" s="27" t="s">
        <v>7</v>
      </c>
      <c r="C22" s="28">
        <v>0.02</v>
      </c>
      <c r="D22" s="10"/>
      <c r="E22" s="519" t="s">
        <v>25</v>
      </c>
      <c r="F22" s="520"/>
      <c r="G22" s="41">
        <v>5</v>
      </c>
      <c r="H22" s="10"/>
      <c r="I22" s="10"/>
    </row>
    <row r="23" spans="2:11" ht="16.5" thickBot="1" x14ac:dyDescent="0.3">
      <c r="B23" s="29" t="s">
        <v>8</v>
      </c>
      <c r="C23" s="28">
        <v>0.04</v>
      </c>
      <c r="D23" s="10"/>
      <c r="E23" s="521" t="s">
        <v>26</v>
      </c>
      <c r="F23" s="522"/>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14" t="s">
        <v>28</v>
      </c>
      <c r="F27" s="515"/>
      <c r="G27" s="515"/>
      <c r="H27" s="516"/>
      <c r="I27" s="10"/>
    </row>
    <row r="28" spans="2:11" ht="15.75" x14ac:dyDescent="0.25">
      <c r="B28" s="29" t="s">
        <v>12</v>
      </c>
      <c r="C28" s="35">
        <v>8.5000000000000006E-2</v>
      </c>
      <c r="D28" s="10"/>
      <c r="E28" s="519" t="s">
        <v>29</v>
      </c>
      <c r="F28" s="520"/>
      <c r="G28" s="43">
        <v>20</v>
      </c>
      <c r="H28" s="21" t="s">
        <v>34</v>
      </c>
      <c r="I28" s="10"/>
    </row>
    <row r="29" spans="2:11" ht="15.75" x14ac:dyDescent="0.25">
      <c r="B29" s="29" t="s">
        <v>13</v>
      </c>
      <c r="C29" s="35">
        <v>5.2199999999999998E-3</v>
      </c>
      <c r="D29" s="10"/>
      <c r="E29" s="519" t="s">
        <v>30</v>
      </c>
      <c r="F29" s="520"/>
      <c r="G29" s="43">
        <v>10</v>
      </c>
      <c r="H29" s="21" t="s">
        <v>34</v>
      </c>
      <c r="I29" s="10"/>
    </row>
    <row r="30" spans="2:11" ht="15.75" x14ac:dyDescent="0.25">
      <c r="B30" s="32" t="s">
        <v>14</v>
      </c>
      <c r="C30" s="36">
        <f>SUM(C27:C29)</f>
        <v>0.21022000000000002</v>
      </c>
      <c r="D30" s="10"/>
      <c r="E30" s="519" t="s">
        <v>31</v>
      </c>
      <c r="F30" s="520"/>
      <c r="G30" s="43">
        <v>5</v>
      </c>
      <c r="H30" s="21" t="s">
        <v>34</v>
      </c>
      <c r="I30" s="10"/>
    </row>
    <row r="31" spans="2:11" ht="16.5" thickBot="1" x14ac:dyDescent="0.3">
      <c r="B31" s="37" t="s">
        <v>15</v>
      </c>
      <c r="C31" s="38">
        <f>SUM(C20,C25,C30)</f>
        <v>0.62851999999999997</v>
      </c>
      <c r="D31" s="10"/>
      <c r="E31" s="519" t="s">
        <v>32</v>
      </c>
      <c r="F31" s="520"/>
      <c r="G31" s="43">
        <v>5</v>
      </c>
      <c r="H31" s="21" t="s">
        <v>34</v>
      </c>
      <c r="I31" s="10"/>
    </row>
    <row r="32" spans="2:11" ht="15.75" x14ac:dyDescent="0.25">
      <c r="B32" s="10"/>
      <c r="C32" s="10"/>
      <c r="D32" s="10"/>
      <c r="E32" s="519" t="s">
        <v>33</v>
      </c>
      <c r="F32" s="520"/>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17" t="s">
        <v>35</v>
      </c>
      <c r="F36" s="518"/>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C15" sqref="C15"/>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526" t="s">
        <v>441</v>
      </c>
      <c r="C4" s="527"/>
      <c r="D4" s="527"/>
      <c r="E4" s="527"/>
      <c r="F4" s="527"/>
      <c r="G4" s="527"/>
      <c r="H4" s="527"/>
      <c r="I4" s="527"/>
      <c r="J4" s="527"/>
      <c r="K4" s="527"/>
      <c r="L4" s="527"/>
      <c r="M4" s="527"/>
      <c r="N4" s="527"/>
      <c r="O4" s="527"/>
      <c r="P4" s="527"/>
      <c r="Q4" s="527"/>
      <c r="R4" s="527"/>
      <c r="S4" s="527"/>
      <c r="T4" s="527"/>
      <c r="U4" s="527"/>
      <c r="V4" s="528"/>
    </row>
    <row r="5" spans="2:31" ht="15.75" customHeight="1" thickBot="1" x14ac:dyDescent="0.3">
      <c r="B5" s="529"/>
      <c r="C5" s="530"/>
      <c r="D5" s="530"/>
      <c r="E5" s="530"/>
      <c r="F5" s="530"/>
      <c r="G5" s="530"/>
      <c r="H5" s="530"/>
      <c r="I5" s="530"/>
      <c r="J5" s="530"/>
      <c r="K5" s="530"/>
      <c r="L5" s="530"/>
      <c r="M5" s="530"/>
      <c r="N5" s="530"/>
      <c r="O5" s="530"/>
      <c r="P5" s="530"/>
      <c r="Q5" s="530"/>
      <c r="R5" s="530"/>
      <c r="S5" s="530"/>
      <c r="T5" s="530"/>
      <c r="U5" s="530"/>
      <c r="V5" s="531"/>
    </row>
    <row r="6" spans="2:31" ht="15.75" thickBot="1" x14ac:dyDescent="0.3">
      <c r="B6" s="74"/>
    </row>
    <row r="7" spans="2:31" ht="15.75" customHeight="1" x14ac:dyDescent="0.25">
      <c r="B7" s="540" t="s">
        <v>37</v>
      </c>
      <c r="C7" s="53">
        <f>BASES!D7</f>
        <v>2021</v>
      </c>
      <c r="D7" s="49">
        <v>0.19</v>
      </c>
      <c r="E7" s="543" t="s">
        <v>332</v>
      </c>
      <c r="F7" s="53">
        <f>BASES!D7</f>
        <v>2021</v>
      </c>
      <c r="G7" s="54"/>
    </row>
    <row r="8" spans="2:31" ht="15.75" x14ac:dyDescent="0.25">
      <c r="B8" s="541"/>
      <c r="C8" s="53">
        <f>BASES!E7</f>
        <v>2022</v>
      </c>
      <c r="D8" s="49">
        <v>0.19</v>
      </c>
      <c r="E8" s="544"/>
      <c r="F8" s="53">
        <f>BASES!E7</f>
        <v>2022</v>
      </c>
      <c r="G8" s="55">
        <f>BASES!E8</f>
        <v>1.95E-2</v>
      </c>
    </row>
    <row r="9" spans="2:31" ht="15.75" x14ac:dyDescent="0.25">
      <c r="B9" s="541"/>
      <c r="C9" s="53">
        <f>BASES!F7</f>
        <v>2023</v>
      </c>
      <c r="D9" s="49">
        <v>0.19</v>
      </c>
      <c r="E9" s="544"/>
      <c r="F9" s="53">
        <f>BASES!F7</f>
        <v>2023</v>
      </c>
      <c r="G9" s="55">
        <f>BASES!F8</f>
        <v>1.95E-2</v>
      </c>
    </row>
    <row r="10" spans="2:31" ht="15.75" x14ac:dyDescent="0.25">
      <c r="B10" s="541"/>
      <c r="C10" s="53">
        <f>BASES!G7</f>
        <v>2024</v>
      </c>
      <c r="D10" s="49">
        <v>0.19</v>
      </c>
      <c r="E10" s="544"/>
      <c r="F10" s="53">
        <f>BASES!G7</f>
        <v>2024</v>
      </c>
      <c r="G10" s="55">
        <f>BASES!G8</f>
        <v>1.95E-2</v>
      </c>
    </row>
    <row r="11" spans="2:31" ht="16.5" thickBot="1" x14ac:dyDescent="0.3">
      <c r="B11" s="542"/>
      <c r="C11" s="53">
        <f>BASES!H7</f>
        <v>2025</v>
      </c>
      <c r="D11" s="49">
        <v>0.19</v>
      </c>
      <c r="E11" s="545"/>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533">
        <f>BASES!D7</f>
        <v>2021</v>
      </c>
      <c r="E17" s="534"/>
      <c r="F17" s="534"/>
      <c r="G17" s="533">
        <f>BASES!E7</f>
        <v>2022</v>
      </c>
      <c r="H17" s="534"/>
      <c r="I17" s="534"/>
      <c r="J17" s="534"/>
      <c r="K17" s="533">
        <f>BASES!F7</f>
        <v>2023</v>
      </c>
      <c r="L17" s="534"/>
      <c r="M17" s="534"/>
      <c r="N17" s="534"/>
      <c r="O17" s="533">
        <f>BASES!G7</f>
        <v>2024</v>
      </c>
      <c r="P17" s="534"/>
      <c r="Q17" s="534"/>
      <c r="R17" s="534"/>
      <c r="S17" s="533">
        <f>BASES!H7</f>
        <v>2025</v>
      </c>
      <c r="T17" s="534"/>
      <c r="U17" s="534"/>
      <c r="V17" s="534"/>
    </row>
    <row r="18" spans="2:31" ht="16.5" thickBot="1" x14ac:dyDescent="0.3">
      <c r="B18" s="51"/>
      <c r="C18" s="61" t="s">
        <v>330</v>
      </c>
      <c r="D18" s="546" t="s">
        <v>331</v>
      </c>
      <c r="E18" s="547"/>
      <c r="F18" s="547"/>
      <c r="G18" s="535">
        <v>0.01</v>
      </c>
      <c r="H18" s="536"/>
      <c r="I18" s="536"/>
      <c r="J18" s="537"/>
      <c r="K18" s="535">
        <v>0.02</v>
      </c>
      <c r="L18" s="536"/>
      <c r="M18" s="536"/>
      <c r="N18" s="537"/>
      <c r="O18" s="535">
        <v>0.03</v>
      </c>
      <c r="P18" s="536"/>
      <c r="Q18" s="536"/>
      <c r="R18" s="537"/>
      <c r="S18" s="532">
        <v>0.04</v>
      </c>
      <c r="T18" s="532"/>
      <c r="U18" s="532"/>
      <c r="V18" s="532"/>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38"/>
      <c r="G21" s="439"/>
      <c r="H21" s="438"/>
      <c r="I21" s="438"/>
      <c r="J21" s="440"/>
      <c r="K21" s="439"/>
      <c r="L21" s="438"/>
      <c r="M21" s="438"/>
      <c r="N21" s="440"/>
      <c r="O21" s="439"/>
      <c r="P21" s="438"/>
      <c r="Q21" s="438"/>
      <c r="R21" s="441"/>
      <c r="S21" s="439"/>
      <c r="T21" s="438"/>
      <c r="U21" s="438"/>
      <c r="V21" s="441"/>
      <c r="W21" s="74"/>
      <c r="X21" s="74"/>
      <c r="Y21" s="74"/>
    </row>
    <row r="22" spans="2:31" ht="15.75" thickBot="1" x14ac:dyDescent="0.3"/>
    <row r="23" spans="2:31" ht="16.5" thickBot="1" x14ac:dyDescent="0.3">
      <c r="B23" s="538" t="s">
        <v>348</v>
      </c>
      <c r="C23" s="539"/>
      <c r="D23" s="539"/>
      <c r="E23" s="539"/>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538" t="s">
        <v>38</v>
      </c>
      <c r="C24" s="539"/>
      <c r="D24" s="539"/>
      <c r="E24" s="539"/>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538" t="s">
        <v>39</v>
      </c>
      <c r="C25" s="539"/>
      <c r="D25" s="539"/>
      <c r="E25" s="539"/>
      <c r="F25" s="57">
        <f>F23+F24</f>
        <v>0</v>
      </c>
      <c r="G25" s="58"/>
      <c r="H25" s="58"/>
      <c r="I25" s="57">
        <f>I23+I24</f>
        <v>0</v>
      </c>
      <c r="J25" s="56"/>
      <c r="K25" s="58"/>
      <c r="L25" s="58"/>
      <c r="M25" s="56">
        <f>M23+M24</f>
        <v>0</v>
      </c>
      <c r="N25" s="56"/>
      <c r="O25" s="58"/>
      <c r="P25" s="58"/>
      <c r="Q25" s="56">
        <f>Q23+Q24</f>
        <v>0</v>
      </c>
      <c r="R25" s="56"/>
      <c r="S25" s="58"/>
      <c r="T25" s="58"/>
      <c r="U25" s="56">
        <f>U23+U24</f>
        <v>0</v>
      </c>
      <c r="V25" s="70"/>
    </row>
  </sheetData>
  <protectedRanges>
    <protectedRange algorithmName="SHA-512" hashValue="PI1FzmXxdjjbHe5ES7fZfhUBXFhVbo1bnvXE/2xlVmPC4IwsJyGU/90VUCFxrzbzt+Y/Gh4Eo/9shgSNWz2Dkg==" saltValue="8n1+OIXmuy91Y+3uFbTkOA==" spinCount="100000" sqref="B19:B21" name="Código"/>
  </protectedRanges>
  <mergeCells count="16">
    <mergeCell ref="B25:E25"/>
    <mergeCell ref="B7:B11"/>
    <mergeCell ref="E7:E11"/>
    <mergeCell ref="D17:F17"/>
    <mergeCell ref="G17:J17"/>
    <mergeCell ref="B23:E23"/>
    <mergeCell ref="D18:F18"/>
    <mergeCell ref="G18:J18"/>
    <mergeCell ref="B4:V5"/>
    <mergeCell ref="S18:V18"/>
    <mergeCell ref="S17:V17"/>
    <mergeCell ref="K18:N18"/>
    <mergeCell ref="B24:E24"/>
    <mergeCell ref="K17:N17"/>
    <mergeCell ref="O18:R18"/>
    <mergeCell ref="O17:R17"/>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tabSelected="1" zoomScaleNormal="100" workbookViewId="0">
      <selection activeCell="F11" sqref="F10:F11"/>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40" t="s">
        <v>435</v>
      </c>
      <c r="C3" s="341" t="str">
        <f>INSTRUCCIONES!E3</f>
        <v>Digite el nombre de su emprendimiento</v>
      </c>
    </row>
    <row r="6" spans="2:7" ht="15.75" x14ac:dyDescent="0.25">
      <c r="B6" s="592" t="s">
        <v>436</v>
      </c>
      <c r="C6" s="592"/>
      <c r="D6" s="592"/>
      <c r="E6" s="592"/>
      <c r="F6" s="592"/>
      <c r="G6" s="592"/>
    </row>
    <row r="12" spans="2:7" ht="15.75" x14ac:dyDescent="0.25">
      <c r="B12" s="69" t="s">
        <v>43</v>
      </c>
      <c r="C12" s="69" t="s">
        <v>40</v>
      </c>
      <c r="D12" s="69" t="s">
        <v>440</v>
      </c>
    </row>
    <row r="13" spans="2:7" ht="15.75" x14ac:dyDescent="0.25">
      <c r="B13" s="342"/>
      <c r="C13" s="343"/>
      <c r="D13" s="344"/>
    </row>
    <row r="14" spans="2:7" ht="15.75" x14ac:dyDescent="0.25">
      <c r="B14" s="345"/>
      <c r="C14" s="346"/>
      <c r="D14" s="347"/>
    </row>
    <row r="15" spans="2:7" ht="15.75" x14ac:dyDescent="0.25">
      <c r="B15" s="345"/>
      <c r="C15" s="346"/>
      <c r="D15" s="347"/>
    </row>
    <row r="16" spans="2:7" ht="15.75" x14ac:dyDescent="0.25">
      <c r="B16" s="345"/>
      <c r="C16" s="346"/>
      <c r="D16" s="347"/>
    </row>
    <row r="17" spans="2:4" ht="15.75" x14ac:dyDescent="0.25">
      <c r="B17" s="345"/>
      <c r="C17" s="346"/>
      <c r="D17" s="347"/>
    </row>
    <row r="18" spans="2:4" ht="15.75" x14ac:dyDescent="0.25">
      <c r="B18" s="345"/>
      <c r="C18" s="346"/>
      <c r="D18" s="347"/>
    </row>
    <row r="19" spans="2:4" ht="15.75" x14ac:dyDescent="0.25">
      <c r="B19" s="345"/>
      <c r="C19" s="346"/>
      <c r="D19" s="347"/>
    </row>
    <row r="20" spans="2:4" ht="15.75" x14ac:dyDescent="0.25">
      <c r="B20" s="345"/>
      <c r="C20" s="346"/>
      <c r="D20" s="347"/>
    </row>
    <row r="21" spans="2:4" ht="15.75" x14ac:dyDescent="0.25">
      <c r="B21" s="345"/>
      <c r="C21" s="346"/>
      <c r="D21" s="347"/>
    </row>
    <row r="22" spans="2:4" ht="15.75" x14ac:dyDescent="0.25">
      <c r="B22" s="345"/>
      <c r="C22" s="346"/>
      <c r="D22" s="347"/>
    </row>
    <row r="23" spans="2:4" ht="15.75" x14ac:dyDescent="0.25">
      <c r="B23" s="345"/>
      <c r="C23" s="346"/>
      <c r="D23" s="347"/>
    </row>
    <row r="24" spans="2:4" ht="15.75" x14ac:dyDescent="0.25">
      <c r="B24" s="345"/>
      <c r="C24" s="346"/>
      <c r="D24" s="347"/>
    </row>
    <row r="25" spans="2:4" ht="15.75" x14ac:dyDescent="0.25">
      <c r="B25" s="345"/>
      <c r="C25" s="346"/>
      <c r="D25" s="347"/>
    </row>
    <row r="26" spans="2:4" ht="15.75" x14ac:dyDescent="0.25">
      <c r="B26" s="345"/>
      <c r="C26" s="346"/>
      <c r="D26" s="347"/>
    </row>
    <row r="27" spans="2:4" ht="15.75" x14ac:dyDescent="0.25">
      <c r="B27" s="345"/>
      <c r="C27" s="346"/>
      <c r="D27" s="347"/>
    </row>
    <row r="28" spans="2:4" ht="15.75" x14ac:dyDescent="0.25">
      <c r="B28" s="345"/>
      <c r="C28" s="346"/>
      <c r="D28" s="347"/>
    </row>
    <row r="29" spans="2:4" ht="15.75" x14ac:dyDescent="0.25">
      <c r="B29" s="345"/>
      <c r="C29" s="346"/>
      <c r="D29" s="347"/>
    </row>
    <row r="30" spans="2:4" ht="15.75" x14ac:dyDescent="0.25">
      <c r="B30" s="345"/>
      <c r="C30" s="346"/>
      <c r="D30" s="347"/>
    </row>
    <row r="31" spans="2:4" ht="15.75" x14ac:dyDescent="0.25">
      <c r="B31" s="345"/>
      <c r="C31" s="346"/>
      <c r="D31" s="347"/>
    </row>
    <row r="32" spans="2:4" ht="15.75" x14ac:dyDescent="0.25">
      <c r="B32" s="348"/>
      <c r="C32" s="349"/>
      <c r="D32" s="350"/>
    </row>
    <row r="33" spans="2:40" ht="15.75" x14ac:dyDescent="0.25">
      <c r="B33" s="135"/>
      <c r="C33" s="135"/>
      <c r="D33" s="135"/>
    </row>
    <row r="38" spans="2:40" ht="15.75" x14ac:dyDescent="0.25">
      <c r="C38" s="351"/>
      <c r="D38" s="351"/>
      <c r="E38" s="351"/>
      <c r="F38" s="593" t="s">
        <v>439</v>
      </c>
      <c r="G38" s="594"/>
      <c r="H38" s="594"/>
      <c r="I38" s="594"/>
      <c r="J38" s="594"/>
      <c r="K38" s="594"/>
      <c r="L38" s="594"/>
      <c r="M38" s="594"/>
      <c r="N38" s="594"/>
      <c r="O38" s="594"/>
      <c r="P38" s="594"/>
      <c r="Q38" s="594"/>
      <c r="R38" s="594"/>
      <c r="S38" s="594"/>
      <c r="T38" s="594"/>
      <c r="U38" s="594"/>
      <c r="V38" s="594"/>
      <c r="W38" s="594"/>
      <c r="X38" s="594"/>
      <c r="Y38" s="595"/>
      <c r="Z38" s="336"/>
      <c r="AA38" s="336"/>
      <c r="AB38" s="336"/>
      <c r="AC38" s="336"/>
      <c r="AD38" s="336"/>
      <c r="AE38" s="336"/>
      <c r="AF38" s="336"/>
      <c r="AG38" s="336"/>
      <c r="AH38" s="336"/>
      <c r="AI38" s="336"/>
      <c r="AJ38" s="336"/>
      <c r="AK38" s="336"/>
      <c r="AL38" s="336"/>
      <c r="AM38" s="336"/>
      <c r="AN38" s="336"/>
    </row>
    <row r="39" spans="2:40" ht="15.75" x14ac:dyDescent="0.25">
      <c r="C39" s="69" t="s">
        <v>437</v>
      </c>
      <c r="D39" s="69" t="s">
        <v>438</v>
      </c>
      <c r="E39" s="351"/>
      <c r="F39" s="367" cm="1">
        <f t="array" ref="F39:Y39">TRANSPOSE(Tabla9[[MATERIA PRIMA E INSUMOS ]])</f>
        <v>0</v>
      </c>
      <c r="G39" s="367">
        <v>0</v>
      </c>
      <c r="H39" s="367">
        <v>0</v>
      </c>
      <c r="I39" s="367">
        <v>0</v>
      </c>
      <c r="J39" s="367">
        <v>0</v>
      </c>
      <c r="K39" s="367">
        <v>0</v>
      </c>
      <c r="L39" s="367">
        <v>0</v>
      </c>
      <c r="M39" s="367">
        <v>0</v>
      </c>
      <c r="N39" s="367">
        <v>0</v>
      </c>
      <c r="O39" s="367">
        <v>0</v>
      </c>
      <c r="P39" s="367">
        <v>0</v>
      </c>
      <c r="Q39" s="367">
        <v>0</v>
      </c>
      <c r="R39" s="367">
        <v>0</v>
      </c>
      <c r="S39" s="367">
        <v>0</v>
      </c>
      <c r="T39" s="367">
        <v>0</v>
      </c>
      <c r="U39" s="367">
        <v>0</v>
      </c>
      <c r="V39" s="367">
        <v>0</v>
      </c>
      <c r="W39" s="367">
        <v>0</v>
      </c>
      <c r="X39" s="367">
        <v>0</v>
      </c>
      <c r="Y39" s="367">
        <v>0</v>
      </c>
      <c r="Z39" s="337"/>
      <c r="AA39" s="337"/>
      <c r="AB39" s="337"/>
      <c r="AC39" s="337"/>
      <c r="AD39" s="337"/>
      <c r="AE39" s="337"/>
      <c r="AF39" s="337"/>
      <c r="AG39" s="337"/>
      <c r="AH39" s="337"/>
      <c r="AI39" s="337"/>
      <c r="AJ39" s="337"/>
      <c r="AK39" s="337"/>
      <c r="AL39" s="337"/>
      <c r="AM39" s="337"/>
      <c r="AN39" s="337"/>
    </row>
    <row r="40" spans="2:40" ht="15.75" x14ac:dyDescent="0.25">
      <c r="C40" s="442">
        <v>0</v>
      </c>
      <c r="D40" s="92" t="str">
        <f>VLOOKUP(Tabla11[[#This Row],[CÓDIGO DEL PRODUCTO Y/O SERVICIO ]],Tabla3[],2,0)</f>
        <v xml:space="preserve">Seleccionar producto o servicio </v>
      </c>
      <c r="E40" s="443"/>
      <c r="F40" s="104"/>
      <c r="G40" s="104"/>
      <c r="H40" s="104"/>
      <c r="I40" s="104"/>
      <c r="J40" s="104"/>
      <c r="K40" s="104"/>
      <c r="L40" s="104"/>
      <c r="M40" s="104"/>
      <c r="N40" s="104"/>
      <c r="O40" s="104"/>
      <c r="P40" s="104"/>
      <c r="Q40" s="104"/>
      <c r="R40" s="104"/>
      <c r="S40" s="104"/>
      <c r="T40" s="104"/>
      <c r="U40" s="104"/>
      <c r="V40" s="104"/>
      <c r="W40" s="104"/>
      <c r="X40" s="104"/>
      <c r="Y40" s="104"/>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43"/>
      <c r="F41" s="71"/>
      <c r="G41" s="71"/>
      <c r="H41" s="71"/>
      <c r="I41" s="71"/>
      <c r="J41" s="71"/>
      <c r="K41" s="71"/>
      <c r="L41" s="71"/>
      <c r="M41" s="71"/>
      <c r="N41" s="71"/>
      <c r="O41" s="71"/>
      <c r="P41" s="71"/>
      <c r="Q41" s="71"/>
      <c r="R41" s="71"/>
      <c r="S41" s="71"/>
      <c r="T41" s="71"/>
      <c r="U41" s="71"/>
      <c r="V41" s="71"/>
      <c r="W41" s="71"/>
      <c r="X41" s="71"/>
      <c r="Y41" s="71"/>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603">
        <f>B13</f>
        <v>0</v>
      </c>
      <c r="G52" s="604"/>
      <c r="H52" s="604"/>
      <c r="I52" s="604"/>
      <c r="J52" s="604"/>
      <c r="K52" s="604"/>
      <c r="L52" s="604"/>
      <c r="M52" s="604"/>
      <c r="N52" s="604"/>
      <c r="O52" s="604"/>
      <c r="P52" s="604"/>
      <c r="Q52" s="604"/>
      <c r="R52" s="604"/>
      <c r="S52" s="604"/>
      <c r="T52" s="604"/>
      <c r="U52" s="604"/>
      <c r="V52" s="604"/>
      <c r="W52" s="604"/>
      <c r="X52" s="604"/>
      <c r="Y52" s="605"/>
      <c r="Z52" s="599">
        <f>B14</f>
        <v>0</v>
      </c>
      <c r="AA52" s="600"/>
      <c r="AB52" s="600"/>
      <c r="AC52" s="600"/>
      <c r="AD52" s="600"/>
      <c r="AE52" s="600"/>
      <c r="AF52" s="600"/>
      <c r="AG52" s="600"/>
      <c r="AH52" s="600"/>
      <c r="AI52" s="600"/>
      <c r="AJ52" s="600"/>
      <c r="AK52" s="600"/>
      <c r="AL52" s="600"/>
      <c r="AM52" s="600"/>
      <c r="AN52" s="600"/>
      <c r="AO52" s="600"/>
      <c r="AP52" s="600"/>
      <c r="AQ52" s="600"/>
      <c r="AR52" s="600"/>
      <c r="AS52" s="601"/>
      <c r="AT52" s="582">
        <f>B15</f>
        <v>0</v>
      </c>
      <c r="AU52" s="583"/>
      <c r="AV52" s="583"/>
      <c r="AW52" s="583"/>
      <c r="AX52" s="583"/>
      <c r="AY52" s="583"/>
      <c r="AZ52" s="583"/>
      <c r="BA52" s="583"/>
      <c r="BB52" s="583"/>
      <c r="BC52" s="583"/>
      <c r="BD52" s="583"/>
      <c r="BE52" s="583"/>
      <c r="BF52" s="583"/>
      <c r="BG52" s="583"/>
      <c r="BH52" s="583"/>
      <c r="BI52" s="583"/>
      <c r="BJ52" s="583"/>
      <c r="BK52" s="583"/>
      <c r="BL52" s="583"/>
      <c r="BM52" s="584"/>
      <c r="BN52" s="589">
        <f>B16</f>
        <v>0</v>
      </c>
      <c r="BO52" s="590"/>
      <c r="BP52" s="590"/>
      <c r="BQ52" s="590"/>
      <c r="BR52" s="590"/>
      <c r="BS52" s="590"/>
      <c r="BT52" s="590"/>
      <c r="BU52" s="590"/>
      <c r="BV52" s="590"/>
      <c r="BW52" s="590"/>
      <c r="BX52" s="590"/>
      <c r="BY52" s="590"/>
      <c r="BZ52" s="590"/>
      <c r="CA52" s="590"/>
      <c r="CB52" s="590"/>
      <c r="CC52" s="590"/>
      <c r="CD52" s="590"/>
      <c r="CE52" s="590"/>
      <c r="CF52" s="590"/>
      <c r="CG52" s="591"/>
      <c r="CH52" s="582">
        <f>B17</f>
        <v>0</v>
      </c>
      <c r="CI52" s="583"/>
      <c r="CJ52" s="583"/>
      <c r="CK52" s="583"/>
      <c r="CL52" s="583"/>
      <c r="CM52" s="583"/>
      <c r="CN52" s="583"/>
      <c r="CO52" s="583"/>
      <c r="CP52" s="583"/>
      <c r="CQ52" s="583"/>
      <c r="CR52" s="583"/>
      <c r="CS52" s="583"/>
      <c r="CT52" s="583"/>
      <c r="CU52" s="583"/>
      <c r="CV52" s="583"/>
      <c r="CW52" s="583"/>
      <c r="CX52" s="583"/>
      <c r="CY52" s="583"/>
      <c r="CZ52" s="583"/>
      <c r="DA52" s="584"/>
      <c r="DB52" s="578">
        <f>B18</f>
        <v>0</v>
      </c>
      <c r="DC52" s="579"/>
      <c r="DD52" s="579"/>
      <c r="DE52" s="579"/>
      <c r="DF52" s="579"/>
      <c r="DG52" s="579"/>
      <c r="DH52" s="579"/>
      <c r="DI52" s="579"/>
      <c r="DJ52" s="579"/>
      <c r="DK52" s="579"/>
      <c r="DL52" s="579"/>
      <c r="DM52" s="579"/>
      <c r="DN52" s="579"/>
      <c r="DO52" s="579"/>
      <c r="DP52" s="579"/>
      <c r="DQ52" s="579"/>
      <c r="DR52" s="579"/>
      <c r="DS52" s="579"/>
      <c r="DT52" s="579"/>
      <c r="DU52" s="580"/>
      <c r="DV52" s="582">
        <f>B19</f>
        <v>0</v>
      </c>
      <c r="DW52" s="583"/>
      <c r="DX52" s="583"/>
      <c r="DY52" s="583"/>
      <c r="DZ52" s="583"/>
      <c r="EA52" s="583"/>
      <c r="EB52" s="583"/>
      <c r="EC52" s="583"/>
      <c r="ED52" s="583"/>
      <c r="EE52" s="583"/>
      <c r="EF52" s="583"/>
      <c r="EG52" s="583"/>
      <c r="EH52" s="583"/>
      <c r="EI52" s="583"/>
      <c r="EJ52" s="583"/>
      <c r="EK52" s="583"/>
      <c r="EL52" s="583"/>
      <c r="EM52" s="583"/>
      <c r="EN52" s="583"/>
      <c r="EO52" s="584"/>
      <c r="EP52" s="578">
        <f>B20</f>
        <v>0</v>
      </c>
      <c r="EQ52" s="579"/>
      <c r="ER52" s="579"/>
      <c r="ES52" s="579"/>
      <c r="ET52" s="579"/>
      <c r="EU52" s="579"/>
      <c r="EV52" s="579"/>
      <c r="EW52" s="579"/>
      <c r="EX52" s="579"/>
      <c r="EY52" s="579"/>
      <c r="EZ52" s="579"/>
      <c r="FA52" s="579"/>
      <c r="FB52" s="579"/>
      <c r="FC52" s="579"/>
      <c r="FD52" s="579"/>
      <c r="FE52" s="579"/>
      <c r="FF52" s="579"/>
      <c r="FG52" s="579"/>
      <c r="FH52" s="579"/>
      <c r="FI52" s="580"/>
      <c r="FJ52" s="582">
        <f>B21</f>
        <v>0</v>
      </c>
      <c r="FK52" s="583"/>
      <c r="FL52" s="583"/>
      <c r="FM52" s="583"/>
      <c r="FN52" s="583"/>
      <c r="FO52" s="583"/>
      <c r="FP52" s="583"/>
      <c r="FQ52" s="583"/>
      <c r="FR52" s="583"/>
      <c r="FS52" s="583"/>
      <c r="FT52" s="583"/>
      <c r="FU52" s="583"/>
      <c r="FV52" s="583"/>
      <c r="FW52" s="583"/>
      <c r="FX52" s="583"/>
      <c r="FY52" s="583"/>
      <c r="FZ52" s="583"/>
      <c r="GA52" s="583"/>
      <c r="GB52" s="583"/>
      <c r="GC52" s="584"/>
      <c r="GD52" s="627">
        <f>B22</f>
        <v>0</v>
      </c>
      <c r="GE52" s="628"/>
      <c r="GF52" s="628"/>
      <c r="GG52" s="628"/>
      <c r="GH52" s="628"/>
      <c r="GI52" s="628"/>
      <c r="GJ52" s="628"/>
      <c r="GK52" s="628"/>
      <c r="GL52" s="628"/>
      <c r="GM52" s="628"/>
      <c r="GN52" s="628"/>
      <c r="GO52" s="628"/>
      <c r="GP52" s="628"/>
      <c r="GQ52" s="628"/>
      <c r="GR52" s="628"/>
      <c r="GS52" s="628"/>
      <c r="GT52" s="628"/>
      <c r="GU52" s="628"/>
      <c r="GV52" s="628"/>
      <c r="GW52" s="629"/>
      <c r="GX52" s="582">
        <f>B23</f>
        <v>0</v>
      </c>
      <c r="GY52" s="583"/>
      <c r="GZ52" s="583"/>
      <c r="HA52" s="583"/>
      <c r="HB52" s="583"/>
      <c r="HC52" s="583"/>
      <c r="HD52" s="583"/>
      <c r="HE52" s="583"/>
      <c r="HF52" s="583"/>
      <c r="HG52" s="583"/>
      <c r="HH52" s="583"/>
      <c r="HI52" s="583"/>
      <c r="HJ52" s="583"/>
      <c r="HK52" s="583"/>
      <c r="HL52" s="583"/>
      <c r="HM52" s="583"/>
      <c r="HN52" s="583"/>
      <c r="HO52" s="583"/>
      <c r="HP52" s="583"/>
      <c r="HQ52" s="584"/>
      <c r="HR52" s="578">
        <f>B24</f>
        <v>0</v>
      </c>
      <c r="HS52" s="579"/>
      <c r="HT52" s="579"/>
      <c r="HU52" s="579"/>
      <c r="HV52" s="579"/>
      <c r="HW52" s="579"/>
      <c r="HX52" s="579"/>
      <c r="HY52" s="579"/>
      <c r="HZ52" s="579"/>
      <c r="IA52" s="579"/>
      <c r="IB52" s="579"/>
      <c r="IC52" s="579"/>
      <c r="ID52" s="579"/>
      <c r="IE52" s="579"/>
      <c r="IF52" s="579"/>
      <c r="IG52" s="579"/>
      <c r="IH52" s="579"/>
      <c r="II52" s="579"/>
      <c r="IJ52" s="579"/>
      <c r="IK52" s="580"/>
      <c r="IL52" s="582">
        <f>B25</f>
        <v>0</v>
      </c>
      <c r="IM52" s="583"/>
      <c r="IN52" s="583"/>
      <c r="IO52" s="583"/>
      <c r="IP52" s="583"/>
      <c r="IQ52" s="583"/>
      <c r="IR52" s="583"/>
      <c r="IS52" s="583"/>
      <c r="IT52" s="583"/>
      <c r="IU52" s="583"/>
      <c r="IV52" s="583"/>
      <c r="IW52" s="583"/>
      <c r="IX52" s="583"/>
      <c r="IY52" s="583"/>
      <c r="IZ52" s="583"/>
      <c r="JA52" s="583"/>
      <c r="JB52" s="583"/>
      <c r="JC52" s="583"/>
      <c r="JD52" s="583"/>
      <c r="JE52" s="584"/>
      <c r="JF52" s="589">
        <f>B26</f>
        <v>0</v>
      </c>
      <c r="JG52" s="590"/>
      <c r="JH52" s="590"/>
      <c r="JI52" s="590"/>
      <c r="JJ52" s="590"/>
      <c r="JK52" s="590"/>
      <c r="JL52" s="590"/>
      <c r="JM52" s="590"/>
      <c r="JN52" s="590"/>
      <c r="JO52" s="590"/>
      <c r="JP52" s="590"/>
      <c r="JQ52" s="590"/>
      <c r="JR52" s="590"/>
      <c r="JS52" s="590"/>
      <c r="JT52" s="590"/>
      <c r="JU52" s="590"/>
      <c r="JV52" s="590"/>
      <c r="JW52" s="590"/>
      <c r="JX52" s="590"/>
      <c r="JY52" s="591"/>
      <c r="JZ52" s="582">
        <f>B27</f>
        <v>0</v>
      </c>
      <c r="KA52" s="583"/>
      <c r="KB52" s="583"/>
      <c r="KC52" s="583"/>
      <c r="KD52" s="583"/>
      <c r="KE52" s="583"/>
      <c r="KF52" s="583"/>
      <c r="KG52" s="583"/>
      <c r="KH52" s="583"/>
      <c r="KI52" s="583"/>
      <c r="KJ52" s="583"/>
      <c r="KK52" s="583"/>
      <c r="KL52" s="583"/>
      <c r="KM52" s="583"/>
      <c r="KN52" s="583"/>
      <c r="KO52" s="583"/>
      <c r="KP52" s="583"/>
      <c r="KQ52" s="583"/>
      <c r="KR52" s="583"/>
      <c r="KS52" s="584"/>
      <c r="KT52" s="578">
        <f>B28</f>
        <v>0</v>
      </c>
      <c r="KU52" s="579"/>
      <c r="KV52" s="579"/>
      <c r="KW52" s="579"/>
      <c r="KX52" s="579"/>
      <c r="KY52" s="579"/>
      <c r="KZ52" s="579"/>
      <c r="LA52" s="579"/>
      <c r="LB52" s="579"/>
      <c r="LC52" s="579"/>
      <c r="LD52" s="579"/>
      <c r="LE52" s="579"/>
      <c r="LF52" s="579"/>
      <c r="LG52" s="579"/>
      <c r="LH52" s="579"/>
      <c r="LI52" s="579"/>
      <c r="LJ52" s="579"/>
      <c r="LK52" s="579"/>
      <c r="LL52" s="579"/>
      <c r="LM52" s="580"/>
      <c r="LN52" s="582">
        <f>B29</f>
        <v>0</v>
      </c>
      <c r="LO52" s="583"/>
      <c r="LP52" s="583"/>
      <c r="LQ52" s="583"/>
      <c r="LR52" s="583"/>
      <c r="LS52" s="583"/>
      <c r="LT52" s="583"/>
      <c r="LU52" s="583"/>
      <c r="LV52" s="583"/>
      <c r="LW52" s="583"/>
      <c r="LX52" s="583"/>
      <c r="LY52" s="583"/>
      <c r="LZ52" s="583"/>
      <c r="MA52" s="583"/>
      <c r="MB52" s="583"/>
      <c r="MC52" s="583"/>
      <c r="MD52" s="583"/>
      <c r="ME52" s="583"/>
      <c r="MF52" s="583"/>
      <c r="MG52" s="584"/>
      <c r="MH52" s="578">
        <f>B30</f>
        <v>0</v>
      </c>
      <c r="MI52" s="579"/>
      <c r="MJ52" s="579"/>
      <c r="MK52" s="579"/>
      <c r="ML52" s="579"/>
      <c r="MM52" s="579"/>
      <c r="MN52" s="579"/>
      <c r="MO52" s="579"/>
      <c r="MP52" s="579"/>
      <c r="MQ52" s="579"/>
      <c r="MR52" s="579"/>
      <c r="MS52" s="579"/>
      <c r="MT52" s="579"/>
      <c r="MU52" s="579"/>
      <c r="MV52" s="579"/>
      <c r="MW52" s="579"/>
      <c r="MX52" s="579"/>
      <c r="MY52" s="579"/>
      <c r="MZ52" s="579"/>
      <c r="NA52" s="580"/>
      <c r="NB52" s="582">
        <f>B31</f>
        <v>0</v>
      </c>
      <c r="NC52" s="583"/>
      <c r="ND52" s="583"/>
      <c r="NE52" s="583"/>
      <c r="NF52" s="583"/>
      <c r="NG52" s="583"/>
      <c r="NH52" s="583"/>
      <c r="NI52" s="583"/>
      <c r="NJ52" s="583"/>
      <c r="NK52" s="583"/>
      <c r="NL52" s="583"/>
      <c r="NM52" s="583"/>
      <c r="NN52" s="583"/>
      <c r="NO52" s="583"/>
      <c r="NP52" s="583"/>
      <c r="NQ52" s="583"/>
      <c r="NR52" s="583"/>
      <c r="NS52" s="583"/>
      <c r="NT52" s="583"/>
      <c r="NU52" s="584"/>
      <c r="NV52" s="578">
        <f>B32</f>
        <v>0</v>
      </c>
      <c r="NW52" s="579"/>
      <c r="NX52" s="579"/>
      <c r="NY52" s="579"/>
      <c r="NZ52" s="579"/>
      <c r="OA52" s="579"/>
      <c r="OB52" s="579"/>
      <c r="OC52" s="579"/>
      <c r="OD52" s="579"/>
      <c r="OE52" s="579"/>
      <c r="OF52" s="579"/>
      <c r="OG52" s="579"/>
      <c r="OH52" s="579"/>
      <c r="OI52" s="579"/>
      <c r="OJ52" s="579"/>
      <c r="OK52" s="579"/>
      <c r="OL52" s="579"/>
      <c r="OM52" s="579"/>
      <c r="ON52" s="579"/>
      <c r="OO52" s="579"/>
      <c r="OP52" s="548" t="s">
        <v>872</v>
      </c>
      <c r="OQ52" s="548"/>
      <c r="OR52" s="548"/>
      <c r="OS52" s="548"/>
      <c r="OT52" s="548"/>
    </row>
    <row r="53" spans="3:410" ht="15.75" x14ac:dyDescent="0.25">
      <c r="F53" s="358"/>
      <c r="G53" s="358"/>
      <c r="H53" s="358"/>
      <c r="I53" s="358"/>
      <c r="J53" s="358"/>
      <c r="K53" s="358"/>
      <c r="L53" s="358"/>
      <c r="M53" s="358"/>
      <c r="N53" s="358"/>
      <c r="O53" s="358"/>
      <c r="P53" s="581" t="s">
        <v>443</v>
      </c>
      <c r="Q53" s="602"/>
      <c r="R53" s="602"/>
      <c r="S53" s="602"/>
      <c r="T53" s="602"/>
      <c r="U53" s="596" t="s">
        <v>444</v>
      </c>
      <c r="V53" s="596"/>
      <c r="W53" s="596"/>
      <c r="X53" s="596"/>
      <c r="Y53" s="596"/>
      <c r="Z53" s="359"/>
      <c r="AA53" s="359"/>
      <c r="AB53" s="359"/>
      <c r="AC53" s="359"/>
      <c r="AD53" s="359"/>
      <c r="AE53" s="359"/>
      <c r="AF53" s="359"/>
      <c r="AG53" s="359"/>
      <c r="AH53" s="359"/>
      <c r="AI53" s="359"/>
      <c r="AJ53" s="575" t="s">
        <v>443</v>
      </c>
      <c r="AK53" s="575"/>
      <c r="AL53" s="575"/>
      <c r="AM53" s="575"/>
      <c r="AN53" s="575"/>
      <c r="AO53" s="576" t="s">
        <v>444</v>
      </c>
      <c r="AP53" s="597"/>
      <c r="AQ53" s="597"/>
      <c r="AR53" s="597"/>
      <c r="AS53" s="598"/>
      <c r="AT53" s="360"/>
      <c r="AU53" s="360"/>
      <c r="AV53" s="360"/>
      <c r="AW53" s="360"/>
      <c r="AX53" s="360"/>
      <c r="AY53" s="360"/>
      <c r="AZ53" s="360"/>
      <c r="BA53" s="360"/>
      <c r="BB53" s="360"/>
      <c r="BC53" s="360"/>
      <c r="BD53" s="581" t="s">
        <v>443</v>
      </c>
      <c r="BE53" s="581"/>
      <c r="BF53" s="581"/>
      <c r="BG53" s="581"/>
      <c r="BH53" s="581"/>
      <c r="BI53" s="581" t="s">
        <v>444</v>
      </c>
      <c r="BJ53" s="581"/>
      <c r="BK53" s="581"/>
      <c r="BL53" s="581"/>
      <c r="BM53" s="581"/>
      <c r="BN53" s="361"/>
      <c r="BO53" s="361"/>
      <c r="BP53" s="361"/>
      <c r="BQ53" s="361"/>
      <c r="BR53" s="361"/>
      <c r="BS53" s="361"/>
      <c r="BT53" s="361"/>
      <c r="BU53" s="361"/>
      <c r="BV53" s="361"/>
      <c r="BW53" s="361"/>
      <c r="BX53" s="585" t="s">
        <v>443</v>
      </c>
      <c r="BY53" s="585"/>
      <c r="BZ53" s="585"/>
      <c r="CA53" s="585"/>
      <c r="CB53" s="585"/>
      <c r="CC53" s="585" t="s">
        <v>444</v>
      </c>
      <c r="CD53" s="585"/>
      <c r="CE53" s="585"/>
      <c r="CF53" s="585"/>
      <c r="CG53" s="585"/>
      <c r="CH53" s="360"/>
      <c r="CI53" s="360"/>
      <c r="CJ53" s="360"/>
      <c r="CK53" s="360"/>
      <c r="CL53" s="360"/>
      <c r="CM53" s="360"/>
      <c r="CN53" s="360"/>
      <c r="CO53" s="360"/>
      <c r="CP53" s="360"/>
      <c r="CQ53" s="360"/>
      <c r="CR53" s="581" t="s">
        <v>443</v>
      </c>
      <c r="CS53" s="581"/>
      <c r="CT53" s="581"/>
      <c r="CU53" s="581"/>
      <c r="CV53" s="581"/>
      <c r="CW53" s="581" t="s">
        <v>444</v>
      </c>
      <c r="CX53" s="581"/>
      <c r="CY53" s="581"/>
      <c r="CZ53" s="581"/>
      <c r="DA53" s="581"/>
      <c r="DB53" s="362"/>
      <c r="DC53" s="362"/>
      <c r="DD53" s="362"/>
      <c r="DE53" s="362"/>
      <c r="DF53" s="362"/>
      <c r="DG53" s="362"/>
      <c r="DH53" s="362"/>
      <c r="DI53" s="362"/>
      <c r="DJ53" s="362"/>
      <c r="DK53" s="362"/>
      <c r="DL53" s="575" t="s">
        <v>443</v>
      </c>
      <c r="DM53" s="575"/>
      <c r="DN53" s="575"/>
      <c r="DO53" s="575"/>
      <c r="DP53" s="575"/>
      <c r="DQ53" s="606" t="s">
        <v>444</v>
      </c>
      <c r="DR53" s="606"/>
      <c r="DS53" s="606"/>
      <c r="DT53" s="606"/>
      <c r="DU53" s="606"/>
      <c r="DV53" s="360"/>
      <c r="DW53" s="360"/>
      <c r="DX53" s="360"/>
      <c r="DY53" s="360"/>
      <c r="DZ53" s="360"/>
      <c r="EA53" s="360"/>
      <c r="EB53" s="360"/>
      <c r="EC53" s="360"/>
      <c r="ED53" s="360"/>
      <c r="EE53" s="360"/>
      <c r="EF53" s="581" t="s">
        <v>443</v>
      </c>
      <c r="EG53" s="581"/>
      <c r="EH53" s="581"/>
      <c r="EI53" s="581"/>
      <c r="EJ53" s="581"/>
      <c r="EK53" s="581" t="s">
        <v>444</v>
      </c>
      <c r="EL53" s="581"/>
      <c r="EM53" s="581"/>
      <c r="EN53" s="581"/>
      <c r="EO53" s="581"/>
      <c r="EP53" s="362"/>
      <c r="EQ53" s="362"/>
      <c r="ER53" s="362"/>
      <c r="ES53" s="362"/>
      <c r="ET53" s="362"/>
      <c r="EU53" s="362"/>
      <c r="EV53" s="362"/>
      <c r="EW53" s="362"/>
      <c r="EX53" s="362"/>
      <c r="EY53" s="362"/>
      <c r="EZ53" s="575" t="s">
        <v>443</v>
      </c>
      <c r="FA53" s="575"/>
      <c r="FB53" s="575"/>
      <c r="FC53" s="575"/>
      <c r="FD53" s="575"/>
      <c r="FE53" s="575" t="s">
        <v>444</v>
      </c>
      <c r="FF53" s="575"/>
      <c r="FG53" s="575"/>
      <c r="FH53" s="575"/>
      <c r="FI53" s="575"/>
      <c r="FJ53" s="360"/>
      <c r="FK53" s="360"/>
      <c r="FL53" s="360"/>
      <c r="FM53" s="360"/>
      <c r="FN53" s="360"/>
      <c r="FO53" s="360"/>
      <c r="FP53" s="360"/>
      <c r="FQ53" s="360"/>
      <c r="FR53" s="360"/>
      <c r="FS53" s="360"/>
      <c r="FT53" s="581" t="s">
        <v>560</v>
      </c>
      <c r="FU53" s="581"/>
      <c r="FV53" s="581"/>
      <c r="FW53" s="581"/>
      <c r="FX53" s="581"/>
      <c r="FY53" s="581" t="s">
        <v>444</v>
      </c>
      <c r="FZ53" s="581"/>
      <c r="GA53" s="581"/>
      <c r="GB53" s="581"/>
      <c r="GC53" s="581"/>
      <c r="GD53" s="363"/>
      <c r="GE53" s="363"/>
      <c r="GF53" s="363"/>
      <c r="GG53" s="363"/>
      <c r="GH53" s="363"/>
      <c r="GI53" s="363"/>
      <c r="GJ53" s="363"/>
      <c r="GK53" s="363"/>
      <c r="GL53" s="363"/>
      <c r="GM53" s="363"/>
      <c r="GN53" s="626" t="s">
        <v>443</v>
      </c>
      <c r="GO53" s="626"/>
      <c r="GP53" s="626"/>
      <c r="GQ53" s="626"/>
      <c r="GR53" s="626"/>
      <c r="GS53" s="626" t="s">
        <v>444</v>
      </c>
      <c r="GT53" s="626"/>
      <c r="GU53" s="626"/>
      <c r="GV53" s="626"/>
      <c r="GW53" s="626"/>
      <c r="GX53" s="360"/>
      <c r="GY53" s="360"/>
      <c r="GZ53" s="360"/>
      <c r="HA53" s="360"/>
      <c r="HB53" s="360"/>
      <c r="HC53" s="360"/>
      <c r="HD53" s="360"/>
      <c r="HE53" s="360"/>
      <c r="HF53" s="360"/>
      <c r="HG53" s="360"/>
      <c r="HH53" s="581" t="s">
        <v>443</v>
      </c>
      <c r="HI53" s="581"/>
      <c r="HJ53" s="581"/>
      <c r="HK53" s="581"/>
      <c r="HL53" s="581"/>
      <c r="HM53" s="581" t="s">
        <v>444</v>
      </c>
      <c r="HN53" s="581"/>
      <c r="HO53" s="581"/>
      <c r="HP53" s="581"/>
      <c r="HQ53" s="581"/>
      <c r="HR53" s="362"/>
      <c r="HS53" s="362"/>
      <c r="HT53" s="362"/>
      <c r="HU53" s="362"/>
      <c r="HV53" s="362"/>
      <c r="HW53" s="362"/>
      <c r="HX53" s="362"/>
      <c r="HY53" s="362"/>
      <c r="HZ53" s="362"/>
      <c r="IA53" s="362"/>
      <c r="IB53" s="575" t="s">
        <v>443</v>
      </c>
      <c r="IC53" s="575"/>
      <c r="ID53" s="575"/>
      <c r="IE53" s="575"/>
      <c r="IF53" s="575"/>
      <c r="IG53" s="575" t="s">
        <v>444</v>
      </c>
      <c r="IH53" s="575"/>
      <c r="II53" s="575"/>
      <c r="IJ53" s="575"/>
      <c r="IK53" s="575"/>
      <c r="IL53" s="360"/>
      <c r="IM53" s="360"/>
      <c r="IN53" s="360"/>
      <c r="IO53" s="360"/>
      <c r="IP53" s="360"/>
      <c r="IQ53" s="360"/>
      <c r="IR53" s="360"/>
      <c r="IS53" s="360"/>
      <c r="IT53" s="360"/>
      <c r="IU53" s="360"/>
      <c r="IV53" s="581" t="s">
        <v>443</v>
      </c>
      <c r="IW53" s="581"/>
      <c r="IX53" s="581"/>
      <c r="IY53" s="581"/>
      <c r="IZ53" s="581"/>
      <c r="JA53" s="581" t="s">
        <v>444</v>
      </c>
      <c r="JB53" s="581"/>
      <c r="JC53" s="581"/>
      <c r="JD53" s="581"/>
      <c r="JE53" s="581"/>
      <c r="JF53" s="361"/>
      <c r="JG53" s="361"/>
      <c r="JH53" s="361"/>
      <c r="JI53" s="361"/>
      <c r="JJ53" s="361"/>
      <c r="JK53" s="361"/>
      <c r="JL53" s="361"/>
      <c r="JM53" s="361"/>
      <c r="JN53" s="361"/>
      <c r="JO53" s="361"/>
      <c r="JP53" s="585" t="s">
        <v>443</v>
      </c>
      <c r="JQ53" s="585"/>
      <c r="JR53" s="585"/>
      <c r="JS53" s="585"/>
      <c r="JT53" s="585"/>
      <c r="JU53" s="586" t="s">
        <v>444</v>
      </c>
      <c r="JV53" s="587"/>
      <c r="JW53" s="587"/>
      <c r="JX53" s="587"/>
      <c r="JY53" s="588"/>
      <c r="JZ53" s="360"/>
      <c r="KA53" s="360"/>
      <c r="KB53" s="360"/>
      <c r="KC53" s="360"/>
      <c r="KD53" s="360"/>
      <c r="KE53" s="360"/>
      <c r="KF53" s="360"/>
      <c r="KG53" s="360"/>
      <c r="KH53" s="360"/>
      <c r="KI53" s="360"/>
      <c r="KJ53" s="581" t="s">
        <v>443</v>
      </c>
      <c r="KK53" s="581"/>
      <c r="KL53" s="581"/>
      <c r="KM53" s="581"/>
      <c r="KN53" s="581"/>
      <c r="KO53" s="581" t="s">
        <v>444</v>
      </c>
      <c r="KP53" s="581"/>
      <c r="KQ53" s="581"/>
      <c r="KR53" s="581"/>
      <c r="KS53" s="581"/>
      <c r="KT53" s="362"/>
      <c r="KU53" s="362"/>
      <c r="KV53" s="362"/>
      <c r="KW53" s="362"/>
      <c r="KX53" s="362"/>
      <c r="KY53" s="362"/>
      <c r="KZ53" s="362"/>
      <c r="LA53" s="362"/>
      <c r="LB53" s="362"/>
      <c r="LC53" s="362"/>
      <c r="LD53" s="575" t="s">
        <v>443</v>
      </c>
      <c r="LE53" s="575"/>
      <c r="LF53" s="575"/>
      <c r="LG53" s="575"/>
      <c r="LH53" s="575"/>
      <c r="LI53" s="576" t="s">
        <v>444</v>
      </c>
      <c r="LJ53" s="577"/>
      <c r="LK53" s="577"/>
      <c r="LL53" s="577"/>
      <c r="LM53" s="577"/>
      <c r="LN53" s="364"/>
      <c r="LO53" s="360"/>
      <c r="LP53" s="360"/>
      <c r="LQ53" s="360"/>
      <c r="LR53" s="360"/>
      <c r="LS53" s="360"/>
      <c r="LT53" s="360"/>
      <c r="LU53" s="360"/>
      <c r="LV53" s="360"/>
      <c r="LW53" s="360"/>
      <c r="LX53" s="581" t="s">
        <v>443</v>
      </c>
      <c r="LY53" s="581"/>
      <c r="LZ53" s="581"/>
      <c r="MA53" s="581"/>
      <c r="MB53" s="581"/>
      <c r="MC53" s="581" t="s">
        <v>626</v>
      </c>
      <c r="MD53" s="581"/>
      <c r="ME53" s="581"/>
      <c r="MF53" s="581"/>
      <c r="MG53" s="581"/>
      <c r="MH53" s="362"/>
      <c r="MI53" s="362"/>
      <c r="MJ53" s="362"/>
      <c r="MK53" s="362"/>
      <c r="ML53" s="362"/>
      <c r="MM53" s="362"/>
      <c r="MN53" s="362"/>
      <c r="MO53" s="362"/>
      <c r="MP53" s="362"/>
      <c r="MQ53" s="362"/>
      <c r="MR53" s="575" t="s">
        <v>443</v>
      </c>
      <c r="MS53" s="575"/>
      <c r="MT53" s="575"/>
      <c r="MU53" s="575"/>
      <c r="MV53" s="575"/>
      <c r="MW53" s="575" t="s">
        <v>444</v>
      </c>
      <c r="MX53" s="575"/>
      <c r="MY53" s="575"/>
      <c r="MZ53" s="575"/>
      <c r="NA53" s="575"/>
      <c r="NB53" s="360"/>
      <c r="NC53" s="360"/>
      <c r="ND53" s="360"/>
      <c r="NE53" s="360"/>
      <c r="NF53" s="360"/>
      <c r="NG53" s="360"/>
      <c r="NH53" s="360"/>
      <c r="NI53" s="360"/>
      <c r="NJ53" s="360"/>
      <c r="NK53" s="360"/>
      <c r="NL53" s="581" t="s">
        <v>443</v>
      </c>
      <c r="NM53" s="581"/>
      <c r="NN53" s="581"/>
      <c r="NO53" s="581"/>
      <c r="NP53" s="581"/>
      <c r="NQ53" s="581" t="s">
        <v>626</v>
      </c>
      <c r="NR53" s="581"/>
      <c r="NS53" s="581"/>
      <c r="NT53" s="581"/>
      <c r="NU53" s="581"/>
      <c r="NV53" s="362"/>
      <c r="NW53" s="362"/>
      <c r="NX53" s="362"/>
      <c r="NY53" s="362"/>
      <c r="NZ53" s="362"/>
      <c r="OA53" s="362"/>
      <c r="OB53" s="362"/>
      <c r="OC53" s="362"/>
      <c r="OD53" s="362"/>
      <c r="OE53" s="362"/>
      <c r="OF53" s="575" t="s">
        <v>443</v>
      </c>
      <c r="OG53" s="575"/>
      <c r="OH53" s="575"/>
      <c r="OI53" s="575"/>
      <c r="OJ53" s="575"/>
      <c r="OK53" s="575" t="s">
        <v>444</v>
      </c>
      <c r="OL53" s="575"/>
      <c r="OM53" s="575"/>
      <c r="ON53" s="575"/>
      <c r="OO53" s="576"/>
      <c r="OP53" s="548"/>
      <c r="OQ53" s="548"/>
      <c r="OR53" s="548"/>
      <c r="OS53" s="548"/>
      <c r="OT53" s="548"/>
    </row>
    <row r="54" spans="3:410" ht="45" customHeight="1" x14ac:dyDescent="0.25">
      <c r="C54" s="352" t="s">
        <v>437</v>
      </c>
      <c r="D54" s="352" t="s">
        <v>438</v>
      </c>
      <c r="E54" s="71" t="s">
        <v>442</v>
      </c>
      <c r="F54" s="365" t="s">
        <v>450</v>
      </c>
      <c r="G54" s="430" t="s">
        <v>893</v>
      </c>
      <c r="H54" s="338" t="s">
        <v>451</v>
      </c>
      <c r="I54" s="430" t="s">
        <v>894</v>
      </c>
      <c r="J54" s="338" t="s">
        <v>452</v>
      </c>
      <c r="K54" s="430" t="s">
        <v>895</v>
      </c>
      <c r="L54" s="338" t="s">
        <v>453</v>
      </c>
      <c r="M54" s="430" t="s">
        <v>896</v>
      </c>
      <c r="N54" s="338" t="s">
        <v>454</v>
      </c>
      <c r="O54" s="430" t="s">
        <v>897</v>
      </c>
      <c r="P54" s="430" t="s">
        <v>449</v>
      </c>
      <c r="Q54" s="430" t="s">
        <v>898</v>
      </c>
      <c r="R54" s="430" t="s">
        <v>899</v>
      </c>
      <c r="S54" s="430" t="s">
        <v>900</v>
      </c>
      <c r="T54" s="430" t="s">
        <v>901</v>
      </c>
      <c r="U54" s="432" t="s">
        <v>48</v>
      </c>
      <c r="V54" s="432" t="s">
        <v>49</v>
      </c>
      <c r="W54" s="432" t="s">
        <v>445</v>
      </c>
      <c r="X54" s="432" t="s">
        <v>446</v>
      </c>
      <c r="Y54" s="432" t="s">
        <v>447</v>
      </c>
      <c r="Z54" s="366" t="s">
        <v>457</v>
      </c>
      <c r="AA54" s="433" t="s">
        <v>902</v>
      </c>
      <c r="AB54" s="366" t="s">
        <v>458</v>
      </c>
      <c r="AC54" s="433" t="s">
        <v>906</v>
      </c>
      <c r="AD54" s="366" t="s">
        <v>459</v>
      </c>
      <c r="AE54" s="433" t="s">
        <v>905</v>
      </c>
      <c r="AF54" s="366" t="s">
        <v>460</v>
      </c>
      <c r="AG54" s="433" t="s">
        <v>904</v>
      </c>
      <c r="AH54" s="366" t="s">
        <v>461</v>
      </c>
      <c r="AI54" s="433" t="s">
        <v>903</v>
      </c>
      <c r="AJ54" s="433" t="s">
        <v>448</v>
      </c>
      <c r="AK54" s="433" t="s">
        <v>907</v>
      </c>
      <c r="AL54" s="433" t="s">
        <v>908</v>
      </c>
      <c r="AM54" s="433" t="s">
        <v>909</v>
      </c>
      <c r="AN54" s="433" t="s">
        <v>910</v>
      </c>
      <c r="AO54" s="434" t="s">
        <v>911</v>
      </c>
      <c r="AP54" s="434" t="s">
        <v>912</v>
      </c>
      <c r="AQ54" s="434" t="s">
        <v>913</v>
      </c>
      <c r="AR54" s="434" t="s">
        <v>914</v>
      </c>
      <c r="AS54" s="434" t="s">
        <v>915</v>
      </c>
      <c r="AT54" s="365" t="s">
        <v>466</v>
      </c>
      <c r="AU54" s="430" t="s">
        <v>916</v>
      </c>
      <c r="AV54" s="365" t="s">
        <v>468</v>
      </c>
      <c r="AW54" s="430" t="s">
        <v>917</v>
      </c>
      <c r="AX54" s="365" t="s">
        <v>469</v>
      </c>
      <c r="AY54" s="430" t="s">
        <v>918</v>
      </c>
      <c r="AZ54" s="365" t="s">
        <v>471</v>
      </c>
      <c r="BA54" s="430" t="s">
        <v>919</v>
      </c>
      <c r="BB54" s="365" t="s">
        <v>473</v>
      </c>
      <c r="BC54" s="430" t="s">
        <v>920</v>
      </c>
      <c r="BD54" s="430" t="s">
        <v>455</v>
      </c>
      <c r="BE54" s="430" t="s">
        <v>921</v>
      </c>
      <c r="BF54" s="430" t="s">
        <v>922</v>
      </c>
      <c r="BG54" s="430" t="s">
        <v>923</v>
      </c>
      <c r="BH54" s="430" t="s">
        <v>924</v>
      </c>
      <c r="BI54" s="430" t="s">
        <v>925</v>
      </c>
      <c r="BJ54" s="430" t="s">
        <v>926</v>
      </c>
      <c r="BK54" s="430" t="s">
        <v>927</v>
      </c>
      <c r="BL54" s="430" t="s">
        <v>928</v>
      </c>
      <c r="BM54" s="430" t="s">
        <v>929</v>
      </c>
      <c r="BN54" s="366" t="s">
        <v>477</v>
      </c>
      <c r="BO54" s="433" t="s">
        <v>930</v>
      </c>
      <c r="BP54" s="366" t="s">
        <v>478</v>
      </c>
      <c r="BQ54" s="433" t="s">
        <v>931</v>
      </c>
      <c r="BR54" s="366" t="s">
        <v>480</v>
      </c>
      <c r="BS54" s="433" t="s">
        <v>932</v>
      </c>
      <c r="BT54" s="366" t="s">
        <v>481</v>
      </c>
      <c r="BU54" s="433" t="s">
        <v>933</v>
      </c>
      <c r="BV54" s="366" t="s">
        <v>483</v>
      </c>
      <c r="BW54" s="433" t="s">
        <v>934</v>
      </c>
      <c r="BX54" s="433" t="s">
        <v>456</v>
      </c>
      <c r="BY54" s="433" t="s">
        <v>935</v>
      </c>
      <c r="BZ54" s="433" t="s">
        <v>936</v>
      </c>
      <c r="CA54" s="433" t="s">
        <v>937</v>
      </c>
      <c r="CB54" s="433" t="s">
        <v>938</v>
      </c>
      <c r="CC54" s="433" t="s">
        <v>939</v>
      </c>
      <c r="CD54" s="433" t="s">
        <v>940</v>
      </c>
      <c r="CE54" s="433" t="s">
        <v>941</v>
      </c>
      <c r="CF54" s="433" t="s">
        <v>942</v>
      </c>
      <c r="CG54" s="433" t="s">
        <v>943</v>
      </c>
      <c r="CH54" s="365" t="s">
        <v>709</v>
      </c>
      <c r="CI54" s="430" t="s">
        <v>944</v>
      </c>
      <c r="CJ54" s="365" t="s">
        <v>493</v>
      </c>
      <c r="CK54" s="430" t="s">
        <v>945</v>
      </c>
      <c r="CL54" s="365" t="s">
        <v>495</v>
      </c>
      <c r="CM54" s="430" t="s">
        <v>946</v>
      </c>
      <c r="CN54" s="365" t="s">
        <v>496</v>
      </c>
      <c r="CO54" s="430" t="s">
        <v>947</v>
      </c>
      <c r="CP54" s="365" t="s">
        <v>497</v>
      </c>
      <c r="CQ54" s="430" t="s">
        <v>948</v>
      </c>
      <c r="CR54" s="430" t="s">
        <v>491</v>
      </c>
      <c r="CS54" s="430" t="s">
        <v>949</v>
      </c>
      <c r="CT54" s="430" t="s">
        <v>950</v>
      </c>
      <c r="CU54" s="430" t="s">
        <v>951</v>
      </c>
      <c r="CV54" s="430" t="s">
        <v>952</v>
      </c>
      <c r="CW54" s="430" t="s">
        <v>953</v>
      </c>
      <c r="CX54" s="430" t="s">
        <v>954</v>
      </c>
      <c r="CY54" s="430" t="s">
        <v>955</v>
      </c>
      <c r="CZ54" s="430" t="s">
        <v>956</v>
      </c>
      <c r="DA54" s="430" t="s">
        <v>957</v>
      </c>
      <c r="DB54" s="366" t="s">
        <v>507</v>
      </c>
      <c r="DC54" s="433" t="s">
        <v>958</v>
      </c>
      <c r="DD54" s="366" t="s">
        <v>509</v>
      </c>
      <c r="DE54" s="433" t="s">
        <v>959</v>
      </c>
      <c r="DF54" s="366" t="s">
        <v>510</v>
      </c>
      <c r="DG54" s="433" t="s">
        <v>960</v>
      </c>
      <c r="DH54" s="366" t="s">
        <v>511</v>
      </c>
      <c r="DI54" s="433" t="s">
        <v>961</v>
      </c>
      <c r="DJ54" s="366" t="s">
        <v>513</v>
      </c>
      <c r="DK54" s="433" t="s">
        <v>962</v>
      </c>
      <c r="DL54" s="433" t="s">
        <v>506</v>
      </c>
      <c r="DM54" s="433" t="s">
        <v>963</v>
      </c>
      <c r="DN54" s="433" t="s">
        <v>964</v>
      </c>
      <c r="DO54" s="433" t="s">
        <v>965</v>
      </c>
      <c r="DP54" s="433" t="s">
        <v>966</v>
      </c>
      <c r="DQ54" s="435" t="s">
        <v>967</v>
      </c>
      <c r="DR54" s="435" t="s">
        <v>968</v>
      </c>
      <c r="DS54" s="435" t="s">
        <v>969</v>
      </c>
      <c r="DT54" s="435" t="s">
        <v>970</v>
      </c>
      <c r="DU54" s="435" t="s">
        <v>971</v>
      </c>
      <c r="DV54" s="365" t="s">
        <v>524</v>
      </c>
      <c r="DW54" s="430" t="s">
        <v>972</v>
      </c>
      <c r="DX54" s="365" t="s">
        <v>526</v>
      </c>
      <c r="DY54" s="430" t="s">
        <v>973</v>
      </c>
      <c r="DZ54" s="365" t="s">
        <v>528</v>
      </c>
      <c r="EA54" s="430" t="s">
        <v>974</v>
      </c>
      <c r="EB54" s="365" t="s">
        <v>529</v>
      </c>
      <c r="EC54" s="430" t="s">
        <v>975</v>
      </c>
      <c r="ED54" s="365" t="s">
        <v>531</v>
      </c>
      <c r="EE54" s="430" t="s">
        <v>976</v>
      </c>
      <c r="EF54" s="430" t="s">
        <v>523</v>
      </c>
      <c r="EG54" s="430" t="s">
        <v>977</v>
      </c>
      <c r="EH54" s="430" t="s">
        <v>978</v>
      </c>
      <c r="EI54" s="430" t="s">
        <v>979</v>
      </c>
      <c r="EJ54" s="430" t="s">
        <v>980</v>
      </c>
      <c r="EK54" s="430" t="s">
        <v>981</v>
      </c>
      <c r="EL54" s="430" t="s">
        <v>982</v>
      </c>
      <c r="EM54" s="430" t="s">
        <v>983</v>
      </c>
      <c r="EN54" s="430" t="s">
        <v>984</v>
      </c>
      <c r="EO54" s="430" t="s">
        <v>985</v>
      </c>
      <c r="EP54" s="366" t="s">
        <v>542</v>
      </c>
      <c r="EQ54" s="433" t="s">
        <v>986</v>
      </c>
      <c r="ER54" s="366" t="s">
        <v>544</v>
      </c>
      <c r="ES54" s="433" t="s">
        <v>987</v>
      </c>
      <c r="ET54" s="366" t="s">
        <v>546</v>
      </c>
      <c r="EU54" s="433" t="s">
        <v>988</v>
      </c>
      <c r="EV54" s="366" t="s">
        <v>548</v>
      </c>
      <c r="EW54" s="433" t="s">
        <v>989</v>
      </c>
      <c r="EX54" s="366" t="s">
        <v>550</v>
      </c>
      <c r="EY54" s="433" t="s">
        <v>990</v>
      </c>
      <c r="EZ54" s="433" t="s">
        <v>541</v>
      </c>
      <c r="FA54" s="433" t="s">
        <v>991</v>
      </c>
      <c r="FB54" s="433" t="s">
        <v>992</v>
      </c>
      <c r="FC54" s="433" t="s">
        <v>993</v>
      </c>
      <c r="FD54" s="433" t="s">
        <v>994</v>
      </c>
      <c r="FE54" s="433" t="s">
        <v>995</v>
      </c>
      <c r="FF54" s="433" t="s">
        <v>996</v>
      </c>
      <c r="FG54" s="433" t="s">
        <v>997</v>
      </c>
      <c r="FH54" s="433" t="s">
        <v>998</v>
      </c>
      <c r="FI54" s="433" t="s">
        <v>999</v>
      </c>
      <c r="FJ54" s="365" t="s">
        <v>561</v>
      </c>
      <c r="FK54" s="430" t="s">
        <v>1000</v>
      </c>
      <c r="FL54" s="365" t="s">
        <v>563</v>
      </c>
      <c r="FM54" s="430" t="s">
        <v>1001</v>
      </c>
      <c r="FN54" s="365" t="s">
        <v>564</v>
      </c>
      <c r="FO54" s="430" t="s">
        <v>1002</v>
      </c>
      <c r="FP54" s="365" t="s">
        <v>566</v>
      </c>
      <c r="FQ54" s="430" t="s">
        <v>1003</v>
      </c>
      <c r="FR54" s="365" t="s">
        <v>567</v>
      </c>
      <c r="FS54" s="430" t="s">
        <v>1004</v>
      </c>
      <c r="FT54" s="430" t="s">
        <v>559</v>
      </c>
      <c r="FU54" s="430" t="s">
        <v>1005</v>
      </c>
      <c r="FV54" s="430" t="s">
        <v>1006</v>
      </c>
      <c r="FW54" s="430" t="s">
        <v>1007</v>
      </c>
      <c r="FX54" s="430" t="s">
        <v>1008</v>
      </c>
      <c r="FY54" s="430" t="s">
        <v>1009</v>
      </c>
      <c r="FZ54" s="430" t="s">
        <v>1010</v>
      </c>
      <c r="GA54" s="430" t="s">
        <v>1011</v>
      </c>
      <c r="GB54" s="430" t="s">
        <v>1012</v>
      </c>
      <c r="GC54" s="430" t="s">
        <v>1013</v>
      </c>
      <c r="GD54" s="366" t="s">
        <v>576</v>
      </c>
      <c r="GE54" s="433" t="s">
        <v>1014</v>
      </c>
      <c r="GF54" s="366" t="s">
        <v>578</v>
      </c>
      <c r="GG54" s="433" t="s">
        <v>1015</v>
      </c>
      <c r="GH54" s="366" t="s">
        <v>580</v>
      </c>
      <c r="GI54" s="433" t="s">
        <v>1016</v>
      </c>
      <c r="GJ54" s="366" t="s">
        <v>581</v>
      </c>
      <c r="GK54" s="433" t="s">
        <v>1017</v>
      </c>
      <c r="GL54" s="366" t="s">
        <v>583</v>
      </c>
      <c r="GM54" s="433" t="s">
        <v>1018</v>
      </c>
      <c r="GN54" s="433" t="s">
        <v>575</v>
      </c>
      <c r="GO54" s="433" t="s">
        <v>1019</v>
      </c>
      <c r="GP54" s="433" t="s">
        <v>1020</v>
      </c>
      <c r="GQ54" s="433" t="s">
        <v>1021</v>
      </c>
      <c r="GR54" s="433" t="s">
        <v>1022</v>
      </c>
      <c r="GS54" s="433" t="s">
        <v>1023</v>
      </c>
      <c r="GT54" s="433" t="s">
        <v>1024</v>
      </c>
      <c r="GU54" s="433" t="s">
        <v>1025</v>
      </c>
      <c r="GV54" s="433" t="s">
        <v>1026</v>
      </c>
      <c r="GW54" s="433" t="s">
        <v>1027</v>
      </c>
      <c r="GX54" s="365" t="s">
        <v>590</v>
      </c>
      <c r="GY54" s="430" t="s">
        <v>1028</v>
      </c>
      <c r="GZ54" s="365" t="s">
        <v>591</v>
      </c>
      <c r="HA54" s="430" t="s">
        <v>1029</v>
      </c>
      <c r="HB54" s="365" t="s">
        <v>592</v>
      </c>
      <c r="HC54" s="430" t="s">
        <v>1030</v>
      </c>
      <c r="HD54" s="365" t="s">
        <v>593</v>
      </c>
      <c r="HE54" s="430" t="s">
        <v>1031</v>
      </c>
      <c r="HF54" s="365" t="s">
        <v>594</v>
      </c>
      <c r="HG54" s="430" t="s">
        <v>1032</v>
      </c>
      <c r="HH54" s="430" t="s">
        <v>589</v>
      </c>
      <c r="HI54" s="430" t="s">
        <v>1033</v>
      </c>
      <c r="HJ54" s="430" t="s">
        <v>1034</v>
      </c>
      <c r="HK54" s="430" t="s">
        <v>1035</v>
      </c>
      <c r="HL54" s="430" t="s">
        <v>1036</v>
      </c>
      <c r="HM54" s="430" t="s">
        <v>1037</v>
      </c>
      <c r="HN54" s="430" t="s">
        <v>1038</v>
      </c>
      <c r="HO54" s="430" t="s">
        <v>1039</v>
      </c>
      <c r="HP54" s="430" t="s">
        <v>1040</v>
      </c>
      <c r="HQ54" s="430" t="s">
        <v>1041</v>
      </c>
      <c r="HR54" s="366" t="s">
        <v>596</v>
      </c>
      <c r="HS54" s="433" t="s">
        <v>1042</v>
      </c>
      <c r="HT54" s="366" t="s">
        <v>597</v>
      </c>
      <c r="HU54" s="433" t="s">
        <v>1043</v>
      </c>
      <c r="HV54" s="366" t="s">
        <v>598</v>
      </c>
      <c r="HW54" s="433" t="s">
        <v>1044</v>
      </c>
      <c r="HX54" s="366" t="s">
        <v>599</v>
      </c>
      <c r="HY54" s="433" t="s">
        <v>1045</v>
      </c>
      <c r="HZ54" s="366" t="s">
        <v>600</v>
      </c>
      <c r="IA54" s="433" t="s">
        <v>1046</v>
      </c>
      <c r="IB54" s="433" t="s">
        <v>595</v>
      </c>
      <c r="IC54" s="433" t="s">
        <v>1047</v>
      </c>
      <c r="ID54" s="433" t="s">
        <v>1048</v>
      </c>
      <c r="IE54" s="433" t="s">
        <v>1049</v>
      </c>
      <c r="IF54" s="433" t="s">
        <v>1050</v>
      </c>
      <c r="IG54" s="433" t="s">
        <v>1051</v>
      </c>
      <c r="IH54" s="433" t="s">
        <v>1052</v>
      </c>
      <c r="II54" s="433" t="s">
        <v>1053</v>
      </c>
      <c r="IJ54" s="433" t="s">
        <v>1054</v>
      </c>
      <c r="IK54" s="433" t="s">
        <v>1055</v>
      </c>
      <c r="IL54" s="365" t="s">
        <v>602</v>
      </c>
      <c r="IM54" s="431" t="s">
        <v>1056</v>
      </c>
      <c r="IN54" s="365" t="s">
        <v>603</v>
      </c>
      <c r="IO54" s="430" t="s">
        <v>1057</v>
      </c>
      <c r="IP54" s="365" t="s">
        <v>604</v>
      </c>
      <c r="IQ54" s="430" t="s">
        <v>1058</v>
      </c>
      <c r="IR54" s="365" t="s">
        <v>605</v>
      </c>
      <c r="IS54" s="430" t="s">
        <v>1059</v>
      </c>
      <c r="IT54" s="365" t="s">
        <v>606</v>
      </c>
      <c r="IU54" s="430" t="s">
        <v>1060</v>
      </c>
      <c r="IV54" s="430" t="s">
        <v>601</v>
      </c>
      <c r="IW54" s="430" t="s">
        <v>1061</v>
      </c>
      <c r="IX54" s="430" t="s">
        <v>1062</v>
      </c>
      <c r="IY54" s="430" t="s">
        <v>1063</v>
      </c>
      <c r="IZ54" s="430" t="s">
        <v>1064</v>
      </c>
      <c r="JA54" s="430" t="s">
        <v>1065</v>
      </c>
      <c r="JB54" s="430" t="s">
        <v>1066</v>
      </c>
      <c r="JC54" s="430" t="s">
        <v>1067</v>
      </c>
      <c r="JD54" s="430" t="s">
        <v>1068</v>
      </c>
      <c r="JE54" s="430" t="s">
        <v>1069</v>
      </c>
      <c r="JF54" s="366" t="s">
        <v>608</v>
      </c>
      <c r="JG54" s="433" t="s">
        <v>1070</v>
      </c>
      <c r="JH54" s="366" t="s">
        <v>609</v>
      </c>
      <c r="JI54" s="433" t="s">
        <v>1071</v>
      </c>
      <c r="JJ54" s="366" t="s">
        <v>610</v>
      </c>
      <c r="JK54" s="433" t="s">
        <v>1072</v>
      </c>
      <c r="JL54" s="366" t="s">
        <v>611</v>
      </c>
      <c r="JM54" s="433" t="s">
        <v>1073</v>
      </c>
      <c r="JN54" s="366" t="s">
        <v>612</v>
      </c>
      <c r="JO54" s="433" t="s">
        <v>1074</v>
      </c>
      <c r="JP54" s="433" t="s">
        <v>607</v>
      </c>
      <c r="JQ54" s="433" t="s">
        <v>1075</v>
      </c>
      <c r="JR54" s="433" t="s">
        <v>1076</v>
      </c>
      <c r="JS54" s="433" t="s">
        <v>1077</v>
      </c>
      <c r="JT54" s="433" t="s">
        <v>1078</v>
      </c>
      <c r="JU54" s="433" t="s">
        <v>1079</v>
      </c>
      <c r="JV54" s="433" t="s">
        <v>1080</v>
      </c>
      <c r="JW54" s="433" t="s">
        <v>1081</v>
      </c>
      <c r="JX54" s="433" t="s">
        <v>1082</v>
      </c>
      <c r="JY54" s="433" t="s">
        <v>1083</v>
      </c>
      <c r="JZ54" s="365" t="s">
        <v>614</v>
      </c>
      <c r="KA54" s="430" t="s">
        <v>1084</v>
      </c>
      <c r="KB54" s="365" t="s">
        <v>615</v>
      </c>
      <c r="KC54" s="430" t="s">
        <v>1085</v>
      </c>
      <c r="KD54" s="365" t="s">
        <v>616</v>
      </c>
      <c r="KE54" s="430" t="s">
        <v>1086</v>
      </c>
      <c r="KF54" s="365" t="s">
        <v>617</v>
      </c>
      <c r="KG54" s="430" t="s">
        <v>1087</v>
      </c>
      <c r="KH54" s="365" t="s">
        <v>618</v>
      </c>
      <c r="KI54" s="430" t="s">
        <v>1088</v>
      </c>
      <c r="KJ54" s="430" t="s">
        <v>613</v>
      </c>
      <c r="KK54" s="430" t="s">
        <v>1089</v>
      </c>
      <c r="KL54" s="430" t="s">
        <v>1090</v>
      </c>
      <c r="KM54" s="430" t="s">
        <v>1091</v>
      </c>
      <c r="KN54" s="430" t="s">
        <v>1092</v>
      </c>
      <c r="KO54" s="430" t="s">
        <v>1093</v>
      </c>
      <c r="KP54" s="430" t="s">
        <v>1094</v>
      </c>
      <c r="KQ54" s="430" t="s">
        <v>1095</v>
      </c>
      <c r="KR54" s="430" t="s">
        <v>1096</v>
      </c>
      <c r="KS54" s="430" t="s">
        <v>1097</v>
      </c>
      <c r="KT54" s="366" t="s">
        <v>620</v>
      </c>
      <c r="KU54" s="433" t="s">
        <v>1098</v>
      </c>
      <c r="KV54" s="366" t="s">
        <v>621</v>
      </c>
      <c r="KW54" s="433" t="s">
        <v>1099</v>
      </c>
      <c r="KX54" s="366" t="s">
        <v>622</v>
      </c>
      <c r="KY54" s="433" t="s">
        <v>1100</v>
      </c>
      <c r="KZ54" s="366" t="s">
        <v>623</v>
      </c>
      <c r="LA54" s="433" t="s">
        <v>1101</v>
      </c>
      <c r="LB54" s="366" t="s">
        <v>624</v>
      </c>
      <c r="LC54" s="433" t="s">
        <v>1102</v>
      </c>
      <c r="LD54" s="433" t="s">
        <v>619</v>
      </c>
      <c r="LE54" s="433" t="s">
        <v>1103</v>
      </c>
      <c r="LF54" s="433" t="s">
        <v>1104</v>
      </c>
      <c r="LG54" s="433" t="s">
        <v>1105</v>
      </c>
      <c r="LH54" s="433" t="s">
        <v>1106</v>
      </c>
      <c r="LI54" s="433" t="s">
        <v>1107</v>
      </c>
      <c r="LJ54" s="433" t="s">
        <v>1108</v>
      </c>
      <c r="LK54" s="433" t="s">
        <v>1109</v>
      </c>
      <c r="LL54" s="433" t="s">
        <v>1110</v>
      </c>
      <c r="LM54" s="433" t="s">
        <v>1111</v>
      </c>
      <c r="LN54" s="365" t="s">
        <v>627</v>
      </c>
      <c r="LO54" s="430" t="s">
        <v>1112</v>
      </c>
      <c r="LP54" s="365" t="s">
        <v>628</v>
      </c>
      <c r="LQ54" s="430" t="s">
        <v>1113</v>
      </c>
      <c r="LR54" s="365" t="s">
        <v>629</v>
      </c>
      <c r="LS54" s="430" t="s">
        <v>1114</v>
      </c>
      <c r="LT54" s="365" t="s">
        <v>630</v>
      </c>
      <c r="LU54" s="430" t="s">
        <v>1115</v>
      </c>
      <c r="LV54" s="365" t="s">
        <v>631</v>
      </c>
      <c r="LW54" s="430" t="s">
        <v>1116</v>
      </c>
      <c r="LX54" s="430" t="s">
        <v>625</v>
      </c>
      <c r="LY54" s="430" t="s">
        <v>1117</v>
      </c>
      <c r="LZ54" s="430" t="s">
        <v>1118</v>
      </c>
      <c r="MA54" s="430" t="s">
        <v>1119</v>
      </c>
      <c r="MB54" s="430" t="s">
        <v>1120</v>
      </c>
      <c r="MC54" s="430" t="s">
        <v>1121</v>
      </c>
      <c r="MD54" s="430" t="s">
        <v>1122</v>
      </c>
      <c r="ME54" s="430" t="s">
        <v>1123</v>
      </c>
      <c r="MF54" s="430" t="s">
        <v>1124</v>
      </c>
      <c r="MG54" s="430" t="s">
        <v>1125</v>
      </c>
      <c r="MH54" s="366" t="s">
        <v>633</v>
      </c>
      <c r="MI54" s="433" t="s">
        <v>1126</v>
      </c>
      <c r="MJ54" s="366" t="s">
        <v>634</v>
      </c>
      <c r="MK54" s="433" t="s">
        <v>1127</v>
      </c>
      <c r="ML54" s="366" t="s">
        <v>635</v>
      </c>
      <c r="MM54" s="433" t="s">
        <v>1128</v>
      </c>
      <c r="MN54" s="366" t="s">
        <v>636</v>
      </c>
      <c r="MO54" s="433" t="s">
        <v>1129</v>
      </c>
      <c r="MP54" s="366" t="s">
        <v>637</v>
      </c>
      <c r="MQ54" s="433" t="s">
        <v>1130</v>
      </c>
      <c r="MR54" s="433" t="s">
        <v>632</v>
      </c>
      <c r="MS54" s="433" t="s">
        <v>1131</v>
      </c>
      <c r="MT54" s="433" t="s">
        <v>1132</v>
      </c>
      <c r="MU54" s="433" t="s">
        <v>1133</v>
      </c>
      <c r="MV54" s="433" t="s">
        <v>1134</v>
      </c>
      <c r="MW54" s="433" t="s">
        <v>1135</v>
      </c>
      <c r="MX54" s="433" t="s">
        <v>1136</v>
      </c>
      <c r="MY54" s="433" t="s">
        <v>1137</v>
      </c>
      <c r="MZ54" s="433" t="s">
        <v>1138</v>
      </c>
      <c r="NA54" s="433" t="s">
        <v>1139</v>
      </c>
      <c r="NB54" s="365" t="s">
        <v>639</v>
      </c>
      <c r="NC54" s="430" t="s">
        <v>1140</v>
      </c>
      <c r="ND54" s="365" t="s">
        <v>640</v>
      </c>
      <c r="NE54" s="430" t="s">
        <v>1141</v>
      </c>
      <c r="NF54" s="365" t="s">
        <v>641</v>
      </c>
      <c r="NG54" s="430" t="s">
        <v>1142</v>
      </c>
      <c r="NH54" s="365" t="s">
        <v>643</v>
      </c>
      <c r="NI54" s="430" t="s">
        <v>1143</v>
      </c>
      <c r="NJ54" s="365" t="s">
        <v>642</v>
      </c>
      <c r="NK54" s="430" t="s">
        <v>1144</v>
      </c>
      <c r="NL54" s="430" t="s">
        <v>638</v>
      </c>
      <c r="NM54" s="430" t="s">
        <v>1145</v>
      </c>
      <c r="NN54" s="430" t="s">
        <v>1146</v>
      </c>
      <c r="NO54" s="430" t="s">
        <v>1147</v>
      </c>
      <c r="NP54" s="430" t="s">
        <v>1148</v>
      </c>
      <c r="NQ54" s="430" t="s">
        <v>1149</v>
      </c>
      <c r="NR54" s="430" t="s">
        <v>1150</v>
      </c>
      <c r="NS54" s="430" t="s">
        <v>1151</v>
      </c>
      <c r="NT54" s="430" t="s">
        <v>1152</v>
      </c>
      <c r="NU54" s="430" t="s">
        <v>1153</v>
      </c>
      <c r="NV54" s="366" t="s">
        <v>645</v>
      </c>
      <c r="NW54" s="433" t="s">
        <v>1154</v>
      </c>
      <c r="NX54" s="366" t="s">
        <v>646</v>
      </c>
      <c r="NY54" s="433" t="s">
        <v>1155</v>
      </c>
      <c r="NZ54" s="366" t="s">
        <v>647</v>
      </c>
      <c r="OA54" s="433" t="s">
        <v>1156</v>
      </c>
      <c r="OB54" s="366" t="s">
        <v>648</v>
      </c>
      <c r="OC54" s="433" t="s">
        <v>1157</v>
      </c>
      <c r="OD54" s="366" t="s">
        <v>649</v>
      </c>
      <c r="OE54" s="433" t="s">
        <v>1158</v>
      </c>
      <c r="OF54" s="433" t="s">
        <v>644</v>
      </c>
      <c r="OG54" s="433" t="s">
        <v>1159</v>
      </c>
      <c r="OH54" s="433" t="s">
        <v>1160</v>
      </c>
      <c r="OI54" s="433" t="s">
        <v>1161</v>
      </c>
      <c r="OJ54" s="433" t="s">
        <v>1162</v>
      </c>
      <c r="OK54" s="433" t="s">
        <v>1163</v>
      </c>
      <c r="OL54" s="433" t="s">
        <v>1164</v>
      </c>
      <c r="OM54" s="433" t="s">
        <v>1165</v>
      </c>
      <c r="ON54" s="433" t="s">
        <v>1166</v>
      </c>
      <c r="OO54" s="436" t="s">
        <v>1167</v>
      </c>
      <c r="OP54" s="428" t="s">
        <v>873</v>
      </c>
      <c r="OQ54" s="428" t="s">
        <v>874</v>
      </c>
      <c r="OR54" s="428" t="s">
        <v>875</v>
      </c>
      <c r="OS54" s="428" t="s">
        <v>876</v>
      </c>
      <c r="OT54" s="428"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53">
        <f>$D$13*(1+BASES!$E$10)</f>
        <v>0</v>
      </c>
      <c r="R55" s="353">
        <f>Tabla1[[#This Row],[COSTO UNITARIO AÑO 2]]*(1+BASES!$F$10)</f>
        <v>0</v>
      </c>
      <c r="S55" s="353">
        <f>Tabla1[[#This Row],[COSTO UNITARIO AÑO 3]]*(1+BASES!$G$10)</f>
        <v>0</v>
      </c>
      <c r="T55" s="353">
        <f>Tabla1[[#This Row],[COSTO UNITARIO AÑO 4]]*(1+BASES!$H$10)</f>
        <v>0</v>
      </c>
      <c r="U55" s="353">
        <f>Tabla1[[#This Row],[COSTO POR UNIDAD DE PRODUCTO (1)]]*$D$13*VLOOKUP(Tabla1[[#This Row],[CÓDIGO DEL PRODUCTO Y/O SERVICIO ]],Tabla3[],3)</f>
        <v>0</v>
      </c>
      <c r="V55" s="353">
        <f>Tabla1[[#This Row],[COSTO POR UNIDAD DE PRODUCTO (1)]]*Tabla1[[#This Row],[COSTO UNITARIO AÑO 2]]*VLOOKUP(Tabla1[[#This Row],[CÓDIGO DEL PRODUCTO Y/O SERVICIO ]],Tabla3[],6)</f>
        <v>0</v>
      </c>
      <c r="W55" s="353">
        <f>Tabla1[[#This Row],[COSTO POR UNIDAD DE PRODUCTO (1)]]*Tabla1[[#This Row],[COSTO UNITARIO AÑO 3]]*VLOOKUP(Tabla1[[#This Row],[CÓDIGO DEL PRODUCTO Y/O SERVICIO ]],Tabla3[],10)</f>
        <v>0</v>
      </c>
      <c r="X55" s="353">
        <f>Tabla1[[#This Row],[COSTO POR UNIDAD DE PRODUCTO (1)]]*Tabla1[[#This Row],[COSTO UNITARIO AÑO 4]]*VLOOKUP(Tabla1[[#This Row],[CÓDIGO DEL PRODUCTO Y/O SERVICIO ]],Tabla3[],14)</f>
        <v>0</v>
      </c>
      <c r="Y55" s="353">
        <f>Tabla1[[#This Row],[COSTO POR UNIDAD DE PRODUCTO (1)]]*Tabla1[[#This Row],[COSTO UNITARIO AÑO 5]]*VLOOKUP(Tabla1[[#This Row],[CÓDIGO DEL PRODUCTO Y/O SERVICIO ]],Tabla3[],18)</f>
        <v>0</v>
      </c>
      <c r="Z55" s="354">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53">
        <f>IF(Tabla1[[#This Row],[CANTIDADES A UTILIZAR EN EL AÑO 1 2]]=0,0,Tabla1[[#This Row],[CANTIDADES A UTILIZAR EN EL AÑO 1 2]]*1/Tabla1[[#This Row],[UNIDADES PRODUCIDAS AÑO 1 2]])</f>
        <v>0</v>
      </c>
      <c r="AK55" s="353">
        <f>$D$14*(1+BASES!$E$10)</f>
        <v>0</v>
      </c>
      <c r="AL55" s="353">
        <f>Tabla1[[#This Row],[COSTO UNITARIO AÑO 2 2]]*(1+BASES!$F$10)</f>
        <v>0</v>
      </c>
      <c r="AM55" s="353">
        <f>Tabla1[[#This Row],[COSTO UNITARIO AÑO 3 2]]*(1+BASES!$G$10)</f>
        <v>0</v>
      </c>
      <c r="AN55" s="353">
        <f>Tabla1[[#This Row],[COSTO UNITARIO AÑO 4 2]]*(1+BASES!$H$10)</f>
        <v>0</v>
      </c>
      <c r="AO55" s="353">
        <f>Tabla1[[#This Row],[COSTO POR UNIDAD DE PRODUCTO (2)]]*$D$14*VLOOKUP(Tabla1[[#This Row],[CÓDIGO DEL PRODUCTO Y/O SERVICIO ]],Tabla3[],3)</f>
        <v>0</v>
      </c>
      <c r="AP55" s="353">
        <f>Tabla1[[#This Row],[COSTO POR UNIDAD DE PRODUCTO (2)]]*Tabla1[[#This Row],[COSTO UNITARIO AÑO 2 2]]*VLOOKUP(Tabla1[[#This Row],[CÓDIGO DEL PRODUCTO Y/O SERVICIO ]],Tabla3[],6)</f>
        <v>0</v>
      </c>
      <c r="AQ55" s="353">
        <f>Tabla1[[#This Row],[COSTO POR UNIDAD DE PRODUCTO (2)]]*Tabla1[[#This Row],[COSTO UNITARIO AÑO 3 2]]*VLOOKUP(Tabla1[[#This Row],[CÓDIGO DEL PRODUCTO Y/O SERVICIO ]],Tabla3[],10)</f>
        <v>0</v>
      </c>
      <c r="AR55" s="353">
        <f>Tabla1[[#This Row],[COSTO POR UNIDAD DE PRODUCTO (2)]]*Tabla1[[#This Row],[COSTO UNITARIO AÑO 4 2]]*VLOOKUP(Tabla1[[#This Row],[CÓDIGO DEL PRODUCTO Y/O SERVICIO ]],Tabla3[],14)</f>
        <v>0</v>
      </c>
      <c r="AS55" s="353">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53">
        <f>IF(Tabla1[[#This Row],[CANTIDADES A UTILIZAR  AÑO 1 3]]=0,0,Tabla1[[#This Row],[CANTIDADES A UTILIZAR  AÑO 1 3]]*1/Tabla1[[#This Row],[UNIDADES PRODUCIDAS AÑO 1 3]])</f>
        <v>0</v>
      </c>
      <c r="BE55" s="353">
        <f>$D$15*(1+BASES!$E$10)</f>
        <v>0</v>
      </c>
      <c r="BF55" s="353">
        <f>Tabla1[[#This Row],[COSTO UNITARIO AÑO 2 3]]*(1+BASES!$F$10)</f>
        <v>0</v>
      </c>
      <c r="BG55" s="353">
        <f>Tabla1[[#This Row],[COSTO UNITARIO AÑO 3 3]]*(1+BASES!$G$10)</f>
        <v>0</v>
      </c>
      <c r="BH55" s="353">
        <f>Tabla1[[#This Row],[COSTO UNITARIO AÑO 4 3]]*(1+BASES!$H$10)</f>
        <v>0</v>
      </c>
      <c r="BI55" s="353">
        <f>Tabla1[[#This Row],[COSTO POR UNIDAD DE PRODUCTO (3)]]*$D$15*VLOOKUP(Tabla1[[#This Row],[CÓDIGO DEL PRODUCTO Y/O SERVICIO ]],Tabla3[],3)</f>
        <v>0</v>
      </c>
      <c r="BJ55" s="353">
        <f>Tabla1[[#This Row],[COSTO POR UNIDAD DE PRODUCTO (3)]]*Tabla1[[#This Row],[COSTO UNITARIO AÑO 2 3]]*VLOOKUP(Tabla1[[#This Row],[CÓDIGO DEL PRODUCTO Y/O SERVICIO ]],Tabla3[],6)</f>
        <v>0</v>
      </c>
      <c r="BK55" s="353">
        <f>Tabla1[[#This Row],[COSTO POR UNIDAD DE PRODUCTO (3)]]*Tabla1[[#This Row],[COSTO UNITARIO AÑO 3 3]]*VLOOKUP(Tabla1[[#This Row],[CÓDIGO DEL PRODUCTO Y/O SERVICIO ]],Tabla3[],10)</f>
        <v>0</v>
      </c>
      <c r="BL55" s="353">
        <f>Tabla1[[#This Row],[COSTO POR UNIDAD DE PRODUCTO (3)]]*Tabla1[[#This Row],[COSTO UNITARIO AÑO 4 3]]*VLOOKUP(Tabla1[[#This Row],[CÓDIGO DEL PRODUCTO Y/O SERVICIO ]],Tabla3[],14)</f>
        <v>0</v>
      </c>
      <c r="BM55" s="353">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53">
        <f>IF(Tabla1[[#This Row],[CANTIDADES A UTILIZAR  AÑO 1 4]]=0,0,Tabla1[[#This Row],[CANTIDADES A UTILIZAR  AÑO 1 4]]*1/Tabla1[[#This Row],[UNIDADES PRODUCIDAS AÑO 1 4]])</f>
        <v>0</v>
      </c>
      <c r="BY55" s="353">
        <f>$D$16*(1+BASES!$E$10)</f>
        <v>0</v>
      </c>
      <c r="BZ55" s="353">
        <f>Tabla1[[#This Row],[COSTO UNITARIO AÑO 2 4]]*(1+BASES!$F$10)</f>
        <v>0</v>
      </c>
      <c r="CA55" s="353">
        <f>Tabla1[[#This Row],[COSTO UNITARIO AÑO 3 4]]*(1+BASES!$G$10)</f>
        <v>0</v>
      </c>
      <c r="CB55" s="353">
        <f>Tabla1[[#This Row],[COSTO UNITARIO AÑO 4 4]]*(1+BASES!$H$10)</f>
        <v>0</v>
      </c>
      <c r="CC55" s="353">
        <f>Tabla1[[#This Row],[COSTO POR UNIDAD DE PRODUCTO (4) ]]*$D$16*VLOOKUP(Tabla1[[#This Row],[CÓDIGO DEL PRODUCTO Y/O SERVICIO ]],Tabla3[],3)</f>
        <v>0</v>
      </c>
      <c r="CD55" s="353">
        <f>Tabla1[[#This Row],[COSTO POR UNIDAD DE PRODUCTO (4) ]]*Tabla1[[#This Row],[COSTO UNITARIO AÑO 2 4]]*VLOOKUP(Tabla1[[#This Row],[CÓDIGO DEL PRODUCTO Y/O SERVICIO ]],Tabla3[],6)</f>
        <v>0</v>
      </c>
      <c r="CE55" s="353">
        <f>Tabla1[[#This Row],[COSTO POR UNIDAD DE PRODUCTO (4) ]]*Tabla1[[#This Row],[COSTO UNITARIO AÑO 3 4]]*VLOOKUP(Tabla1[[#This Row],[CÓDIGO DEL PRODUCTO Y/O SERVICIO ]],Tabla3[],10)</f>
        <v>0</v>
      </c>
      <c r="CF55" s="353">
        <f>Tabla1[[#This Row],[COSTO POR UNIDAD DE PRODUCTO (4) ]]*Tabla1[[#This Row],[COSTO UNITARIO AÑO 4 4]]*VLOOKUP(Tabla1[[#This Row],[CÓDIGO DEL PRODUCTO Y/O SERVICIO ]],Tabla3[],14)</f>
        <v>0</v>
      </c>
      <c r="CG55" s="353">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53">
        <f>IF(Tabla1[[#This Row],[CANTIDADES A UTILIZAR  AÑO 1 5]]=0,0,Tabla1[[#This Row],[CANTIDADES A UTILIZAR  AÑO 1 5]]*1/Tabla1[[#This Row],[UNIDADES PRODUCIDAS AÑO 1 5]])</f>
        <v>0</v>
      </c>
      <c r="CS55" s="353">
        <f>$D$17*(1+BASES!$E$10)</f>
        <v>0</v>
      </c>
      <c r="CT55" s="353">
        <f>Tabla1[[#This Row],[COSTO UNITARIO AÑO 2 5]]*(1+BASES!$F$10)</f>
        <v>0</v>
      </c>
      <c r="CU55" s="353">
        <f>Tabla1[[#This Row],[COSTO UNITARIO AÑO 3 5]]*(1+BASES!$G$10)</f>
        <v>0</v>
      </c>
      <c r="CV55" s="353">
        <f>Tabla1[[#This Row],[COSTO UNITARIO AÑO 4 5]]*(1+BASES!$H$10)</f>
        <v>0</v>
      </c>
      <c r="CW55" s="353">
        <f>Tabla1[[#This Row],[COSTO POR UNIDAD DE PRODUCTO (5)]]*$D$17*VLOOKUP(Tabla1[[#This Row],[CÓDIGO DEL PRODUCTO Y/O SERVICIO ]],Tabla3[],3)</f>
        <v>0</v>
      </c>
      <c r="CX55" s="353">
        <f>Tabla1[[#This Row],[COSTO POR UNIDAD DE PRODUCTO (5)]]*Tabla1[[#This Row],[COSTO UNITARIO AÑO 2 5]]*VLOOKUP(Tabla1[[#This Row],[CÓDIGO DEL PRODUCTO Y/O SERVICIO ]],Tabla3[],6)</f>
        <v>0</v>
      </c>
      <c r="CY55" s="353">
        <f>Tabla1[[#This Row],[COSTO POR UNIDAD DE PRODUCTO (5)]]*Tabla1[[#This Row],[COSTO UNITARIO AÑO 3 5]]*VLOOKUP(Tabla1[[#This Row],[CÓDIGO DEL PRODUCTO Y/O SERVICIO ]],Tabla3[],10)</f>
        <v>0</v>
      </c>
      <c r="CZ55" s="353">
        <f>Tabla1[[#This Row],[COSTO POR UNIDAD DE PRODUCTO (5)]]*Tabla1[[#This Row],[COSTO UNITARIO AÑO 4 5]]*VLOOKUP(Tabla1[[#This Row],[CÓDIGO DEL PRODUCTO Y/O SERVICIO ]],Tabla3[],14)</f>
        <v>0</v>
      </c>
      <c r="DA55" s="353">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53">
        <f>IF(Tabla1[[#This Row],[CANTIDADES A UTILIZAR  AÑO 1 6]]=0,0,Tabla1[[#This Row],[CANTIDADES A UTILIZAR  AÑO 1 6]]*1/Tabla1[[#This Row],[UNIDADES PRODUCIDAS AÑO 1 6]])</f>
        <v>0</v>
      </c>
      <c r="DM55" s="353">
        <f>$D$18*(1+BASES!$E$10)</f>
        <v>0</v>
      </c>
      <c r="DN55" s="353">
        <f>Tabla1[[#This Row],[COSTO UNITARIO AÑO 2 6]]*(1+BASES!$F$10)</f>
        <v>0</v>
      </c>
      <c r="DO55" s="353">
        <f>Tabla1[[#This Row],[COSTO UNITARIO AÑO 3 6]]*(1+BASES!$G$10)</f>
        <v>0</v>
      </c>
      <c r="DP55" s="353">
        <f>Tabla1[[#This Row],[COSTO UNITARIO AÑO 4 6 ]]*(1+BASES!$H$10)</f>
        <v>0</v>
      </c>
      <c r="DQ55" s="353">
        <f>Tabla1[[#This Row],[COSTO POR UNIDAD DE PRODUCTO (6)]]*$D$18*VLOOKUP(Tabla1[[#This Row],[CÓDIGO DEL PRODUCTO Y/O SERVICIO ]],Tabla3[],3)</f>
        <v>0</v>
      </c>
      <c r="DR55" s="353">
        <f>Tabla1[[#This Row],[COSTO POR UNIDAD DE PRODUCTO (6)]]*Tabla1[[#This Row],[COSTO UNITARIO AÑO 2 6]]*VLOOKUP(Tabla1[[#This Row],[CÓDIGO DEL PRODUCTO Y/O SERVICIO ]],Tabla3[],6)</f>
        <v>0</v>
      </c>
      <c r="DS55" s="353">
        <f>Tabla1[[#This Row],[COSTO POR UNIDAD DE PRODUCTO (6)]]*Tabla1[[#This Row],[COSTO UNITARIO AÑO 3 6]]*VLOOKUP(Tabla1[[#This Row],[CÓDIGO DEL PRODUCTO Y/O SERVICIO ]],Tabla3[],10)</f>
        <v>0</v>
      </c>
      <c r="DT55" s="353">
        <f>Tabla1[[#This Row],[COSTO POR UNIDAD DE PRODUCTO (6)]]*Tabla1[[#This Row],[COSTO UNITARIO AÑO 4 6 ]]*VLOOKUP(Tabla1[[#This Row],[CÓDIGO DEL PRODUCTO Y/O SERVICIO ]],Tabla3[],14)</f>
        <v>0</v>
      </c>
      <c r="DU55" s="353">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53">
        <f>IF(Tabla1[[#This Row],[CANTIDADES A UTILIZAR  AÑO 1 7]]=0,0,Tabla1[[#This Row],[CANTIDADES A UTILIZAR  AÑO 1 7]]*1/Tabla1[[#This Row],[UNIDADES PRODUCIDAS AÑO 1 7]])</f>
        <v>0</v>
      </c>
      <c r="EG55" s="353">
        <f>$D$19*(1+BASES!$E$10)</f>
        <v>0</v>
      </c>
      <c r="EH55" s="353">
        <f>Tabla1[[#This Row],[COSTO UNITARIO AÑO 2 7]]*(1+BASES!$F$10)</f>
        <v>0</v>
      </c>
      <c r="EI55" s="353">
        <f>Tabla1[[#This Row],[COSTO UNITARIO AÑO 3 7]]*(1+BASES!$G$10)</f>
        <v>0</v>
      </c>
      <c r="EJ55" s="353">
        <f>Tabla1[[#This Row],[COSTO UNITARIO AÑO 4 7]]*(1+BASES!$H$10)</f>
        <v>0</v>
      </c>
      <c r="EK55" s="353">
        <f>Tabla1[[#This Row],[COSTO POR UNIDAD DE PRODUCTO (7)]]*$D$19*VLOOKUP(Tabla1[[#This Row],[CÓDIGO DEL PRODUCTO Y/O SERVICIO ]],Tabla3[],3)</f>
        <v>0</v>
      </c>
      <c r="EL55" s="353">
        <f>Tabla1[[#This Row],[COSTO POR UNIDAD DE PRODUCTO (7)]]*Tabla1[[#This Row],[COSTO UNITARIO AÑO 2 7]]*VLOOKUP(Tabla1[[#This Row],[CÓDIGO DEL PRODUCTO Y/O SERVICIO ]],Tabla3[],6)</f>
        <v>0</v>
      </c>
      <c r="EM55" s="353">
        <f>Tabla1[[#This Row],[COSTO POR UNIDAD DE PRODUCTO (7)]]*Tabla1[[#This Row],[COSTO UNITARIO AÑO 3 7]]*VLOOKUP(Tabla1[[#This Row],[CÓDIGO DEL PRODUCTO Y/O SERVICIO ]],Tabla3[],10)</f>
        <v>0</v>
      </c>
      <c r="EN55" s="353">
        <f>Tabla1[[#This Row],[COSTO POR UNIDAD DE PRODUCTO (7)]]*Tabla1[[#This Row],[COSTO UNITARIO AÑO 4 7]]*VLOOKUP(Tabla1[[#This Row],[CÓDIGO DEL PRODUCTO Y/O SERVICIO ]],Tabla3[],14)</f>
        <v>0</v>
      </c>
      <c r="EO55" s="353">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53">
        <f>IF(Tabla1[[#This Row],[CANTIDADES A UTILIZAR  AÑO 1 8]]=0,0,Tabla1[[#This Row],[CANTIDADES A UTILIZAR  AÑO 1 8]]*1/Tabla1[[#This Row],[UNIDADES PRODUCIDAS AÑO 1 8]])</f>
        <v>0</v>
      </c>
      <c r="FA55" s="353">
        <f>$D$20*(1+BASES!$E$10)</f>
        <v>0</v>
      </c>
      <c r="FB55" s="353">
        <f>Tabla1[[#This Row],[COSTO UNITARIO AÑO 2 8]]*(1+BASES!$F$10)</f>
        <v>0</v>
      </c>
      <c r="FC55" s="353">
        <f>Tabla1[[#This Row],[COSTO UNITARIO AÑO 3 8]]*(1+BASES!$G$10)</f>
        <v>0</v>
      </c>
      <c r="FD55" s="353">
        <f>Tabla1[[#This Row],[COSTO UNITARIO AÑO 4 8]]*(1+BASES!$H$10)</f>
        <v>0</v>
      </c>
      <c r="FE55" s="353">
        <f>Tabla1[[#This Row],[COSTO POR UNIDAD DE PRODUCTO (8)]]*$D$20*VLOOKUP(Tabla1[[#This Row],[CÓDIGO DEL PRODUCTO Y/O SERVICIO ]],Tabla3[],3)</f>
        <v>0</v>
      </c>
      <c r="FF55" s="353">
        <f>Tabla1[[#This Row],[COSTO POR UNIDAD DE PRODUCTO (8)]]*Tabla1[[#This Row],[COSTO UNITARIO AÑO 2 8]]*VLOOKUP(Tabla1[[#This Row],[CÓDIGO DEL PRODUCTO Y/O SERVICIO ]],Tabla3[],6)</f>
        <v>0</v>
      </c>
      <c r="FG55" s="353">
        <f>Tabla1[[#This Row],[COSTO POR UNIDAD DE PRODUCTO (8)]]*Tabla1[[#This Row],[COSTO UNITARIO AÑO 3 8]]*VLOOKUP(Tabla1[[#This Row],[CÓDIGO DEL PRODUCTO Y/O SERVICIO ]],Tabla3[],10)</f>
        <v>0</v>
      </c>
      <c r="FH55" s="353">
        <f>Tabla1[[#This Row],[COSTO POR UNIDAD DE PRODUCTO (8)]]*Tabla1[[#This Row],[COSTO UNITARIO AÑO 4 8]]*VLOOKUP(Tabla1[[#This Row],[CÓDIGO DEL PRODUCTO Y/O SERVICIO ]],Tabla3[],14)</f>
        <v>0</v>
      </c>
      <c r="FI55" s="353">
        <f>Tabla1[[#This Row],[COSTO POR UNIDAD DE PRODUCTO (8)]]*Tabla1[[#This Row],[COSTO UNITARIO AÑO 5 8]]*VLOOKUP(Tabla1[[#This Row],[CÓDIGO DEL PRODUCTO Y/O SERVICIO ]],Tabla3[],18)</f>
        <v>0</v>
      </c>
      <c r="FJ55" s="355">
        <f>VLOOKUP(Tabla1[[#This Row],[CÓDIGO DEL PRODUCTO Y/O SERVICIO ]],Tabla3[],3)</f>
        <v>0</v>
      </c>
      <c r="FK55" s="355">
        <f>Tabla1[[#This Row],[UNIDADES PRODUCIDAS AÑO 1 9 ]]*N40</f>
        <v>0</v>
      </c>
      <c r="FL55" s="356">
        <f>VLOOKUP(Tabla1[[#This Row],[CÓDIGO DEL PRODUCTO Y/O SERVICIO ]],Tabla3[],9)</f>
        <v>0</v>
      </c>
      <c r="FM55" s="355">
        <f>Tabla1[[#This Row],[CANTIDADES A UTILIZAR  AÑO 1 9]]*(1+Tabla1[[#This Row],[CAMBIO PORCENTUAL EN UNIDADES VENDIDAS AÑO 2 9]])</f>
        <v>0</v>
      </c>
      <c r="FN55" s="356">
        <f>VLOOKUP(Tabla1[[#This Row],[CÓDIGO DEL PRODUCTO Y/O SERVICIO ]],Tabla3[],13)</f>
        <v>0</v>
      </c>
      <c r="FO55" s="355">
        <f>Tabla1[[#This Row],[CANTIDADES A UTILIZAR  AÑO 2 9]]*(1+Tabla1[[#This Row],[CAMBIO PORCENTUAL EN UNIDADES VENDIDAS AÑO 3 9]])</f>
        <v>0</v>
      </c>
      <c r="FP55" s="356">
        <f>VLOOKUP(Tabla1[[#This Row],[CÓDIGO DEL PRODUCTO Y/O SERVICIO ]],Tabla3[],17)</f>
        <v>0</v>
      </c>
      <c r="FQ55" s="355">
        <f>Tabla1[[#This Row],[CANTIDADES A UTILIZAR  AÑO 3 9]]*(1+Tabla1[[#This Row],[CAMBIO PORCENTUAL EN UNIDADES VENDIDAS AÑO 4 9 ]])</f>
        <v>0</v>
      </c>
      <c r="FR55" s="356">
        <f>VLOOKUP(Tabla1[[#This Row],[CÓDIGO DEL PRODUCTO Y/O SERVICIO ]],Tabla3[],21)</f>
        <v>0</v>
      </c>
      <c r="FS55" s="355">
        <f>Tabla1[[#This Row],[CANTIDADES A UTILIZAR  AÑO 4  9]]*(1+Tabla1[[#This Row],[CAMBIO PORCENTUAL EN UNIDADES VENDIDAS AÑO 5 9]])</f>
        <v>0</v>
      </c>
      <c r="FT55" s="357">
        <f>IF(Tabla1[[#This Row],[CANTIDADES A UTILIZAR  AÑO 1 9]]=0,0,Tabla1[[#This Row],[CANTIDADES A UTILIZAR  AÑO 1 9]]*1/Tabla1[[#This Row],[UNIDADES PRODUCIDAS AÑO 1 9 ]])</f>
        <v>0</v>
      </c>
      <c r="FU55" s="357">
        <f>$D$21*(1+BASES!$E$10)</f>
        <v>0</v>
      </c>
      <c r="FV55" s="357">
        <f>Tabla1[[#This Row],[COSTO UNITARIO AÑO 2 9]]*(1+BASES!$F$10)</f>
        <v>0</v>
      </c>
      <c r="FW55" s="357">
        <f>Tabla1[[#This Row],[COSTO UNITARIO AÑO 3 9]]*(1+BASES!$G$10)</f>
        <v>0</v>
      </c>
      <c r="FX55" s="357">
        <f>Tabla1[[#This Row],[COSTO UNITARIO AÑO 4 9]]*(1+BASES!$H$10)</f>
        <v>0</v>
      </c>
      <c r="FY55" s="357">
        <f>Tabla1[[#This Row],[COSTO POR UNIDAD DE PRODUCTO (9)]]*$D$21*VLOOKUP(Tabla1[[#This Row],[CÓDIGO DEL PRODUCTO Y/O SERVICIO ]],Tabla3[],3)</f>
        <v>0</v>
      </c>
      <c r="FZ55" s="357">
        <f>Tabla1[[#This Row],[COSTO POR UNIDAD DE PRODUCTO (9)]]*Tabla1[[#This Row],[COSTO UNITARIO AÑO 2 9]]*VLOOKUP(Tabla1[[#This Row],[CÓDIGO DEL PRODUCTO Y/O SERVICIO ]],Tabla3[],6)</f>
        <v>0</v>
      </c>
      <c r="GA55" s="357">
        <f>Tabla1[[#This Row],[COSTO POR UNIDAD DE PRODUCTO (9)]]*Tabla1[[#This Row],[COSTO UNITARIO AÑO 3 9]]*VLOOKUP(Tabla1[[#This Row],[CÓDIGO DEL PRODUCTO Y/O SERVICIO ]],Tabla3[],10)</f>
        <v>0</v>
      </c>
      <c r="GB55" s="357">
        <f>Tabla1[[#This Row],[COSTO POR UNIDAD DE PRODUCTO (9)]]*Tabla1[[#This Row],[COSTO UNITARIO AÑO 4 9]]*VLOOKUP(Tabla1[[#This Row],[CÓDIGO DEL PRODUCTO Y/O SERVICIO ]],Tabla3[],14)</f>
        <v>0</v>
      </c>
      <c r="GC55" s="357">
        <f>Tabla1[[#This Row],[COSTO POR UNIDAD DE PRODUCTO (9)]]*Tabla1[[#This Row],[COSTO UNITARIO AÑO 5 9]]*VLOOKUP(Tabla1[[#This Row],[CÓDIGO DEL PRODUCTO Y/O SERVICIO ]],Tabla3[],18)</f>
        <v>0</v>
      </c>
      <c r="GD55" s="355">
        <f>VLOOKUP(Tabla1[[#This Row],[CÓDIGO DEL PRODUCTO Y/O SERVICIO ]],Tabla3[],3)</f>
        <v>0</v>
      </c>
      <c r="GE55" s="355">
        <f>Tabla1[[#This Row],[UNIDADES PRODUCIDAS AÑO 1 10]]*O40</f>
        <v>0</v>
      </c>
      <c r="GF55" s="356">
        <f>VLOOKUP(Tabla1[[#This Row],[CÓDIGO DEL PRODUCTO Y/O SERVICIO ]],Tabla3[],9)</f>
        <v>0</v>
      </c>
      <c r="GG55" s="355">
        <f>Tabla1[[#This Row],[CANTIDADES A UTILIZAR  AÑO 1 10]]*(1+Tabla1[[#This Row],[CAMBIO PORCENTUAL EN UNIDADES VENDIDAS AÑO 2 10 ]])</f>
        <v>0</v>
      </c>
      <c r="GH55" s="356">
        <f>VLOOKUP(Tabla1[[#This Row],[CÓDIGO DEL PRODUCTO Y/O SERVICIO ]],Tabla3[],13)</f>
        <v>0</v>
      </c>
      <c r="GI55" s="355">
        <f>Tabla1[[#This Row],[CANTIDADES A UTILIZAR  AÑO 2 10]]*(1+Tabla1[[#This Row],[CAMBIO PORCENTUAL EN UNIDADES VENDIDAS AÑO 3 10]])</f>
        <v>0</v>
      </c>
      <c r="GJ55" s="356">
        <f>VLOOKUP(Tabla1[[#This Row],[CÓDIGO DEL PRODUCTO Y/O SERVICIO ]],Tabla3[],17)</f>
        <v>0</v>
      </c>
      <c r="GK55" s="355">
        <f>Tabla1[[#This Row],[CANTIDADES A UTILIZAR AÑO 3 10 ]]*(1+Tabla1[[#This Row],[CAMBIO PORCENTUAL EN UNIDADES VENDIDAS AÑO 4 10]])</f>
        <v>0</v>
      </c>
      <c r="GL55" s="356">
        <f>VLOOKUP(Tabla1[[#This Row],[CÓDIGO DEL PRODUCTO Y/O SERVICIO ]],Tabla3[],21)</f>
        <v>0</v>
      </c>
      <c r="GM55" s="355">
        <f>Tabla1[[#This Row],[CANTIDADES A UTILIZAR  AÑO 4 10 ]]*(1+Tabla1[[#This Row],[CAMBIO PORCENTUAL EN UNIDADES VENDIDAS AÑO 5 10]])</f>
        <v>0</v>
      </c>
      <c r="GN55" s="357">
        <f>IF(Tabla1[[#This Row],[CANTIDADES A UTILIZAR  AÑO 1 10]]=0,0,Tabla1[[#This Row],[CANTIDADES A UTILIZAR  AÑO 1 10]]*1/Tabla1[[#This Row],[UNIDADES PRODUCIDAS AÑO 1 10]])</f>
        <v>0</v>
      </c>
      <c r="GO55" s="357">
        <f>$D$22*(1+BASES!$E$10)</f>
        <v>0</v>
      </c>
      <c r="GP55" s="357">
        <f>Tabla1[[#This Row],[COSTO UNITARIO AÑO 2 10 ]]*(1+BASES!$F$10)</f>
        <v>0</v>
      </c>
      <c r="GQ55" s="357">
        <f>Tabla1[[#This Row],[COSTO UNITARIO AÑO 3 10]]*(1+BASES!$G$10)</f>
        <v>0</v>
      </c>
      <c r="GR55" s="357">
        <f>Tabla1[[#This Row],[COSTO UNITARIO AÑO 4 10]]*(1+BASES!$H$10)</f>
        <v>0</v>
      </c>
      <c r="GS55" s="357">
        <f>Tabla1[[#This Row],[COSTO POR UNIDAD DE PRODUCTO (10)]]*$D$22*VLOOKUP(Tabla1[[#This Row],[CÓDIGO DEL PRODUCTO Y/O SERVICIO ]],Tabla3[],3)</f>
        <v>0</v>
      </c>
      <c r="GT55" s="357">
        <f>Tabla1[[#This Row],[COSTO POR UNIDAD DE PRODUCTO (10)]]*Tabla1[[#This Row],[COSTO UNITARIO AÑO 2 10 ]]*VLOOKUP(Tabla1[[#This Row],[CÓDIGO DEL PRODUCTO Y/O SERVICIO ]],Tabla3[],6)</f>
        <v>0</v>
      </c>
      <c r="GU55" s="357">
        <f>Tabla1[[#This Row],[COSTO POR UNIDAD DE PRODUCTO (10)]]*Tabla1[[#This Row],[COSTO UNITARIO AÑO 3 10]]*VLOOKUP(Tabla1[[#This Row],[CÓDIGO DEL PRODUCTO Y/O SERVICIO ]],Tabla3[],10)</f>
        <v>0</v>
      </c>
      <c r="GV55" s="357">
        <f>Tabla1[[#This Row],[COSTO POR UNIDAD DE PRODUCTO (10)]]*Tabla1[[#This Row],[COSTO UNITARIO AÑO 4 10]]*VLOOKUP(Tabla1[[#This Row],[CÓDIGO DEL PRODUCTO Y/O SERVICIO ]],Tabla3[],14)</f>
        <v>0</v>
      </c>
      <c r="GW55" s="357">
        <f>Tabla1[[#This Row],[COSTO POR UNIDAD DE PRODUCTO (10)]]*Tabla1[[#This Row],[COSTO UNITARIO AÑO 5 10 ]]*VLOOKUP(Tabla1[[#This Row],[CÓDIGO DEL PRODUCTO Y/O SERVICIO ]],Tabla3[],18)</f>
        <v>0</v>
      </c>
      <c r="GX55" s="355">
        <f>VLOOKUP(Tabla1[[#This Row],[CÓDIGO DEL PRODUCTO Y/O SERVICIO ]],Tabla3[],3)</f>
        <v>0</v>
      </c>
      <c r="GY55" s="355">
        <f>Tabla1[[#This Row],[UNIDADES PRODUCIDAS AÑO 1 11]]*P40</f>
        <v>0</v>
      </c>
      <c r="GZ55" s="356">
        <f>VLOOKUP(Tabla1[[#This Row],[CÓDIGO DEL PRODUCTO Y/O SERVICIO ]],Tabla3[],9)</f>
        <v>0</v>
      </c>
      <c r="HA55" s="355">
        <f>Tabla1[[#This Row],[CANTIDADES A UTILIZAR  AÑO 1 11 ]]*(1+Tabla1[[#This Row],[CAMBIO PORCENTUAL EN UNIDADES VENDIDAS AÑO 2 11 ]])</f>
        <v>0</v>
      </c>
      <c r="HB55" s="356">
        <f>VLOOKUP(Tabla1[[#This Row],[CÓDIGO DEL PRODUCTO Y/O SERVICIO ]],Tabla3[],13)</f>
        <v>0</v>
      </c>
      <c r="HC55" s="355">
        <f>Tabla1[[#This Row],[CANTIDADES A UTILIZAR  AÑO 2 11 ]]*(1+Tabla1[[#This Row],[CAMBIO PORCENTUAL EN UNIDADES VENDIDAS AÑO 3 11]])</f>
        <v>0</v>
      </c>
      <c r="HD55" s="356">
        <f>VLOOKUP(Tabla1[[#This Row],[CÓDIGO DEL PRODUCTO Y/O SERVICIO ]],Tabla3[],17)</f>
        <v>0</v>
      </c>
      <c r="HE55" s="355">
        <f>Tabla1[[#This Row],[CANTIDADES A UTILIZAR  AÑO 3 11]]*(1+Tabla1[[#This Row],[CAMBIO PORCENTUAL EN UNIDADES VENDIDAS AÑO 4 11]])</f>
        <v>0</v>
      </c>
      <c r="HF55" s="356">
        <f>VLOOKUP(Tabla1[[#This Row],[CÓDIGO DEL PRODUCTO Y/O SERVICIO ]],Tabla3[],21)</f>
        <v>0</v>
      </c>
      <c r="HG55" s="355">
        <f>Tabla1[[#This Row],[CANTIDADES A UTILIZAR  AÑO 4 11]]*(1+Tabla1[[#This Row],[CAMBIO PORCENTUAL EN UNIDADES VENDIDAS AÑO 5 11 ]])</f>
        <v>0</v>
      </c>
      <c r="HH55" s="357">
        <f>IF(Tabla1[[#This Row],[CANTIDADES A UTILIZAR  AÑO 1 11 ]]=0,0,Tabla1[[#This Row],[CANTIDADES A UTILIZAR  AÑO 1 11 ]]*1/Tabla1[[#This Row],[UNIDADES PRODUCIDAS AÑO 1 11]])</f>
        <v>0</v>
      </c>
      <c r="HI55" s="357">
        <f>$D$23*(1+BASES!$E$10)</f>
        <v>0</v>
      </c>
      <c r="HJ55" s="357">
        <f>Tabla1[[#This Row],[COSTO UNITARIO AÑO 2 11]]*(1+BASES!$F$10)</f>
        <v>0</v>
      </c>
      <c r="HK55" s="357">
        <f>Tabla1[[#This Row],[COSTO UNITARIO AÑO 3 11 ]]*(1+BASES!$G$10)</f>
        <v>0</v>
      </c>
      <c r="HL55" s="357">
        <f>Tabla1[[#This Row],[COSTO UNITARIO AÑO 4 11 ]]*(1+BASES!$H$10)</f>
        <v>0</v>
      </c>
      <c r="HM55" s="357">
        <f>Tabla1[[#This Row],[COSTO POR UNIDAD DE PRODUCTO (11)]]*$D$23*VLOOKUP(Tabla1[[#This Row],[CÓDIGO DEL PRODUCTO Y/O SERVICIO ]],Tabla3[],3)</f>
        <v>0</v>
      </c>
      <c r="HN55" s="357">
        <f>Tabla1[[#This Row],[COSTO POR UNIDAD DE PRODUCTO (11)]]*Tabla1[[#This Row],[COSTO UNITARIO AÑO 2 11]]*VLOOKUP(Tabla1[[#This Row],[CÓDIGO DEL PRODUCTO Y/O SERVICIO ]],Tabla3[],6)</f>
        <v>0</v>
      </c>
      <c r="HO55" s="357">
        <f>Tabla1[[#This Row],[COSTO POR UNIDAD DE PRODUCTO (11)]]*Tabla1[[#This Row],[COSTO UNITARIO AÑO 3 11 ]]*VLOOKUP(Tabla1[[#This Row],[CÓDIGO DEL PRODUCTO Y/O SERVICIO ]],Tabla3[],10)</f>
        <v>0</v>
      </c>
      <c r="HP55" s="357">
        <f>Tabla1[[#This Row],[COSTO POR UNIDAD DE PRODUCTO (11)]]*Tabla1[[#This Row],[COSTO UNITARIO AÑO 4 11 ]]*VLOOKUP(Tabla1[[#This Row],[CÓDIGO DEL PRODUCTO Y/O SERVICIO ]],Tabla3[],14)</f>
        <v>0</v>
      </c>
      <c r="HQ55" s="357">
        <f>Tabla1[[#This Row],[COSTO POR UNIDAD DE PRODUCTO (11)]]*Tabla1[[#This Row],[COSTO UNITARIO AÑO 5 11 ]]*VLOOKUP(Tabla1[[#This Row],[CÓDIGO DEL PRODUCTO Y/O SERVICIO ]],Tabla3[],18)</f>
        <v>0</v>
      </c>
      <c r="HR55" s="355">
        <f>VLOOKUP(Tabla1[[#This Row],[CÓDIGO DEL PRODUCTO Y/O SERVICIO ]],Tabla3[],3)</f>
        <v>0</v>
      </c>
      <c r="HS55" s="355">
        <f>Tabla1[[#This Row],[UNIDADES PRODUCIDAS AÑO 1 12]]*Q40</f>
        <v>0</v>
      </c>
      <c r="HT55" s="356">
        <f>VLOOKUP(Tabla1[[#This Row],[CÓDIGO DEL PRODUCTO Y/O SERVICIO ]],Tabla3[],9)</f>
        <v>0</v>
      </c>
      <c r="HU55" s="355">
        <f>Tabla1[[#This Row],[CANTIDADES A UTILIZAR  AÑO 1 12]]*(1+Tabla1[[#This Row],[CAMBIO PORCENTUAL EN UNIDADES VENDIDAS AÑO 2 12]])</f>
        <v>0</v>
      </c>
      <c r="HV55" s="356">
        <f>VLOOKUP(Tabla1[[#This Row],[CÓDIGO DEL PRODUCTO Y/O SERVICIO ]],Tabla3[],13)</f>
        <v>0</v>
      </c>
      <c r="HW55" s="355">
        <f>Tabla1[[#This Row],[CANTIDADES A UTILIZAR  AÑO 2 12]]*(1+Tabla1[[#This Row],[CAMBIO PORCENTUAL EN UNIDADES VENDIDAS AÑO 3 12]])</f>
        <v>0</v>
      </c>
      <c r="HX55" s="356">
        <f>VLOOKUP(Tabla1[[#This Row],[CÓDIGO DEL PRODUCTO Y/O SERVICIO ]],Tabla3[],17)</f>
        <v>0</v>
      </c>
      <c r="HY55" s="355">
        <f>Tabla1[[#This Row],[CANTIDADES A UTILIZAR  AÑO 3 12]]*(1+Tabla1[[#This Row],[CAMBIO PORCENTUAL EN UNIDADES VENDIDAS AÑO 4 12]])</f>
        <v>0</v>
      </c>
      <c r="HZ55" s="356">
        <f>VLOOKUP(Tabla1[[#This Row],[CÓDIGO DEL PRODUCTO Y/O SERVICIO ]],Tabla3[],21)</f>
        <v>0</v>
      </c>
      <c r="IA55" s="355">
        <f>Tabla1[[#This Row],[CANTIDADES A UTILIZAR  AÑO 4 12]]*(1+Tabla1[[#This Row],[CAMBIO PORCENTUAL EN UNIDADES VENDIDAS AÑO 5 12]])</f>
        <v>0</v>
      </c>
      <c r="IB55" s="357">
        <f>IF(Tabla1[[#This Row],[CANTIDADES A UTILIZAR  AÑO 1 12]]=0,0,Tabla1[[#This Row],[CANTIDADES A UTILIZAR  AÑO 1 12]]*1/Tabla1[[#This Row],[UNIDADES PRODUCIDAS AÑO 1 12]])</f>
        <v>0</v>
      </c>
      <c r="IC55" s="357">
        <f>$D$24*(1+BASES!$E$10)</f>
        <v>0</v>
      </c>
      <c r="ID55" s="357">
        <f>Tabla1[[#This Row],[COSTO UNITARIO AÑO 2 12]]*(1+BASES!$F$10)</f>
        <v>0</v>
      </c>
      <c r="IE55" s="357">
        <f>Tabla1[[#This Row],[COSTO UNITARIO AÑO 3 12]]*(1+BASES!$G$10)</f>
        <v>0</v>
      </c>
      <c r="IF55" s="357">
        <f>Tabla1[[#This Row],[COSTO UNITARIO AÑO 4 12]]*(1+BASES!$H$10)</f>
        <v>0</v>
      </c>
      <c r="IG55" s="357">
        <f>Tabla1[[#This Row],[COSTO POR UNIDAD DE PRODUCTO (12)]]*$D$24*VLOOKUP(Tabla1[[#This Row],[CÓDIGO DEL PRODUCTO Y/O SERVICIO ]],Tabla3[],3)</f>
        <v>0</v>
      </c>
      <c r="IH55" s="357">
        <f>Tabla1[[#This Row],[COSTO POR UNIDAD DE PRODUCTO (12)]]*Tabla1[[#This Row],[COSTO UNITARIO AÑO 2 12]]*VLOOKUP(Tabla1[[#This Row],[CÓDIGO DEL PRODUCTO Y/O SERVICIO ]],Tabla3[],6)</f>
        <v>0</v>
      </c>
      <c r="II55" s="357">
        <f>Tabla1[[#This Row],[COSTO POR UNIDAD DE PRODUCTO (12)]]*Tabla1[[#This Row],[COSTO UNITARIO AÑO 3 12]]*VLOOKUP(Tabla1[[#This Row],[CÓDIGO DEL PRODUCTO Y/O SERVICIO ]],Tabla3[],10)</f>
        <v>0</v>
      </c>
      <c r="IJ55" s="357">
        <f>Tabla1[[#This Row],[COSTO POR UNIDAD DE PRODUCTO (12)]]*Tabla1[[#This Row],[COSTO UNITARIO AÑO 4 12]]*VLOOKUP(Tabla1[[#This Row],[CÓDIGO DEL PRODUCTO Y/O SERVICIO ]],Tabla3[],14)</f>
        <v>0</v>
      </c>
      <c r="IK55" s="357">
        <f>Tabla1[[#This Row],[COSTO POR UNIDAD DE PRODUCTO (12)]]*Tabla1[[#This Row],[COSTO UNITARIO AÑO 5 12]]*VLOOKUP(Tabla1[[#This Row],[CÓDIGO DEL PRODUCTO Y/O SERVICIO ]],Tabla3[],18)</f>
        <v>0</v>
      </c>
      <c r="IL55" s="355">
        <f>VLOOKUP(Tabla1[[#This Row],[CÓDIGO DEL PRODUCTO Y/O SERVICIO ]],Tabla3[],3)</f>
        <v>0</v>
      </c>
      <c r="IM55" s="355">
        <f>Tabla1[[#This Row],[UNIDADES PRODUCIDAS AÑO 1 13]]*R40</f>
        <v>0</v>
      </c>
      <c r="IN55" s="356">
        <f>VLOOKUP(Tabla1[[#This Row],[CÓDIGO DEL PRODUCTO Y/O SERVICIO ]],Tabla3[],9)</f>
        <v>0</v>
      </c>
      <c r="IO55" s="355">
        <f>Tabla1[[#This Row],[CANTIDADES A UTILIZAR  AÑO 1 13]]*(1+Tabla1[[#This Row],[CAMBIO PORCENTUAL EN UNIDADES VENDIDAS AÑO 2 13]])</f>
        <v>0</v>
      </c>
      <c r="IP55" s="356">
        <f>VLOOKUP(Tabla1[[#This Row],[CÓDIGO DEL PRODUCTO Y/O SERVICIO ]],Tabla3[],13)</f>
        <v>0</v>
      </c>
      <c r="IQ55" s="355">
        <f>Tabla1[[#This Row],[CANTIDADES A UTILIZAR  AÑO 2 13]]*(1+Tabla1[[#This Row],[CAMBIO PORCENTUAL EN UNIDADES VENDIDAS AÑO 3 13]])</f>
        <v>0</v>
      </c>
      <c r="IR55" s="355">
        <f>VLOOKUP(Tabla1[[#This Row],[CÓDIGO DEL PRODUCTO Y/O SERVICIO ]],Tabla3[],17)</f>
        <v>0</v>
      </c>
      <c r="IS55" s="355">
        <f>Tabla1[[#This Row],[CANTIDADES A UTILIZAR  AÑO 3 13]]*(1+Tabla1[[#This Row],[CAMBIO PORCENTUAL EN UNIDADES VENDIDAS AÑO 4 13]])</f>
        <v>0</v>
      </c>
      <c r="IT55" s="356">
        <f>VLOOKUP(Tabla1[[#This Row],[CÓDIGO DEL PRODUCTO Y/O SERVICIO ]],Tabla3[],21)</f>
        <v>0</v>
      </c>
      <c r="IU55" s="355">
        <f>Tabla1[[#This Row],[CANTIDADES A UTILIZAR  AÑO 4 13]]*(1+Tabla1[[#This Row],[CAMBIO PORCENTUAL EN UNIDADES VENDIDAS AÑO 5 13]])</f>
        <v>0</v>
      </c>
      <c r="IV55" s="357">
        <f>IF(Tabla1[[#This Row],[CANTIDADES A UTILIZAR  AÑO 1 13]]=0,0,Tabla1[[#This Row],[CANTIDADES A UTILIZAR  AÑO 1 13]]*1/Tabla1[[#This Row],[UNIDADES PRODUCIDAS AÑO 1 13]])</f>
        <v>0</v>
      </c>
      <c r="IW55" s="357">
        <f>$D$25*(1+BASES!$E$10)</f>
        <v>0</v>
      </c>
      <c r="IX55" s="357">
        <f>Tabla1[[#This Row],[COSTO UNITARIO AÑO 2 13]]*(1+BASES!$F$10)</f>
        <v>0</v>
      </c>
      <c r="IY55" s="357">
        <f>Tabla1[[#This Row],[COSTO UNITARIO AÑO 3 13]]*(1+BASES!$G$10)</f>
        <v>0</v>
      </c>
      <c r="IZ55" s="357">
        <f>Tabla1[[#This Row],[COSTO UNITARIO AÑO 4 13]]*(1+BASES!$H$10)</f>
        <v>0</v>
      </c>
      <c r="JA55" s="357">
        <f>Tabla1[[#This Row],[COSTO POR UNIDAD DE PRODUCTO (13)]]*$D$25*VLOOKUP(Tabla1[[#This Row],[CÓDIGO DEL PRODUCTO Y/O SERVICIO ]],Tabla3[],3)</f>
        <v>0</v>
      </c>
      <c r="JB55" s="357">
        <f>Tabla1[[#This Row],[COSTO POR UNIDAD DE PRODUCTO (13)]]*Tabla1[[#This Row],[COSTO UNITARIO AÑO 2 13]]*VLOOKUP(Tabla1[[#This Row],[CÓDIGO DEL PRODUCTO Y/O SERVICIO ]],Tabla3[],6)</f>
        <v>0</v>
      </c>
      <c r="JC55" s="357">
        <f>Tabla1[[#This Row],[COSTO POR UNIDAD DE PRODUCTO (13)]]*Tabla1[[#This Row],[COSTO UNITARIO AÑO 3 13]]*VLOOKUP(Tabla1[[#This Row],[CÓDIGO DEL PRODUCTO Y/O SERVICIO ]],Tabla3[],10)</f>
        <v>0</v>
      </c>
      <c r="JD55" s="357">
        <f>Tabla1[[#This Row],[COSTO POR UNIDAD DE PRODUCTO (13)]]*Tabla1[[#This Row],[COSTO UNITARIO AÑO 4 13]]*VLOOKUP(Tabla1[[#This Row],[CÓDIGO DEL PRODUCTO Y/O SERVICIO ]],Tabla3[],14)</f>
        <v>0</v>
      </c>
      <c r="JE55" s="357">
        <f>Tabla1[[#This Row],[COSTO POR UNIDAD DE PRODUCTO (13)]]*Tabla1[[#This Row],[COSTO UNITARIO AÑO 5 13]]*VLOOKUP(Tabla1[[#This Row],[CÓDIGO DEL PRODUCTO Y/O SERVICIO ]],Tabla3[],18)</f>
        <v>0</v>
      </c>
      <c r="JF55" s="355">
        <f>VLOOKUP(Tabla1[[#This Row],[CÓDIGO DEL PRODUCTO Y/O SERVICIO ]],Tabla3[],3)</f>
        <v>0</v>
      </c>
      <c r="JG55" s="355">
        <f>Tabla1[[#This Row],[UNIDADES PRODUCIDAS AÑO 1 14]]*S40</f>
        <v>0</v>
      </c>
      <c r="JH55" s="356">
        <f>VLOOKUP(Tabla1[[#This Row],[CÓDIGO DEL PRODUCTO Y/O SERVICIO ]],Tabla3[],9)</f>
        <v>0</v>
      </c>
      <c r="JI55" s="355">
        <f>Tabla1[[#This Row],[CANTIDADES A UTILIZAR  AÑO 1 14]]*(1+Tabla1[[#This Row],[CAMBIO PORCENTUAL EN UNIDADES VENDIDAS AÑO 2 14]])</f>
        <v>0</v>
      </c>
      <c r="JJ55" s="356">
        <f>VLOOKUP(Tabla1[[#This Row],[CÓDIGO DEL PRODUCTO Y/O SERVICIO ]],Tabla3[],13)</f>
        <v>0</v>
      </c>
      <c r="JK55" s="355">
        <f>Tabla1[[#This Row],[CANTIDADES A UTILIZAR  AÑO 2 14]]*(1+Tabla1[[#This Row],[CAMBIO PORCENTUAL EN UNIDADES VENDIDAS AÑO 3 14]])</f>
        <v>0</v>
      </c>
      <c r="JL55" s="356">
        <f>VLOOKUP(Tabla1[[#This Row],[CÓDIGO DEL PRODUCTO Y/O SERVICIO ]],Tabla3[],17)</f>
        <v>0</v>
      </c>
      <c r="JM55" s="355">
        <f>Tabla1[[#This Row],[CANTIDADES A UTILIZAR AÑO 3 14]]*(1+Tabla1[[#This Row],[CAMBIO PORCENTUAL EN UNIDADES VENDIDAS AÑO 4 14]])</f>
        <v>0</v>
      </c>
      <c r="JN55" s="356">
        <f>VLOOKUP(Tabla1[[#This Row],[CÓDIGO DEL PRODUCTO Y/O SERVICIO ]],Tabla3[],21)</f>
        <v>0</v>
      </c>
      <c r="JO55" s="355">
        <f>Tabla1[[#This Row],[CANTIDADES A UTILIZAR  AÑO 4 14]]*(1+Tabla1[[#This Row],[CAMBIO PORCENTUAL EN UNIDADES VENDIDAS AÑO 5 14]])</f>
        <v>0</v>
      </c>
      <c r="JP55" s="357">
        <f>IF(Tabla1[[#This Row],[CANTIDADES A UTILIZAR  AÑO 1 14]]=0,0,Tabla1[[#This Row],[CANTIDADES A UTILIZAR  AÑO 1 14]]*1/Tabla1[[#This Row],[UNIDADES PRODUCIDAS AÑO 1 14]])</f>
        <v>0</v>
      </c>
      <c r="JQ55" s="357">
        <f>$D$26*(1+BASES!$E$10)</f>
        <v>0</v>
      </c>
      <c r="JR55" s="357">
        <f>Tabla1[[#This Row],[COSTO UNITARIO AÑO 2 14]]*(1+BASES!$F$10)</f>
        <v>0</v>
      </c>
      <c r="JS55" s="357">
        <f>Tabla1[[#This Row],[COSTO UNITARIO AÑO 3 14]]*(1+BASES!$G$10)</f>
        <v>0</v>
      </c>
      <c r="JT55" s="357">
        <f>Tabla1[[#This Row],[COSTO UNITARIO AÑO 4 14]]*(1+BASES!$H$10)</f>
        <v>0</v>
      </c>
      <c r="JU55" s="357">
        <f>Tabla1[[#This Row],[COSTO POR UNIDAD DE PRODUCTO (14)]]*$D$26*VLOOKUP(Tabla1[[#This Row],[CÓDIGO DEL PRODUCTO Y/O SERVICIO ]],Tabla3[],3)</f>
        <v>0</v>
      </c>
      <c r="JV55" s="357">
        <f>Tabla1[[#This Row],[COSTO POR UNIDAD DE PRODUCTO (14)]]*Tabla1[[#This Row],[COSTO UNITARIO AÑO 2 14]]*VLOOKUP(Tabla1[[#This Row],[CÓDIGO DEL PRODUCTO Y/O SERVICIO ]],Tabla3[],6)</f>
        <v>0</v>
      </c>
      <c r="JW55" s="357">
        <f>Tabla1[[#This Row],[COSTO POR UNIDAD DE PRODUCTO (14)]]*Tabla1[[#This Row],[COSTO UNITARIO AÑO 3 14]]*VLOOKUP(Tabla1[[#This Row],[CÓDIGO DEL PRODUCTO Y/O SERVICIO ]],Tabla3[],10)</f>
        <v>0</v>
      </c>
      <c r="JX55" s="357">
        <f>Tabla1[[#This Row],[COSTO POR UNIDAD DE PRODUCTO (14)]]*Tabla1[[#This Row],[COSTO UNITARIO AÑO 4 14]]*VLOOKUP(Tabla1[[#This Row],[CÓDIGO DEL PRODUCTO Y/O SERVICIO ]],Tabla3[],14)</f>
        <v>0</v>
      </c>
      <c r="JY55" s="357">
        <f>Tabla1[[#This Row],[COSTO POR UNIDAD DE PRODUCTO (14)]]*Tabla1[[#This Row],[COSTO UNITARIO AÑO 5 14]]*VLOOKUP(Tabla1[[#This Row],[CÓDIGO DEL PRODUCTO Y/O SERVICIO ]],Tabla3[],18)</f>
        <v>0</v>
      </c>
      <c r="JZ55" s="355">
        <f>VLOOKUP(Tabla1[[#This Row],[CÓDIGO DEL PRODUCTO Y/O SERVICIO ]],Tabla3[],3)</f>
        <v>0</v>
      </c>
      <c r="KA55" s="355">
        <f>Tabla1[[#This Row],[UNIDADES PRODUCIDAS AÑO 1 15]]*T40</f>
        <v>0</v>
      </c>
      <c r="KB55" s="356">
        <f>VLOOKUP(Tabla1[[#This Row],[CÓDIGO DEL PRODUCTO Y/O SERVICIO ]],Tabla3[],9)</f>
        <v>0</v>
      </c>
      <c r="KC55" s="355">
        <f>Tabla1[[#This Row],[CANTIDADES A UTILIZAR  AÑO 1 15]]*(1+Tabla1[[#This Row],[CAMBIO PORCENTUAL EN UNIDADES VENDIDAS AÑO 2 15]])</f>
        <v>0</v>
      </c>
      <c r="KD55" s="356">
        <f>VLOOKUP(Tabla1[[#This Row],[CÓDIGO DEL PRODUCTO Y/O SERVICIO ]],Tabla3[],13)</f>
        <v>0</v>
      </c>
      <c r="KE55" s="355">
        <f>Tabla1[[#This Row],[CANTIDADES A UTILIZAR  AÑO 2 15]]*(1+Tabla1[[#This Row],[CAMBIO PORCENTUAL EN UNIDADES VENDIDAS AÑO 3 15]])</f>
        <v>0</v>
      </c>
      <c r="KF55" s="356">
        <f>VLOOKUP(Tabla1[[#This Row],[CÓDIGO DEL PRODUCTO Y/O SERVICIO ]],Tabla3[],17)</f>
        <v>0</v>
      </c>
      <c r="KG55" s="355">
        <f>Tabla1[[#This Row],[CANTIDADES A UTILIZAR  AÑO 3 15]]*(1+Tabla1[[#This Row],[CAMBIO PORCENTUAL EN UNIDADES VENDIDAS AÑO 4 15]])</f>
        <v>0</v>
      </c>
      <c r="KH55" s="356">
        <f>VLOOKUP(Tabla1[[#This Row],[CÓDIGO DEL PRODUCTO Y/O SERVICIO ]],Tabla3[],21)</f>
        <v>0</v>
      </c>
      <c r="KI55" s="355">
        <f>Tabla1[[#This Row],[CANTIDADES A UTILIZAR  AÑO 4 15]]*(1+Tabla1[[#This Row],[CAMBIO PORCENTUAL EN UNIDADES VENDIDAS AÑO 5 15]])</f>
        <v>0</v>
      </c>
      <c r="KJ55" s="357">
        <f>IF(Tabla1[[#This Row],[CANTIDADES A UTILIZAR  AÑO 1 15]]=0,0,Tabla1[[#This Row],[CANTIDADES A UTILIZAR  AÑO 1 15]]*1/Tabla1[[#This Row],[UNIDADES PRODUCIDAS AÑO 1 15]])</f>
        <v>0</v>
      </c>
      <c r="KK55" s="357">
        <f>$D$27*(1+BASES!$E$10)</f>
        <v>0</v>
      </c>
      <c r="KL55" s="357">
        <f>Tabla1[[#This Row],[COSTO UNITARIO AÑO 2 15]]*(1+BASES!$F$10)</f>
        <v>0</v>
      </c>
      <c r="KM55" s="357">
        <f>Tabla1[[#This Row],[COSTO UNITARIO AÑO 3 15]]*(1+BASES!$G$10)</f>
        <v>0</v>
      </c>
      <c r="KN55" s="357">
        <f>Tabla1[[#This Row],[COSTO UNITARIO AÑO 4 15]]*(1+BASES!$H$10)</f>
        <v>0</v>
      </c>
      <c r="KO55" s="357">
        <f>Tabla1[[#This Row],[COSTO POR UNIDAD DE PRODUCTO (15)]]*$D$27*VLOOKUP(Tabla1[[#This Row],[CÓDIGO DEL PRODUCTO Y/O SERVICIO ]],Tabla3[],3)</f>
        <v>0</v>
      </c>
      <c r="KP55" s="357">
        <f>Tabla1[[#This Row],[COSTO POR UNIDAD DE PRODUCTO (15)]]*Tabla1[[#This Row],[COSTO UNITARIO AÑO 2 15]]*VLOOKUP(Tabla1[[#This Row],[CÓDIGO DEL PRODUCTO Y/O SERVICIO ]],Tabla3[],6)</f>
        <v>0</v>
      </c>
      <c r="KQ55" s="357">
        <f>Tabla1[[#This Row],[COSTO POR UNIDAD DE PRODUCTO (15)]]*Tabla1[[#This Row],[COSTO UNITARIO AÑO 3 15]]*VLOOKUP(Tabla1[[#This Row],[CÓDIGO DEL PRODUCTO Y/O SERVICIO ]],Tabla3[],10)</f>
        <v>0</v>
      </c>
      <c r="KR55" s="357">
        <f>Tabla1[[#This Row],[COSTO POR UNIDAD DE PRODUCTO (15)]]*Tabla1[[#This Row],[COSTO UNITARIO AÑO 4 15]]*VLOOKUP(Tabla1[[#This Row],[CÓDIGO DEL PRODUCTO Y/O SERVICIO ]],Tabla3[],14)</f>
        <v>0</v>
      </c>
      <c r="KS55" s="357">
        <f>Tabla1[[#This Row],[COSTO POR UNIDAD DE PRODUCTO (15)]]*Tabla1[[#This Row],[COSTO UNITARIO AÑO 5 15]]*VLOOKUP(Tabla1[[#This Row],[CÓDIGO DEL PRODUCTO Y/O SERVICIO ]],Tabla3[],18)</f>
        <v>0</v>
      </c>
      <c r="KT55" s="355">
        <f>VLOOKUP(Tabla1[[#This Row],[CÓDIGO DEL PRODUCTO Y/O SERVICIO ]],Tabla3[],3)</f>
        <v>0</v>
      </c>
      <c r="KU55" s="355">
        <f>Tabla1[[#This Row],[UNIDADES PRODUCIDAS AÑO 1 16]]*U40</f>
        <v>0</v>
      </c>
      <c r="KV55" s="356">
        <f>VLOOKUP(Tabla1[[#This Row],[CÓDIGO DEL PRODUCTO Y/O SERVICIO ]],Tabla3[],9)</f>
        <v>0</v>
      </c>
      <c r="KW55" s="355">
        <f>Tabla1[[#This Row],[CANTIDADES A UTILIZAR  AÑO 1 16]]*(1+Tabla1[[#This Row],[CAMBIO PORCENTUAL EN UNIDADES VENDIDAS AÑO 2 16]])</f>
        <v>0</v>
      </c>
      <c r="KX55" s="356">
        <f>VLOOKUP(Tabla1[[#This Row],[CÓDIGO DEL PRODUCTO Y/O SERVICIO ]],Tabla3[],13)</f>
        <v>0</v>
      </c>
      <c r="KY55" s="355">
        <f>Tabla1[[#This Row],[CANTIDADES A UTILIZAR  AÑO 2 16]]*(1+Tabla1[[#This Row],[CAMBIO PORCENTUAL EN UNIDADES VENDIDAS AÑO 3 16]])</f>
        <v>0</v>
      </c>
      <c r="KZ55" s="356">
        <f>VLOOKUP(Tabla1[[#This Row],[CÓDIGO DEL PRODUCTO Y/O SERVICIO ]],Tabla3[],17)</f>
        <v>0</v>
      </c>
      <c r="LA55" s="355">
        <f>Tabla1[[#This Row],[CANTIDADES A UTILIZAR  AÑO 3 16]]*(1+Tabla1[[#This Row],[CAMBIO PORCENTUAL EN UNIDADES VENDIDAS AÑO 4 16]])</f>
        <v>0</v>
      </c>
      <c r="LB55" s="356">
        <f>VLOOKUP(Tabla1[[#This Row],[CÓDIGO DEL PRODUCTO Y/O SERVICIO ]],Tabla3[],21)</f>
        <v>0</v>
      </c>
      <c r="LC55" s="355">
        <f>Tabla1[[#This Row],[CANTIDADES A UTILIZAR  AÑO 4 16]]*(1+Tabla1[[#This Row],[CAMBIO PORCENTUAL EN UNIDADES VENDIDAS AÑO 5 16]])</f>
        <v>0</v>
      </c>
      <c r="LD55" s="357">
        <f>IF(Tabla1[[#This Row],[CANTIDADES A UTILIZAR  AÑO 1 16]]=0,0,Tabla1[[#This Row],[CANTIDADES A UTILIZAR  AÑO 1 16]]*1/Tabla1[[#This Row],[UNIDADES PRODUCIDAS AÑO 1 16]])</f>
        <v>0</v>
      </c>
      <c r="LE55" s="357">
        <f>$D$28*(1+BASES!$E$10)</f>
        <v>0</v>
      </c>
      <c r="LF55" s="357">
        <f>Tabla1[[#This Row],[COSTO UNITARIO AÑO 2 16]]*(1+BASES!$F$10)</f>
        <v>0</v>
      </c>
      <c r="LG55" s="357">
        <f>Tabla1[[#This Row],[COSTO UNITARIO AÑO 3 16]]*(1+BASES!$G$10)</f>
        <v>0</v>
      </c>
      <c r="LH55" s="357">
        <f>Tabla1[[#This Row],[COSTO UNITARIO AÑO 4 16]]*(1+BASES!$H$10)</f>
        <v>0</v>
      </c>
      <c r="LI55" s="357">
        <f>Tabla1[[#This Row],[COSTO POR UNIDAD DE PRODUCTO (16)]]*$D$28*VLOOKUP(Tabla1[[#This Row],[CÓDIGO DEL PRODUCTO Y/O SERVICIO ]],Tabla3[],3)</f>
        <v>0</v>
      </c>
      <c r="LJ55" s="357">
        <f>Tabla1[[#This Row],[COSTO POR UNIDAD DE PRODUCTO (16)]]*Tabla1[[#This Row],[COSTO UNITARIO AÑO 2 16]]*VLOOKUP(Tabla1[[#This Row],[CÓDIGO DEL PRODUCTO Y/O SERVICIO ]],Tabla3[],6)</f>
        <v>0</v>
      </c>
      <c r="LK55" s="357">
        <f>Tabla1[[#This Row],[COSTO POR UNIDAD DE PRODUCTO (16)]]*Tabla1[[#This Row],[COSTO UNITARIO AÑO 3 16]]*VLOOKUP(Tabla1[[#This Row],[CÓDIGO DEL PRODUCTO Y/O SERVICIO ]],Tabla3[],10)</f>
        <v>0</v>
      </c>
      <c r="LL55" s="357">
        <f>Tabla1[[#This Row],[COSTO POR UNIDAD DE PRODUCTO (16)]]*Tabla1[[#This Row],[COSTO UNITARIO AÑO 4 16]]*VLOOKUP(Tabla1[[#This Row],[CÓDIGO DEL PRODUCTO Y/O SERVICIO ]],Tabla3[],14)</f>
        <v>0</v>
      </c>
      <c r="LM55" s="357">
        <f>Tabla1[[#This Row],[COSTO POR UNIDAD DE PRODUCTO (16)]]*Tabla1[[#This Row],[COSTO UNITARIO AÑO 5 16]]*VLOOKUP(Tabla1[[#This Row],[CÓDIGO DEL PRODUCTO Y/O SERVICIO ]],Tabla3[],18)</f>
        <v>0</v>
      </c>
      <c r="LN55" s="355">
        <f>VLOOKUP(Tabla1[[#This Row],[CÓDIGO DEL PRODUCTO Y/O SERVICIO ]],Tabla3[],3)</f>
        <v>0</v>
      </c>
      <c r="LO55" s="355">
        <f>Tabla1[[#This Row],[UNIDADES PRODUCIDAS AÑO 1 17]]*V40</f>
        <v>0</v>
      </c>
      <c r="LP55" s="356">
        <f>VLOOKUP(Tabla1[[#This Row],[CÓDIGO DEL PRODUCTO Y/O SERVICIO ]],Tabla3[],9)</f>
        <v>0</v>
      </c>
      <c r="LQ55" s="355">
        <f>Tabla1[[#This Row],[CANTIDADES A UTILIZAR  AÑO 1 17]]*(1+Tabla1[[#This Row],[CAMBIO PORCENTUAL EN UNIDADES VENDIDAS AÑO 2 17]])</f>
        <v>0</v>
      </c>
      <c r="LR55" s="356">
        <f>VLOOKUP(Tabla1[[#This Row],[CÓDIGO DEL PRODUCTO Y/O SERVICIO ]],Tabla3[],13)</f>
        <v>0</v>
      </c>
      <c r="LS55" s="355">
        <f>Tabla1[[#This Row],[CANTIDADES A UTILIZAR  AÑO 2 17]]*(1+Tabla1[[#This Row],[CAMBIO PORCENTUAL EN UNIDADES VENDIDAS AÑO 3 17]])</f>
        <v>0</v>
      </c>
      <c r="LT55" s="356">
        <f>VLOOKUP(Tabla1[[#This Row],[CÓDIGO DEL PRODUCTO Y/O SERVICIO ]],Tabla3[],17)</f>
        <v>0</v>
      </c>
      <c r="LU55" s="355">
        <f>Tabla1[[#This Row],[CANTIDADES A UTILIZAR  AÑO 3 17]]*(1+Tabla1[[#This Row],[CAMBIO PORCENTUAL EN UNIDADES VENDIDAS AÑO 4 17 ]])</f>
        <v>0</v>
      </c>
      <c r="LV55" s="356">
        <f>VLOOKUP(Tabla1[[#This Row],[CÓDIGO DEL PRODUCTO Y/O SERVICIO ]],Tabla3[],21)</f>
        <v>0</v>
      </c>
      <c r="LW55" s="355">
        <f>Tabla1[[#This Row],[CANTIDADES A UTILIZAR  AÑO 4 17]]*(1+Tabla1[[#This Row],[CAMBIO PORCENTUAL EN UNIDADES VENDIDAS AÑO 5 17]])</f>
        <v>0</v>
      </c>
      <c r="LX55" s="357">
        <f>IF(Tabla1[[#This Row],[CANTIDADES A UTILIZAR  AÑO 1 17]]=0,0,Tabla1[[#This Row],[CANTIDADES A UTILIZAR  AÑO 1 17]]*1/Tabla1[[#This Row],[UNIDADES PRODUCIDAS AÑO 1 17]])</f>
        <v>0</v>
      </c>
      <c r="LY55" s="357">
        <f>$D$29*(1+BASES!$E$10)</f>
        <v>0</v>
      </c>
      <c r="LZ55" s="357">
        <f>Tabla1[[#This Row],[COSTO UNITARIO AÑO 2 17]]*(1+BASES!$F$10)</f>
        <v>0</v>
      </c>
      <c r="MA55" s="357">
        <f>Tabla1[[#This Row],[COSTO UNITARIO AÑO 3 17]]*(1+BASES!$G$10)</f>
        <v>0</v>
      </c>
      <c r="MB55" s="357">
        <f>Tabla1[[#This Row],[COSTO UNITARIO AÑO 4 17]]*(1+BASES!$H$10)</f>
        <v>0</v>
      </c>
      <c r="MC55" s="357">
        <f>Tabla1[[#This Row],[COSTO POR UNIDAD DE PRODUCTO (17)]]*$D$29*VLOOKUP(Tabla1[[#This Row],[CÓDIGO DEL PRODUCTO Y/O SERVICIO ]],Tabla3[],3)</f>
        <v>0</v>
      </c>
      <c r="MD55" s="357">
        <f>Tabla1[[#This Row],[COSTO POR UNIDAD DE PRODUCTO (17)]]*Tabla1[[#This Row],[COSTO UNITARIO AÑO 2 17]]*VLOOKUP(Tabla1[[#This Row],[CÓDIGO DEL PRODUCTO Y/O SERVICIO ]],Tabla3[],6)</f>
        <v>0</v>
      </c>
      <c r="ME55" s="357">
        <f>Tabla1[[#This Row],[COSTO POR UNIDAD DE PRODUCTO (17)]]*Tabla1[[#This Row],[COSTO UNITARIO AÑO 3 17]]*VLOOKUP(Tabla1[[#This Row],[CÓDIGO DEL PRODUCTO Y/O SERVICIO ]],Tabla3[],10)</f>
        <v>0</v>
      </c>
      <c r="MF55" s="357">
        <f>Tabla1[[#This Row],[COSTO POR UNIDAD DE PRODUCTO (17)]]*Tabla1[[#This Row],[COSTO UNITARIO AÑO 4 17]]*VLOOKUP(Tabla1[[#This Row],[CÓDIGO DEL PRODUCTO Y/O SERVICIO ]],Tabla3[],14)</f>
        <v>0</v>
      </c>
      <c r="MG55" s="357">
        <f>Tabla1[[#This Row],[COSTO POR UNIDAD DE PRODUCTO (17)]]*Tabla1[[#This Row],[COSTO UNITARIO AÑO 5 17]]*VLOOKUP(Tabla1[[#This Row],[CÓDIGO DEL PRODUCTO Y/O SERVICIO ]],Tabla3[],18)</f>
        <v>0</v>
      </c>
      <c r="MH55" s="355">
        <f>VLOOKUP(Tabla1[[#This Row],[CÓDIGO DEL PRODUCTO Y/O SERVICIO ]],Tabla3[],3)</f>
        <v>0</v>
      </c>
      <c r="MI55" s="355">
        <f>Tabla1[[#This Row],[UNIDADES PRODUCIDAS AÑO 1 18 ]]*W40</f>
        <v>0</v>
      </c>
      <c r="MJ55" s="356">
        <f>VLOOKUP(Tabla1[[#This Row],[CÓDIGO DEL PRODUCTO Y/O SERVICIO ]],Tabla3[],9)</f>
        <v>0</v>
      </c>
      <c r="MK55" s="355">
        <f>Tabla1[[#This Row],[CANTIDADES A UTILIZAR  AÑO 1 18]]*(1+Tabla1[[#This Row],[CAMBIO PORCENTUAL EN UNIDADES VENDIDAS AÑO 2 18]])</f>
        <v>0</v>
      </c>
      <c r="ML55" s="356">
        <f>VLOOKUP(Tabla1[[#This Row],[CÓDIGO DEL PRODUCTO Y/O SERVICIO ]],Tabla3[],13)</f>
        <v>0</v>
      </c>
      <c r="MM55" s="355">
        <f>Tabla1[[#This Row],[CANTIDADES A UTILIZAR AÑO 2 18]]*(1+Tabla1[[#This Row],[CAMBIO PORCENTUAL EN UNIDADES VENDIDAS AÑO 3 18 ]])</f>
        <v>0</v>
      </c>
      <c r="MN55" s="356">
        <f>VLOOKUP(Tabla1[[#This Row],[CÓDIGO DEL PRODUCTO Y/O SERVICIO ]],Tabla3[],17)</f>
        <v>0</v>
      </c>
      <c r="MO55" s="355">
        <f>Tabla1[[#This Row],[CANTIDADES A UTILIZAR  AÑO 3 18]]*(1+Tabla1[[#This Row],[CAMBIO PORCENTUAL EN UNIDADES VENDIDAS AÑO 4 18]])</f>
        <v>0</v>
      </c>
      <c r="MP55" s="356">
        <f>VLOOKUP(Tabla1[[#This Row],[CÓDIGO DEL PRODUCTO Y/O SERVICIO ]],Tabla3[],21)</f>
        <v>0</v>
      </c>
      <c r="MQ55" s="355">
        <f>Tabla1[[#This Row],[CANTIDADES A UTILIZAR  AÑO 4 18 ]]*(1+Tabla1[[#This Row],[CAMBIO PORCENTUAL EN UNIDADES VENDIDAS AÑO 5 18 ]])</f>
        <v>0</v>
      </c>
      <c r="MR55" s="357">
        <f>IF(Tabla1[[#This Row],[CANTIDADES A UTILIZAR  AÑO 1 18]]=0,0,Tabla1[[#This Row],[CANTIDADES A UTILIZAR  AÑO 1 18]]*1/Tabla1[[#This Row],[UNIDADES PRODUCIDAS AÑO 1 18 ]])</f>
        <v>0</v>
      </c>
      <c r="MS55" s="357">
        <f>$D$30*(1+BASES!$E$10)</f>
        <v>0</v>
      </c>
      <c r="MT55" s="357">
        <f>Tabla1[[#This Row],[COSTO UNITARIO AÑO 2 18]]*(1+BASES!$F$10)</f>
        <v>0</v>
      </c>
      <c r="MU55" s="357">
        <f>Tabla1[[#This Row],[COSTO UNITARIO AÑO 3 18 ]]*(1+BASES!$G$10)</f>
        <v>0</v>
      </c>
      <c r="MV55" s="357">
        <f>Tabla1[[#This Row],[COSTO UNITARIO AÑO 4 18 ]]*(1+BASES!$H$10)</f>
        <v>0</v>
      </c>
      <c r="MW55" s="357">
        <f>Tabla1[[#This Row],[COSTO POR UNIDAD DE PRODUCTO (18)]]*$D$30*VLOOKUP(Tabla1[[#This Row],[CÓDIGO DEL PRODUCTO Y/O SERVICIO ]],Tabla3[],3)</f>
        <v>0</v>
      </c>
      <c r="MX55" s="357">
        <f>Tabla1[[#This Row],[COSTO POR UNIDAD DE PRODUCTO (18)]]*Tabla1[[#This Row],[COSTO UNITARIO AÑO 2 18]]*VLOOKUP(Tabla1[[#This Row],[CÓDIGO DEL PRODUCTO Y/O SERVICIO ]],Tabla3[],6)</f>
        <v>0</v>
      </c>
      <c r="MY55" s="357">
        <f>Tabla1[[#This Row],[COSTO POR UNIDAD DE PRODUCTO (18)]]*Tabla1[[#This Row],[COSTO UNITARIO AÑO 3 18 ]]*VLOOKUP(Tabla1[[#This Row],[CÓDIGO DEL PRODUCTO Y/O SERVICIO ]],Tabla3[],10)</f>
        <v>0</v>
      </c>
      <c r="MZ55" s="357">
        <f>Tabla1[[#This Row],[COSTO POR UNIDAD DE PRODUCTO (18)]]*Tabla1[[#This Row],[COSTO UNITARIO AÑO 4 18 ]]*VLOOKUP(Tabla1[[#This Row],[CÓDIGO DEL PRODUCTO Y/O SERVICIO ]],Tabla3[],14)</f>
        <v>0</v>
      </c>
      <c r="NA55" s="357">
        <f>Tabla1[[#This Row],[COSTO POR UNIDAD DE PRODUCTO (18)]]*Tabla1[[#This Row],[COSTO UNITARIO AÑO 5 18 ]]*VLOOKUP(Tabla1[[#This Row],[CÓDIGO DEL PRODUCTO Y/O SERVICIO ]],Tabla3[],18)</f>
        <v>0</v>
      </c>
      <c r="NB55" s="355">
        <f>VLOOKUP(Tabla1[[#This Row],[CÓDIGO DEL PRODUCTO Y/O SERVICIO ]],Tabla3[],3)</f>
        <v>0</v>
      </c>
      <c r="NC55" s="355">
        <f>Tabla1[[#This Row],[UNIDADES PRODUCIDAS AÑO 1 19]]*X40</f>
        <v>0</v>
      </c>
      <c r="ND55" s="356">
        <f>VLOOKUP(Tabla1[[#This Row],[CÓDIGO DEL PRODUCTO Y/O SERVICIO ]],Tabla3[],9)</f>
        <v>0</v>
      </c>
      <c r="NE55" s="355">
        <f>Tabla1[[#This Row],[CANTIDADES A UTILIZAR  AÑO 1 19 ]]*(1+Tabla1[[#This Row],[CAMBIO PORCENTUAL EN UNIDADES VENDIDAS AÑO 2 19]])</f>
        <v>0</v>
      </c>
      <c r="NF55" s="356">
        <f>VLOOKUP(Tabla1[[#This Row],[CÓDIGO DEL PRODUCTO Y/O SERVICIO ]],Tabla3[],13)</f>
        <v>0</v>
      </c>
      <c r="NG55" s="355">
        <f>Tabla1[[#This Row],[CANTIDADES A UTILIZAR  AÑO 2 19 ]]*(1+Tabla1[[#This Row],[CAMBIO PORCENTUAL EN UNIDADES VENDIDAS AÑO 3 19 ]])</f>
        <v>0</v>
      </c>
      <c r="NH55" s="356">
        <f>VLOOKUP(Tabla1[[#This Row],[CÓDIGO DEL PRODUCTO Y/O SERVICIO ]],Tabla3[],17)</f>
        <v>0</v>
      </c>
      <c r="NI55" s="355">
        <f>Tabla1[[#This Row],[CANTIDADES A UTILIZAR  AÑO 3 19 ]]*(1+Tabla1[[#This Row],[CAMBIO PORCENTUAL EN UNIDADES VENDIDAS AÑO 4 19 ]])</f>
        <v>0</v>
      </c>
      <c r="NJ55" s="356">
        <f>VLOOKUP(Tabla1[[#This Row],[CÓDIGO DEL PRODUCTO Y/O SERVICIO ]],Tabla3[],21)</f>
        <v>0</v>
      </c>
      <c r="NK55" s="355">
        <f>Tabla1[[#This Row],[CANTIDADES A UTILIZAR AÑO 4 19 ]]*(1+Tabla1[[#This Row],[CAMBIO PORCENTUAL EN UNIDADES VENDIDAS AÑO 5 19 ]])</f>
        <v>0</v>
      </c>
      <c r="NL55" s="357">
        <f>IF(Tabla1[[#This Row],[CANTIDADES A UTILIZAR  AÑO 1 19 ]]=0,0,Tabla1[[#This Row],[CANTIDADES A UTILIZAR  AÑO 1 19 ]]*1/Tabla1[[#This Row],[UNIDADES PRODUCIDAS AÑO 1 19]])</f>
        <v>0</v>
      </c>
      <c r="NM55" s="357">
        <f>$D$31*(1+BASES!$E$10)</f>
        <v>0</v>
      </c>
      <c r="NN55" s="357">
        <f>Tabla1[[#This Row],[COSTO UNITARIO AÑO 2 19 ]]*(1+BASES!$F$10)</f>
        <v>0</v>
      </c>
      <c r="NO55" s="357">
        <f>Tabla1[[#This Row],[COSTO UNITARIO AÑO 3 19 ]]*(1+BASES!$G$10)</f>
        <v>0</v>
      </c>
      <c r="NP55" s="357">
        <f>Tabla1[[#This Row],[COSTO UNITARIO AÑO 4 19 ]]*(1+BASES!$H$10)</f>
        <v>0</v>
      </c>
      <c r="NQ55" s="357">
        <f>Tabla1[[#This Row],[COSTO POR UNIDAD DE PRODUCTO (19)]]*$D$31*VLOOKUP(Tabla1[[#This Row],[CÓDIGO DEL PRODUCTO Y/O SERVICIO ]],Tabla3[],3)</f>
        <v>0</v>
      </c>
      <c r="NR55" s="357">
        <f>Tabla1[[#This Row],[COSTO POR UNIDAD DE PRODUCTO (19)]]*Tabla1[[#This Row],[COSTO UNITARIO AÑO 2 19 ]]*VLOOKUP(Tabla1[[#This Row],[CÓDIGO DEL PRODUCTO Y/O SERVICIO ]],Tabla3[],6)</f>
        <v>0</v>
      </c>
      <c r="NS55" s="357">
        <f>Tabla1[[#This Row],[COSTO POR UNIDAD DE PRODUCTO (19)]]*Tabla1[[#This Row],[COSTO UNITARIO AÑO 3 19 ]]*VLOOKUP(Tabla1[[#This Row],[CÓDIGO DEL PRODUCTO Y/O SERVICIO ]],Tabla3[],10)</f>
        <v>0</v>
      </c>
      <c r="NT55" s="357">
        <f>Tabla1[[#This Row],[COSTO POR UNIDAD DE PRODUCTO (19)]]*Tabla1[[#This Row],[COSTO UNITARIO AÑO 4 19 ]]*VLOOKUP(Tabla1[[#This Row],[CÓDIGO DEL PRODUCTO Y/O SERVICIO ]],Tabla3[],14)</f>
        <v>0</v>
      </c>
      <c r="NU55" s="357">
        <f>Tabla1[[#This Row],[COSTO POR UNIDAD DE PRODUCTO (19)]]*Tabla1[[#This Row],[COSTO UNITARIO AÑO 5 19 ]]*VLOOKUP(Tabla1[[#This Row],[CÓDIGO DEL PRODUCTO Y/O SERVICIO ]],Tabla3[],18)</f>
        <v>0</v>
      </c>
      <c r="NV55" s="355">
        <f>VLOOKUP(Tabla1[[#This Row],[CÓDIGO DEL PRODUCTO Y/O SERVICIO ]],Tabla3[],3)</f>
        <v>0</v>
      </c>
      <c r="NW55" s="355">
        <f>Tabla1[[#This Row],[UNIDADES PRODUCIDAS AÑO 1 20 ]]*Y40</f>
        <v>0</v>
      </c>
      <c r="NX55" s="356">
        <f>VLOOKUP(Tabla1[[#This Row],[CÓDIGO DEL PRODUCTO Y/O SERVICIO ]],Tabla3[],9)</f>
        <v>0</v>
      </c>
      <c r="NY55" s="355">
        <f>Tabla1[[#This Row],[CANTIDADES A UTILIZAR AÑO 1 20]]*(1+Tabla1[[#This Row],[CAMBIO PORCENTUAL EN UNIDADES VENDIDAS AÑO 2 20 ]])</f>
        <v>0</v>
      </c>
      <c r="NZ55" s="356">
        <f>VLOOKUP(Tabla1[[#This Row],[CÓDIGO DEL PRODUCTO Y/O SERVICIO ]],Tabla3[],13)</f>
        <v>0</v>
      </c>
      <c r="OA55" s="355">
        <f>Tabla1[[#This Row],[CANTIDADES A UTILIZAR  AÑO 2 20 ]]*(1+Tabla1[[#This Row],[CAMBIO PORCENTUAL EN UNIDADES VENDIDAS AÑO 3 20 ]])</f>
        <v>0</v>
      </c>
      <c r="OB55" s="356">
        <f>VLOOKUP(Tabla1[[#This Row],[CÓDIGO DEL PRODUCTO Y/O SERVICIO ]],Tabla3[],17)</f>
        <v>0</v>
      </c>
      <c r="OC55" s="355">
        <f>Tabla1[[#This Row],[CANTIDADES A UTILIZAR  AÑO 3 20 ]]*(1+Tabla1[[#This Row],[CAMBIO PORCENTUAL EN UNIDADES VENDIDAS AÑO 4 20 ]])</f>
        <v>0</v>
      </c>
      <c r="OD55" s="356">
        <f>VLOOKUP(Tabla1[[#This Row],[CÓDIGO DEL PRODUCTO Y/O SERVICIO ]],Tabla3[],21)</f>
        <v>0</v>
      </c>
      <c r="OE55" s="355">
        <f>Tabla1[[#This Row],[CANTIDADES A UTILIZAR  AÑO 4 20 ]]*(1+Tabla1[[#This Row],[CAMBIO PORCENTUAL EN UNIDADES VENDIDAS AÑO 5 20 ]])</f>
        <v>0</v>
      </c>
      <c r="OF55" s="357">
        <f>IF(Tabla1[[#This Row],[CANTIDADES A UTILIZAR AÑO 1 20]]=0,0,Tabla1[[#This Row],[CANTIDADES A UTILIZAR AÑO 1 20]]*1/Tabla1[[#This Row],[UNIDADES PRODUCIDAS AÑO 1 20 ]])</f>
        <v>0</v>
      </c>
      <c r="OG55" s="357">
        <f>$D$32*(1+BASES!$E$10)</f>
        <v>0</v>
      </c>
      <c r="OH55" s="357">
        <f>Tabla1[[#This Row],[COSTO UNITARIO AÑO 2 20 ]]*(1+BASES!$F$10)</f>
        <v>0</v>
      </c>
      <c r="OI55" s="357">
        <f>Tabla1[[#This Row],[COSTO UNITARIO AÑO 3 20 ]]*(1+BASES!$G$10)</f>
        <v>0</v>
      </c>
      <c r="OJ55" s="357">
        <f>Tabla1[[#This Row],[COSTO UNITARIO AÑO 4 20 ]]*(1+BASES!$H$10)</f>
        <v>0</v>
      </c>
      <c r="OK55" s="357">
        <f>Tabla1[[#This Row],[COSTO POR UNIDAD DE PRODUCTO (20)]]*$D$32*VLOOKUP(Tabla1[[#This Row],[CÓDIGO DEL PRODUCTO Y/O SERVICIO ]],Tabla3[],3)</f>
        <v>0</v>
      </c>
      <c r="OL55" s="357">
        <f>Tabla1[[#This Row],[COSTO POR UNIDAD DE PRODUCTO (20)]]*Tabla1[[#This Row],[COSTO UNITARIO AÑO 2 20 ]]*VLOOKUP(Tabla1[[#This Row],[CÓDIGO DEL PRODUCTO Y/O SERVICIO ]],Tabla3[],6)</f>
        <v>0</v>
      </c>
      <c r="OM55" s="357">
        <f>Tabla1[[#This Row],[COSTO POR UNIDAD DE PRODUCTO (20)]]*Tabla1[[#This Row],[COSTO UNITARIO AÑO 3 20 ]]*VLOOKUP(Tabla1[[#This Row],[CÓDIGO DEL PRODUCTO Y/O SERVICIO ]],Tabla3[],10)</f>
        <v>0</v>
      </c>
      <c r="ON55" s="357">
        <f>Tabla1[[#This Row],[COSTO POR UNIDAD DE PRODUCTO (20)]]*Tabla1[[#This Row],[COSTO UNITARIO AÑO 4 20 ]]*VLOOKUP(Tabla1[[#This Row],[CÓDIGO DEL PRODUCTO Y/O SERVICIO ]],Tabla3[],14)</f>
        <v>0</v>
      </c>
      <c r="OO55" s="357">
        <f>Tabla1[[#This Row],[COSTO POR UNIDAD DE PRODUCTO (20)]]*Tabla1[[#This Row],[COSTO UNITARIO AÑO 5 20 ]]*VLOOKUP(Tabla1[[#This Row],[CÓDIGO DEL PRODUCTO Y/O SERVICIO ]],Tabla3[],18)</f>
        <v>0</v>
      </c>
      <c r="OP55"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68">
        <f>IF(Tabla1[[#This Row],[CANTIDADES A UTILIZAR EN EL AÑO 1]]=0,0,Tabla1[[#This Row],[CANTIDADES A UTILIZAR EN EL AÑO 1]]*1/Tabla1[[#This Row],[UNIDADES PRODUCIDAS AÑO 1 ]])</f>
        <v>0</v>
      </c>
      <c r="Q56" s="353">
        <f>$D$13*(1+BASES!$E$10)</f>
        <v>0</v>
      </c>
      <c r="R56" s="353">
        <f>Tabla1[[#This Row],[COSTO UNITARIO AÑO 2]]*(1+BASES!$F$10)</f>
        <v>0</v>
      </c>
      <c r="S56" s="353">
        <f>Tabla1[[#This Row],[COSTO UNITARIO AÑO 3]]*(1+BASES!$G$10)</f>
        <v>0</v>
      </c>
      <c r="T56" s="353">
        <f>Tabla1[[#This Row],[COSTO UNITARIO AÑO 4]]*(1+BASES!$H$10)</f>
        <v>0</v>
      </c>
      <c r="U56" s="353">
        <f>Tabla1[[#This Row],[COSTO POR UNIDAD DE PRODUCTO (1)]]*$D$13*VLOOKUP(Tabla1[[#This Row],[CÓDIGO DEL PRODUCTO Y/O SERVICIO ]],Tabla3[],3)</f>
        <v>0</v>
      </c>
      <c r="V56" s="353">
        <f>Tabla1[[#This Row],[COSTO POR UNIDAD DE PRODUCTO (1)]]*Tabla1[[#This Row],[COSTO UNITARIO AÑO 2]]*VLOOKUP(Tabla1[[#This Row],[CÓDIGO DEL PRODUCTO Y/O SERVICIO ]],Tabla3[],6)</f>
        <v>0</v>
      </c>
      <c r="W56" s="353">
        <f>Tabla1[[#This Row],[COSTO POR UNIDAD DE PRODUCTO (1)]]*Tabla1[[#This Row],[COSTO UNITARIO AÑO 3]]*VLOOKUP(Tabla1[[#This Row],[CÓDIGO DEL PRODUCTO Y/O SERVICIO ]],Tabla3[],10)</f>
        <v>0</v>
      </c>
      <c r="X56" s="353">
        <f>Tabla1[[#This Row],[COSTO POR UNIDAD DE PRODUCTO (1)]]*Tabla1[[#This Row],[COSTO UNITARIO AÑO 4]]*VLOOKUP(Tabla1[[#This Row],[CÓDIGO DEL PRODUCTO Y/O SERVICIO ]],Tabla3[],14)</f>
        <v>0</v>
      </c>
      <c r="Y56" s="353">
        <f>Tabla1[[#This Row],[COSTO POR UNIDAD DE PRODUCTO (1)]]*Tabla1[[#This Row],[COSTO UNITARIO AÑO 5]]*VLOOKUP(Tabla1[[#This Row],[CÓDIGO DEL PRODUCTO Y/O SERVICIO ]],Tabla3[],18)</f>
        <v>0</v>
      </c>
      <c r="Z56" s="354">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53">
        <f>IF(Tabla1[[#This Row],[CANTIDADES A UTILIZAR EN EL AÑO 1 2]]=0,0,Tabla1[[#This Row],[CANTIDADES A UTILIZAR EN EL AÑO 1 2]]*1/Tabla1[[#This Row],[UNIDADES PRODUCIDAS AÑO 1 2]])</f>
        <v>0</v>
      </c>
      <c r="AK56" s="353">
        <f>$D$14*(1+BASES!$E$10)</f>
        <v>0</v>
      </c>
      <c r="AL56" s="353">
        <f>Tabla1[[#This Row],[COSTO UNITARIO AÑO 2 2]]*(1+BASES!$F$10)</f>
        <v>0</v>
      </c>
      <c r="AM56" s="353">
        <f>Tabla1[[#This Row],[COSTO UNITARIO AÑO 3 2]]*(1+BASES!$G$10)</f>
        <v>0</v>
      </c>
      <c r="AN56" s="353">
        <f>Tabla1[[#This Row],[COSTO UNITARIO AÑO 4 2]]*(1+BASES!$H$10)</f>
        <v>0</v>
      </c>
      <c r="AO56" s="353">
        <f>Tabla1[[#This Row],[COSTO POR UNIDAD DE PRODUCTO (2)]]*$D$14*VLOOKUP(Tabla1[[#This Row],[CÓDIGO DEL PRODUCTO Y/O SERVICIO ]],Tabla3[],3)</f>
        <v>0</v>
      </c>
      <c r="AP56" s="353">
        <f>Tabla1[[#This Row],[COSTO POR UNIDAD DE PRODUCTO (2)]]*Tabla1[[#This Row],[COSTO UNITARIO AÑO 2 2]]*VLOOKUP(Tabla1[[#This Row],[CÓDIGO DEL PRODUCTO Y/O SERVICIO ]],Tabla3[],6)</f>
        <v>0</v>
      </c>
      <c r="AQ56" s="353">
        <f>Tabla1[[#This Row],[COSTO POR UNIDAD DE PRODUCTO (2)]]*Tabla1[[#This Row],[COSTO UNITARIO AÑO 3 2]]*VLOOKUP(Tabla1[[#This Row],[CÓDIGO DEL PRODUCTO Y/O SERVICIO ]],Tabla3[],10)</f>
        <v>0</v>
      </c>
      <c r="AR56" s="353">
        <f>Tabla1[[#This Row],[COSTO POR UNIDAD DE PRODUCTO (2)]]*Tabla1[[#This Row],[COSTO UNITARIO AÑO 4 2]]*VLOOKUP(Tabla1[[#This Row],[CÓDIGO DEL PRODUCTO Y/O SERVICIO ]],Tabla3[],14)</f>
        <v>0</v>
      </c>
      <c r="AS56" s="353">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53">
        <f>IF(Tabla1[[#This Row],[CANTIDADES A UTILIZAR  AÑO 1 3]]=0,0,Tabla1[[#This Row],[CANTIDADES A UTILIZAR  AÑO 1 3]]*1/Tabla1[[#This Row],[UNIDADES PRODUCIDAS AÑO 1 3]])</f>
        <v>0</v>
      </c>
      <c r="BE56" s="353">
        <f>$D$15*(1+BASES!$E$10)</f>
        <v>0</v>
      </c>
      <c r="BF56" s="353">
        <f>Tabla1[[#This Row],[COSTO UNITARIO AÑO 2 3]]*(1+BASES!$F$10)</f>
        <v>0</v>
      </c>
      <c r="BG56" s="353">
        <f>Tabla1[[#This Row],[COSTO UNITARIO AÑO 3 3]]*(1+BASES!$G$10)</f>
        <v>0</v>
      </c>
      <c r="BH56" s="353">
        <f>Tabla1[[#This Row],[COSTO UNITARIO AÑO 4 3]]*(1+BASES!$H$10)</f>
        <v>0</v>
      </c>
      <c r="BI56" s="353">
        <f>Tabla1[[#This Row],[COSTO POR UNIDAD DE PRODUCTO (3)]]*$D$15*VLOOKUP(Tabla1[[#This Row],[CÓDIGO DEL PRODUCTO Y/O SERVICIO ]],Tabla3[],3)</f>
        <v>0</v>
      </c>
      <c r="BJ56" s="353">
        <f>Tabla1[[#This Row],[COSTO POR UNIDAD DE PRODUCTO (3)]]*Tabla1[[#This Row],[COSTO UNITARIO AÑO 2 3]]*VLOOKUP(Tabla1[[#This Row],[CÓDIGO DEL PRODUCTO Y/O SERVICIO ]],Tabla3[],6)</f>
        <v>0</v>
      </c>
      <c r="BK56" s="353">
        <f>Tabla1[[#This Row],[COSTO POR UNIDAD DE PRODUCTO (3)]]*Tabla1[[#This Row],[COSTO UNITARIO AÑO 3 3]]*VLOOKUP(Tabla1[[#This Row],[CÓDIGO DEL PRODUCTO Y/O SERVICIO ]],Tabla3[],10)</f>
        <v>0</v>
      </c>
      <c r="BL56" s="353">
        <f>Tabla1[[#This Row],[COSTO POR UNIDAD DE PRODUCTO (3)]]*Tabla1[[#This Row],[COSTO UNITARIO AÑO 4 3]]*VLOOKUP(Tabla1[[#This Row],[CÓDIGO DEL PRODUCTO Y/O SERVICIO ]],Tabla3[],14)</f>
        <v>0</v>
      </c>
      <c r="BM56" s="353">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53">
        <f>IF(Tabla1[[#This Row],[CANTIDADES A UTILIZAR  AÑO 1 4]]=0,0,Tabla1[[#This Row],[CANTIDADES A UTILIZAR  AÑO 1 4]]*1/Tabla1[[#This Row],[UNIDADES PRODUCIDAS AÑO 1 4]])</f>
        <v>0</v>
      </c>
      <c r="BY56" s="353">
        <f>$D$16*(1+BASES!$E$10)</f>
        <v>0</v>
      </c>
      <c r="BZ56" s="353">
        <f>Tabla1[[#This Row],[COSTO UNITARIO AÑO 2 4]]*(1+BASES!$F$10)</f>
        <v>0</v>
      </c>
      <c r="CA56" s="353">
        <f>Tabla1[[#This Row],[COSTO UNITARIO AÑO 3 4]]*(1+BASES!$G$10)</f>
        <v>0</v>
      </c>
      <c r="CB56" s="353">
        <f>Tabla1[[#This Row],[COSTO UNITARIO AÑO 4 4]]*(1+BASES!$H$10)</f>
        <v>0</v>
      </c>
      <c r="CC56" s="353">
        <f>Tabla1[[#This Row],[COSTO POR UNIDAD DE PRODUCTO (4) ]]*$D$16*VLOOKUP(Tabla1[[#This Row],[CÓDIGO DEL PRODUCTO Y/O SERVICIO ]],Tabla3[],3)</f>
        <v>0</v>
      </c>
      <c r="CD56" s="353">
        <f>Tabla1[[#This Row],[COSTO POR UNIDAD DE PRODUCTO (4) ]]*Tabla1[[#This Row],[COSTO UNITARIO AÑO 2 4]]*VLOOKUP(Tabla1[[#This Row],[CÓDIGO DEL PRODUCTO Y/O SERVICIO ]],Tabla3[],6)</f>
        <v>0</v>
      </c>
      <c r="CE56" s="353">
        <f>Tabla1[[#This Row],[COSTO POR UNIDAD DE PRODUCTO (4) ]]*Tabla1[[#This Row],[COSTO UNITARIO AÑO 3 4]]*VLOOKUP(Tabla1[[#This Row],[CÓDIGO DEL PRODUCTO Y/O SERVICIO ]],Tabla3[],10)</f>
        <v>0</v>
      </c>
      <c r="CF56" s="353">
        <f>Tabla1[[#This Row],[COSTO POR UNIDAD DE PRODUCTO (4) ]]*Tabla1[[#This Row],[COSTO UNITARIO AÑO 4 4]]*VLOOKUP(Tabla1[[#This Row],[CÓDIGO DEL PRODUCTO Y/O SERVICIO ]],Tabla3[],14)</f>
        <v>0</v>
      </c>
      <c r="CG56" s="353">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53">
        <f>IF(Tabla1[[#This Row],[CANTIDADES A UTILIZAR  AÑO 1 5]]=0,0,Tabla1[[#This Row],[CANTIDADES A UTILIZAR  AÑO 1 5]]*1/Tabla1[[#This Row],[UNIDADES PRODUCIDAS AÑO 1 5]])</f>
        <v>0</v>
      </c>
      <c r="CS56" s="353">
        <f>$D$17*(1+BASES!$E$10)</f>
        <v>0</v>
      </c>
      <c r="CT56" s="353">
        <f>Tabla1[[#This Row],[COSTO UNITARIO AÑO 2 5]]*(1+BASES!$F$10)</f>
        <v>0</v>
      </c>
      <c r="CU56" s="353">
        <f>Tabla1[[#This Row],[COSTO UNITARIO AÑO 3 5]]*(1+BASES!$G$10)</f>
        <v>0</v>
      </c>
      <c r="CV56" s="353">
        <f>Tabla1[[#This Row],[COSTO UNITARIO AÑO 4 5]]*(1+BASES!$H$10)</f>
        <v>0</v>
      </c>
      <c r="CW56" s="353">
        <f>Tabla1[[#This Row],[COSTO POR UNIDAD DE PRODUCTO (5)]]*$D$17*VLOOKUP(Tabla1[[#This Row],[CÓDIGO DEL PRODUCTO Y/O SERVICIO ]],Tabla3[],3)</f>
        <v>0</v>
      </c>
      <c r="CX56" s="353">
        <f>Tabla1[[#This Row],[COSTO POR UNIDAD DE PRODUCTO (5)]]*Tabla1[[#This Row],[COSTO UNITARIO AÑO 2 5]]*VLOOKUP(Tabla1[[#This Row],[CÓDIGO DEL PRODUCTO Y/O SERVICIO ]],Tabla3[],6)</f>
        <v>0</v>
      </c>
      <c r="CY56" s="353">
        <f>Tabla1[[#This Row],[COSTO POR UNIDAD DE PRODUCTO (5)]]*Tabla1[[#This Row],[COSTO UNITARIO AÑO 3 5]]*VLOOKUP(Tabla1[[#This Row],[CÓDIGO DEL PRODUCTO Y/O SERVICIO ]],Tabla3[],10)</f>
        <v>0</v>
      </c>
      <c r="CZ56" s="353">
        <f>Tabla1[[#This Row],[COSTO POR UNIDAD DE PRODUCTO (5)]]*Tabla1[[#This Row],[COSTO UNITARIO AÑO 4 5]]*VLOOKUP(Tabla1[[#This Row],[CÓDIGO DEL PRODUCTO Y/O SERVICIO ]],Tabla3[],14)</f>
        <v>0</v>
      </c>
      <c r="DA56" s="353">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53">
        <f>IF(Tabla1[[#This Row],[CANTIDADES A UTILIZAR  AÑO 1 6]]=0,0,Tabla1[[#This Row],[CANTIDADES A UTILIZAR  AÑO 1 6]]*1/Tabla1[[#This Row],[UNIDADES PRODUCIDAS AÑO 1 6]])</f>
        <v>0</v>
      </c>
      <c r="DM56" s="353">
        <f>$D$18*(1+BASES!$E$10)</f>
        <v>0</v>
      </c>
      <c r="DN56" s="353">
        <f>Tabla1[[#This Row],[COSTO UNITARIO AÑO 2 6]]*(1+BASES!$F$10)</f>
        <v>0</v>
      </c>
      <c r="DO56" s="353">
        <f>Tabla1[[#This Row],[COSTO UNITARIO AÑO 3 6]]*(1+BASES!$G$10)</f>
        <v>0</v>
      </c>
      <c r="DP56" s="353">
        <f>Tabla1[[#This Row],[COSTO UNITARIO AÑO 4 6 ]]*(1+BASES!$H$10)</f>
        <v>0</v>
      </c>
      <c r="DQ56" s="353">
        <f>Tabla1[[#This Row],[COSTO POR UNIDAD DE PRODUCTO (6)]]*$D$18*VLOOKUP(Tabla1[[#This Row],[CÓDIGO DEL PRODUCTO Y/O SERVICIO ]],Tabla3[],3)</f>
        <v>0</v>
      </c>
      <c r="DR56" s="353">
        <f>Tabla1[[#This Row],[COSTO POR UNIDAD DE PRODUCTO (6)]]*Tabla1[[#This Row],[COSTO UNITARIO AÑO 2 6]]*VLOOKUP(Tabla1[[#This Row],[CÓDIGO DEL PRODUCTO Y/O SERVICIO ]],Tabla3[],6)</f>
        <v>0</v>
      </c>
      <c r="DS56" s="353">
        <f>Tabla1[[#This Row],[COSTO POR UNIDAD DE PRODUCTO (6)]]*Tabla1[[#This Row],[COSTO UNITARIO AÑO 3 6]]*VLOOKUP(Tabla1[[#This Row],[CÓDIGO DEL PRODUCTO Y/O SERVICIO ]],Tabla3[],10)</f>
        <v>0</v>
      </c>
      <c r="DT56" s="353">
        <f>Tabla1[[#This Row],[COSTO POR UNIDAD DE PRODUCTO (6)]]*Tabla1[[#This Row],[COSTO UNITARIO AÑO 4 6 ]]*VLOOKUP(Tabla1[[#This Row],[CÓDIGO DEL PRODUCTO Y/O SERVICIO ]],Tabla3[],14)</f>
        <v>0</v>
      </c>
      <c r="DU56" s="353">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53">
        <f>IF(Tabla1[[#This Row],[CANTIDADES A UTILIZAR  AÑO 1 7]]=0,0,Tabla1[[#This Row],[CANTIDADES A UTILIZAR  AÑO 1 7]]*1/Tabla1[[#This Row],[UNIDADES PRODUCIDAS AÑO 1 7]])</f>
        <v>0</v>
      </c>
      <c r="EG56" s="353">
        <f>$D$19*(1+BASES!$E$10)</f>
        <v>0</v>
      </c>
      <c r="EH56" s="353">
        <f>Tabla1[[#This Row],[COSTO UNITARIO AÑO 2 7]]*(1+BASES!$F$10)</f>
        <v>0</v>
      </c>
      <c r="EI56" s="353">
        <f>Tabla1[[#This Row],[COSTO UNITARIO AÑO 3 7]]*(1+BASES!$G$10)</f>
        <v>0</v>
      </c>
      <c r="EJ56" s="353">
        <f>Tabla1[[#This Row],[COSTO UNITARIO AÑO 4 7]]*(1+BASES!$H$10)</f>
        <v>0</v>
      </c>
      <c r="EK56" s="353">
        <f>Tabla1[[#This Row],[COSTO POR UNIDAD DE PRODUCTO (7)]]*$D$19*VLOOKUP(Tabla1[[#This Row],[CÓDIGO DEL PRODUCTO Y/O SERVICIO ]],Tabla3[],3)</f>
        <v>0</v>
      </c>
      <c r="EL56" s="353">
        <f>Tabla1[[#This Row],[COSTO POR UNIDAD DE PRODUCTO (7)]]*Tabla1[[#This Row],[COSTO UNITARIO AÑO 2 7]]*VLOOKUP(Tabla1[[#This Row],[CÓDIGO DEL PRODUCTO Y/O SERVICIO ]],Tabla3[],6)</f>
        <v>0</v>
      </c>
      <c r="EM56" s="353">
        <f>Tabla1[[#This Row],[COSTO POR UNIDAD DE PRODUCTO (7)]]*Tabla1[[#This Row],[COSTO UNITARIO AÑO 3 7]]*VLOOKUP(Tabla1[[#This Row],[CÓDIGO DEL PRODUCTO Y/O SERVICIO ]],Tabla3[],10)</f>
        <v>0</v>
      </c>
      <c r="EN56" s="353">
        <f>Tabla1[[#This Row],[COSTO POR UNIDAD DE PRODUCTO (7)]]*Tabla1[[#This Row],[COSTO UNITARIO AÑO 4 7]]*VLOOKUP(Tabla1[[#This Row],[CÓDIGO DEL PRODUCTO Y/O SERVICIO ]],Tabla3[],14)</f>
        <v>0</v>
      </c>
      <c r="EO56" s="353">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53">
        <f>IF(Tabla1[[#This Row],[CANTIDADES A UTILIZAR  AÑO 1 8]]=0,0,Tabla1[[#This Row],[CANTIDADES A UTILIZAR  AÑO 1 8]]*1/Tabla1[[#This Row],[UNIDADES PRODUCIDAS AÑO 1 8]])</f>
        <v>0</v>
      </c>
      <c r="FA56" s="353">
        <f>$D$20*(1+BASES!$E$10)</f>
        <v>0</v>
      </c>
      <c r="FB56" s="353">
        <f>Tabla1[[#This Row],[COSTO UNITARIO AÑO 2 8]]*(1+BASES!$F$10)</f>
        <v>0</v>
      </c>
      <c r="FC56" s="353">
        <f>Tabla1[[#This Row],[COSTO UNITARIO AÑO 3 8]]*(1+BASES!$G$10)</f>
        <v>0</v>
      </c>
      <c r="FD56" s="353">
        <f>Tabla1[[#This Row],[COSTO UNITARIO AÑO 4 8]]*(1+BASES!$H$10)</f>
        <v>0</v>
      </c>
      <c r="FE56" s="353">
        <f>Tabla1[[#This Row],[COSTO POR UNIDAD DE PRODUCTO (8)]]*$D$20*VLOOKUP(Tabla1[[#This Row],[CÓDIGO DEL PRODUCTO Y/O SERVICIO ]],Tabla3[],3)</f>
        <v>0</v>
      </c>
      <c r="FF56" s="353">
        <f>Tabla1[[#This Row],[COSTO POR UNIDAD DE PRODUCTO (8)]]*Tabla1[[#This Row],[COSTO UNITARIO AÑO 2 8]]*VLOOKUP(Tabla1[[#This Row],[CÓDIGO DEL PRODUCTO Y/O SERVICIO ]],Tabla3[],6)</f>
        <v>0</v>
      </c>
      <c r="FG56" s="353">
        <f>Tabla1[[#This Row],[COSTO POR UNIDAD DE PRODUCTO (8)]]*Tabla1[[#This Row],[COSTO UNITARIO AÑO 3 8]]*VLOOKUP(Tabla1[[#This Row],[CÓDIGO DEL PRODUCTO Y/O SERVICIO ]],Tabla3[],10)</f>
        <v>0</v>
      </c>
      <c r="FH56" s="353">
        <f>Tabla1[[#This Row],[COSTO POR UNIDAD DE PRODUCTO (8)]]*Tabla1[[#This Row],[COSTO UNITARIO AÑO 4 8]]*VLOOKUP(Tabla1[[#This Row],[CÓDIGO DEL PRODUCTO Y/O SERVICIO ]],Tabla3[],14)</f>
        <v>0</v>
      </c>
      <c r="FI56" s="353">
        <f>Tabla1[[#This Row],[COSTO POR UNIDAD DE PRODUCTO (8)]]*Tabla1[[#This Row],[COSTO UNITARIO AÑO 5 8]]*VLOOKUP(Tabla1[[#This Row],[CÓDIGO DEL PRODUCTO Y/O SERVICIO ]],Tabla3[],18)</f>
        <v>0</v>
      </c>
      <c r="FJ56" s="355">
        <f>VLOOKUP(Tabla1[[#This Row],[CÓDIGO DEL PRODUCTO Y/O SERVICIO ]],Tabla3[],3)</f>
        <v>0</v>
      </c>
      <c r="FK56" s="355">
        <f>Tabla1[[#This Row],[UNIDADES PRODUCIDAS AÑO 1 9 ]]*N41</f>
        <v>0</v>
      </c>
      <c r="FL56" s="356">
        <f>VLOOKUP(Tabla1[[#This Row],[CÓDIGO DEL PRODUCTO Y/O SERVICIO ]],Tabla3[],9)</f>
        <v>0</v>
      </c>
      <c r="FM56" s="355">
        <f>Tabla1[[#This Row],[CANTIDADES A UTILIZAR  AÑO 1 9]]*(1+Tabla1[[#This Row],[CAMBIO PORCENTUAL EN UNIDADES VENDIDAS AÑO 2 9]])</f>
        <v>0</v>
      </c>
      <c r="FN56" s="356">
        <f>VLOOKUP(Tabla1[[#This Row],[CÓDIGO DEL PRODUCTO Y/O SERVICIO ]],Tabla3[],13)</f>
        <v>0</v>
      </c>
      <c r="FO56" s="355">
        <f>Tabla1[[#This Row],[CANTIDADES A UTILIZAR  AÑO 2 9]]*(1+Tabla1[[#This Row],[CAMBIO PORCENTUAL EN UNIDADES VENDIDAS AÑO 3 9]])</f>
        <v>0</v>
      </c>
      <c r="FP56" s="356">
        <f>VLOOKUP(Tabla1[[#This Row],[CÓDIGO DEL PRODUCTO Y/O SERVICIO ]],Tabla3[],17)</f>
        <v>0</v>
      </c>
      <c r="FQ56" s="355">
        <f>Tabla1[[#This Row],[CANTIDADES A UTILIZAR  AÑO 3 9]]*(1+Tabla1[[#This Row],[CAMBIO PORCENTUAL EN UNIDADES VENDIDAS AÑO 4 9 ]])</f>
        <v>0</v>
      </c>
      <c r="FR56" s="356">
        <f>VLOOKUP(Tabla1[[#This Row],[CÓDIGO DEL PRODUCTO Y/O SERVICIO ]],Tabla3[],21)</f>
        <v>0</v>
      </c>
      <c r="FS56" s="355">
        <f>Tabla1[[#This Row],[CANTIDADES A UTILIZAR  AÑO 4  9]]*(1+Tabla1[[#This Row],[CAMBIO PORCENTUAL EN UNIDADES VENDIDAS AÑO 5 9]])</f>
        <v>0</v>
      </c>
      <c r="FT56" s="357">
        <f>IF(Tabla1[[#This Row],[CANTIDADES A UTILIZAR  AÑO 1 9]]=0,0,Tabla1[[#This Row],[CANTIDADES A UTILIZAR  AÑO 1 9]]*1/Tabla1[[#This Row],[UNIDADES PRODUCIDAS AÑO 1 9 ]])</f>
        <v>0</v>
      </c>
      <c r="FU56" s="357">
        <f>$D$21*(1+BASES!$E$10)</f>
        <v>0</v>
      </c>
      <c r="FV56" s="357">
        <f>Tabla1[[#This Row],[COSTO UNITARIO AÑO 2 9]]*(1+BASES!$F$10)</f>
        <v>0</v>
      </c>
      <c r="FW56" s="357">
        <f>Tabla1[[#This Row],[COSTO UNITARIO AÑO 3 9]]*(1+BASES!$G$10)</f>
        <v>0</v>
      </c>
      <c r="FX56" s="357">
        <f>Tabla1[[#This Row],[COSTO UNITARIO AÑO 4 9]]*(1+BASES!$H$10)</f>
        <v>0</v>
      </c>
      <c r="FY56" s="357">
        <f>Tabla1[[#This Row],[COSTO POR UNIDAD DE PRODUCTO (9)]]*$D$21*VLOOKUP(Tabla1[[#This Row],[CÓDIGO DEL PRODUCTO Y/O SERVICIO ]],Tabla3[],3)</f>
        <v>0</v>
      </c>
      <c r="FZ56" s="357">
        <f>Tabla1[[#This Row],[COSTO POR UNIDAD DE PRODUCTO (9)]]*Tabla1[[#This Row],[COSTO UNITARIO AÑO 2 9]]*VLOOKUP(Tabla1[[#This Row],[CÓDIGO DEL PRODUCTO Y/O SERVICIO ]],Tabla3[],6)</f>
        <v>0</v>
      </c>
      <c r="GA56" s="357">
        <f>Tabla1[[#This Row],[COSTO POR UNIDAD DE PRODUCTO (9)]]*Tabla1[[#This Row],[COSTO UNITARIO AÑO 3 9]]*VLOOKUP(Tabla1[[#This Row],[CÓDIGO DEL PRODUCTO Y/O SERVICIO ]],Tabla3[],10)</f>
        <v>0</v>
      </c>
      <c r="GB56" s="357">
        <f>Tabla1[[#This Row],[COSTO POR UNIDAD DE PRODUCTO (9)]]*Tabla1[[#This Row],[COSTO UNITARIO AÑO 4 9]]*VLOOKUP(Tabla1[[#This Row],[CÓDIGO DEL PRODUCTO Y/O SERVICIO ]],Tabla3[],14)</f>
        <v>0</v>
      </c>
      <c r="GC56" s="357">
        <f>Tabla1[[#This Row],[COSTO POR UNIDAD DE PRODUCTO (9)]]*Tabla1[[#This Row],[COSTO UNITARIO AÑO 5 9]]*VLOOKUP(Tabla1[[#This Row],[CÓDIGO DEL PRODUCTO Y/O SERVICIO ]],Tabla3[],18)</f>
        <v>0</v>
      </c>
      <c r="GD56" s="355">
        <f>VLOOKUP(Tabla1[[#This Row],[CÓDIGO DEL PRODUCTO Y/O SERVICIO ]],Tabla3[],3)</f>
        <v>0</v>
      </c>
      <c r="GE56" s="355">
        <f>Tabla1[[#This Row],[UNIDADES PRODUCIDAS AÑO 1 10]]*O41</f>
        <v>0</v>
      </c>
      <c r="GF56" s="356">
        <f>VLOOKUP(Tabla1[[#This Row],[CÓDIGO DEL PRODUCTO Y/O SERVICIO ]],Tabla3[],9)</f>
        <v>0</v>
      </c>
      <c r="GG56" s="355">
        <f>Tabla1[[#This Row],[CANTIDADES A UTILIZAR  AÑO 1 10]]*(1+Tabla1[[#This Row],[CAMBIO PORCENTUAL EN UNIDADES VENDIDAS AÑO 2 10 ]])</f>
        <v>0</v>
      </c>
      <c r="GH56" s="356">
        <f>VLOOKUP(Tabla1[[#This Row],[CÓDIGO DEL PRODUCTO Y/O SERVICIO ]],Tabla3[],13)</f>
        <v>0</v>
      </c>
      <c r="GI56" s="355">
        <f>Tabla1[[#This Row],[CANTIDADES A UTILIZAR  AÑO 2 10]]*(1+Tabla1[[#This Row],[CAMBIO PORCENTUAL EN UNIDADES VENDIDAS AÑO 3 10]])</f>
        <v>0</v>
      </c>
      <c r="GJ56" s="356">
        <f>VLOOKUP(Tabla1[[#This Row],[CÓDIGO DEL PRODUCTO Y/O SERVICIO ]],Tabla3[],17)</f>
        <v>0</v>
      </c>
      <c r="GK56" s="355">
        <f>Tabla1[[#This Row],[CANTIDADES A UTILIZAR AÑO 3 10 ]]*(1+Tabla1[[#This Row],[CAMBIO PORCENTUAL EN UNIDADES VENDIDAS AÑO 4 10]])</f>
        <v>0</v>
      </c>
      <c r="GL56" s="356">
        <f>VLOOKUP(Tabla1[[#This Row],[CÓDIGO DEL PRODUCTO Y/O SERVICIO ]],Tabla3[],21)</f>
        <v>0</v>
      </c>
      <c r="GM56" s="355">
        <f>Tabla1[[#This Row],[CANTIDADES A UTILIZAR  AÑO 4 10 ]]*(1+Tabla1[[#This Row],[CAMBIO PORCENTUAL EN UNIDADES VENDIDAS AÑO 5 10]])</f>
        <v>0</v>
      </c>
      <c r="GN56" s="357">
        <f>IF(Tabla1[[#This Row],[CANTIDADES A UTILIZAR  AÑO 1 10]]=0,0,Tabla1[[#This Row],[CANTIDADES A UTILIZAR  AÑO 1 10]]*1/Tabla1[[#This Row],[UNIDADES PRODUCIDAS AÑO 1 10]])</f>
        <v>0</v>
      </c>
      <c r="GO56" s="357">
        <f>$D$22*(1+BASES!$E$10)</f>
        <v>0</v>
      </c>
      <c r="GP56" s="357">
        <f>Tabla1[[#This Row],[COSTO UNITARIO AÑO 2 10 ]]*(1+BASES!$F$10)</f>
        <v>0</v>
      </c>
      <c r="GQ56" s="357">
        <f>Tabla1[[#This Row],[COSTO UNITARIO AÑO 3 10]]*(1+BASES!$G$10)</f>
        <v>0</v>
      </c>
      <c r="GR56" s="357">
        <f>Tabla1[[#This Row],[COSTO UNITARIO AÑO 4 10]]*(1+BASES!$H$10)</f>
        <v>0</v>
      </c>
      <c r="GS56" s="357">
        <f>Tabla1[[#This Row],[COSTO POR UNIDAD DE PRODUCTO (10)]]*$D$22*VLOOKUP(Tabla1[[#This Row],[CÓDIGO DEL PRODUCTO Y/O SERVICIO ]],Tabla3[],3)</f>
        <v>0</v>
      </c>
      <c r="GT56" s="357">
        <f>Tabla1[[#This Row],[COSTO POR UNIDAD DE PRODUCTO (10)]]*Tabla1[[#This Row],[COSTO UNITARIO AÑO 2 10 ]]*VLOOKUP(Tabla1[[#This Row],[CÓDIGO DEL PRODUCTO Y/O SERVICIO ]],Tabla3[],6)</f>
        <v>0</v>
      </c>
      <c r="GU56" s="357">
        <f>Tabla1[[#This Row],[COSTO POR UNIDAD DE PRODUCTO (10)]]*Tabla1[[#This Row],[COSTO UNITARIO AÑO 3 10]]*VLOOKUP(Tabla1[[#This Row],[CÓDIGO DEL PRODUCTO Y/O SERVICIO ]],Tabla3[],10)</f>
        <v>0</v>
      </c>
      <c r="GV56" s="357">
        <f>Tabla1[[#This Row],[COSTO POR UNIDAD DE PRODUCTO (10)]]*Tabla1[[#This Row],[COSTO UNITARIO AÑO 4 10]]*VLOOKUP(Tabla1[[#This Row],[CÓDIGO DEL PRODUCTO Y/O SERVICIO ]],Tabla3[],14)</f>
        <v>0</v>
      </c>
      <c r="GW56" s="357">
        <f>Tabla1[[#This Row],[COSTO POR UNIDAD DE PRODUCTO (10)]]*Tabla1[[#This Row],[COSTO UNITARIO AÑO 5 10 ]]*VLOOKUP(Tabla1[[#This Row],[CÓDIGO DEL PRODUCTO Y/O SERVICIO ]],Tabla3[],18)</f>
        <v>0</v>
      </c>
      <c r="GX56" s="355">
        <f>VLOOKUP(Tabla1[[#This Row],[CÓDIGO DEL PRODUCTO Y/O SERVICIO ]],Tabla3[],3)</f>
        <v>0</v>
      </c>
      <c r="GY56" s="355">
        <f>Tabla1[[#This Row],[UNIDADES PRODUCIDAS AÑO 1 11]]*P41</f>
        <v>0</v>
      </c>
      <c r="GZ56" s="356">
        <f>VLOOKUP(Tabla1[[#This Row],[CÓDIGO DEL PRODUCTO Y/O SERVICIO ]],Tabla3[],9)</f>
        <v>0</v>
      </c>
      <c r="HA56" s="355">
        <f>Tabla1[[#This Row],[CANTIDADES A UTILIZAR  AÑO 1 11 ]]*(1+Tabla1[[#This Row],[CAMBIO PORCENTUAL EN UNIDADES VENDIDAS AÑO 2 11 ]])</f>
        <v>0</v>
      </c>
      <c r="HB56" s="356">
        <f>VLOOKUP(Tabla1[[#This Row],[CÓDIGO DEL PRODUCTO Y/O SERVICIO ]],Tabla3[],13)</f>
        <v>0</v>
      </c>
      <c r="HC56" s="355">
        <f>Tabla1[[#This Row],[CANTIDADES A UTILIZAR  AÑO 2 11 ]]*(1+Tabla1[[#This Row],[CAMBIO PORCENTUAL EN UNIDADES VENDIDAS AÑO 3 11]])</f>
        <v>0</v>
      </c>
      <c r="HD56" s="356">
        <f>VLOOKUP(Tabla1[[#This Row],[CÓDIGO DEL PRODUCTO Y/O SERVICIO ]],Tabla3[],17)</f>
        <v>0</v>
      </c>
      <c r="HE56" s="355">
        <f>Tabla1[[#This Row],[CANTIDADES A UTILIZAR  AÑO 3 11]]*(1+Tabla1[[#This Row],[CAMBIO PORCENTUAL EN UNIDADES VENDIDAS AÑO 4 11]])</f>
        <v>0</v>
      </c>
      <c r="HF56" s="356">
        <f>VLOOKUP(Tabla1[[#This Row],[CÓDIGO DEL PRODUCTO Y/O SERVICIO ]],Tabla3[],21)</f>
        <v>0</v>
      </c>
      <c r="HG56" s="355">
        <f>Tabla1[[#This Row],[CANTIDADES A UTILIZAR  AÑO 4 11]]*(1+Tabla1[[#This Row],[CAMBIO PORCENTUAL EN UNIDADES VENDIDAS AÑO 5 11 ]])</f>
        <v>0</v>
      </c>
      <c r="HH56" s="357">
        <f>IF(Tabla1[[#This Row],[CANTIDADES A UTILIZAR  AÑO 1 11 ]]=0,0,Tabla1[[#This Row],[CANTIDADES A UTILIZAR  AÑO 1 11 ]]*1/Tabla1[[#This Row],[UNIDADES PRODUCIDAS AÑO 1 11]])</f>
        <v>0</v>
      </c>
      <c r="HI56" s="357">
        <f>$D$23*(1+BASES!$E$10)</f>
        <v>0</v>
      </c>
      <c r="HJ56" s="357">
        <f>Tabla1[[#This Row],[COSTO UNITARIO AÑO 2 11]]*(1+BASES!$F$10)</f>
        <v>0</v>
      </c>
      <c r="HK56" s="357">
        <f>Tabla1[[#This Row],[COSTO UNITARIO AÑO 3 11 ]]*(1+BASES!$G$10)</f>
        <v>0</v>
      </c>
      <c r="HL56" s="357">
        <f>Tabla1[[#This Row],[COSTO UNITARIO AÑO 4 11 ]]*(1+BASES!$H$10)</f>
        <v>0</v>
      </c>
      <c r="HM56" s="357">
        <f>Tabla1[[#This Row],[COSTO POR UNIDAD DE PRODUCTO (11)]]*$D$23*VLOOKUP(Tabla1[[#This Row],[CÓDIGO DEL PRODUCTO Y/O SERVICIO ]],Tabla3[],3)</f>
        <v>0</v>
      </c>
      <c r="HN56" s="357">
        <f>Tabla1[[#This Row],[COSTO POR UNIDAD DE PRODUCTO (11)]]*Tabla1[[#This Row],[COSTO UNITARIO AÑO 2 11]]*VLOOKUP(Tabla1[[#This Row],[CÓDIGO DEL PRODUCTO Y/O SERVICIO ]],Tabla3[],6)</f>
        <v>0</v>
      </c>
      <c r="HO56" s="357">
        <f>Tabla1[[#This Row],[COSTO POR UNIDAD DE PRODUCTO (11)]]*Tabla1[[#This Row],[COSTO UNITARIO AÑO 3 11 ]]*VLOOKUP(Tabla1[[#This Row],[CÓDIGO DEL PRODUCTO Y/O SERVICIO ]],Tabla3[],10)</f>
        <v>0</v>
      </c>
      <c r="HP56" s="357">
        <f>Tabla1[[#This Row],[COSTO POR UNIDAD DE PRODUCTO (11)]]*Tabla1[[#This Row],[COSTO UNITARIO AÑO 4 11 ]]*VLOOKUP(Tabla1[[#This Row],[CÓDIGO DEL PRODUCTO Y/O SERVICIO ]],Tabla3[],14)</f>
        <v>0</v>
      </c>
      <c r="HQ56" s="357">
        <f>Tabla1[[#This Row],[COSTO POR UNIDAD DE PRODUCTO (11)]]*Tabla1[[#This Row],[COSTO UNITARIO AÑO 5 11 ]]*VLOOKUP(Tabla1[[#This Row],[CÓDIGO DEL PRODUCTO Y/O SERVICIO ]],Tabla3[],18)</f>
        <v>0</v>
      </c>
      <c r="HR56" s="355">
        <f>VLOOKUP(Tabla1[[#This Row],[CÓDIGO DEL PRODUCTO Y/O SERVICIO ]],Tabla3[],3)</f>
        <v>0</v>
      </c>
      <c r="HS56" s="355">
        <f>Tabla1[[#This Row],[UNIDADES PRODUCIDAS AÑO 1 12]]*Q41</f>
        <v>0</v>
      </c>
      <c r="HT56" s="356">
        <f>VLOOKUP(Tabla1[[#This Row],[CÓDIGO DEL PRODUCTO Y/O SERVICIO ]],Tabla3[],9)</f>
        <v>0</v>
      </c>
      <c r="HU56" s="355">
        <f>Tabla1[[#This Row],[CANTIDADES A UTILIZAR  AÑO 1 12]]*(1+Tabla1[[#This Row],[CAMBIO PORCENTUAL EN UNIDADES VENDIDAS AÑO 2 12]])</f>
        <v>0</v>
      </c>
      <c r="HV56" s="356">
        <f>VLOOKUP(Tabla1[[#This Row],[CÓDIGO DEL PRODUCTO Y/O SERVICIO ]],Tabla3[],13)</f>
        <v>0</v>
      </c>
      <c r="HW56" s="355">
        <f>Tabla1[[#This Row],[CANTIDADES A UTILIZAR  AÑO 2 12]]*(1+Tabla1[[#This Row],[CAMBIO PORCENTUAL EN UNIDADES VENDIDAS AÑO 3 12]])</f>
        <v>0</v>
      </c>
      <c r="HX56" s="356">
        <f>VLOOKUP(Tabla1[[#This Row],[CÓDIGO DEL PRODUCTO Y/O SERVICIO ]],Tabla3[],17)</f>
        <v>0</v>
      </c>
      <c r="HY56" s="355">
        <f>Tabla1[[#This Row],[CANTIDADES A UTILIZAR  AÑO 3 12]]*(1+Tabla1[[#This Row],[CAMBIO PORCENTUAL EN UNIDADES VENDIDAS AÑO 4 12]])</f>
        <v>0</v>
      </c>
      <c r="HZ56" s="356">
        <f>VLOOKUP(Tabla1[[#This Row],[CÓDIGO DEL PRODUCTO Y/O SERVICIO ]],Tabla3[],21)</f>
        <v>0</v>
      </c>
      <c r="IA56" s="355">
        <f>Tabla1[[#This Row],[CANTIDADES A UTILIZAR  AÑO 4 12]]*(1+Tabla1[[#This Row],[CAMBIO PORCENTUAL EN UNIDADES VENDIDAS AÑO 5 12]])</f>
        <v>0</v>
      </c>
      <c r="IB56" s="357">
        <f>IF(Tabla1[[#This Row],[CANTIDADES A UTILIZAR  AÑO 1 12]]=0,0,Tabla1[[#This Row],[CANTIDADES A UTILIZAR  AÑO 1 12]]*1/Tabla1[[#This Row],[UNIDADES PRODUCIDAS AÑO 1 12]])</f>
        <v>0</v>
      </c>
      <c r="IC56" s="357">
        <f>$D$24*(1+BASES!$E$10)</f>
        <v>0</v>
      </c>
      <c r="ID56" s="357">
        <f>Tabla1[[#This Row],[COSTO UNITARIO AÑO 2 12]]*(1+BASES!$F$10)</f>
        <v>0</v>
      </c>
      <c r="IE56" s="357">
        <f>Tabla1[[#This Row],[COSTO UNITARIO AÑO 3 12]]*(1+BASES!$G$10)</f>
        <v>0</v>
      </c>
      <c r="IF56" s="357">
        <f>Tabla1[[#This Row],[COSTO UNITARIO AÑO 4 12]]*(1+BASES!$H$10)</f>
        <v>0</v>
      </c>
      <c r="IG56" s="357">
        <f>Tabla1[[#This Row],[COSTO POR UNIDAD DE PRODUCTO (12)]]*$D$24*VLOOKUP(Tabla1[[#This Row],[CÓDIGO DEL PRODUCTO Y/O SERVICIO ]],Tabla3[],3)</f>
        <v>0</v>
      </c>
      <c r="IH56" s="357">
        <f>Tabla1[[#This Row],[COSTO POR UNIDAD DE PRODUCTO (12)]]*Tabla1[[#This Row],[COSTO UNITARIO AÑO 2 12]]*VLOOKUP(Tabla1[[#This Row],[CÓDIGO DEL PRODUCTO Y/O SERVICIO ]],Tabla3[],6)</f>
        <v>0</v>
      </c>
      <c r="II56" s="357">
        <f>Tabla1[[#This Row],[COSTO POR UNIDAD DE PRODUCTO (12)]]*Tabla1[[#This Row],[COSTO UNITARIO AÑO 3 12]]*VLOOKUP(Tabla1[[#This Row],[CÓDIGO DEL PRODUCTO Y/O SERVICIO ]],Tabla3[],10)</f>
        <v>0</v>
      </c>
      <c r="IJ56" s="357">
        <f>Tabla1[[#This Row],[COSTO POR UNIDAD DE PRODUCTO (12)]]*Tabla1[[#This Row],[COSTO UNITARIO AÑO 4 12]]*VLOOKUP(Tabla1[[#This Row],[CÓDIGO DEL PRODUCTO Y/O SERVICIO ]],Tabla3[],14)</f>
        <v>0</v>
      </c>
      <c r="IK56" s="357">
        <f>Tabla1[[#This Row],[COSTO POR UNIDAD DE PRODUCTO (12)]]*Tabla1[[#This Row],[COSTO UNITARIO AÑO 5 12]]*VLOOKUP(Tabla1[[#This Row],[CÓDIGO DEL PRODUCTO Y/O SERVICIO ]],Tabla3[],18)</f>
        <v>0</v>
      </c>
      <c r="IL56" s="355">
        <f>VLOOKUP(Tabla1[[#This Row],[CÓDIGO DEL PRODUCTO Y/O SERVICIO ]],Tabla3[],3)</f>
        <v>0</v>
      </c>
      <c r="IM56" s="355">
        <f>Tabla1[[#This Row],[UNIDADES PRODUCIDAS AÑO 1 13]]*R41</f>
        <v>0</v>
      </c>
      <c r="IN56" s="356">
        <f>VLOOKUP(Tabla1[[#This Row],[CÓDIGO DEL PRODUCTO Y/O SERVICIO ]],Tabla3[],9)</f>
        <v>0</v>
      </c>
      <c r="IO56" s="355">
        <f>Tabla1[[#This Row],[CANTIDADES A UTILIZAR  AÑO 1 13]]*(1+Tabla1[[#This Row],[CAMBIO PORCENTUAL EN UNIDADES VENDIDAS AÑO 2 13]])</f>
        <v>0</v>
      </c>
      <c r="IP56" s="356">
        <f>VLOOKUP(Tabla1[[#This Row],[CÓDIGO DEL PRODUCTO Y/O SERVICIO ]],Tabla3[],13)</f>
        <v>0</v>
      </c>
      <c r="IQ56" s="355">
        <f>Tabla1[[#This Row],[CANTIDADES A UTILIZAR  AÑO 2 13]]*(1+Tabla1[[#This Row],[CAMBIO PORCENTUAL EN UNIDADES VENDIDAS AÑO 3 13]])</f>
        <v>0</v>
      </c>
      <c r="IR56" s="355">
        <f>VLOOKUP(Tabla1[[#This Row],[CÓDIGO DEL PRODUCTO Y/O SERVICIO ]],Tabla3[],17)</f>
        <v>0</v>
      </c>
      <c r="IS56" s="355">
        <f>Tabla1[[#This Row],[CANTIDADES A UTILIZAR  AÑO 3 13]]*(1+Tabla1[[#This Row],[CAMBIO PORCENTUAL EN UNIDADES VENDIDAS AÑO 4 13]])</f>
        <v>0</v>
      </c>
      <c r="IT56" s="356">
        <f>VLOOKUP(Tabla1[[#This Row],[CÓDIGO DEL PRODUCTO Y/O SERVICIO ]],Tabla3[],21)</f>
        <v>0</v>
      </c>
      <c r="IU56" s="355">
        <f>Tabla1[[#This Row],[CANTIDADES A UTILIZAR  AÑO 4 13]]*(1+Tabla1[[#This Row],[CAMBIO PORCENTUAL EN UNIDADES VENDIDAS AÑO 5 13]])</f>
        <v>0</v>
      </c>
      <c r="IV56" s="357">
        <f>IF(Tabla1[[#This Row],[CANTIDADES A UTILIZAR  AÑO 1 13]]=0,0,Tabla1[[#This Row],[CANTIDADES A UTILIZAR  AÑO 1 13]]*1/Tabla1[[#This Row],[UNIDADES PRODUCIDAS AÑO 1 13]])</f>
        <v>0</v>
      </c>
      <c r="IW56" s="357">
        <f>$D$25*(1+BASES!$E$10)</f>
        <v>0</v>
      </c>
      <c r="IX56" s="357">
        <f>Tabla1[[#This Row],[COSTO UNITARIO AÑO 2 13]]*(1+BASES!$F$10)</f>
        <v>0</v>
      </c>
      <c r="IY56" s="357">
        <f>Tabla1[[#This Row],[COSTO UNITARIO AÑO 3 13]]*(1+BASES!$G$10)</f>
        <v>0</v>
      </c>
      <c r="IZ56" s="357">
        <f>Tabla1[[#This Row],[COSTO UNITARIO AÑO 4 13]]*(1+BASES!$H$10)</f>
        <v>0</v>
      </c>
      <c r="JA56" s="357">
        <f>Tabla1[[#This Row],[COSTO POR UNIDAD DE PRODUCTO (13)]]*$D$25*VLOOKUP(Tabla1[[#This Row],[CÓDIGO DEL PRODUCTO Y/O SERVICIO ]],Tabla3[],3)</f>
        <v>0</v>
      </c>
      <c r="JB56" s="357">
        <f>Tabla1[[#This Row],[COSTO POR UNIDAD DE PRODUCTO (13)]]*Tabla1[[#This Row],[COSTO UNITARIO AÑO 2 13]]*VLOOKUP(Tabla1[[#This Row],[CÓDIGO DEL PRODUCTO Y/O SERVICIO ]],Tabla3[],6)</f>
        <v>0</v>
      </c>
      <c r="JC56" s="357">
        <f>Tabla1[[#This Row],[COSTO POR UNIDAD DE PRODUCTO (13)]]*Tabla1[[#This Row],[COSTO UNITARIO AÑO 3 13]]*VLOOKUP(Tabla1[[#This Row],[CÓDIGO DEL PRODUCTO Y/O SERVICIO ]],Tabla3[],10)</f>
        <v>0</v>
      </c>
      <c r="JD56" s="357">
        <f>Tabla1[[#This Row],[COSTO POR UNIDAD DE PRODUCTO (13)]]*Tabla1[[#This Row],[COSTO UNITARIO AÑO 4 13]]*VLOOKUP(Tabla1[[#This Row],[CÓDIGO DEL PRODUCTO Y/O SERVICIO ]],Tabla3[],14)</f>
        <v>0</v>
      </c>
      <c r="JE56" s="357">
        <f>Tabla1[[#This Row],[COSTO POR UNIDAD DE PRODUCTO (13)]]*Tabla1[[#This Row],[COSTO UNITARIO AÑO 5 13]]*VLOOKUP(Tabla1[[#This Row],[CÓDIGO DEL PRODUCTO Y/O SERVICIO ]],Tabla3[],18)</f>
        <v>0</v>
      </c>
      <c r="JF56" s="355">
        <f>VLOOKUP(Tabla1[[#This Row],[CÓDIGO DEL PRODUCTO Y/O SERVICIO ]],Tabla3[],3)</f>
        <v>0</v>
      </c>
      <c r="JG56" s="355">
        <f>Tabla1[[#This Row],[UNIDADES PRODUCIDAS AÑO 1 14]]*S41</f>
        <v>0</v>
      </c>
      <c r="JH56" s="356">
        <f>VLOOKUP(Tabla1[[#This Row],[CÓDIGO DEL PRODUCTO Y/O SERVICIO ]],Tabla3[],9)</f>
        <v>0</v>
      </c>
      <c r="JI56" s="355">
        <f>Tabla1[[#This Row],[CANTIDADES A UTILIZAR  AÑO 1 14]]*(1+Tabla1[[#This Row],[CAMBIO PORCENTUAL EN UNIDADES VENDIDAS AÑO 2 14]])</f>
        <v>0</v>
      </c>
      <c r="JJ56" s="356">
        <f>VLOOKUP(Tabla1[[#This Row],[CÓDIGO DEL PRODUCTO Y/O SERVICIO ]],Tabla3[],13)</f>
        <v>0</v>
      </c>
      <c r="JK56" s="355">
        <f>Tabla1[[#This Row],[CANTIDADES A UTILIZAR  AÑO 2 14]]*(1+Tabla1[[#This Row],[CAMBIO PORCENTUAL EN UNIDADES VENDIDAS AÑO 3 14]])</f>
        <v>0</v>
      </c>
      <c r="JL56" s="356">
        <f>VLOOKUP(Tabla1[[#This Row],[CÓDIGO DEL PRODUCTO Y/O SERVICIO ]],Tabla3[],17)</f>
        <v>0</v>
      </c>
      <c r="JM56" s="355">
        <f>Tabla1[[#This Row],[CANTIDADES A UTILIZAR AÑO 3 14]]*(1+Tabla1[[#This Row],[CAMBIO PORCENTUAL EN UNIDADES VENDIDAS AÑO 4 14]])</f>
        <v>0</v>
      </c>
      <c r="JN56" s="356">
        <f>VLOOKUP(Tabla1[[#This Row],[CÓDIGO DEL PRODUCTO Y/O SERVICIO ]],Tabla3[],21)</f>
        <v>0</v>
      </c>
      <c r="JO56" s="355">
        <f>Tabla1[[#This Row],[CANTIDADES A UTILIZAR  AÑO 4 14]]*(1+Tabla1[[#This Row],[CAMBIO PORCENTUAL EN UNIDADES VENDIDAS AÑO 5 14]])</f>
        <v>0</v>
      </c>
      <c r="JP56" s="357">
        <f>IF(Tabla1[[#This Row],[CANTIDADES A UTILIZAR  AÑO 1 14]]=0,0,Tabla1[[#This Row],[CANTIDADES A UTILIZAR  AÑO 1 14]]*1/Tabla1[[#This Row],[UNIDADES PRODUCIDAS AÑO 1 14]])</f>
        <v>0</v>
      </c>
      <c r="JQ56" s="357">
        <f>$D$26*(1+BASES!$E$10)</f>
        <v>0</v>
      </c>
      <c r="JR56" s="357">
        <f>Tabla1[[#This Row],[COSTO UNITARIO AÑO 2 14]]*(1+BASES!$F$10)</f>
        <v>0</v>
      </c>
      <c r="JS56" s="357">
        <f>Tabla1[[#This Row],[COSTO UNITARIO AÑO 3 14]]*(1+BASES!$G$10)</f>
        <v>0</v>
      </c>
      <c r="JT56" s="357">
        <f>Tabla1[[#This Row],[COSTO UNITARIO AÑO 4 14]]*(1+BASES!$H$10)</f>
        <v>0</v>
      </c>
      <c r="JU56" s="357">
        <f>Tabla1[[#This Row],[COSTO POR UNIDAD DE PRODUCTO (14)]]*$D$26*VLOOKUP(Tabla1[[#This Row],[CÓDIGO DEL PRODUCTO Y/O SERVICIO ]],Tabla3[],3)</f>
        <v>0</v>
      </c>
      <c r="JV56" s="357">
        <f>Tabla1[[#This Row],[COSTO POR UNIDAD DE PRODUCTO (14)]]*Tabla1[[#This Row],[COSTO UNITARIO AÑO 2 14]]*VLOOKUP(Tabla1[[#This Row],[CÓDIGO DEL PRODUCTO Y/O SERVICIO ]],Tabla3[],6)</f>
        <v>0</v>
      </c>
      <c r="JW56" s="357">
        <f>Tabla1[[#This Row],[COSTO POR UNIDAD DE PRODUCTO (14)]]*Tabla1[[#This Row],[COSTO UNITARIO AÑO 3 14]]*VLOOKUP(Tabla1[[#This Row],[CÓDIGO DEL PRODUCTO Y/O SERVICIO ]],Tabla3[],10)</f>
        <v>0</v>
      </c>
      <c r="JX56" s="357">
        <f>Tabla1[[#This Row],[COSTO POR UNIDAD DE PRODUCTO (14)]]*Tabla1[[#This Row],[COSTO UNITARIO AÑO 4 14]]*VLOOKUP(Tabla1[[#This Row],[CÓDIGO DEL PRODUCTO Y/O SERVICIO ]],Tabla3[],14)</f>
        <v>0</v>
      </c>
      <c r="JY56" s="357">
        <f>Tabla1[[#This Row],[COSTO POR UNIDAD DE PRODUCTO (14)]]*Tabla1[[#This Row],[COSTO UNITARIO AÑO 5 14]]*VLOOKUP(Tabla1[[#This Row],[CÓDIGO DEL PRODUCTO Y/O SERVICIO ]],Tabla3[],18)</f>
        <v>0</v>
      </c>
      <c r="JZ56" s="355">
        <f>VLOOKUP(Tabla1[[#This Row],[CÓDIGO DEL PRODUCTO Y/O SERVICIO ]],Tabla3[],3)</f>
        <v>0</v>
      </c>
      <c r="KA56" s="355">
        <f>Tabla1[[#This Row],[UNIDADES PRODUCIDAS AÑO 1 15]]*T41</f>
        <v>0</v>
      </c>
      <c r="KB56" s="356">
        <f>VLOOKUP(Tabla1[[#This Row],[CÓDIGO DEL PRODUCTO Y/O SERVICIO ]],Tabla3[],9)</f>
        <v>0</v>
      </c>
      <c r="KC56" s="355">
        <f>Tabla1[[#This Row],[CANTIDADES A UTILIZAR  AÑO 1 15]]*(1+Tabla1[[#This Row],[CAMBIO PORCENTUAL EN UNIDADES VENDIDAS AÑO 2 15]])</f>
        <v>0</v>
      </c>
      <c r="KD56" s="356">
        <f>VLOOKUP(Tabla1[[#This Row],[CÓDIGO DEL PRODUCTO Y/O SERVICIO ]],Tabla3[],13)</f>
        <v>0</v>
      </c>
      <c r="KE56" s="355">
        <f>Tabla1[[#This Row],[CANTIDADES A UTILIZAR  AÑO 2 15]]*(1+Tabla1[[#This Row],[CAMBIO PORCENTUAL EN UNIDADES VENDIDAS AÑO 3 15]])</f>
        <v>0</v>
      </c>
      <c r="KF56" s="356">
        <f>VLOOKUP(Tabla1[[#This Row],[CÓDIGO DEL PRODUCTO Y/O SERVICIO ]],Tabla3[],17)</f>
        <v>0</v>
      </c>
      <c r="KG56" s="355">
        <f>Tabla1[[#This Row],[CANTIDADES A UTILIZAR  AÑO 3 15]]*(1+Tabla1[[#This Row],[CAMBIO PORCENTUAL EN UNIDADES VENDIDAS AÑO 4 15]])</f>
        <v>0</v>
      </c>
      <c r="KH56" s="356">
        <f>VLOOKUP(Tabla1[[#This Row],[CÓDIGO DEL PRODUCTO Y/O SERVICIO ]],Tabla3[],21)</f>
        <v>0</v>
      </c>
      <c r="KI56" s="355">
        <f>Tabla1[[#This Row],[CANTIDADES A UTILIZAR  AÑO 4 15]]*(1+Tabla1[[#This Row],[CAMBIO PORCENTUAL EN UNIDADES VENDIDAS AÑO 5 15]])</f>
        <v>0</v>
      </c>
      <c r="KJ56" s="357">
        <f>IF(Tabla1[[#This Row],[CANTIDADES A UTILIZAR  AÑO 1 15]]=0,0,Tabla1[[#This Row],[CANTIDADES A UTILIZAR  AÑO 1 15]]*1/Tabla1[[#This Row],[UNIDADES PRODUCIDAS AÑO 1 15]])</f>
        <v>0</v>
      </c>
      <c r="KK56" s="357">
        <f>$D$27*(1+BASES!$E$10)</f>
        <v>0</v>
      </c>
      <c r="KL56" s="357">
        <f>Tabla1[[#This Row],[COSTO UNITARIO AÑO 2 15]]*(1+BASES!$F$10)</f>
        <v>0</v>
      </c>
      <c r="KM56" s="357">
        <f>Tabla1[[#This Row],[COSTO UNITARIO AÑO 3 15]]*(1+BASES!$G$10)</f>
        <v>0</v>
      </c>
      <c r="KN56" s="357">
        <f>Tabla1[[#This Row],[COSTO UNITARIO AÑO 4 15]]*(1+BASES!$H$10)</f>
        <v>0</v>
      </c>
      <c r="KO56" s="357">
        <f>Tabla1[[#This Row],[COSTO POR UNIDAD DE PRODUCTO (15)]]*$D$27*VLOOKUP(Tabla1[[#This Row],[CÓDIGO DEL PRODUCTO Y/O SERVICIO ]],Tabla3[],3)</f>
        <v>0</v>
      </c>
      <c r="KP56" s="357">
        <f>Tabla1[[#This Row],[COSTO POR UNIDAD DE PRODUCTO (15)]]*Tabla1[[#This Row],[COSTO UNITARIO AÑO 2 15]]*VLOOKUP(Tabla1[[#This Row],[CÓDIGO DEL PRODUCTO Y/O SERVICIO ]],Tabla3[],6)</f>
        <v>0</v>
      </c>
      <c r="KQ56" s="357">
        <f>Tabla1[[#This Row],[COSTO POR UNIDAD DE PRODUCTO (15)]]*Tabla1[[#This Row],[COSTO UNITARIO AÑO 3 15]]*VLOOKUP(Tabla1[[#This Row],[CÓDIGO DEL PRODUCTO Y/O SERVICIO ]],Tabla3[],10)</f>
        <v>0</v>
      </c>
      <c r="KR56" s="357">
        <f>Tabla1[[#This Row],[COSTO POR UNIDAD DE PRODUCTO (15)]]*Tabla1[[#This Row],[COSTO UNITARIO AÑO 4 15]]*VLOOKUP(Tabla1[[#This Row],[CÓDIGO DEL PRODUCTO Y/O SERVICIO ]],Tabla3[],14)</f>
        <v>0</v>
      </c>
      <c r="KS56" s="357">
        <f>Tabla1[[#This Row],[COSTO POR UNIDAD DE PRODUCTO (15)]]*Tabla1[[#This Row],[COSTO UNITARIO AÑO 5 15]]*VLOOKUP(Tabla1[[#This Row],[CÓDIGO DEL PRODUCTO Y/O SERVICIO ]],Tabla3[],18)</f>
        <v>0</v>
      </c>
      <c r="KT56" s="355">
        <f>VLOOKUP(Tabla1[[#This Row],[CÓDIGO DEL PRODUCTO Y/O SERVICIO ]],Tabla3[],3)</f>
        <v>0</v>
      </c>
      <c r="KU56" s="355">
        <f>Tabla1[[#This Row],[UNIDADES PRODUCIDAS AÑO 1 16]]*U41</f>
        <v>0</v>
      </c>
      <c r="KV56" s="356">
        <f>VLOOKUP(Tabla1[[#This Row],[CÓDIGO DEL PRODUCTO Y/O SERVICIO ]],Tabla3[],9)</f>
        <v>0</v>
      </c>
      <c r="KW56" s="355">
        <f>Tabla1[[#This Row],[CANTIDADES A UTILIZAR  AÑO 1 16]]*(1+Tabla1[[#This Row],[CAMBIO PORCENTUAL EN UNIDADES VENDIDAS AÑO 2 16]])</f>
        <v>0</v>
      </c>
      <c r="KX56" s="356">
        <f>VLOOKUP(Tabla1[[#This Row],[CÓDIGO DEL PRODUCTO Y/O SERVICIO ]],Tabla3[],13)</f>
        <v>0</v>
      </c>
      <c r="KY56" s="355">
        <f>Tabla1[[#This Row],[CANTIDADES A UTILIZAR  AÑO 2 16]]*(1+Tabla1[[#This Row],[CAMBIO PORCENTUAL EN UNIDADES VENDIDAS AÑO 3 16]])</f>
        <v>0</v>
      </c>
      <c r="KZ56" s="356">
        <f>VLOOKUP(Tabla1[[#This Row],[CÓDIGO DEL PRODUCTO Y/O SERVICIO ]],Tabla3[],17)</f>
        <v>0</v>
      </c>
      <c r="LA56" s="355">
        <f>Tabla1[[#This Row],[CANTIDADES A UTILIZAR  AÑO 3 16]]*(1+Tabla1[[#This Row],[CAMBIO PORCENTUAL EN UNIDADES VENDIDAS AÑO 4 16]])</f>
        <v>0</v>
      </c>
      <c r="LB56" s="356">
        <f>VLOOKUP(Tabla1[[#This Row],[CÓDIGO DEL PRODUCTO Y/O SERVICIO ]],Tabla3[],21)</f>
        <v>0</v>
      </c>
      <c r="LC56" s="355">
        <f>Tabla1[[#This Row],[CANTIDADES A UTILIZAR  AÑO 4 16]]*(1+Tabla1[[#This Row],[CAMBIO PORCENTUAL EN UNIDADES VENDIDAS AÑO 5 16]])</f>
        <v>0</v>
      </c>
      <c r="LD56" s="357">
        <f>IF(Tabla1[[#This Row],[CANTIDADES A UTILIZAR  AÑO 1 16]]=0,0,Tabla1[[#This Row],[CANTIDADES A UTILIZAR  AÑO 1 16]]*1/Tabla1[[#This Row],[UNIDADES PRODUCIDAS AÑO 1 16]])</f>
        <v>0</v>
      </c>
      <c r="LE56" s="357">
        <f>$D$28*(1+BASES!$E$10)</f>
        <v>0</v>
      </c>
      <c r="LF56" s="357">
        <f>Tabla1[[#This Row],[COSTO UNITARIO AÑO 2 16]]*(1+BASES!$F$10)</f>
        <v>0</v>
      </c>
      <c r="LG56" s="357">
        <f>Tabla1[[#This Row],[COSTO UNITARIO AÑO 3 16]]*(1+BASES!$G$10)</f>
        <v>0</v>
      </c>
      <c r="LH56" s="357">
        <f>Tabla1[[#This Row],[COSTO UNITARIO AÑO 4 16]]*(1+BASES!$H$10)</f>
        <v>0</v>
      </c>
      <c r="LI56" s="357">
        <f>Tabla1[[#This Row],[COSTO POR UNIDAD DE PRODUCTO (16)]]*$D$28*VLOOKUP(Tabla1[[#This Row],[CÓDIGO DEL PRODUCTO Y/O SERVICIO ]],Tabla3[],3)</f>
        <v>0</v>
      </c>
      <c r="LJ56" s="357">
        <f>Tabla1[[#This Row],[COSTO POR UNIDAD DE PRODUCTO (16)]]*Tabla1[[#This Row],[COSTO UNITARIO AÑO 2 16]]*VLOOKUP(Tabla1[[#This Row],[CÓDIGO DEL PRODUCTO Y/O SERVICIO ]],Tabla3[],6)</f>
        <v>0</v>
      </c>
      <c r="LK56" s="357">
        <f>Tabla1[[#This Row],[COSTO POR UNIDAD DE PRODUCTO (16)]]*Tabla1[[#This Row],[COSTO UNITARIO AÑO 3 16]]*VLOOKUP(Tabla1[[#This Row],[CÓDIGO DEL PRODUCTO Y/O SERVICIO ]],Tabla3[],10)</f>
        <v>0</v>
      </c>
      <c r="LL56" s="357">
        <f>Tabla1[[#This Row],[COSTO POR UNIDAD DE PRODUCTO (16)]]*Tabla1[[#This Row],[COSTO UNITARIO AÑO 4 16]]*VLOOKUP(Tabla1[[#This Row],[CÓDIGO DEL PRODUCTO Y/O SERVICIO ]],Tabla3[],14)</f>
        <v>0</v>
      </c>
      <c r="LM56" s="357">
        <f>Tabla1[[#This Row],[COSTO POR UNIDAD DE PRODUCTO (16)]]*Tabla1[[#This Row],[COSTO UNITARIO AÑO 5 16]]*VLOOKUP(Tabla1[[#This Row],[CÓDIGO DEL PRODUCTO Y/O SERVICIO ]],Tabla3[],18)</f>
        <v>0</v>
      </c>
      <c r="LN56" s="355">
        <f>VLOOKUP(Tabla1[[#This Row],[CÓDIGO DEL PRODUCTO Y/O SERVICIO ]],Tabla3[],3)</f>
        <v>0</v>
      </c>
      <c r="LO56" s="355">
        <f>Tabla1[[#This Row],[UNIDADES PRODUCIDAS AÑO 1 17]]*V41</f>
        <v>0</v>
      </c>
      <c r="LP56" s="356">
        <f>VLOOKUP(Tabla1[[#This Row],[CÓDIGO DEL PRODUCTO Y/O SERVICIO ]],Tabla3[],9)</f>
        <v>0</v>
      </c>
      <c r="LQ56" s="355">
        <f>Tabla1[[#This Row],[CANTIDADES A UTILIZAR  AÑO 1 17]]*(1+Tabla1[[#This Row],[CAMBIO PORCENTUAL EN UNIDADES VENDIDAS AÑO 2 17]])</f>
        <v>0</v>
      </c>
      <c r="LR56" s="356">
        <f>VLOOKUP(Tabla1[[#This Row],[CÓDIGO DEL PRODUCTO Y/O SERVICIO ]],Tabla3[],13)</f>
        <v>0</v>
      </c>
      <c r="LS56" s="355">
        <f>Tabla1[[#This Row],[CANTIDADES A UTILIZAR  AÑO 2 17]]*(1+Tabla1[[#This Row],[CAMBIO PORCENTUAL EN UNIDADES VENDIDAS AÑO 3 17]])</f>
        <v>0</v>
      </c>
      <c r="LT56" s="356">
        <f>VLOOKUP(Tabla1[[#This Row],[CÓDIGO DEL PRODUCTO Y/O SERVICIO ]],Tabla3[],17)</f>
        <v>0</v>
      </c>
      <c r="LU56" s="355">
        <f>Tabla1[[#This Row],[CANTIDADES A UTILIZAR  AÑO 3 17]]*(1+Tabla1[[#This Row],[CAMBIO PORCENTUAL EN UNIDADES VENDIDAS AÑO 4 17 ]])</f>
        <v>0</v>
      </c>
      <c r="LV56" s="356">
        <f>VLOOKUP(Tabla1[[#This Row],[CÓDIGO DEL PRODUCTO Y/O SERVICIO ]],Tabla3[],21)</f>
        <v>0</v>
      </c>
      <c r="LW56" s="355">
        <f>Tabla1[[#This Row],[CANTIDADES A UTILIZAR  AÑO 4 17]]*(1+Tabla1[[#This Row],[CAMBIO PORCENTUAL EN UNIDADES VENDIDAS AÑO 5 17]])</f>
        <v>0</v>
      </c>
      <c r="LX56" s="357">
        <f>IF(Tabla1[[#This Row],[CANTIDADES A UTILIZAR  AÑO 1 17]]=0,0,Tabla1[[#This Row],[CANTIDADES A UTILIZAR  AÑO 1 17]]*1/Tabla1[[#This Row],[UNIDADES PRODUCIDAS AÑO 1 17]])</f>
        <v>0</v>
      </c>
      <c r="LY56" s="357">
        <f>$D$29*(1+BASES!$E$10)</f>
        <v>0</v>
      </c>
      <c r="LZ56" s="357">
        <f>Tabla1[[#This Row],[COSTO UNITARIO AÑO 2 17]]*(1+BASES!$F$10)</f>
        <v>0</v>
      </c>
      <c r="MA56" s="357">
        <f>Tabla1[[#This Row],[COSTO UNITARIO AÑO 3 17]]*(1+BASES!$G$10)</f>
        <v>0</v>
      </c>
      <c r="MB56" s="357">
        <f>Tabla1[[#This Row],[COSTO UNITARIO AÑO 4 17]]*(1+BASES!$H$10)</f>
        <v>0</v>
      </c>
      <c r="MC56" s="357">
        <f>Tabla1[[#This Row],[COSTO POR UNIDAD DE PRODUCTO (17)]]*$D$29*VLOOKUP(Tabla1[[#This Row],[CÓDIGO DEL PRODUCTO Y/O SERVICIO ]],Tabla3[],3)</f>
        <v>0</v>
      </c>
      <c r="MD56" s="357">
        <f>Tabla1[[#This Row],[COSTO POR UNIDAD DE PRODUCTO (17)]]*Tabla1[[#This Row],[COSTO UNITARIO AÑO 2 17]]*VLOOKUP(Tabla1[[#This Row],[CÓDIGO DEL PRODUCTO Y/O SERVICIO ]],Tabla3[],6)</f>
        <v>0</v>
      </c>
      <c r="ME56" s="357">
        <f>Tabla1[[#This Row],[COSTO POR UNIDAD DE PRODUCTO (17)]]*Tabla1[[#This Row],[COSTO UNITARIO AÑO 3 17]]*VLOOKUP(Tabla1[[#This Row],[CÓDIGO DEL PRODUCTO Y/O SERVICIO ]],Tabla3[],10)</f>
        <v>0</v>
      </c>
      <c r="MF56" s="357">
        <f>Tabla1[[#This Row],[COSTO POR UNIDAD DE PRODUCTO (17)]]*Tabla1[[#This Row],[COSTO UNITARIO AÑO 4 17]]*VLOOKUP(Tabla1[[#This Row],[CÓDIGO DEL PRODUCTO Y/O SERVICIO ]],Tabla3[],14)</f>
        <v>0</v>
      </c>
      <c r="MG56" s="357">
        <f>Tabla1[[#This Row],[COSTO POR UNIDAD DE PRODUCTO (17)]]*Tabla1[[#This Row],[COSTO UNITARIO AÑO 5 17]]*VLOOKUP(Tabla1[[#This Row],[CÓDIGO DEL PRODUCTO Y/O SERVICIO ]],Tabla3[],18)</f>
        <v>0</v>
      </c>
      <c r="MH56" s="355">
        <f>VLOOKUP(Tabla1[[#This Row],[CÓDIGO DEL PRODUCTO Y/O SERVICIO ]],Tabla3[],3)</f>
        <v>0</v>
      </c>
      <c r="MI56" s="355">
        <f>Tabla1[[#This Row],[UNIDADES PRODUCIDAS AÑO 1 18 ]]*W41</f>
        <v>0</v>
      </c>
      <c r="MJ56" s="356">
        <f>VLOOKUP(Tabla1[[#This Row],[CÓDIGO DEL PRODUCTO Y/O SERVICIO ]],Tabla3[],9)</f>
        <v>0</v>
      </c>
      <c r="MK56" s="355">
        <f>Tabla1[[#This Row],[CANTIDADES A UTILIZAR  AÑO 1 18]]*(1+Tabla1[[#This Row],[CAMBIO PORCENTUAL EN UNIDADES VENDIDAS AÑO 2 18]])</f>
        <v>0</v>
      </c>
      <c r="ML56" s="356">
        <f>VLOOKUP(Tabla1[[#This Row],[CÓDIGO DEL PRODUCTO Y/O SERVICIO ]],Tabla3[],13)</f>
        <v>0</v>
      </c>
      <c r="MM56" s="355">
        <f>Tabla1[[#This Row],[CANTIDADES A UTILIZAR AÑO 2 18]]*(1+Tabla1[[#This Row],[CAMBIO PORCENTUAL EN UNIDADES VENDIDAS AÑO 3 18 ]])</f>
        <v>0</v>
      </c>
      <c r="MN56" s="356">
        <f>VLOOKUP(Tabla1[[#This Row],[CÓDIGO DEL PRODUCTO Y/O SERVICIO ]],Tabla3[],17)</f>
        <v>0</v>
      </c>
      <c r="MO56" s="355">
        <f>Tabla1[[#This Row],[CANTIDADES A UTILIZAR  AÑO 3 18]]*(1+Tabla1[[#This Row],[CAMBIO PORCENTUAL EN UNIDADES VENDIDAS AÑO 4 18]])</f>
        <v>0</v>
      </c>
      <c r="MP56" s="356">
        <f>VLOOKUP(Tabla1[[#This Row],[CÓDIGO DEL PRODUCTO Y/O SERVICIO ]],Tabla3[],21)</f>
        <v>0</v>
      </c>
      <c r="MQ56" s="355">
        <f>Tabla1[[#This Row],[CANTIDADES A UTILIZAR  AÑO 4 18 ]]*(1+Tabla1[[#This Row],[CAMBIO PORCENTUAL EN UNIDADES VENDIDAS AÑO 5 18 ]])</f>
        <v>0</v>
      </c>
      <c r="MR56" s="357">
        <f>IF(Tabla1[[#This Row],[CANTIDADES A UTILIZAR  AÑO 1 18]]=0,0,Tabla1[[#This Row],[CANTIDADES A UTILIZAR  AÑO 1 18]]*1/Tabla1[[#This Row],[UNIDADES PRODUCIDAS AÑO 1 18 ]])</f>
        <v>0</v>
      </c>
      <c r="MS56" s="357">
        <f>$D$30*(1+BASES!$E$10)</f>
        <v>0</v>
      </c>
      <c r="MT56" s="357">
        <f>Tabla1[[#This Row],[COSTO UNITARIO AÑO 2 18]]*(1+BASES!$F$10)</f>
        <v>0</v>
      </c>
      <c r="MU56" s="357">
        <f>Tabla1[[#This Row],[COSTO UNITARIO AÑO 3 18 ]]*(1+BASES!$G$10)</f>
        <v>0</v>
      </c>
      <c r="MV56" s="357">
        <f>Tabla1[[#This Row],[COSTO UNITARIO AÑO 4 18 ]]*(1+BASES!$H$10)</f>
        <v>0</v>
      </c>
      <c r="MW56" s="357">
        <f>Tabla1[[#This Row],[COSTO POR UNIDAD DE PRODUCTO (18)]]*$D$30*VLOOKUP(Tabla1[[#This Row],[CÓDIGO DEL PRODUCTO Y/O SERVICIO ]],Tabla3[],3)</f>
        <v>0</v>
      </c>
      <c r="MX56" s="357">
        <f>Tabla1[[#This Row],[COSTO POR UNIDAD DE PRODUCTO (18)]]*Tabla1[[#This Row],[COSTO UNITARIO AÑO 2 18]]*VLOOKUP(Tabla1[[#This Row],[CÓDIGO DEL PRODUCTO Y/O SERVICIO ]],Tabla3[],6)</f>
        <v>0</v>
      </c>
      <c r="MY56" s="357">
        <f>Tabla1[[#This Row],[COSTO POR UNIDAD DE PRODUCTO (18)]]*Tabla1[[#This Row],[COSTO UNITARIO AÑO 3 18 ]]*VLOOKUP(Tabla1[[#This Row],[CÓDIGO DEL PRODUCTO Y/O SERVICIO ]],Tabla3[],10)</f>
        <v>0</v>
      </c>
      <c r="MZ56" s="357">
        <f>Tabla1[[#This Row],[COSTO POR UNIDAD DE PRODUCTO (18)]]*Tabla1[[#This Row],[COSTO UNITARIO AÑO 4 18 ]]*VLOOKUP(Tabla1[[#This Row],[CÓDIGO DEL PRODUCTO Y/O SERVICIO ]],Tabla3[],14)</f>
        <v>0</v>
      </c>
      <c r="NA56" s="357">
        <f>Tabla1[[#This Row],[COSTO POR UNIDAD DE PRODUCTO (18)]]*Tabla1[[#This Row],[COSTO UNITARIO AÑO 5 18 ]]*VLOOKUP(Tabla1[[#This Row],[CÓDIGO DEL PRODUCTO Y/O SERVICIO ]],Tabla3[],18)</f>
        <v>0</v>
      </c>
      <c r="NB56" s="355">
        <f>VLOOKUP(Tabla1[[#This Row],[CÓDIGO DEL PRODUCTO Y/O SERVICIO ]],Tabla3[],3)</f>
        <v>0</v>
      </c>
      <c r="NC56" s="355">
        <f>Tabla1[[#This Row],[UNIDADES PRODUCIDAS AÑO 1 19]]*X41</f>
        <v>0</v>
      </c>
      <c r="ND56" s="356">
        <f>VLOOKUP(Tabla1[[#This Row],[CÓDIGO DEL PRODUCTO Y/O SERVICIO ]],Tabla3[],9)</f>
        <v>0</v>
      </c>
      <c r="NE56" s="355">
        <f>Tabla1[[#This Row],[CANTIDADES A UTILIZAR  AÑO 1 19 ]]*(1+Tabla1[[#This Row],[CAMBIO PORCENTUAL EN UNIDADES VENDIDAS AÑO 2 19]])</f>
        <v>0</v>
      </c>
      <c r="NF56" s="356">
        <f>VLOOKUP(Tabla1[[#This Row],[CÓDIGO DEL PRODUCTO Y/O SERVICIO ]],Tabla3[],13)</f>
        <v>0</v>
      </c>
      <c r="NG56" s="355">
        <f>Tabla1[[#This Row],[CANTIDADES A UTILIZAR  AÑO 2 19 ]]*(1+Tabla1[[#This Row],[CAMBIO PORCENTUAL EN UNIDADES VENDIDAS AÑO 3 19 ]])</f>
        <v>0</v>
      </c>
      <c r="NH56" s="356">
        <f>VLOOKUP(Tabla1[[#This Row],[CÓDIGO DEL PRODUCTO Y/O SERVICIO ]],Tabla3[],17)</f>
        <v>0</v>
      </c>
      <c r="NI56" s="355">
        <f>Tabla1[[#This Row],[CANTIDADES A UTILIZAR  AÑO 3 19 ]]*(1+Tabla1[[#This Row],[CAMBIO PORCENTUAL EN UNIDADES VENDIDAS AÑO 4 19 ]])</f>
        <v>0</v>
      </c>
      <c r="NJ56" s="356">
        <f>VLOOKUP(Tabla1[[#This Row],[CÓDIGO DEL PRODUCTO Y/O SERVICIO ]],Tabla3[],21)</f>
        <v>0</v>
      </c>
      <c r="NK56" s="355">
        <f>Tabla1[[#This Row],[CANTIDADES A UTILIZAR AÑO 4 19 ]]*(1+Tabla1[[#This Row],[CAMBIO PORCENTUAL EN UNIDADES VENDIDAS AÑO 5 19 ]])</f>
        <v>0</v>
      </c>
      <c r="NL56" s="357">
        <f>IF(Tabla1[[#This Row],[CANTIDADES A UTILIZAR  AÑO 1 19 ]]=0,0,Tabla1[[#This Row],[CANTIDADES A UTILIZAR  AÑO 1 19 ]]*1/Tabla1[[#This Row],[UNIDADES PRODUCIDAS AÑO 1 19]])</f>
        <v>0</v>
      </c>
      <c r="NM56" s="357">
        <f>$D$31*(1+BASES!$E$10)</f>
        <v>0</v>
      </c>
      <c r="NN56" s="357">
        <f>Tabla1[[#This Row],[COSTO UNITARIO AÑO 2 19 ]]*(1+BASES!$F$10)</f>
        <v>0</v>
      </c>
      <c r="NO56" s="357">
        <f>Tabla1[[#This Row],[COSTO UNITARIO AÑO 3 19 ]]*(1+BASES!$G$10)</f>
        <v>0</v>
      </c>
      <c r="NP56" s="357">
        <f>Tabla1[[#This Row],[COSTO UNITARIO AÑO 4 19 ]]*(1+BASES!$H$10)</f>
        <v>0</v>
      </c>
      <c r="NQ56" s="357">
        <f>Tabla1[[#This Row],[COSTO POR UNIDAD DE PRODUCTO (19)]]*$D$31*VLOOKUP(Tabla1[[#This Row],[CÓDIGO DEL PRODUCTO Y/O SERVICIO ]],Tabla3[],3)</f>
        <v>0</v>
      </c>
      <c r="NR56" s="357">
        <f>Tabla1[[#This Row],[COSTO POR UNIDAD DE PRODUCTO (19)]]*Tabla1[[#This Row],[COSTO UNITARIO AÑO 2 19 ]]*VLOOKUP(Tabla1[[#This Row],[CÓDIGO DEL PRODUCTO Y/O SERVICIO ]],Tabla3[],6)</f>
        <v>0</v>
      </c>
      <c r="NS56" s="357">
        <f>Tabla1[[#This Row],[COSTO POR UNIDAD DE PRODUCTO (19)]]*Tabla1[[#This Row],[COSTO UNITARIO AÑO 3 19 ]]*VLOOKUP(Tabla1[[#This Row],[CÓDIGO DEL PRODUCTO Y/O SERVICIO ]],Tabla3[],10)</f>
        <v>0</v>
      </c>
      <c r="NT56" s="357">
        <f>Tabla1[[#This Row],[COSTO POR UNIDAD DE PRODUCTO (19)]]*Tabla1[[#This Row],[COSTO UNITARIO AÑO 4 19 ]]*VLOOKUP(Tabla1[[#This Row],[CÓDIGO DEL PRODUCTO Y/O SERVICIO ]],Tabla3[],14)</f>
        <v>0</v>
      </c>
      <c r="NU56" s="357">
        <f>Tabla1[[#This Row],[COSTO POR UNIDAD DE PRODUCTO (19)]]*Tabla1[[#This Row],[COSTO UNITARIO AÑO 5 19 ]]*VLOOKUP(Tabla1[[#This Row],[CÓDIGO DEL PRODUCTO Y/O SERVICIO ]],Tabla3[],18)</f>
        <v>0</v>
      </c>
      <c r="NV56" s="355">
        <f>VLOOKUP(Tabla1[[#This Row],[CÓDIGO DEL PRODUCTO Y/O SERVICIO ]],Tabla3[],3)</f>
        <v>0</v>
      </c>
      <c r="NW56" s="355">
        <f>Tabla1[[#This Row],[UNIDADES PRODUCIDAS AÑO 1 20 ]]*Y41</f>
        <v>0</v>
      </c>
      <c r="NX56" s="356">
        <f>VLOOKUP(Tabla1[[#This Row],[CÓDIGO DEL PRODUCTO Y/O SERVICIO ]],Tabla3[],9)</f>
        <v>0</v>
      </c>
      <c r="NY56" s="355">
        <f>Tabla1[[#This Row],[CANTIDADES A UTILIZAR AÑO 1 20]]*(1+Tabla1[[#This Row],[CAMBIO PORCENTUAL EN UNIDADES VENDIDAS AÑO 2 20 ]])</f>
        <v>0</v>
      </c>
      <c r="NZ56" s="356">
        <f>VLOOKUP(Tabla1[[#This Row],[CÓDIGO DEL PRODUCTO Y/O SERVICIO ]],Tabla3[],13)</f>
        <v>0</v>
      </c>
      <c r="OA56" s="355">
        <f>Tabla1[[#This Row],[CANTIDADES A UTILIZAR  AÑO 2 20 ]]*(1+Tabla1[[#This Row],[CAMBIO PORCENTUAL EN UNIDADES VENDIDAS AÑO 3 20 ]])</f>
        <v>0</v>
      </c>
      <c r="OB56" s="356">
        <f>VLOOKUP(Tabla1[[#This Row],[CÓDIGO DEL PRODUCTO Y/O SERVICIO ]],Tabla3[],17)</f>
        <v>0</v>
      </c>
      <c r="OC56" s="355">
        <f>Tabla1[[#This Row],[CANTIDADES A UTILIZAR  AÑO 3 20 ]]*(1+Tabla1[[#This Row],[CAMBIO PORCENTUAL EN UNIDADES VENDIDAS AÑO 4 20 ]])</f>
        <v>0</v>
      </c>
      <c r="OD56" s="356">
        <f>VLOOKUP(Tabla1[[#This Row],[CÓDIGO DEL PRODUCTO Y/O SERVICIO ]],Tabla3[],21)</f>
        <v>0</v>
      </c>
      <c r="OE56" s="355">
        <f>Tabla1[[#This Row],[CANTIDADES A UTILIZAR  AÑO 4 20 ]]*(1+Tabla1[[#This Row],[CAMBIO PORCENTUAL EN UNIDADES VENDIDAS AÑO 5 20 ]])</f>
        <v>0</v>
      </c>
      <c r="OF56" s="357">
        <f>IF(Tabla1[[#This Row],[CANTIDADES A UTILIZAR AÑO 1 20]]=0,0,Tabla1[[#This Row],[CANTIDADES A UTILIZAR AÑO 1 20]]*1/Tabla1[[#This Row],[UNIDADES PRODUCIDAS AÑO 1 20 ]])</f>
        <v>0</v>
      </c>
      <c r="OG56" s="357">
        <f>$D$32*(1+BASES!$E$10)</f>
        <v>0</v>
      </c>
      <c r="OH56" s="357">
        <f>Tabla1[[#This Row],[COSTO UNITARIO AÑO 2 20 ]]*(1+BASES!$F$10)</f>
        <v>0</v>
      </c>
      <c r="OI56" s="357">
        <f>Tabla1[[#This Row],[COSTO UNITARIO AÑO 3 20 ]]*(1+BASES!$G$10)</f>
        <v>0</v>
      </c>
      <c r="OJ56" s="357">
        <f>Tabla1[[#This Row],[COSTO UNITARIO AÑO 4 20 ]]*(1+BASES!$H$10)</f>
        <v>0</v>
      </c>
      <c r="OK56" s="357">
        <f>Tabla1[[#This Row],[COSTO POR UNIDAD DE PRODUCTO (20)]]*$D$32*VLOOKUP(Tabla1[[#This Row],[CÓDIGO DEL PRODUCTO Y/O SERVICIO ]],Tabla3[],3)</f>
        <v>0</v>
      </c>
      <c r="OL56" s="357">
        <f>Tabla1[[#This Row],[COSTO POR UNIDAD DE PRODUCTO (20)]]*Tabla1[[#This Row],[COSTO UNITARIO AÑO 2 20 ]]*VLOOKUP(Tabla1[[#This Row],[CÓDIGO DEL PRODUCTO Y/O SERVICIO ]],Tabla3[],6)</f>
        <v>0</v>
      </c>
      <c r="OM56" s="357">
        <f>Tabla1[[#This Row],[COSTO POR UNIDAD DE PRODUCTO (20)]]*Tabla1[[#This Row],[COSTO UNITARIO AÑO 3 20 ]]*VLOOKUP(Tabla1[[#This Row],[CÓDIGO DEL PRODUCTO Y/O SERVICIO ]],Tabla3[],10)</f>
        <v>0</v>
      </c>
      <c r="ON56" s="357">
        <f>Tabla1[[#This Row],[COSTO POR UNIDAD DE PRODUCTO (20)]]*Tabla1[[#This Row],[COSTO UNITARIO AÑO 4 20 ]]*VLOOKUP(Tabla1[[#This Row],[CÓDIGO DEL PRODUCTO Y/O SERVICIO ]],Tabla3[],14)</f>
        <v>0</v>
      </c>
      <c r="OO56" s="357">
        <f>Tabla1[[#This Row],[COSTO POR UNIDAD DE PRODUCTO (20)]]*Tabla1[[#This Row],[COSTO UNITARIO AÑO 5 20 ]]*VLOOKUP(Tabla1[[#This Row],[CÓDIGO DEL PRODUCTO Y/O SERVICIO ]],Tabla3[],18)</f>
        <v>0</v>
      </c>
      <c r="OP56"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35"/>
    </row>
    <row r="60" spans="3:410" x14ac:dyDescent="0.25">
      <c r="E60" s="335"/>
      <c r="F60" s="335"/>
    </row>
    <row r="63" spans="3:410" x14ac:dyDescent="0.25">
      <c r="C63" s="339"/>
      <c r="D63" s="339"/>
    </row>
    <row r="64" spans="3:410" x14ac:dyDescent="0.25">
      <c r="C64" s="339"/>
      <c r="D64" s="339"/>
    </row>
    <row r="65" spans="1:405" x14ac:dyDescent="0.25">
      <c r="C65" s="339"/>
      <c r="D65" s="339"/>
    </row>
    <row r="66" spans="1:405" ht="15.75" x14ac:dyDescent="0.25">
      <c r="C66" s="339"/>
      <c r="D66" s="339"/>
      <c r="U66" s="387"/>
      <c r="V66" s="387"/>
      <c r="W66" s="387"/>
      <c r="X66" s="387"/>
      <c r="Y66" s="387"/>
      <c r="AO66" s="387"/>
      <c r="AP66" s="387"/>
      <c r="AQ66" s="387"/>
      <c r="AR66" s="387"/>
      <c r="AS66" s="387"/>
    </row>
    <row r="67" spans="1:405" ht="15.75" hidden="1" x14ac:dyDescent="0.25">
      <c r="A67" s="7"/>
      <c r="B67" s="7"/>
      <c r="C67" s="388"/>
      <c r="D67" s="388"/>
      <c r="E67" s="7"/>
      <c r="F67" s="7"/>
      <c r="G67" s="7"/>
      <c r="H67" s="7"/>
      <c r="I67" s="7"/>
      <c r="J67" s="7"/>
      <c r="K67" s="7"/>
      <c r="L67" s="7"/>
      <c r="M67" s="7"/>
      <c r="N67" s="7"/>
      <c r="O67" s="7"/>
      <c r="P67" s="7"/>
      <c r="Q67" s="7"/>
      <c r="R67" s="7"/>
      <c r="S67" s="7"/>
      <c r="T67" s="7"/>
      <c r="U67" s="389">
        <f>SUM(Tabla1[AÑO 1])</f>
        <v>0</v>
      </c>
      <c r="V67" s="389">
        <f>SUM(Tabla1[AÑO 2])</f>
        <v>0</v>
      </c>
      <c r="W67" s="389">
        <f>SUM(Tabla1[[AÑO 3 ]])</f>
        <v>0</v>
      </c>
      <c r="X67" s="389">
        <f>SUM(Tabla1[[AÑO 4 ]])</f>
        <v>0</v>
      </c>
      <c r="Y67" s="389">
        <f>SUM(Tabla1[[AÑO 5 ]])</f>
        <v>0</v>
      </c>
      <c r="Z67" s="7"/>
      <c r="AA67" s="7"/>
      <c r="AB67" s="7"/>
      <c r="AC67" s="7"/>
      <c r="AD67" s="7"/>
      <c r="AE67" s="7"/>
      <c r="AF67" s="7"/>
      <c r="AG67" s="7"/>
      <c r="AH67" s="7"/>
      <c r="AI67" s="7"/>
      <c r="AJ67" s="7"/>
      <c r="AK67" s="7"/>
      <c r="AL67" s="7"/>
      <c r="AM67" s="7"/>
      <c r="AN67" s="7"/>
      <c r="AO67" s="389">
        <f>SUM(Tabla1[AÑO 1 2])</f>
        <v>0</v>
      </c>
      <c r="AP67" s="389">
        <f>SUM(Tabla1[AÑO 2 2])</f>
        <v>0</v>
      </c>
      <c r="AQ67" s="389">
        <f>SUM(Tabla1[AÑO 3 2])</f>
        <v>0</v>
      </c>
      <c r="AR67" s="389">
        <f>SUM(Tabla1[AÑO 4 2])</f>
        <v>0</v>
      </c>
      <c r="AS67" s="389">
        <f>SUM(Tabla1[AÑO 5 2])</f>
        <v>0</v>
      </c>
      <c r="AT67" s="7"/>
      <c r="AU67" s="7"/>
      <c r="AV67" s="7"/>
      <c r="AW67" s="7"/>
      <c r="AX67" s="7"/>
      <c r="AY67" s="7"/>
      <c r="AZ67" s="7"/>
      <c r="BA67" s="7"/>
      <c r="BB67" s="7"/>
      <c r="BC67" s="7"/>
      <c r="BD67" s="7"/>
      <c r="BE67" s="7"/>
      <c r="BF67" s="7"/>
      <c r="BG67" s="7"/>
      <c r="BH67" s="7"/>
      <c r="BI67" s="389">
        <f>SUM(Tabla1[AÑO 1 3])</f>
        <v>0</v>
      </c>
      <c r="BJ67" s="389">
        <f>SUM(Tabla1[AÑO 2 3])</f>
        <v>0</v>
      </c>
      <c r="BK67" s="389">
        <f>SUM(Tabla1[AÑO 3 3])</f>
        <v>0</v>
      </c>
      <c r="BL67" s="389">
        <f>SUM(Tabla1[AÑO 4 3])</f>
        <v>0</v>
      </c>
      <c r="BM67" s="389">
        <f>SUM(Tabla1[AÑO 5 3])</f>
        <v>0</v>
      </c>
      <c r="BN67" s="7"/>
      <c r="BO67" s="7"/>
      <c r="BP67" s="7"/>
      <c r="BQ67" s="7"/>
      <c r="BR67" s="7"/>
      <c r="BS67" s="7"/>
      <c r="BT67" s="7"/>
      <c r="BU67" s="7"/>
      <c r="BV67" s="7"/>
      <c r="BW67" s="7"/>
      <c r="BX67" s="7"/>
      <c r="BY67" s="7"/>
      <c r="BZ67" s="7"/>
      <c r="CA67" s="7"/>
      <c r="CB67" s="7"/>
      <c r="CC67" s="389">
        <f>SUM(Tabla1[AÑO 1 4])</f>
        <v>0</v>
      </c>
      <c r="CD67" s="389">
        <f>SUM(Tabla1[AÑO 2 4])</f>
        <v>0</v>
      </c>
      <c r="CE67" s="389">
        <f>SUM(Tabla1[AÑO 3 4])</f>
        <v>0</v>
      </c>
      <c r="CF67" s="389">
        <f>SUM(Tabla1[AÑO 4 4])</f>
        <v>0</v>
      </c>
      <c r="CG67" s="389">
        <f>SUM(Tabla1[AÑO 5 4])</f>
        <v>0</v>
      </c>
      <c r="CH67" s="7"/>
      <c r="CI67" s="7"/>
      <c r="CJ67" s="7"/>
      <c r="CK67" s="7"/>
      <c r="CL67" s="7"/>
      <c r="CM67" s="7"/>
      <c r="CN67" s="7"/>
      <c r="CO67" s="7"/>
      <c r="CP67" s="7"/>
      <c r="CQ67" s="7"/>
      <c r="CR67" s="7"/>
      <c r="CS67" s="7"/>
      <c r="CT67" s="7"/>
      <c r="CU67" s="7"/>
      <c r="CV67" s="7"/>
      <c r="CW67" s="389">
        <f>SUM(Tabla1[AÑO 1 5])</f>
        <v>0</v>
      </c>
      <c r="CX67" s="389">
        <f>SUM(Tabla1[AÑO 2 5])</f>
        <v>0</v>
      </c>
      <c r="CY67" s="389">
        <f>SUM(Tabla1[[AÑO 3 5 ]])</f>
        <v>0</v>
      </c>
      <c r="CZ67" s="389">
        <f>SUM(Tabla1[AÑO 4 5])</f>
        <v>0</v>
      </c>
      <c r="DA67" s="389">
        <f>SUM(Tabla1[AÑO 5 5])</f>
        <v>0</v>
      </c>
      <c r="DB67" s="7"/>
      <c r="DC67" s="7"/>
      <c r="DD67" s="7"/>
      <c r="DE67" s="7"/>
      <c r="DF67" s="7"/>
      <c r="DG67" s="7"/>
      <c r="DH67" s="7"/>
      <c r="DI67" s="7"/>
      <c r="DJ67" s="7"/>
      <c r="DK67" s="7"/>
      <c r="DL67" s="7"/>
      <c r="DM67" s="7"/>
      <c r="DN67" s="7"/>
      <c r="DO67" s="7"/>
      <c r="DP67" s="7"/>
      <c r="DQ67" s="389">
        <f>SUM(Tabla1[AÑO 1 6])</f>
        <v>0</v>
      </c>
      <c r="DR67" s="389">
        <f>SUM(Tabla1[AÑO 2 6])</f>
        <v>0</v>
      </c>
      <c r="DS67" s="389">
        <f>SUM(Tabla1[AÑO 3 6])</f>
        <v>0</v>
      </c>
      <c r="DT67" s="389">
        <f>SUM(Tabla1[AÑO 4 6])</f>
        <v>0</v>
      </c>
      <c r="DU67" s="389">
        <f>SUM(Tabla1[AÑO 5 6])</f>
        <v>0</v>
      </c>
      <c r="DV67" s="7"/>
      <c r="DW67" s="7"/>
      <c r="DX67" s="7"/>
      <c r="DY67" s="7"/>
      <c r="DZ67" s="7"/>
      <c r="EA67" s="7"/>
      <c r="EB67" s="7"/>
      <c r="EC67" s="7"/>
      <c r="ED67" s="7"/>
      <c r="EE67" s="7"/>
      <c r="EF67" s="7"/>
      <c r="EG67" s="7"/>
      <c r="EH67" s="7"/>
      <c r="EI67" s="7"/>
      <c r="EJ67" s="7"/>
      <c r="EK67" s="389">
        <f>SUM(Tabla1[AÑO 1 7])</f>
        <v>0</v>
      </c>
      <c r="EL67" s="389">
        <f>SUM(Tabla1[AÑO 2 7])</f>
        <v>0</v>
      </c>
      <c r="EM67" s="389">
        <f>SUM(Tabla1[AÑO 3 7])</f>
        <v>0</v>
      </c>
      <c r="EN67" s="389">
        <f>SUM(Tabla1[[AÑO 4 7 ]])</f>
        <v>0</v>
      </c>
      <c r="EO67" s="389">
        <f>SUM(Tabla1[AÑO 5 7])</f>
        <v>0</v>
      </c>
      <c r="EP67" s="7"/>
      <c r="EQ67" s="7"/>
      <c r="ER67" s="7"/>
      <c r="ES67" s="7"/>
      <c r="ET67" s="7"/>
      <c r="EU67" s="7"/>
      <c r="EV67" s="7"/>
      <c r="EW67" s="7"/>
      <c r="EX67" s="7"/>
      <c r="EY67" s="7"/>
      <c r="EZ67" s="7"/>
      <c r="FA67" s="7"/>
      <c r="FB67" s="7"/>
      <c r="FC67" s="7"/>
      <c r="FD67" s="7"/>
      <c r="FE67" s="389">
        <f>SUM(Tabla1[AÑO 1 8])</f>
        <v>0</v>
      </c>
      <c r="FF67" s="389">
        <f>SUM(Tabla1[AÑO 2 8])</f>
        <v>0</v>
      </c>
      <c r="FG67" s="389">
        <f>SUM(Tabla1[AÑO 3 8])</f>
        <v>0</v>
      </c>
      <c r="FH67" s="389">
        <f>SUM(Tabla1[AÑO 4 8])</f>
        <v>0</v>
      </c>
      <c r="FI67" s="389">
        <f>SUM(Tabla1[AÑO 5 8])</f>
        <v>0</v>
      </c>
      <c r="FJ67" s="7"/>
      <c r="FK67" s="7"/>
      <c r="FL67" s="7"/>
      <c r="FM67" s="7"/>
      <c r="FN67" s="7"/>
      <c r="FO67" s="7"/>
      <c r="FP67" s="7"/>
      <c r="FQ67" s="7"/>
      <c r="FR67" s="7"/>
      <c r="FS67" s="7"/>
      <c r="FT67" s="7"/>
      <c r="FU67" s="7"/>
      <c r="FV67" s="7"/>
      <c r="FW67" s="7"/>
      <c r="FX67" s="7"/>
      <c r="FY67" s="389">
        <f>SUM(Tabla1[AÑO 1 9])</f>
        <v>0</v>
      </c>
      <c r="FZ67" s="389">
        <f>SUM(Tabla1[[AÑO 2 9 ]])</f>
        <v>0</v>
      </c>
      <c r="GA67" s="389">
        <f>SUM(Tabla1[AÑO 3 9])</f>
        <v>0</v>
      </c>
      <c r="GB67" s="389">
        <f>SUM(Tabla1[[AÑO 4 9 ]])</f>
        <v>0</v>
      </c>
      <c r="GC67" s="389">
        <f>SUM(Tabla1[[AÑO 5 9 ]])</f>
        <v>0</v>
      </c>
      <c r="GD67" s="7"/>
      <c r="GE67" s="7"/>
      <c r="GF67" s="7"/>
      <c r="GG67" s="7"/>
      <c r="GH67" s="7"/>
      <c r="GI67" s="7"/>
      <c r="GJ67" s="7"/>
      <c r="GK67" s="7"/>
      <c r="GL67" s="7"/>
      <c r="GM67" s="7"/>
      <c r="GN67" s="7"/>
      <c r="GO67" s="7"/>
      <c r="GP67" s="7"/>
      <c r="GQ67" s="7"/>
      <c r="GR67" s="7"/>
      <c r="GS67" s="389">
        <f>SUM(Tabla1[[AÑO 1 10 ]])</f>
        <v>0</v>
      </c>
      <c r="GT67" s="389">
        <f>SUM(Tabla1[[AÑO 2 10 ]])</f>
        <v>0</v>
      </c>
      <c r="GU67" s="389">
        <f>SUM(Tabla1[[AÑO 3 10 ]])</f>
        <v>0</v>
      </c>
      <c r="GV67" s="389">
        <f>SUM(Tabla1[[AÑO 4 10 ]])</f>
        <v>0</v>
      </c>
      <c r="GW67" s="389">
        <f>SUM(Tabla1[[AÑO 5 10 ]])</f>
        <v>0</v>
      </c>
      <c r="GX67" s="7"/>
      <c r="GY67" s="7"/>
      <c r="GZ67" s="7"/>
      <c r="HA67" s="7"/>
      <c r="HB67" s="7"/>
      <c r="HC67" s="7"/>
      <c r="HD67" s="7"/>
      <c r="HE67" s="7"/>
      <c r="HF67" s="7"/>
      <c r="HG67" s="7"/>
      <c r="HH67" s="7"/>
      <c r="HI67" s="7"/>
      <c r="HJ67" s="7"/>
      <c r="HK67" s="7"/>
      <c r="HL67" s="7"/>
      <c r="HM67" s="389">
        <f>SUM(Tabla1[[AÑO 1 11 ]])</f>
        <v>0</v>
      </c>
      <c r="HN67" s="389">
        <f>SUM(Tabla1[[AÑO 2 11 ]])</f>
        <v>0</v>
      </c>
      <c r="HO67" s="389">
        <f>SUM(Tabla1[AÑO 3 11])</f>
        <v>0</v>
      </c>
      <c r="HP67" s="389">
        <f>SUM(Tabla1[[AÑO 4 11 ]])</f>
        <v>0</v>
      </c>
      <c r="HQ67" s="389">
        <f>SUM(Tabla1[[AÑO 5 11 ]])</f>
        <v>0</v>
      </c>
      <c r="HR67" s="7"/>
      <c r="HS67" s="7"/>
      <c r="HT67" s="7"/>
      <c r="HU67" s="7"/>
      <c r="HV67" s="7"/>
      <c r="HW67" s="7"/>
      <c r="HX67" s="7"/>
      <c r="HY67" s="7"/>
      <c r="HZ67" s="7"/>
      <c r="IA67" s="7"/>
      <c r="IB67" s="7"/>
      <c r="IC67" s="7"/>
      <c r="ID67" s="7"/>
      <c r="IE67" s="7"/>
      <c r="IF67" s="7"/>
      <c r="IG67" s="389">
        <f>SUM(Tabla1[AÑO 1 12])</f>
        <v>0</v>
      </c>
      <c r="IH67" s="389">
        <f>SUM(Tabla1[AÑO 2 12])</f>
        <v>0</v>
      </c>
      <c r="II67" s="389">
        <f>SUM(Tabla1[AÑO 3 12])</f>
        <v>0</v>
      </c>
      <c r="IJ67" s="389">
        <f>SUM(Tabla1[AÑO 4 12])</f>
        <v>0</v>
      </c>
      <c r="IK67" s="389">
        <f>SUM(Tabla1[AÑO 5 12])</f>
        <v>0</v>
      </c>
      <c r="IL67" s="7"/>
      <c r="IM67" s="7"/>
      <c r="IN67" s="7"/>
      <c r="IO67" s="7"/>
      <c r="IP67" s="7"/>
      <c r="IQ67" s="7"/>
      <c r="IR67" s="7"/>
      <c r="IS67" s="7"/>
      <c r="IT67" s="7"/>
      <c r="IU67" s="7"/>
      <c r="IV67" s="7"/>
      <c r="IW67" s="7"/>
      <c r="IX67" s="7"/>
      <c r="IY67" s="7"/>
      <c r="IZ67" s="7"/>
      <c r="JA67" s="389">
        <f>SUM(Tabla1[AÑO 1 13])</f>
        <v>0</v>
      </c>
      <c r="JB67" s="389">
        <f>SUM(Tabla1[AÑO 2 13])</f>
        <v>0</v>
      </c>
      <c r="JC67" s="389">
        <f>SUM(Tabla1[AÑO 3 13])</f>
        <v>0</v>
      </c>
      <c r="JD67" s="389">
        <f>SUM(Tabla1[AÑO 4 13])</f>
        <v>0</v>
      </c>
      <c r="JE67" s="389">
        <f>SUM(Tabla1[AÑO 5 13])</f>
        <v>0</v>
      </c>
      <c r="JF67" s="7"/>
      <c r="JG67" s="7"/>
      <c r="JH67" s="7"/>
      <c r="JI67" s="7"/>
      <c r="JJ67" s="7"/>
      <c r="JK67" s="7"/>
      <c r="JL67" s="7"/>
      <c r="JM67" s="7"/>
      <c r="JN67" s="7"/>
      <c r="JO67" s="7"/>
      <c r="JP67" s="7"/>
      <c r="JQ67" s="7"/>
      <c r="JR67" s="7"/>
      <c r="JS67" s="7"/>
      <c r="JT67" s="7"/>
      <c r="JU67" s="389">
        <f>SUM(Tabla1[AÑO 1 14])</f>
        <v>0</v>
      </c>
      <c r="JV67" s="389">
        <f>SUM(Tabla1[AÑO 2 14])</f>
        <v>0</v>
      </c>
      <c r="JW67" s="389">
        <f>SUM(Tabla1[AÑO 3 14])</f>
        <v>0</v>
      </c>
      <c r="JX67" s="389">
        <f>SUM(Tabla1[AÑO 4 14])</f>
        <v>0</v>
      </c>
      <c r="JY67" s="389">
        <f>SUM(Tabla1[AÑO 5 14])</f>
        <v>0</v>
      </c>
      <c r="JZ67" s="7"/>
      <c r="KA67" s="7"/>
      <c r="KB67" s="7"/>
      <c r="KC67" s="7"/>
      <c r="KD67" s="7"/>
      <c r="KE67" s="7"/>
      <c r="KF67" s="7"/>
      <c r="KG67" s="7"/>
      <c r="KH67" s="7"/>
      <c r="KI67" s="7"/>
      <c r="KJ67" s="7"/>
      <c r="KK67" s="7"/>
      <c r="KL67" s="7"/>
      <c r="KM67" s="7"/>
      <c r="KN67" s="7"/>
      <c r="KO67" s="389">
        <f>SUM(Tabla1[AÑO 1 15])</f>
        <v>0</v>
      </c>
      <c r="KP67" s="389">
        <f>SUM(Tabla1[AÑO 2 15])</f>
        <v>0</v>
      </c>
      <c r="KQ67" s="389">
        <f>SUM(Tabla1[AÑO 3 15])</f>
        <v>0</v>
      </c>
      <c r="KR67" s="389">
        <f>SUM(Tabla1[AÑO 4 15])</f>
        <v>0</v>
      </c>
      <c r="KS67" s="389">
        <f>SUM(Tabla1[AÑO 5 15])</f>
        <v>0</v>
      </c>
      <c r="KT67" s="7"/>
      <c r="KU67" s="7"/>
      <c r="KV67" s="7"/>
      <c r="KW67" s="7"/>
      <c r="KX67" s="7"/>
      <c r="KY67" s="7"/>
      <c r="KZ67" s="7"/>
      <c r="LA67" s="7"/>
      <c r="LB67" s="7"/>
      <c r="LC67" s="7"/>
      <c r="LD67" s="7"/>
      <c r="LE67" s="7"/>
      <c r="LF67" s="7"/>
      <c r="LG67" s="7"/>
      <c r="LH67" s="7"/>
      <c r="LI67" s="389">
        <f>SUM(Tabla1[AÑO 1 16])</f>
        <v>0</v>
      </c>
      <c r="LJ67" s="389">
        <f>SUM(Tabla1[AÑO 2 16])</f>
        <v>0</v>
      </c>
      <c r="LK67" s="389">
        <f>SUM(Tabla1[AÑO 3 16])</f>
        <v>0</v>
      </c>
      <c r="LL67" s="389">
        <f>SUM(Tabla1[AÑO 4 16])</f>
        <v>0</v>
      </c>
      <c r="LM67" s="389">
        <f>SUM(Tabla1[AÑO 5 16])</f>
        <v>0</v>
      </c>
      <c r="LN67" s="7"/>
      <c r="LO67" s="7"/>
      <c r="LP67" s="7"/>
      <c r="LQ67" s="7"/>
      <c r="LR67" s="7"/>
      <c r="LS67" s="7"/>
      <c r="LT67" s="7"/>
      <c r="LU67" s="7"/>
      <c r="LV67" s="7"/>
      <c r="LW67" s="7"/>
      <c r="LX67" s="7"/>
      <c r="LY67" s="7"/>
      <c r="LZ67" s="7"/>
      <c r="MA67" s="7"/>
      <c r="MB67" s="7"/>
      <c r="MC67" s="389">
        <f>SUM(Tabla1[AÑO 1 17])</f>
        <v>0</v>
      </c>
      <c r="MD67" s="389">
        <f>SUM(Tabla1[AÑO 2 17])</f>
        <v>0</v>
      </c>
      <c r="ME67" s="389">
        <f>SUM(Tabla1[AÑO 3 17])</f>
        <v>0</v>
      </c>
      <c r="MF67" s="389">
        <f>SUM(Tabla1[AÑO 4 17])</f>
        <v>0</v>
      </c>
      <c r="MG67" s="389">
        <f>SUM(Tabla1[AÑO 5 17])</f>
        <v>0</v>
      </c>
      <c r="MH67" s="7"/>
      <c r="MI67" s="7"/>
      <c r="MJ67" s="7"/>
      <c r="MK67" s="7"/>
      <c r="ML67" s="7"/>
      <c r="MM67" s="7"/>
      <c r="MN67" s="7"/>
      <c r="MO67" s="7"/>
      <c r="MP67" s="7"/>
      <c r="MQ67" s="7"/>
      <c r="MR67" s="7"/>
      <c r="MS67" s="7"/>
      <c r="MT67" s="7"/>
      <c r="MU67" s="7"/>
      <c r="MV67" s="7"/>
      <c r="MW67" s="389">
        <f>SUM(Tabla1[[AÑO 1 18 ]])</f>
        <v>0</v>
      </c>
      <c r="MX67" s="389">
        <f>SUM(Tabla1[[AÑO 2 18 ]])</f>
        <v>0</v>
      </c>
      <c r="MY67" s="389">
        <f>SUM(Tabla1[[AÑO 3 18 ]])</f>
        <v>0</v>
      </c>
      <c r="MZ67" s="389">
        <f>SUM(Tabla1[[AÑO 4 18 ]])</f>
        <v>0</v>
      </c>
      <c r="NA67" s="389">
        <f>SUM(Tabla1[[AÑO 5 18 ]])</f>
        <v>0</v>
      </c>
      <c r="NQ67" s="387">
        <f>SUM(Tabla1[[AÑO 1 19 ]])</f>
        <v>0</v>
      </c>
      <c r="NR67" s="387">
        <f>SUM(Tabla1[[AÑO 2 19 ]])</f>
        <v>0</v>
      </c>
      <c r="NS67" s="387">
        <f>SUM(Tabla1[[AÑO 3 19 ]])</f>
        <v>0</v>
      </c>
      <c r="NT67" s="387">
        <f>SUM(Tabla1[[AÑO 4 19 ]])</f>
        <v>0</v>
      </c>
      <c r="NU67" s="387">
        <f>SUM(Tabla1[[AÑO 5 19 ]])</f>
        <v>0</v>
      </c>
      <c r="OK67" s="387">
        <f>SUM(Tabla1[[AÑO 1 20 ]])</f>
        <v>0</v>
      </c>
      <c r="OL67" s="387">
        <f>SUM(Tabla1[[AÑO 2 20 ]])</f>
        <v>0</v>
      </c>
      <c r="OM67" s="387">
        <f>SUM(Tabla1[[AÑO 3 20 ]])</f>
        <v>0</v>
      </c>
      <c r="ON67" s="387">
        <f>SUM(Tabla1[[AÑO 4 20 ]])</f>
        <v>0</v>
      </c>
      <c r="OO67" s="387">
        <f>SUM(Tabla1[[AÑO 5 20 ]])</f>
        <v>0</v>
      </c>
    </row>
    <row r="68" spans="1:405" x14ac:dyDescent="0.25">
      <c r="C68" s="339"/>
      <c r="D68" s="339"/>
    </row>
    <row r="69" spans="1:405" x14ac:dyDescent="0.25">
      <c r="C69" s="339"/>
      <c r="D69" s="339"/>
    </row>
    <row r="70" spans="1:405" x14ac:dyDescent="0.25">
      <c r="C70" s="339"/>
      <c r="D70" s="339"/>
    </row>
    <row r="71" spans="1:405" x14ac:dyDescent="0.25">
      <c r="C71" s="339"/>
      <c r="D71" s="339"/>
    </row>
    <row r="72" spans="1:405" ht="15.75" x14ac:dyDescent="0.25">
      <c r="B72" s="69" t="s">
        <v>42</v>
      </c>
      <c r="C72" s="376" t="s">
        <v>440</v>
      </c>
      <c r="D72" s="339"/>
    </row>
    <row r="73" spans="1:405" ht="15.75" x14ac:dyDescent="0.25">
      <c r="B73" s="342">
        <v>1</v>
      </c>
      <c r="C73" s="373"/>
      <c r="D73" s="339"/>
    </row>
    <row r="74" spans="1:405" ht="15.75" x14ac:dyDescent="0.25">
      <c r="B74" s="345">
        <v>2</v>
      </c>
      <c r="C74" s="374"/>
      <c r="D74" s="339"/>
    </row>
    <row r="75" spans="1:405" ht="15.75" x14ac:dyDescent="0.25">
      <c r="B75" s="345">
        <v>3</v>
      </c>
      <c r="C75" s="374"/>
      <c r="D75" s="339"/>
    </row>
    <row r="76" spans="1:405" ht="15.75" x14ac:dyDescent="0.25">
      <c r="B76" s="345">
        <v>4</v>
      </c>
      <c r="C76" s="374"/>
      <c r="D76" s="339"/>
    </row>
    <row r="77" spans="1:405" ht="15.75" x14ac:dyDescent="0.25">
      <c r="B77" s="345">
        <v>5</v>
      </c>
      <c r="C77" s="374"/>
      <c r="D77" s="339"/>
    </row>
    <row r="78" spans="1:405" ht="15.75" x14ac:dyDescent="0.25">
      <c r="B78" s="345">
        <v>6</v>
      </c>
      <c r="C78" s="374"/>
      <c r="D78" s="339"/>
    </row>
    <row r="79" spans="1:405" ht="15.75" x14ac:dyDescent="0.25">
      <c r="B79" s="345">
        <v>7</v>
      </c>
      <c r="C79" s="374"/>
      <c r="D79" s="339"/>
    </row>
    <row r="80" spans="1:405" ht="15.75" x14ac:dyDescent="0.25">
      <c r="B80" s="345">
        <v>8</v>
      </c>
      <c r="C80" s="374"/>
      <c r="D80" s="339"/>
    </row>
    <row r="81" spans="2:29" ht="15.75" x14ac:dyDescent="0.25">
      <c r="B81" s="345">
        <v>9</v>
      </c>
      <c r="C81" s="374"/>
      <c r="D81" s="339"/>
    </row>
    <row r="82" spans="2:29" ht="15.75" x14ac:dyDescent="0.25">
      <c r="B82" s="348">
        <v>10</v>
      </c>
      <c r="C82" s="375"/>
      <c r="D82" s="339"/>
    </row>
    <row r="83" spans="2:29" x14ac:dyDescent="0.25">
      <c r="C83" s="339"/>
      <c r="D83" s="339"/>
    </row>
    <row r="84" spans="2:29" x14ac:dyDescent="0.25">
      <c r="C84" s="339"/>
      <c r="D84" s="339"/>
    </row>
    <row r="85" spans="2:29" x14ac:dyDescent="0.25">
      <c r="C85" s="339"/>
      <c r="D85" s="339"/>
    </row>
    <row r="86" spans="2:29" x14ac:dyDescent="0.25">
      <c r="C86" s="339"/>
      <c r="D86" s="339"/>
    </row>
    <row r="87" spans="2:29" x14ac:dyDescent="0.25">
      <c r="C87" s="339"/>
      <c r="D87" s="339"/>
    </row>
    <row r="88" spans="2:29" ht="15.75" x14ac:dyDescent="0.25">
      <c r="C88" s="339"/>
      <c r="D88" s="339"/>
      <c r="F88" s="619" t="s">
        <v>650</v>
      </c>
      <c r="G88" s="620"/>
      <c r="H88" s="620"/>
      <c r="I88" s="620"/>
      <c r="J88" s="620"/>
      <c r="K88" s="620"/>
      <c r="L88" s="620"/>
      <c r="M88" s="620"/>
      <c r="N88" s="620"/>
      <c r="O88" s="621"/>
      <c r="P88"/>
      <c r="Q88"/>
      <c r="R88"/>
      <c r="S88"/>
      <c r="T88"/>
      <c r="U88"/>
      <c r="V88"/>
      <c r="W88"/>
      <c r="X88"/>
      <c r="Y88"/>
      <c r="Z88"/>
      <c r="AA88"/>
      <c r="AB88"/>
      <c r="AC88"/>
    </row>
    <row r="89" spans="2:29" ht="15.75" x14ac:dyDescent="0.25">
      <c r="C89" s="376" t="s">
        <v>437</v>
      </c>
      <c r="D89" s="376" t="s">
        <v>438</v>
      </c>
      <c r="E89" s="52"/>
      <c r="F89" s="510" cm="1">
        <f t="array" ref="F89:O89">TRANSPOSE(Tabla4[[MANO DE OBRA DIRECTA ]])</f>
        <v>1</v>
      </c>
      <c r="G89" s="510">
        <v>2</v>
      </c>
      <c r="H89" s="510">
        <v>3</v>
      </c>
      <c r="I89" s="510">
        <v>4</v>
      </c>
      <c r="J89" s="510">
        <v>5</v>
      </c>
      <c r="K89" s="510">
        <v>6</v>
      </c>
      <c r="L89" s="510">
        <v>7</v>
      </c>
      <c r="M89" s="510">
        <v>8</v>
      </c>
      <c r="N89" s="510">
        <v>9</v>
      </c>
      <c r="O89" s="510">
        <v>10</v>
      </c>
      <c r="P89"/>
      <c r="Q89"/>
      <c r="R89"/>
      <c r="S89"/>
      <c r="T89"/>
      <c r="U89"/>
      <c r="V89"/>
      <c r="W89"/>
      <c r="X89"/>
      <c r="Y89"/>
      <c r="Z89"/>
      <c r="AA89"/>
      <c r="AB89"/>
      <c r="AC89"/>
    </row>
    <row r="90" spans="2:29" ht="15.75" x14ac:dyDescent="0.25">
      <c r="C90" s="444">
        <v>0</v>
      </c>
      <c r="D90" s="377" t="str">
        <f>VLOOKUP(Tabla10[[#This Row],[CÓDIGO DEL PRODUCTO Y/O SERVICIO ]],Tabla3[],2,0)</f>
        <v xml:space="preserve">Seleccionar producto o servicio </v>
      </c>
      <c r="E90" s="104"/>
      <c r="F90" s="104"/>
      <c r="G90" s="104"/>
      <c r="H90" s="104"/>
      <c r="I90" s="104"/>
      <c r="J90" s="104"/>
      <c r="K90" s="104"/>
      <c r="L90" s="104"/>
      <c r="M90" s="104"/>
      <c r="N90" s="104"/>
      <c r="O90" s="104"/>
      <c r="P90"/>
      <c r="Q90"/>
      <c r="R90"/>
      <c r="S90"/>
      <c r="T90"/>
      <c r="U90"/>
      <c r="V90"/>
      <c r="W90"/>
      <c r="X90"/>
      <c r="Y90"/>
      <c r="Z90"/>
      <c r="AA90"/>
      <c r="AB90"/>
      <c r="AC90"/>
    </row>
    <row r="91" spans="2:29" ht="15.75" x14ac:dyDescent="0.25">
      <c r="C91" s="370"/>
      <c r="D91" s="377" t="str">
        <f>VLOOKUP(Tabla10[[#This Row],[CÓDIGO DEL PRODUCTO Y/O SERVICIO ]],Tabla3[],2,0)</f>
        <v xml:space="preserve">Seleccionar producto o servicio </v>
      </c>
      <c r="E91" s="104"/>
      <c r="F91" s="104"/>
      <c r="G91" s="104"/>
      <c r="H91" s="104"/>
      <c r="I91" s="104"/>
      <c r="J91" s="104"/>
      <c r="K91" s="104"/>
      <c r="L91" s="104"/>
      <c r="M91" s="104"/>
      <c r="N91" s="104"/>
      <c r="O91" s="104"/>
      <c r="P91"/>
      <c r="Q91"/>
      <c r="R91"/>
      <c r="S91"/>
      <c r="T91"/>
      <c r="U91"/>
      <c r="V91"/>
      <c r="W91"/>
      <c r="X91"/>
      <c r="Y91"/>
      <c r="Z91"/>
      <c r="AA91"/>
      <c r="AB91"/>
      <c r="AC91"/>
    </row>
    <row r="92" spans="2:29" x14ac:dyDescent="0.25">
      <c r="C92" s="339"/>
      <c r="D92" s="339"/>
    </row>
    <row r="93" spans="2:29" x14ac:dyDescent="0.25">
      <c r="C93" s="339"/>
      <c r="D93" s="339"/>
    </row>
    <row r="94" spans="2:29" x14ac:dyDescent="0.25">
      <c r="C94" s="339"/>
      <c r="D94" s="339"/>
    </row>
    <row r="95" spans="2:29" x14ac:dyDescent="0.25">
      <c r="C95" s="339"/>
      <c r="D95" s="339"/>
    </row>
    <row r="96" spans="2:29" x14ac:dyDescent="0.25">
      <c r="C96" s="339"/>
      <c r="D96" s="339"/>
    </row>
    <row r="97" spans="3:210" x14ac:dyDescent="0.25">
      <c r="C97" s="339"/>
      <c r="D97" s="339"/>
    </row>
    <row r="98" spans="3:210" x14ac:dyDescent="0.25">
      <c r="C98" s="339"/>
      <c r="D98" s="339"/>
    </row>
    <row r="99" spans="3:210" x14ac:dyDescent="0.25">
      <c r="C99" s="339"/>
      <c r="D99" s="339"/>
    </row>
    <row r="100" spans="3:210" x14ac:dyDescent="0.25">
      <c r="C100" s="339"/>
      <c r="D100" s="339"/>
    </row>
    <row r="101" spans="3:210" x14ac:dyDescent="0.25">
      <c r="C101" s="339"/>
      <c r="D101" s="339"/>
    </row>
    <row r="102" spans="3:210" ht="15.75" customHeight="1" x14ac:dyDescent="0.25"/>
    <row r="103" spans="3:210" ht="15.75" customHeight="1" thickBot="1" x14ac:dyDescent="0.3"/>
    <row r="104" spans="3:210" ht="16.5" thickBot="1" x14ac:dyDescent="0.3">
      <c r="F104" s="556">
        <f>B73</f>
        <v>1</v>
      </c>
      <c r="G104" s="557"/>
      <c r="H104" s="557"/>
      <c r="I104" s="557"/>
      <c r="J104" s="557"/>
      <c r="K104" s="557"/>
      <c r="L104" s="557"/>
      <c r="M104" s="557"/>
      <c r="N104" s="557"/>
      <c r="O104" s="557"/>
      <c r="P104" s="557"/>
      <c r="Q104" s="557"/>
      <c r="R104" s="557"/>
      <c r="S104" s="557"/>
      <c r="T104" s="557"/>
      <c r="U104" s="557"/>
      <c r="V104" s="557"/>
      <c r="W104" s="557"/>
      <c r="X104" s="557"/>
      <c r="Y104" s="558"/>
      <c r="Z104" s="552">
        <f>B74</f>
        <v>2</v>
      </c>
      <c r="AA104" s="553"/>
      <c r="AB104" s="553"/>
      <c r="AC104" s="553"/>
      <c r="AD104" s="553"/>
      <c r="AE104" s="553"/>
      <c r="AF104" s="553"/>
      <c r="AG104" s="553"/>
      <c r="AH104" s="553"/>
      <c r="AI104" s="553"/>
      <c r="AJ104" s="553"/>
      <c r="AK104" s="553"/>
      <c r="AL104" s="553"/>
      <c r="AM104" s="553"/>
      <c r="AN104" s="553"/>
      <c r="AO104" s="553"/>
      <c r="AP104" s="553"/>
      <c r="AQ104" s="553"/>
      <c r="AR104" s="553"/>
      <c r="AS104" s="564"/>
      <c r="AT104" s="556">
        <f>B75</f>
        <v>3</v>
      </c>
      <c r="AU104" s="557"/>
      <c r="AV104" s="557"/>
      <c r="AW104" s="557"/>
      <c r="AX104" s="557"/>
      <c r="AY104" s="557"/>
      <c r="AZ104" s="557"/>
      <c r="BA104" s="557"/>
      <c r="BB104" s="557"/>
      <c r="BC104" s="557"/>
      <c r="BD104" s="557"/>
      <c r="BE104" s="557"/>
      <c r="BF104" s="557"/>
      <c r="BG104" s="557"/>
      <c r="BH104" s="557"/>
      <c r="BI104" s="557"/>
      <c r="BJ104" s="557"/>
      <c r="BK104" s="557"/>
      <c r="BL104" s="557"/>
      <c r="BM104" s="558"/>
      <c r="BN104" s="608">
        <f>B76</f>
        <v>4</v>
      </c>
      <c r="BO104" s="609"/>
      <c r="BP104" s="609"/>
      <c r="BQ104" s="609"/>
      <c r="BR104" s="609"/>
      <c r="BS104" s="609"/>
      <c r="BT104" s="609"/>
      <c r="BU104" s="609"/>
      <c r="BV104" s="609"/>
      <c r="BW104" s="609"/>
      <c r="BX104" s="609"/>
      <c r="BY104" s="609"/>
      <c r="BZ104" s="609"/>
      <c r="CA104" s="609"/>
      <c r="CB104" s="609"/>
      <c r="CC104" s="609"/>
      <c r="CD104" s="609"/>
      <c r="CE104" s="609"/>
      <c r="CF104" s="609"/>
      <c r="CG104" s="610"/>
      <c r="CH104" s="572">
        <f>B77</f>
        <v>5</v>
      </c>
      <c r="CI104" s="573"/>
      <c r="CJ104" s="573"/>
      <c r="CK104" s="573"/>
      <c r="CL104" s="573"/>
      <c r="CM104" s="573"/>
      <c r="CN104" s="573"/>
      <c r="CO104" s="573"/>
      <c r="CP104" s="573"/>
      <c r="CQ104" s="573"/>
      <c r="CR104" s="573"/>
      <c r="CS104" s="573"/>
      <c r="CT104" s="573"/>
      <c r="CU104" s="573"/>
      <c r="CV104" s="573"/>
      <c r="CW104" s="573"/>
      <c r="CX104" s="573"/>
      <c r="CY104" s="573"/>
      <c r="CZ104" s="573"/>
      <c r="DA104" s="574"/>
      <c r="DB104" s="569">
        <f>B78</f>
        <v>6</v>
      </c>
      <c r="DC104" s="570"/>
      <c r="DD104" s="570"/>
      <c r="DE104" s="570"/>
      <c r="DF104" s="570"/>
      <c r="DG104" s="570"/>
      <c r="DH104" s="570"/>
      <c r="DI104" s="570"/>
      <c r="DJ104" s="570"/>
      <c r="DK104" s="570"/>
      <c r="DL104" s="570"/>
      <c r="DM104" s="570"/>
      <c r="DN104" s="570"/>
      <c r="DO104" s="570"/>
      <c r="DP104" s="570"/>
      <c r="DQ104" s="570"/>
      <c r="DR104" s="570"/>
      <c r="DS104" s="570"/>
      <c r="DT104" s="570"/>
      <c r="DU104" s="571"/>
      <c r="DV104" s="572">
        <f>B79</f>
        <v>7</v>
      </c>
      <c r="DW104" s="573"/>
      <c r="DX104" s="573"/>
      <c r="DY104" s="573"/>
      <c r="DZ104" s="573"/>
      <c r="EA104" s="573"/>
      <c r="EB104" s="573"/>
      <c r="EC104" s="573"/>
      <c r="ED104" s="573"/>
      <c r="EE104" s="573"/>
      <c r="EF104" s="573"/>
      <c r="EG104" s="573"/>
      <c r="EH104" s="573"/>
      <c r="EI104" s="573"/>
      <c r="EJ104" s="573"/>
      <c r="EK104" s="573"/>
      <c r="EL104" s="573"/>
      <c r="EM104" s="573"/>
      <c r="EN104" s="573"/>
      <c r="EO104" s="574"/>
      <c r="EP104" s="562">
        <f>B80</f>
        <v>8</v>
      </c>
      <c r="EQ104" s="563"/>
      <c r="ER104" s="563"/>
      <c r="ES104" s="563"/>
      <c r="ET104" s="563"/>
      <c r="EU104" s="563"/>
      <c r="EV104" s="563"/>
      <c r="EW104" s="563"/>
      <c r="EX104" s="563"/>
      <c r="EY104" s="563"/>
      <c r="EZ104" s="563"/>
      <c r="FA104" s="563"/>
      <c r="FB104" s="563"/>
      <c r="FC104" s="563"/>
      <c r="FD104" s="563"/>
      <c r="FE104" s="563"/>
      <c r="FF104" s="563"/>
      <c r="FG104" s="563"/>
      <c r="FH104" s="563"/>
      <c r="FI104" s="566"/>
      <c r="FJ104" s="556">
        <f>B81</f>
        <v>9</v>
      </c>
      <c r="FK104" s="557"/>
      <c r="FL104" s="557"/>
      <c r="FM104" s="557"/>
      <c r="FN104" s="557"/>
      <c r="FO104" s="557"/>
      <c r="FP104" s="557"/>
      <c r="FQ104" s="557"/>
      <c r="FR104" s="557"/>
      <c r="FS104" s="557"/>
      <c r="FT104" s="557"/>
      <c r="FU104" s="557"/>
      <c r="FV104" s="557"/>
      <c r="FW104" s="557"/>
      <c r="FX104" s="557"/>
      <c r="FY104" s="557"/>
      <c r="FZ104" s="557"/>
      <c r="GA104" s="557"/>
      <c r="GB104" s="557"/>
      <c r="GC104" s="558"/>
      <c r="GD104" s="562">
        <f>B82</f>
        <v>10</v>
      </c>
      <c r="GE104" s="563"/>
      <c r="GF104" s="563"/>
      <c r="GG104" s="563"/>
      <c r="GH104" s="563"/>
      <c r="GI104" s="563"/>
      <c r="GJ104" s="563"/>
      <c r="GK104" s="563"/>
      <c r="GL104" s="563"/>
      <c r="GM104" s="563"/>
      <c r="GN104" s="563"/>
      <c r="GO104" s="563"/>
      <c r="GP104" s="563"/>
      <c r="GQ104" s="563"/>
      <c r="GR104" s="563"/>
      <c r="GS104" s="563"/>
      <c r="GT104" s="563"/>
      <c r="GU104" s="563"/>
      <c r="GV104" s="563"/>
      <c r="GW104" s="563"/>
      <c r="GX104" s="548" t="s">
        <v>872</v>
      </c>
      <c r="GY104" s="548"/>
      <c r="GZ104" s="548"/>
      <c r="HA104" s="548"/>
      <c r="HB104" s="548"/>
    </row>
    <row r="105" spans="3:210" ht="15.75" x14ac:dyDescent="0.25">
      <c r="F105" s="378"/>
      <c r="G105" s="378"/>
      <c r="H105" s="378"/>
      <c r="I105" s="378"/>
      <c r="J105" s="378"/>
      <c r="K105" s="378"/>
      <c r="L105" s="378"/>
      <c r="M105" s="378"/>
      <c r="N105" s="378"/>
      <c r="O105" s="378"/>
      <c r="P105" s="565" t="s">
        <v>443</v>
      </c>
      <c r="Q105" s="565"/>
      <c r="R105" s="565"/>
      <c r="S105" s="565"/>
      <c r="T105" s="565"/>
      <c r="U105" s="565" t="s">
        <v>444</v>
      </c>
      <c r="V105" s="565"/>
      <c r="W105" s="565"/>
      <c r="X105" s="565"/>
      <c r="Y105" s="565"/>
      <c r="Z105" s="379"/>
      <c r="AA105" s="379"/>
      <c r="AB105" s="379"/>
      <c r="AC105" s="379"/>
      <c r="AD105" s="379"/>
      <c r="AE105" s="379"/>
      <c r="AF105" s="379"/>
      <c r="AG105" s="379"/>
      <c r="AH105" s="379"/>
      <c r="AI105" s="379"/>
      <c r="AJ105" s="550" t="s">
        <v>443</v>
      </c>
      <c r="AK105" s="550"/>
      <c r="AL105" s="550"/>
      <c r="AM105" s="550"/>
      <c r="AN105" s="550"/>
      <c r="AO105" s="550" t="s">
        <v>444</v>
      </c>
      <c r="AP105" s="550"/>
      <c r="AQ105" s="550"/>
      <c r="AR105" s="550"/>
      <c r="AS105" s="550"/>
      <c r="AT105" s="611"/>
      <c r="AU105" s="612"/>
      <c r="AV105" s="612"/>
      <c r="AW105" s="612"/>
      <c r="AX105" s="612"/>
      <c r="AY105" s="612"/>
      <c r="AZ105" s="612"/>
      <c r="BA105" s="612"/>
      <c r="BB105" s="612"/>
      <c r="BC105" s="613"/>
      <c r="BD105" s="554" t="s">
        <v>443</v>
      </c>
      <c r="BE105" s="554"/>
      <c r="BF105" s="554"/>
      <c r="BG105" s="554"/>
      <c r="BH105" s="554"/>
      <c r="BI105" s="554" t="s">
        <v>444</v>
      </c>
      <c r="BJ105" s="554"/>
      <c r="BK105" s="554"/>
      <c r="BL105" s="554"/>
      <c r="BM105" s="554"/>
      <c r="BN105" s="561"/>
      <c r="BO105" s="617"/>
      <c r="BP105" s="617"/>
      <c r="BQ105" s="617"/>
      <c r="BR105" s="617"/>
      <c r="BS105" s="617"/>
      <c r="BT105" s="617"/>
      <c r="BU105" s="617"/>
      <c r="BV105" s="617"/>
      <c r="BW105" s="618"/>
      <c r="BX105" s="559" t="s">
        <v>443</v>
      </c>
      <c r="BY105" s="560"/>
      <c r="BZ105" s="560"/>
      <c r="CA105" s="560"/>
      <c r="CB105" s="560"/>
      <c r="CC105" s="567" t="s">
        <v>626</v>
      </c>
      <c r="CD105" s="568"/>
      <c r="CE105" s="568"/>
      <c r="CF105" s="568"/>
      <c r="CG105" s="568"/>
      <c r="CH105" s="555"/>
      <c r="CI105" s="555"/>
      <c r="CJ105" s="555"/>
      <c r="CK105" s="555"/>
      <c r="CL105" s="555"/>
      <c r="CM105" s="555"/>
      <c r="CN105" s="555"/>
      <c r="CO105" s="555"/>
      <c r="CP105" s="555"/>
      <c r="CQ105" s="555"/>
      <c r="CR105" s="614" t="s">
        <v>560</v>
      </c>
      <c r="CS105" s="615"/>
      <c r="CT105" s="615"/>
      <c r="CU105" s="615"/>
      <c r="CV105" s="616"/>
      <c r="CW105" s="554" t="s">
        <v>626</v>
      </c>
      <c r="CX105" s="555"/>
      <c r="CY105" s="555"/>
      <c r="CZ105" s="555"/>
      <c r="DA105" s="555"/>
      <c r="DB105" s="568"/>
      <c r="DC105" s="568"/>
      <c r="DD105" s="568"/>
      <c r="DE105" s="568"/>
      <c r="DF105" s="568"/>
      <c r="DG105" s="568"/>
      <c r="DH105" s="568"/>
      <c r="DI105" s="568"/>
      <c r="DJ105" s="568"/>
      <c r="DK105" s="568"/>
      <c r="DL105" s="567" t="s">
        <v>560</v>
      </c>
      <c r="DM105" s="568"/>
      <c r="DN105" s="568"/>
      <c r="DO105" s="568"/>
      <c r="DP105" s="568"/>
      <c r="DQ105" s="567" t="s">
        <v>444</v>
      </c>
      <c r="DR105" s="568"/>
      <c r="DS105" s="568"/>
      <c r="DT105" s="568"/>
      <c r="DU105" s="568"/>
      <c r="DV105" s="555"/>
      <c r="DW105" s="555"/>
      <c r="DX105" s="555"/>
      <c r="DY105" s="555"/>
      <c r="DZ105" s="555"/>
      <c r="EA105" s="555"/>
      <c r="EB105" s="555"/>
      <c r="EC105" s="555"/>
      <c r="ED105" s="555"/>
      <c r="EE105" s="555"/>
      <c r="EF105" s="555"/>
      <c r="EG105" s="554" t="s">
        <v>560</v>
      </c>
      <c r="EH105" s="555"/>
      <c r="EI105" s="555"/>
      <c r="EJ105" s="555"/>
      <c r="EK105" s="554" t="s">
        <v>626</v>
      </c>
      <c r="EL105" s="555"/>
      <c r="EM105" s="555"/>
      <c r="EN105" s="555"/>
      <c r="EO105" s="555"/>
      <c r="EP105" s="560"/>
      <c r="EQ105" s="560"/>
      <c r="ER105" s="560"/>
      <c r="ES105" s="560"/>
      <c r="ET105" s="560"/>
      <c r="EU105" s="560"/>
      <c r="EV105" s="560"/>
      <c r="EW105" s="560"/>
      <c r="EX105" s="560"/>
      <c r="EY105" s="560"/>
      <c r="EZ105" s="559" t="s">
        <v>560</v>
      </c>
      <c r="FA105" s="560"/>
      <c r="FB105" s="560"/>
      <c r="FC105" s="560"/>
      <c r="FD105" s="560"/>
      <c r="FE105" s="559" t="s">
        <v>444</v>
      </c>
      <c r="FF105" s="560"/>
      <c r="FG105" s="560"/>
      <c r="FH105" s="560"/>
      <c r="FI105" s="560"/>
      <c r="FJ105" s="555"/>
      <c r="FK105" s="555"/>
      <c r="FL105" s="555"/>
      <c r="FM105" s="555"/>
      <c r="FN105" s="555"/>
      <c r="FO105" s="555"/>
      <c r="FP105" s="555"/>
      <c r="FQ105" s="555"/>
      <c r="FR105" s="555"/>
      <c r="FS105" s="555"/>
      <c r="FT105" s="554" t="s">
        <v>560</v>
      </c>
      <c r="FU105" s="555"/>
      <c r="FV105" s="555"/>
      <c r="FW105" s="555"/>
      <c r="FX105" s="555"/>
      <c r="FY105" s="554" t="s">
        <v>626</v>
      </c>
      <c r="FZ105" s="555"/>
      <c r="GA105" s="555"/>
      <c r="GB105" s="555"/>
      <c r="GC105" s="555"/>
      <c r="GD105" s="560"/>
      <c r="GE105" s="560"/>
      <c r="GF105" s="560"/>
      <c r="GG105" s="560"/>
      <c r="GH105" s="560"/>
      <c r="GI105" s="560"/>
      <c r="GJ105" s="560"/>
      <c r="GK105" s="560"/>
      <c r="GL105" s="560"/>
      <c r="GM105" s="560"/>
      <c r="GN105" s="559" t="s">
        <v>560</v>
      </c>
      <c r="GO105" s="560"/>
      <c r="GP105" s="560"/>
      <c r="GQ105" s="560"/>
      <c r="GR105" s="560"/>
      <c r="GS105" s="559" t="s">
        <v>626</v>
      </c>
      <c r="GT105" s="560"/>
      <c r="GU105" s="560"/>
      <c r="GV105" s="560"/>
      <c r="GW105" s="561"/>
      <c r="GX105" s="548"/>
      <c r="GY105" s="548"/>
      <c r="GZ105" s="548"/>
      <c r="HA105" s="548"/>
      <c r="HB105" s="548"/>
    </row>
    <row r="106" spans="3:210" ht="45" customHeight="1" x14ac:dyDescent="0.25">
      <c r="C106" s="376" t="s">
        <v>437</v>
      </c>
      <c r="D106" s="376" t="s">
        <v>438</v>
      </c>
      <c r="E106" s="52" t="s">
        <v>442</v>
      </c>
      <c r="F106" s="380" t="s">
        <v>652</v>
      </c>
      <c r="G106" s="380" t="s">
        <v>653</v>
      </c>
      <c r="H106" s="380" t="s">
        <v>654</v>
      </c>
      <c r="I106" s="380" t="s">
        <v>655</v>
      </c>
      <c r="J106" s="380" t="s">
        <v>656</v>
      </c>
      <c r="K106" s="380" t="s">
        <v>657</v>
      </c>
      <c r="L106" s="380" t="s">
        <v>658</v>
      </c>
      <c r="M106" s="380" t="s">
        <v>659</v>
      </c>
      <c r="N106" s="380" t="s">
        <v>660</v>
      </c>
      <c r="O106" s="380" t="s">
        <v>661</v>
      </c>
      <c r="P106" s="380" t="s">
        <v>449</v>
      </c>
      <c r="Q106" s="380" t="s">
        <v>662</v>
      </c>
      <c r="R106" s="380" t="s">
        <v>663</v>
      </c>
      <c r="S106" s="380" t="s">
        <v>664</v>
      </c>
      <c r="T106" s="380" t="s">
        <v>665</v>
      </c>
      <c r="U106" s="380" t="s">
        <v>666</v>
      </c>
      <c r="V106" s="380" t="s">
        <v>667</v>
      </c>
      <c r="W106" s="380" t="s">
        <v>668</v>
      </c>
      <c r="X106" s="380" t="s">
        <v>669</v>
      </c>
      <c r="Y106" s="380" t="s">
        <v>670</v>
      </c>
      <c r="Z106" s="381" t="s">
        <v>457</v>
      </c>
      <c r="AA106" s="381" t="s">
        <v>672</v>
      </c>
      <c r="AB106" s="381" t="s">
        <v>673</v>
      </c>
      <c r="AC106" s="381" t="s">
        <v>674</v>
      </c>
      <c r="AD106" s="381" t="s">
        <v>675</v>
      </c>
      <c r="AE106" s="381" t="s">
        <v>676</v>
      </c>
      <c r="AF106" s="381" t="s">
        <v>677</v>
      </c>
      <c r="AG106" s="381" t="s">
        <v>678</v>
      </c>
      <c r="AH106" s="381" t="s">
        <v>679</v>
      </c>
      <c r="AI106" s="381" t="s">
        <v>680</v>
      </c>
      <c r="AJ106" s="381" t="s">
        <v>671</v>
      </c>
      <c r="AK106" s="381" t="s">
        <v>681</v>
      </c>
      <c r="AL106" s="381" t="s">
        <v>682</v>
      </c>
      <c r="AM106" s="381" t="s">
        <v>683</v>
      </c>
      <c r="AN106" s="381" t="s">
        <v>684</v>
      </c>
      <c r="AO106" s="381" t="s">
        <v>686</v>
      </c>
      <c r="AP106" s="381" t="s">
        <v>685</v>
      </c>
      <c r="AQ106" s="381" t="s">
        <v>463</v>
      </c>
      <c r="AR106" s="381" t="s">
        <v>464</v>
      </c>
      <c r="AS106" s="381" t="s">
        <v>465</v>
      </c>
      <c r="AT106" s="380" t="s">
        <v>466</v>
      </c>
      <c r="AU106" s="380" t="s">
        <v>687</v>
      </c>
      <c r="AV106" s="380" t="s">
        <v>688</v>
      </c>
      <c r="AW106" s="380" t="s">
        <v>689</v>
      </c>
      <c r="AX106" s="380" t="s">
        <v>690</v>
      </c>
      <c r="AY106" s="380" t="s">
        <v>691</v>
      </c>
      <c r="AZ106" s="380" t="s">
        <v>471</v>
      </c>
      <c r="BA106" s="380" t="s">
        <v>692</v>
      </c>
      <c r="BB106" s="380" t="s">
        <v>693</v>
      </c>
      <c r="BC106" s="380" t="s">
        <v>694</v>
      </c>
      <c r="BD106" s="380" t="s">
        <v>720</v>
      </c>
      <c r="BE106" s="380" t="s">
        <v>695</v>
      </c>
      <c r="BF106" s="380" t="s">
        <v>696</v>
      </c>
      <c r="BG106" s="380" t="s">
        <v>697</v>
      </c>
      <c r="BH106" s="380" t="s">
        <v>721</v>
      </c>
      <c r="BI106" s="380" t="s">
        <v>698</v>
      </c>
      <c r="BJ106" s="380" t="s">
        <v>699</v>
      </c>
      <c r="BK106" s="380" t="s">
        <v>700</v>
      </c>
      <c r="BL106" s="380" t="s">
        <v>701</v>
      </c>
      <c r="BM106" s="380" t="s">
        <v>476</v>
      </c>
      <c r="BN106" s="381" t="s">
        <v>477</v>
      </c>
      <c r="BO106" s="381" t="s">
        <v>702</v>
      </c>
      <c r="BP106" s="381" t="s">
        <v>478</v>
      </c>
      <c r="BQ106" s="381" t="s">
        <v>479</v>
      </c>
      <c r="BR106" s="381" t="s">
        <v>480</v>
      </c>
      <c r="BS106" s="381" t="s">
        <v>703</v>
      </c>
      <c r="BT106" s="381" t="s">
        <v>704</v>
      </c>
      <c r="BU106" s="381" t="s">
        <v>482</v>
      </c>
      <c r="BV106" s="381" t="s">
        <v>483</v>
      </c>
      <c r="BW106" s="381" t="s">
        <v>705</v>
      </c>
      <c r="BX106" s="381" t="s">
        <v>722</v>
      </c>
      <c r="BY106" s="381" t="s">
        <v>485</v>
      </c>
      <c r="BZ106" s="381" t="s">
        <v>706</v>
      </c>
      <c r="CA106" s="381" t="s">
        <v>486</v>
      </c>
      <c r="CB106" s="381" t="s">
        <v>707</v>
      </c>
      <c r="CC106" s="381" t="s">
        <v>487</v>
      </c>
      <c r="CD106" s="381" t="s">
        <v>488</v>
      </c>
      <c r="CE106" s="381" t="s">
        <v>489</v>
      </c>
      <c r="CF106" s="381" t="s">
        <v>708</v>
      </c>
      <c r="CG106" s="381" t="s">
        <v>490</v>
      </c>
      <c r="CH106" s="380" t="s">
        <v>709</v>
      </c>
      <c r="CI106" s="380" t="s">
        <v>492</v>
      </c>
      <c r="CJ106" s="380" t="s">
        <v>493</v>
      </c>
      <c r="CK106" s="380" t="s">
        <v>494</v>
      </c>
      <c r="CL106" s="380" t="s">
        <v>710</v>
      </c>
      <c r="CM106" s="380" t="s">
        <v>711</v>
      </c>
      <c r="CN106" s="380" t="s">
        <v>712</v>
      </c>
      <c r="CO106" s="380" t="s">
        <v>713</v>
      </c>
      <c r="CP106" s="380" t="s">
        <v>497</v>
      </c>
      <c r="CQ106" s="380" t="s">
        <v>498</v>
      </c>
      <c r="CR106" s="380" t="s">
        <v>723</v>
      </c>
      <c r="CS106" s="380" t="s">
        <v>714</v>
      </c>
      <c r="CT106" s="380" t="s">
        <v>715</v>
      </c>
      <c r="CU106" s="380" t="s">
        <v>716</v>
      </c>
      <c r="CV106" s="380" t="s">
        <v>717</v>
      </c>
      <c r="CW106" s="380" t="s">
        <v>503</v>
      </c>
      <c r="CX106" s="380" t="s">
        <v>499</v>
      </c>
      <c r="CY106" s="380" t="s">
        <v>718</v>
      </c>
      <c r="CZ106" s="380" t="s">
        <v>504</v>
      </c>
      <c r="DA106" s="380" t="s">
        <v>719</v>
      </c>
      <c r="DB106" s="381" t="s">
        <v>724</v>
      </c>
      <c r="DC106" s="381" t="s">
        <v>508</v>
      </c>
      <c r="DD106" s="381" t="s">
        <v>509</v>
      </c>
      <c r="DE106" s="381" t="s">
        <v>725</v>
      </c>
      <c r="DF106" s="381" t="s">
        <v>726</v>
      </c>
      <c r="DG106" s="381" t="s">
        <v>727</v>
      </c>
      <c r="DH106" s="381" t="s">
        <v>511</v>
      </c>
      <c r="DI106" s="381" t="s">
        <v>512</v>
      </c>
      <c r="DJ106" s="381" t="s">
        <v>513</v>
      </c>
      <c r="DK106" s="381" t="s">
        <v>514</v>
      </c>
      <c r="DL106" s="381" t="s">
        <v>760</v>
      </c>
      <c r="DM106" s="381" t="s">
        <v>728</v>
      </c>
      <c r="DN106" s="381" t="s">
        <v>516</v>
      </c>
      <c r="DO106" s="381" t="s">
        <v>729</v>
      </c>
      <c r="DP106" s="381" t="s">
        <v>517</v>
      </c>
      <c r="DQ106" s="381" t="s">
        <v>518</v>
      </c>
      <c r="DR106" s="381" t="s">
        <v>519</v>
      </c>
      <c r="DS106" s="381" t="s">
        <v>520</v>
      </c>
      <c r="DT106" s="381" t="s">
        <v>521</v>
      </c>
      <c r="DU106" s="381" t="s">
        <v>522</v>
      </c>
      <c r="DV106" s="380" t="s">
        <v>524</v>
      </c>
      <c r="DW106" s="380" t="s">
        <v>730</v>
      </c>
      <c r="DX106" s="380" t="s">
        <v>526</v>
      </c>
      <c r="DY106" s="380" t="s">
        <v>527</v>
      </c>
      <c r="DZ106" s="380" t="s">
        <v>731</v>
      </c>
      <c r="EA106" s="380" t="s">
        <v>732</v>
      </c>
      <c r="EB106" s="380" t="s">
        <v>529</v>
      </c>
      <c r="EC106" s="380" t="s">
        <v>530</v>
      </c>
      <c r="ED106" s="380" t="s">
        <v>531</v>
      </c>
      <c r="EE106" s="380" t="s">
        <v>532</v>
      </c>
      <c r="EF106" s="380" t="s">
        <v>761</v>
      </c>
      <c r="EG106" s="380" t="s">
        <v>533</v>
      </c>
      <c r="EH106" s="380" t="s">
        <v>534</v>
      </c>
      <c r="EI106" s="380" t="s">
        <v>535</v>
      </c>
      <c r="EJ106" s="380" t="s">
        <v>536</v>
      </c>
      <c r="EK106" s="380" t="s">
        <v>537</v>
      </c>
      <c r="EL106" s="380" t="s">
        <v>733</v>
      </c>
      <c r="EM106" s="380" t="s">
        <v>539</v>
      </c>
      <c r="EN106" s="380" t="s">
        <v>734</v>
      </c>
      <c r="EO106" s="380" t="s">
        <v>735</v>
      </c>
      <c r="EP106" s="381" t="s">
        <v>542</v>
      </c>
      <c r="EQ106" s="381" t="s">
        <v>543</v>
      </c>
      <c r="ER106" s="381" t="s">
        <v>736</v>
      </c>
      <c r="ES106" s="381" t="s">
        <v>545</v>
      </c>
      <c r="ET106" s="381" t="s">
        <v>546</v>
      </c>
      <c r="EU106" s="381" t="s">
        <v>547</v>
      </c>
      <c r="EV106" s="381" t="s">
        <v>548</v>
      </c>
      <c r="EW106" s="381" t="s">
        <v>549</v>
      </c>
      <c r="EX106" s="381" t="s">
        <v>550</v>
      </c>
      <c r="EY106" s="381" t="s">
        <v>737</v>
      </c>
      <c r="EZ106" s="381" t="s">
        <v>762</v>
      </c>
      <c r="FA106" s="381" t="s">
        <v>551</v>
      </c>
      <c r="FB106" s="381" t="s">
        <v>552</v>
      </c>
      <c r="FC106" s="381" t="s">
        <v>553</v>
      </c>
      <c r="FD106" s="381" t="s">
        <v>738</v>
      </c>
      <c r="FE106" s="381" t="s">
        <v>739</v>
      </c>
      <c r="FF106" s="381" t="s">
        <v>555</v>
      </c>
      <c r="FG106" s="381" t="s">
        <v>556</v>
      </c>
      <c r="FH106" s="381" t="s">
        <v>557</v>
      </c>
      <c r="FI106" s="381" t="s">
        <v>558</v>
      </c>
      <c r="FJ106" s="380" t="s">
        <v>740</v>
      </c>
      <c r="FK106" s="380" t="s">
        <v>562</v>
      </c>
      <c r="FL106" s="380" t="s">
        <v>563</v>
      </c>
      <c r="FM106" s="380" t="s">
        <v>741</v>
      </c>
      <c r="FN106" s="380" t="s">
        <v>564</v>
      </c>
      <c r="FO106" s="380" t="s">
        <v>565</v>
      </c>
      <c r="FP106" s="380" t="s">
        <v>742</v>
      </c>
      <c r="FQ106" s="380" t="s">
        <v>743</v>
      </c>
      <c r="FR106" s="380" t="s">
        <v>567</v>
      </c>
      <c r="FS106" s="380" t="s">
        <v>568</v>
      </c>
      <c r="FT106" s="380" t="s">
        <v>763</v>
      </c>
      <c r="FU106" s="380" t="s">
        <v>569</v>
      </c>
      <c r="FV106" s="380" t="s">
        <v>570</v>
      </c>
      <c r="FW106" s="380" t="s">
        <v>571</v>
      </c>
      <c r="FX106" s="380" t="s">
        <v>572</v>
      </c>
      <c r="FY106" s="380" t="s">
        <v>573</v>
      </c>
      <c r="FZ106" s="380" t="s">
        <v>744</v>
      </c>
      <c r="GA106" s="380" t="s">
        <v>574</v>
      </c>
      <c r="GB106" s="380" t="s">
        <v>745</v>
      </c>
      <c r="GC106" s="380" t="s">
        <v>746</v>
      </c>
      <c r="GD106" s="381" t="s">
        <v>576</v>
      </c>
      <c r="GE106" s="381" t="s">
        <v>577</v>
      </c>
      <c r="GF106" s="381" t="s">
        <v>747</v>
      </c>
      <c r="GG106" s="381" t="s">
        <v>579</v>
      </c>
      <c r="GH106" s="381" t="s">
        <v>580</v>
      </c>
      <c r="GI106" s="381" t="s">
        <v>748</v>
      </c>
      <c r="GJ106" s="381" t="s">
        <v>749</v>
      </c>
      <c r="GK106" s="381" t="s">
        <v>750</v>
      </c>
      <c r="GL106" s="381" t="s">
        <v>583</v>
      </c>
      <c r="GM106" s="381" t="s">
        <v>751</v>
      </c>
      <c r="GN106" s="381" t="s">
        <v>764</v>
      </c>
      <c r="GO106" s="381" t="s">
        <v>752</v>
      </c>
      <c r="GP106" s="381" t="s">
        <v>753</v>
      </c>
      <c r="GQ106" s="381" t="s">
        <v>584</v>
      </c>
      <c r="GR106" s="381" t="s">
        <v>754</v>
      </c>
      <c r="GS106" s="381" t="s">
        <v>755</v>
      </c>
      <c r="GT106" s="381" t="s">
        <v>756</v>
      </c>
      <c r="GU106" s="381" t="s">
        <v>757</v>
      </c>
      <c r="GV106" s="381" t="s">
        <v>758</v>
      </c>
      <c r="GW106" s="391" t="s">
        <v>759</v>
      </c>
      <c r="GX106" s="429" t="s">
        <v>878</v>
      </c>
      <c r="GY106" s="429" t="s">
        <v>879</v>
      </c>
      <c r="GZ106" s="429" t="s">
        <v>880</v>
      </c>
      <c r="HA106" s="428" t="s">
        <v>882</v>
      </c>
      <c r="HB106" s="429" t="s">
        <v>881</v>
      </c>
    </row>
    <row r="107" spans="3:210" ht="15.75" x14ac:dyDescent="0.25">
      <c r="C107" s="445">
        <v>0</v>
      </c>
      <c r="D107" s="382"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53">
        <f>IF(Tabla16[[#This Row],[CANTIDADES A UTILIZAR EN EL AÑO 1 1]]=0,0,Tabla16[[#This Row],[CANTIDADES A UTILIZAR EN EL AÑO 1 1]]*1/Tabla16[[#This Row],[UNIDADES PRODUCIDAS AÑO 1 1]])</f>
        <v>0</v>
      </c>
      <c r="Q107" s="353">
        <f>$C$73*(1+BASES!$E$10)</f>
        <v>0</v>
      </c>
      <c r="R107" s="353">
        <f>Tabla16[[#This Row],[COSTO UNITARIO AÑO 2 1]]*(1+BASES!$F$10)</f>
        <v>0</v>
      </c>
      <c r="S107" s="353">
        <f>Tabla16[[#This Row],[COSTO UNITARIO AÑO 3 1]]*(1+BASES!$G$10)</f>
        <v>0</v>
      </c>
      <c r="T107" s="353">
        <f>Tabla16[[#This Row],[COSTO UNITARIO AÑO 4 1]]*(1+BASES!$H$10)</f>
        <v>0</v>
      </c>
      <c r="U107" s="353">
        <f>Tabla16[[#This Row],[COSTO POR UNIDAD DE PRODUCTO (1)]]*$C$73*VLOOKUP(Tabla16[[#This Row],[CÓDIGO DEL PRODUCTO Y/O SERVICIO ]],Tabla3[],3)</f>
        <v>0</v>
      </c>
      <c r="V107" s="353">
        <f>Tabla16[[#This Row],[COSTO POR UNIDAD DE PRODUCTO (1)]]*Tabla16[[#This Row],[COSTO UNITARIO AÑO 2 1]]*VLOOKUP(Tabla16[[#This Row],[CÓDIGO DEL PRODUCTO Y/O SERVICIO ]],Tabla3[],6)</f>
        <v>0</v>
      </c>
      <c r="W107" s="353">
        <f>Tabla16[[#This Row],[COSTO POR UNIDAD DE PRODUCTO (1)]]*Tabla16[[#This Row],[COSTO UNITARIO AÑO 3 1]]*VLOOKUP(Tabla16[[#This Row],[CÓDIGO DEL PRODUCTO Y/O SERVICIO ]],Tabla3[],10)</f>
        <v>0</v>
      </c>
      <c r="X107" s="353">
        <f>Tabla16[[#This Row],[COSTO POR UNIDAD DE PRODUCTO (1)]]*Tabla16[[#This Row],[COSTO UNITARIO AÑO 4 1]]*VLOOKUP(Tabla16[[#This Row],[CÓDIGO DEL PRODUCTO Y/O SERVICIO ]],Tabla3[],14)</f>
        <v>0</v>
      </c>
      <c r="Y107" s="353">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53">
        <f>IF(Tabla16[[#This Row],[CANTIDADES A UTILIZAR EN EL AÑO 1 2]]=0,0,Tabla16[[#This Row],[CANTIDADES A UTILIZAR EN EL AÑO 1 2]]*1/Tabla16[[#This Row],[UNIDADES PRODUCIDAS AÑO 1 2]])</f>
        <v>0</v>
      </c>
      <c r="AK107" s="353">
        <f>$C$74*(1+BASES!$E$10)</f>
        <v>0</v>
      </c>
      <c r="AL107" s="353">
        <f>Tabla16[[#This Row],[COSTO UNITARIO AÑO 2 2]]*(1+BASES!$F$10)</f>
        <v>0</v>
      </c>
      <c r="AM107" s="353">
        <f>Tabla16[[#This Row],[COSTO UNITARIO AÑO 3 2]]*(1+BASES!$G$10)</f>
        <v>0</v>
      </c>
      <c r="AN107" s="353">
        <f>Tabla16[[#This Row],[COSTO UNITARIO AÑO 4 2]]*(1+BASES!$H$10)</f>
        <v>0</v>
      </c>
      <c r="AO107" s="353">
        <f>Tabla16[[#This Row],[COSTO POR UNIDAD DE PRODUCTO (2) ]]*$C$74*VLOOKUP(Tabla16[[#This Row],[CÓDIGO DEL PRODUCTO Y/O SERVICIO ]],Tabla3[],3)</f>
        <v>0</v>
      </c>
      <c r="AP107" s="353">
        <f>Tabla16[[#This Row],[COSTO POR UNIDAD DE PRODUCTO (2) ]]*Tabla16[[#This Row],[COSTO UNITARIO AÑO 2 2]]*VLOOKUP(Tabla16[[#This Row],[CÓDIGO DEL PRODUCTO Y/O SERVICIO ]],Tabla3[],6)</f>
        <v>0</v>
      </c>
      <c r="AQ107" s="353">
        <f>Tabla16[[#This Row],[COSTO POR UNIDAD DE PRODUCTO (2) ]]*Tabla16[[#This Row],[COSTO UNITARIO AÑO 3 2]]*VLOOKUP(Tabla16[[#This Row],[CÓDIGO DEL PRODUCTO Y/O SERVICIO ]],Tabla3[],10)</f>
        <v>0</v>
      </c>
      <c r="AR107" s="353">
        <f>Tabla16[[#This Row],[COSTO POR UNIDAD DE PRODUCTO (2) ]]*Tabla16[[#This Row],[COSTO UNITARIO AÑO 4 2]]*VLOOKUP(Tabla16[[#This Row],[CÓDIGO DEL PRODUCTO Y/O SERVICIO ]],Tabla3[],14)</f>
        <v>0</v>
      </c>
      <c r="AS107" s="353">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53">
        <f>IF(Tabla16[[#This Row],[CANTIDADES A UTILIZAR EN EL AÑO 1 3]]=0,0,Tabla16[[#This Row],[CANTIDADES A UTILIZAR EN EL AÑO 1 3]]*1/Tabla16[[#This Row],[UNIDADES PRODUCIDAS AÑO 1 3]])</f>
        <v>0</v>
      </c>
      <c r="BE107" s="353">
        <f>$C$75*(1+BASES!$E$10)</f>
        <v>0</v>
      </c>
      <c r="BF107" s="353">
        <f>Tabla16[[#This Row],[COSTO UNITARIO AÑO 2 3]]*(1+BASES!$F$10)</f>
        <v>0</v>
      </c>
      <c r="BG107" s="353">
        <f>Tabla16[[#This Row],[COSTO UNITARIO AÑO 3 3]]*(1+BASES!$G$10)</f>
        <v>0</v>
      </c>
      <c r="BH107" s="353">
        <f>Tabla16[[#This Row],[COSTO UNITARIO AÑO 4 3]]*(1+BASES!$H$10)</f>
        <v>0</v>
      </c>
      <c r="BI107" s="353">
        <f>Tabla16[[#This Row],[COSTO POR UNIDAD DE PRODUCTO (3) ]]*$C$75*VLOOKUP(Tabla16[[#This Row],[CÓDIGO DEL PRODUCTO Y/O SERVICIO ]],Tabla3[],3)</f>
        <v>0</v>
      </c>
      <c r="BJ107" s="353">
        <f>Tabla16[[#This Row],[COSTO POR UNIDAD DE PRODUCTO (3) ]]*Tabla16[[#This Row],[COSTO UNITARIO AÑO 2 3]]*VLOOKUP(Tabla16[[#This Row],[CÓDIGO DEL PRODUCTO Y/O SERVICIO ]],Tabla3[],6)</f>
        <v>0</v>
      </c>
      <c r="BK107" s="353">
        <f>Tabla16[[#This Row],[COSTO POR UNIDAD DE PRODUCTO (3) ]]*Tabla16[[#This Row],[COSTO UNITARIO AÑO 3 3]]*VLOOKUP(Tabla16[[#This Row],[CÓDIGO DEL PRODUCTO Y/O SERVICIO ]],Tabla3[],10)</f>
        <v>0</v>
      </c>
      <c r="BL107" s="353">
        <f>Tabla16[[#This Row],[COSTO POR UNIDAD DE PRODUCTO (3) ]]*Tabla16[[#This Row],[COSTO UNITARIO AÑO 4 3]]*VLOOKUP(Tabla16[[#This Row],[CÓDIGO DEL PRODUCTO Y/O SERVICIO ]],Tabla3[],14)</f>
        <v>0</v>
      </c>
      <c r="BM107" s="353">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53">
        <f>IF(Tabla16[[#This Row],[CANTIDADES A UTILIZAR EN EL AÑO 1 4]]=0,0,Tabla16[[#This Row],[CANTIDADES A UTILIZAR EN EL AÑO 1 4]]*1/Tabla16[[#This Row],[UNIDADES PRODUCIDAS AÑO 1 4]])</f>
        <v>0</v>
      </c>
      <c r="BY107" s="353">
        <f>$C$76*(1+BASES!$E$10)</f>
        <v>0</v>
      </c>
      <c r="BZ107" s="353">
        <f>Tabla16[[#This Row],[COSTO UNITARIO AÑO 2 4]]*(1+BASES!$F$10)</f>
        <v>0</v>
      </c>
      <c r="CA107" s="353">
        <f>Tabla16[[#This Row],[COSTO UNITARIO AÑO 3 4 ]]*(1+BASES!$G$10)</f>
        <v>0</v>
      </c>
      <c r="CB107" s="353">
        <f>Tabla16[[#This Row],[COSTO UNITARIO AÑO 4 4]]*(1+BASES!$H$10)</f>
        <v>0</v>
      </c>
      <c r="CC107" s="353">
        <f>Tabla16[[#This Row],[COSTO POR UNIDAD DE PRODUCTO (4)]]*$C$76*VLOOKUP(Tabla16[[#This Row],[CÓDIGO DEL PRODUCTO Y/O SERVICIO ]],Tabla3[],3)</f>
        <v>0</v>
      </c>
      <c r="CD107" s="353">
        <f>Tabla16[[#This Row],[COSTO POR UNIDAD DE PRODUCTO (4)]]*Tabla16[[#This Row],[COSTO UNITARIO AÑO 2 4]]*VLOOKUP(Tabla16[[#This Row],[CÓDIGO DEL PRODUCTO Y/O SERVICIO ]],Tabla3[],6)</f>
        <v>0</v>
      </c>
      <c r="CE107" s="353">
        <f>Tabla16[[#This Row],[COSTO POR UNIDAD DE PRODUCTO (4)]]*Tabla16[[#This Row],[COSTO UNITARIO AÑO 3 4 ]]*VLOOKUP(Tabla16[[#This Row],[CÓDIGO DEL PRODUCTO Y/O SERVICIO ]],Tabla3[],10)</f>
        <v>0</v>
      </c>
      <c r="CF107" s="353">
        <f>Tabla16[[#This Row],[COSTO POR UNIDAD DE PRODUCTO (4)]]*Tabla16[[#This Row],[COSTO UNITARIO AÑO 4 4]]*VLOOKUP(Tabla16[[#This Row],[CÓDIGO DEL PRODUCTO Y/O SERVICIO ]],Tabla3[],14)</f>
        <v>0</v>
      </c>
      <c r="CG107" s="353">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53">
        <f>IF(Tabla16[[#This Row],[CANTIDADES A UTILIZAR EN EL AÑO 1 5]]=0,0,Tabla16[[#This Row],[CANTIDADES A UTILIZAR EN EL AÑO 1 5]]*1/Tabla16[[#This Row],[UNIDADES PRODUCIDAS AÑO 1 5]])</f>
        <v>0</v>
      </c>
      <c r="CS107" s="353">
        <f>$C$77*(1+BASES!$E$10)</f>
        <v>0</v>
      </c>
      <c r="CT107" s="353">
        <f>Tabla16[[#This Row],[COSTO UNITARIO AÑO 2 5]]*(1+BASES!$F$10)</f>
        <v>0</v>
      </c>
      <c r="CU107" s="353">
        <f>Tabla16[[#This Row],[COSTO UNITARIO AÑO 3 5]]*(1+BASES!$G$10)</f>
        <v>0</v>
      </c>
      <c r="CV107" s="353">
        <f>Tabla16[[#This Row],[COSTO UNITARIO AÑO 4 5]]*(1+BASES!$H$10)</f>
        <v>0</v>
      </c>
      <c r="CW107" s="353">
        <f>Tabla16[[#This Row],[COSTO POR UNIDAD DE PRODUCTO (5) ]]*$C$77*VLOOKUP(Tabla16[[#This Row],[CÓDIGO DEL PRODUCTO Y/O SERVICIO ]],Tabla3[],3)</f>
        <v>0</v>
      </c>
      <c r="CX107" s="353">
        <f>Tabla16[[#This Row],[COSTO POR UNIDAD DE PRODUCTO (5) ]]*Tabla16[[#This Row],[COSTO UNITARIO AÑO 2 5]]*VLOOKUP(Tabla16[[#This Row],[CÓDIGO DEL PRODUCTO Y/O SERVICIO ]],Tabla3[],6)</f>
        <v>0</v>
      </c>
      <c r="CY107" s="353">
        <f>Tabla16[[#This Row],[COSTO POR UNIDAD DE PRODUCTO (5) ]]*Tabla16[[#This Row],[COSTO UNITARIO AÑO 3 5]]*VLOOKUP(Tabla16[[#This Row],[CÓDIGO DEL PRODUCTO Y/O SERVICIO ]],Tabla3[],10)</f>
        <v>0</v>
      </c>
      <c r="CZ107" s="353">
        <f>Tabla16[[#This Row],[COSTO POR UNIDAD DE PRODUCTO (5) ]]*Tabla16[[#This Row],[COSTO UNITARIO AÑO 4 5]]*VLOOKUP(Tabla16[[#This Row],[CÓDIGO DEL PRODUCTO Y/O SERVICIO ]],Tabla3[],14)</f>
        <v>0</v>
      </c>
      <c r="DA107" s="353">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53">
        <f>IF(Tabla16[[#This Row],[CANTIDADES A UTILIZAR EN EL AÑO 1 6]]=0,0,Tabla16[[#This Row],[CANTIDADES A UTILIZAR EN EL AÑO 1 6]]*1/Tabla16[[#This Row],[UNIDADES PRODUCIDAS AÑO 1 6]])</f>
        <v>0</v>
      </c>
      <c r="DM107" s="353">
        <f>$C$78*(1+BASES!$E$10)</f>
        <v>0</v>
      </c>
      <c r="DN107" s="353">
        <f>Tabla16[[#This Row],[COSTO UNITARIO AÑO 2 6]]*(1+BASES!$F$10)</f>
        <v>0</v>
      </c>
      <c r="DO107" s="353">
        <f>Tabla16[[#This Row],[COSTO UNITARIO AÑO 3 6]]*(1+BASES!$G$10)</f>
        <v>0</v>
      </c>
      <c r="DP107" s="353">
        <f>Tabla16[[#This Row],[COSTO UNITARIO AÑO 4 6]]*(1+BASES!$H$10)</f>
        <v>0</v>
      </c>
      <c r="DQ107" s="353">
        <f>Tabla16[[#This Row],[COSTO POR UNIDAD DE PRODUCTO (6) ]]*$C$78*VLOOKUP(Tabla16[[#This Row],[CÓDIGO DEL PRODUCTO Y/O SERVICIO ]],Tabla3[],3)</f>
        <v>0</v>
      </c>
      <c r="DR107" s="353">
        <f>Tabla16[[#This Row],[COSTO POR UNIDAD DE PRODUCTO (6) ]]*Tabla16[[#This Row],[COSTO UNITARIO AÑO 2 6]]*VLOOKUP(Tabla16[[#This Row],[CÓDIGO DEL PRODUCTO Y/O SERVICIO ]],Tabla3[],6)</f>
        <v>0</v>
      </c>
      <c r="DS107" s="353">
        <f>Tabla16[[#This Row],[COSTO POR UNIDAD DE PRODUCTO (6) ]]*Tabla16[[#This Row],[COSTO UNITARIO AÑO 3 6]]*VLOOKUP(Tabla16[[#This Row],[CÓDIGO DEL PRODUCTO Y/O SERVICIO ]],Tabla3[],10)</f>
        <v>0</v>
      </c>
      <c r="DT107" s="353">
        <f>Tabla16[[#This Row],[COSTO POR UNIDAD DE PRODUCTO (6) ]]*Tabla16[[#This Row],[COSTO UNITARIO AÑO 4 6]]*VLOOKUP(Tabla16[[#This Row],[CÓDIGO DEL PRODUCTO Y/O SERVICIO ]],Tabla3[],14)</f>
        <v>0</v>
      </c>
      <c r="DU107" s="353">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53">
        <f>IF(Tabla16[[#This Row],[CANTIDADES A UTILIZAR EN EL AÑO 1 7]]=0,0,Tabla16[[#This Row],[CANTIDADES A UTILIZAR EN EL AÑO 1 7]]*1/Tabla16[[#This Row],[UNIDADES PRODUCIDAS AÑO 1 7]])</f>
        <v>0</v>
      </c>
      <c r="EG107" s="353">
        <f>$C$79*(1+BASES!$E$10)</f>
        <v>0</v>
      </c>
      <c r="EH107" s="353">
        <f>Tabla16[[#This Row],[COSTO UNITARIO AÑO 2 7]]*(1+BASES!$F$10)</f>
        <v>0</v>
      </c>
      <c r="EI107" s="353">
        <f>Tabla16[[#This Row],[COSTO UNITARIO AÑO 3 7]]*(1+BASES!$G$10)</f>
        <v>0</v>
      </c>
      <c r="EJ107" s="353">
        <f>Tabla16[[#This Row],[COSTO UNITARIO AÑO 4 7]]*(1+BASES!$H$10)</f>
        <v>0</v>
      </c>
      <c r="EK107" s="353">
        <f>Tabla16[[#This Row],[COSTO POR UNIDAD DE PRODUCTO (7) ]]*$C$79*VLOOKUP(Tabla16[[#This Row],[CÓDIGO DEL PRODUCTO Y/O SERVICIO ]],Tabla3[],3)</f>
        <v>0</v>
      </c>
      <c r="EL107" s="353">
        <f>Tabla16[[#This Row],[COSTO POR UNIDAD DE PRODUCTO (7) ]]*Tabla16[[#This Row],[COSTO UNITARIO AÑO 2 7]]*VLOOKUP(Tabla16[[#This Row],[CÓDIGO DEL PRODUCTO Y/O SERVICIO ]],Tabla3[],6)</f>
        <v>0</v>
      </c>
      <c r="EM107" s="353">
        <f>Tabla16[[#This Row],[COSTO POR UNIDAD DE PRODUCTO (7) ]]*Tabla16[[#This Row],[COSTO UNITARIO AÑO 3 7]]*VLOOKUP(Tabla16[[#This Row],[CÓDIGO DEL PRODUCTO Y/O SERVICIO ]],Tabla3[],10)</f>
        <v>0</v>
      </c>
      <c r="EN107" s="353">
        <f>Tabla16[[#This Row],[COSTO POR UNIDAD DE PRODUCTO (7) ]]*Tabla16[[#This Row],[COSTO UNITARIO AÑO 4 7]]*VLOOKUP(Tabla16[[#This Row],[CÓDIGO DEL PRODUCTO Y/O SERVICIO ]],Tabla3[],14)</f>
        <v>0</v>
      </c>
      <c r="EO107" s="353">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53">
        <f>IF(Tabla16[[#This Row],[CANTIDADES A UTILIZAR EN EL AÑO 1 8]]=0,0,Tabla16[[#This Row],[CANTIDADES A UTILIZAR EN EL AÑO 1 8]]*1/Tabla16[[#This Row],[UNIDADES PRODUCIDAS AÑO 1 8]])</f>
        <v>0</v>
      </c>
      <c r="FA107" s="353">
        <f>$C$80*(1+BASES!$E$10)</f>
        <v>0</v>
      </c>
      <c r="FB107" s="353">
        <f>Tabla16[[#This Row],[COSTO UNITARIO AÑO 2 8]]*(1+BASES!$F$10)</f>
        <v>0</v>
      </c>
      <c r="FC107" s="353">
        <f>Tabla16[[#This Row],[COSTO UNITARIO AÑO 3 8]]*(1+BASES!$G$10)</f>
        <v>0</v>
      </c>
      <c r="FD107" s="353">
        <f>Tabla16[[#This Row],[COSTO UNITARIO AÑO 4 8]]*(1+BASES!$H$10)</f>
        <v>0</v>
      </c>
      <c r="FE107" s="353">
        <f>Tabla16[[#This Row],[COSTO POR UNIDAD DE PRODUCTO (8) ]]*$C$80*VLOOKUP(Tabla16[[#This Row],[CÓDIGO DEL PRODUCTO Y/O SERVICIO ]],Tabla3[],3)</f>
        <v>0</v>
      </c>
      <c r="FF107" s="353">
        <f>Tabla16[[#This Row],[COSTO POR UNIDAD DE PRODUCTO (8) ]]*Tabla16[[#This Row],[COSTO UNITARIO AÑO 2 8]]*VLOOKUP(Tabla16[[#This Row],[CÓDIGO DEL PRODUCTO Y/O SERVICIO ]],Tabla3[],6)</f>
        <v>0</v>
      </c>
      <c r="FG107" s="353">
        <f>Tabla16[[#This Row],[COSTO POR UNIDAD DE PRODUCTO (8) ]]*Tabla16[[#This Row],[COSTO UNITARIO AÑO 3 8]]*VLOOKUP(Tabla16[[#This Row],[CÓDIGO DEL PRODUCTO Y/O SERVICIO ]],Tabla3[],10)</f>
        <v>0</v>
      </c>
      <c r="FH107" s="353">
        <f>Tabla16[[#This Row],[COSTO POR UNIDAD DE PRODUCTO (8) ]]*Tabla16[[#This Row],[COSTO UNITARIO AÑO 4 8]]*VLOOKUP(Tabla16[[#This Row],[CÓDIGO DEL PRODUCTO Y/O SERVICIO ]],Tabla3[],14)</f>
        <v>0</v>
      </c>
      <c r="FI107" s="353">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53">
        <f>IF(Tabla16[[#This Row],[CANTIDADES A UTILIZAR EN EL AÑO 1 9]]=0,0,Tabla16[[#This Row],[CANTIDADES A UTILIZAR EN EL AÑO 1 9]]*1/Tabla16[[#This Row],[UNIDADES PRODUCIDAS AÑO 1 9]])</f>
        <v>0</v>
      </c>
      <c r="FU107" s="353">
        <f>$C$81*(1+BASES!$E$10)</f>
        <v>0</v>
      </c>
      <c r="FV107" s="353">
        <f>Tabla16[[#This Row],[COSTO UNITARIO AÑO 2 9]]*(1+BASES!$F$10)</f>
        <v>0</v>
      </c>
      <c r="FW107" s="353">
        <f>Tabla16[[#This Row],[COSTO UNITARIO AÑO 3 9]]*(1+BASES!$G$10)</f>
        <v>0</v>
      </c>
      <c r="FX107" s="353">
        <f>Tabla16[[#This Row],[COSTO UNITARIO AÑO 4 9]]*(1+BASES!$H$10)</f>
        <v>0</v>
      </c>
      <c r="FY107" s="353">
        <f>Tabla16[[#This Row],[COSTO POR UNIDAD DE PRODUCTO (9) ]]*$C$81*VLOOKUP(Tabla16[[#This Row],[CÓDIGO DEL PRODUCTO Y/O SERVICIO ]],Tabla3[],3)</f>
        <v>0</v>
      </c>
      <c r="FZ107" s="353">
        <f>Tabla16[[#This Row],[COSTO POR UNIDAD DE PRODUCTO (9) ]]*Tabla16[[#This Row],[COSTO UNITARIO AÑO 2 9]]*VLOOKUP(Tabla16[[#This Row],[CÓDIGO DEL PRODUCTO Y/O SERVICIO ]],Tabla3[],6)</f>
        <v>0</v>
      </c>
      <c r="GA107" s="353">
        <f>Tabla16[[#This Row],[COSTO POR UNIDAD DE PRODUCTO (9) ]]*Tabla16[[#This Row],[COSTO UNITARIO AÑO 3 9]]*VLOOKUP(Tabla16[[#This Row],[CÓDIGO DEL PRODUCTO Y/O SERVICIO ]],Tabla3[],10)</f>
        <v>0</v>
      </c>
      <c r="GB107" s="353">
        <f>Tabla16[[#This Row],[COSTO POR UNIDAD DE PRODUCTO (9) ]]*Tabla16[[#This Row],[COSTO UNITARIO AÑO 4 9]]*VLOOKUP(Tabla16[[#This Row],[CÓDIGO DEL PRODUCTO Y/O SERVICIO ]],Tabla3[],14)</f>
        <v>0</v>
      </c>
      <c r="GC107" s="353">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53">
        <f>IF(Tabla16[[#This Row],[CANTIDADES A UTILIZAR EN EL AÑO 1 10]]=0,0,Tabla16[[#This Row],[CANTIDADES A UTILIZAR EN EL AÑO 1 10]]*1/Tabla16[[#This Row],[UNIDADES PRODUCIDAS AÑO 1 10]])</f>
        <v>0</v>
      </c>
      <c r="GO107" s="353">
        <f>$C$82*(1+BASES!$E$10)</f>
        <v>0</v>
      </c>
      <c r="GP107" s="353">
        <f>Tabla16[[#This Row],[COSTO UNITARIO AÑO 2 10]]*(1+BASES!$F$10)</f>
        <v>0</v>
      </c>
      <c r="GQ107" s="353">
        <f>Tabla16[[#This Row],[COSTO UNITARIO AÑO 3 10]]*(1+BASES!$G$10)</f>
        <v>0</v>
      </c>
      <c r="GR107" s="353">
        <f>Tabla16[[#This Row],[COSTO UNITARIO AÑO 4 10]]*(1+BASES!$H$10)</f>
        <v>0</v>
      </c>
      <c r="GS107" s="353">
        <f>Tabla16[[#This Row],[COSTO POR UNIDAD DE PRODUCTO (10) ]]*C82*VLOOKUP(Tabla16[[#This Row],[CÓDIGO DEL PRODUCTO Y/O SERVICIO ]],Tabla3[],3)</f>
        <v>0</v>
      </c>
      <c r="GT107" s="353">
        <f>Tabla16[[#This Row],[COSTO POR UNIDAD DE PRODUCTO (10) ]]*Tabla16[[#This Row],[COSTO UNITARIO AÑO 2 10]]*VLOOKUP(Tabla16[[#This Row],[CÓDIGO DEL PRODUCTO Y/O SERVICIO ]],Tabla3[],6)</f>
        <v>0</v>
      </c>
      <c r="GU107" s="353">
        <f>Tabla16[[#This Row],[COSTO POR UNIDAD DE PRODUCTO (10) ]]*Tabla16[[#This Row],[COSTO UNITARIO AÑO 3 10]]*VLOOKUP(Tabla16[[#This Row],[CÓDIGO DEL PRODUCTO Y/O SERVICIO ]],Tabla3[],10)</f>
        <v>0</v>
      </c>
      <c r="GV107" s="353">
        <f>Tabla16[[#This Row],[COSTO POR UNIDAD DE PRODUCTO (10) ]]*Tabla16[[#This Row],[COSTO UNITARIO AÑO 4 10]]*VLOOKUP(Tabla16[[#This Row],[CÓDIGO DEL PRODUCTO Y/O SERVICIO ]],Tabla3[],14)</f>
        <v>0</v>
      </c>
      <c r="GW107" s="353">
        <f>Tabla16[[#This Row],[COSTO POR UNIDAD DE PRODUCTO (10) ]]*Tabla16[[#This Row],[COSTO UNITARIO AÑO 5 10]]*VLOOKUP(Tabla16[[#This Row],[CÓDIGO DEL PRODUCTO Y/O SERVICIO ]],Tabla3[],18)</f>
        <v>0</v>
      </c>
      <c r="GX107" s="390">
        <f>Tabla16[[#This Row],[AÑO 1 10]]+Tabla16[[#This Row],[AÑO 1 9]]+Tabla16[[#This Row],[AÑO 1 8]]+Tabla16[[#This Row],[AÑO 1 7]]+Tabla16[[#This Row],[AÑO 1 6]]+Tabla16[[#This Row],[AÑO 1 5]]+Tabla16[[#This Row],[AÑO 1 4]]+Tabla16[[#This Row],[AÑO 1 3]]+Tabla16[[#This Row],[AÑO 1 2]]+Tabla16[[#This Row],[AÑO 1 1]]</f>
        <v>0</v>
      </c>
      <c r="GY107" s="390">
        <f>Tabla16[[#This Row],[AÑO 2 10]]+Tabla16[[#This Row],[AÑO 2 9]]+Tabla16[[#This Row],[AÑO 2 8]]+Tabla16[[#This Row],[AÑO 2 7]]+Tabla16[[#This Row],[AÑO 2 6]]+Tabla16[[#This Row],[AÑO 2 5]]+Tabla16[[#This Row],[AÑO 2 4]]+Tabla16[[#This Row],[AÑO 2 3]]+Tabla16[[#This Row],[AÑO 2 2]]+Tabla16[[#This Row],[AÑO 2 1]]</f>
        <v>0</v>
      </c>
      <c r="GZ107" s="390">
        <f>Tabla16[[#This Row],[AÑO 3 10]]+Tabla16[[#This Row],[AÑO 3 9]]+Tabla16[[#This Row],[AÑO 3 8]]+Tabla16[[#This Row],[AÑO 3 7]]+Tabla16[[#This Row],[AÑO 3 6]]+Tabla16[[#This Row],[AÑO 3 5]]+Tabla16[[#This Row],[AÑO 3 4]]+Tabla16[[#This Row],[AÑO 3 3]]+Tabla16[[#This Row],[AÑO 3 2]]+Tabla16[[#This Row],[AÑO 3 1]]</f>
        <v>0</v>
      </c>
      <c r="HA107" s="390">
        <f>Tabla16[[#This Row],[AÑO 4 10]]+Tabla16[[#This Row],[AÑO 4 9]]+Tabla16[[#This Row],[AÑO 4 8]]+Tabla16[[#This Row],[AÑO 4 7]]+Tabla16[[#This Row],[AÑO 4 6]]+Tabla16[[#This Row],[AÑO 4 5]]+Tabla16[[#This Row],[AÑO 4 4 ]]+Tabla16[[#This Row],[AÑO 4 3]]+Tabla16[[#This Row],[AÑO 4 2]]+Tabla16[[#This Row],[AÑO 4 1]]</f>
        <v>0</v>
      </c>
      <c r="HB107" s="390">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71"/>
      <c r="D108" s="501" t="str">
        <f>VLOOKUP(Tabla16[[#This Row],[CÓDIGO DEL PRODUCTO Y/O SERVICIO ]],Tabla3[],2,0)</f>
        <v xml:space="preserve">Seleccionar producto o servicio </v>
      </c>
      <c r="E108" s="72"/>
      <c r="F108" s="368">
        <f>VLOOKUP(Tabla16[[#This Row],[CÓDIGO DEL PRODUCTO Y/O SERVICIO ]],Tabla3[],3)</f>
        <v>0</v>
      </c>
      <c r="G108" s="368">
        <f>Tabla16[[#This Row],[UNIDADES PRODUCIDAS AÑO 1 1]]*F91</f>
        <v>0</v>
      </c>
      <c r="H108" s="112">
        <f>VLOOKUP(Tabla16[[#This Row],[CÓDIGO DEL PRODUCTO Y/O SERVICIO ]],Tabla3[],9)</f>
        <v>0</v>
      </c>
      <c r="I108" s="368">
        <f>Tabla16[[#This Row],[CANTIDADES A UTILIZAR EN EL AÑO 1 1]]*(1+Tabla16[[#This Row],[CAMBIO PORCENTUAL EN UNIDADES VENDIDAS AÑO 2 1]])</f>
        <v>0</v>
      </c>
      <c r="J108" s="112">
        <f>VLOOKUP(Tabla16[[#This Row],[CÓDIGO DEL PRODUCTO Y/O SERVICIO ]],Tabla3[],13)</f>
        <v>0</v>
      </c>
      <c r="K108" s="368">
        <f>Tabla16[[#This Row],[CANTIDADES  A UTILIZAR EN EL AÑO 2 1]]*(1+Tabla16[[#This Row],[CAMBIO PORCENTUAL EN UNIDADES VENDIDAS AÑO 3 1]])</f>
        <v>0</v>
      </c>
      <c r="L108" s="112">
        <f>VLOOKUP(Tabla16[[#This Row],[CÓDIGO DEL PRODUCTO Y/O SERVICIO ]],Tabla3[],17)</f>
        <v>0</v>
      </c>
      <c r="M108" s="368">
        <f>Tabla16[[#This Row],[CANTIDADES A UTILIZAR EN EL AÑO 3 1]]*(1+Tabla16[[#This Row],[CAMBIO PORCENTUAL EN UNIDADES VENDIDAS AÑO 4 1]])</f>
        <v>0</v>
      </c>
      <c r="N108" s="112">
        <f>VLOOKUP(Tabla16[[#This Row],[CÓDIGO DEL PRODUCTO Y/O SERVICIO ]],Tabla3[],21)</f>
        <v>0</v>
      </c>
      <c r="O108" s="368">
        <f>Tabla16[[#This Row],[CANTIDADES A UTILIZAR EN EL AÑO 4 1 ]]*(1+Tabla16[[#This Row],[CAMBIO PORCENTUAL EN UNIDADES VENDIDAS AÑO 5 1]])</f>
        <v>0</v>
      </c>
      <c r="P108" s="353">
        <f>IF(Tabla16[[#This Row],[CANTIDADES A UTILIZAR EN EL AÑO 1 1]]=0,0,Tabla16[[#This Row],[CANTIDADES A UTILIZAR EN EL AÑO 1 1]]*1/Tabla16[[#This Row],[UNIDADES PRODUCIDAS AÑO 1 1]])</f>
        <v>0</v>
      </c>
      <c r="Q108" s="353">
        <f>$C$73*(1+BASES!$E$10)</f>
        <v>0</v>
      </c>
      <c r="R108" s="353">
        <f>Tabla16[[#This Row],[COSTO UNITARIO AÑO 2 1]]*(1+BASES!$F$10)</f>
        <v>0</v>
      </c>
      <c r="S108" s="353">
        <f>Tabla16[[#This Row],[COSTO UNITARIO AÑO 3 1]]*(1+BASES!$G$10)</f>
        <v>0</v>
      </c>
      <c r="T108" s="353">
        <f>Tabla16[[#This Row],[COSTO UNITARIO AÑO 4 1]]*(1+BASES!$H$10)</f>
        <v>0</v>
      </c>
      <c r="U108" s="353">
        <f>Tabla16[[#This Row],[COSTO POR UNIDAD DE PRODUCTO (1)]]*$C$73*VLOOKUP(Tabla16[[#This Row],[CÓDIGO DEL PRODUCTO Y/O SERVICIO ]],Tabla3[],3)</f>
        <v>0</v>
      </c>
      <c r="V108" s="353">
        <f>Tabla16[[#This Row],[COSTO POR UNIDAD DE PRODUCTO (1)]]*Tabla16[[#This Row],[COSTO UNITARIO AÑO 2 1]]*VLOOKUP(Tabla16[[#This Row],[CÓDIGO DEL PRODUCTO Y/O SERVICIO ]],Tabla3[],6)</f>
        <v>0</v>
      </c>
      <c r="W108" s="353">
        <f>Tabla16[[#This Row],[COSTO POR UNIDAD DE PRODUCTO (1)]]*Tabla16[[#This Row],[COSTO UNITARIO AÑO 3 1]]*VLOOKUP(Tabla16[[#This Row],[CÓDIGO DEL PRODUCTO Y/O SERVICIO ]],Tabla3[],10)</f>
        <v>0</v>
      </c>
      <c r="X108" s="353">
        <f>Tabla16[[#This Row],[COSTO POR UNIDAD DE PRODUCTO (1)]]*Tabla16[[#This Row],[COSTO UNITARIO AÑO 4 1]]*VLOOKUP(Tabla16[[#This Row],[CÓDIGO DEL PRODUCTO Y/O SERVICIO ]],Tabla3[],14)</f>
        <v>0</v>
      </c>
      <c r="Y108" s="353">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53">
        <f>IF(Tabla16[[#This Row],[CANTIDADES A UTILIZAR EN EL AÑO 1 2]]=0,0,Tabla16[[#This Row],[CANTIDADES A UTILIZAR EN EL AÑO 1 2]]*1/Tabla16[[#This Row],[UNIDADES PRODUCIDAS AÑO 1 2]])</f>
        <v>0</v>
      </c>
      <c r="AK108" s="353">
        <f>$C$74*(1+BASES!$E$10)</f>
        <v>0</v>
      </c>
      <c r="AL108" s="353">
        <f>Tabla16[[#This Row],[COSTO UNITARIO AÑO 2 2]]*(1+BASES!$F$10)</f>
        <v>0</v>
      </c>
      <c r="AM108" s="353">
        <f>Tabla16[[#This Row],[COSTO UNITARIO AÑO 3 2]]*(1+BASES!$G$10)</f>
        <v>0</v>
      </c>
      <c r="AN108" s="353">
        <f>Tabla16[[#This Row],[COSTO UNITARIO AÑO 4 2]]*(1+BASES!$H$10)</f>
        <v>0</v>
      </c>
      <c r="AO108" s="353">
        <f>Tabla16[[#This Row],[COSTO POR UNIDAD DE PRODUCTO (2) ]]*$C$74*VLOOKUP(Tabla16[[#This Row],[CÓDIGO DEL PRODUCTO Y/O SERVICIO ]],Tabla3[],3)</f>
        <v>0</v>
      </c>
      <c r="AP108" s="353">
        <f>Tabla16[[#This Row],[COSTO POR UNIDAD DE PRODUCTO (2) ]]*Tabla16[[#This Row],[COSTO UNITARIO AÑO 2 2]]*VLOOKUP(Tabla16[[#This Row],[CÓDIGO DEL PRODUCTO Y/O SERVICIO ]],Tabla3[],6)</f>
        <v>0</v>
      </c>
      <c r="AQ108" s="353">
        <f>Tabla16[[#This Row],[COSTO POR UNIDAD DE PRODUCTO (2) ]]*Tabla16[[#This Row],[COSTO UNITARIO AÑO 3 2]]*VLOOKUP(Tabla16[[#This Row],[CÓDIGO DEL PRODUCTO Y/O SERVICIO ]],Tabla3[],10)</f>
        <v>0</v>
      </c>
      <c r="AR108" s="353">
        <f>Tabla16[[#This Row],[COSTO POR UNIDAD DE PRODUCTO (2) ]]*Tabla16[[#This Row],[COSTO UNITARIO AÑO 4 2]]*VLOOKUP(Tabla16[[#This Row],[CÓDIGO DEL PRODUCTO Y/O SERVICIO ]],Tabla3[],14)</f>
        <v>0</v>
      </c>
      <c r="AS108" s="353">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53">
        <f>IF(Tabla16[[#This Row],[CANTIDADES A UTILIZAR EN EL AÑO 1 3]]=0,0,Tabla16[[#This Row],[CANTIDADES A UTILIZAR EN EL AÑO 1 3]]*1/Tabla16[[#This Row],[UNIDADES PRODUCIDAS AÑO 1 3]])</f>
        <v>0</v>
      </c>
      <c r="BE108" s="353">
        <f>$C$75*(1+BASES!$E$10)</f>
        <v>0</v>
      </c>
      <c r="BF108" s="353">
        <f>Tabla16[[#This Row],[COSTO UNITARIO AÑO 2 3]]*(1+BASES!$F$10)</f>
        <v>0</v>
      </c>
      <c r="BG108" s="353">
        <f>Tabla16[[#This Row],[COSTO UNITARIO AÑO 3 3]]*(1+BASES!$G$10)</f>
        <v>0</v>
      </c>
      <c r="BH108" s="353">
        <f>Tabla16[[#This Row],[COSTO UNITARIO AÑO 4 3]]*(1+BASES!$H$10)</f>
        <v>0</v>
      </c>
      <c r="BI108" s="353">
        <f>Tabla16[[#This Row],[COSTO POR UNIDAD DE PRODUCTO (3) ]]*$C$75*VLOOKUP(Tabla16[[#This Row],[CÓDIGO DEL PRODUCTO Y/O SERVICIO ]],Tabla3[],3)</f>
        <v>0</v>
      </c>
      <c r="BJ108" s="353">
        <f>Tabla16[[#This Row],[COSTO POR UNIDAD DE PRODUCTO (3) ]]*Tabla16[[#This Row],[COSTO UNITARIO AÑO 2 3]]*VLOOKUP(Tabla16[[#This Row],[CÓDIGO DEL PRODUCTO Y/O SERVICIO ]],Tabla3[],6)</f>
        <v>0</v>
      </c>
      <c r="BK108" s="353">
        <f>Tabla16[[#This Row],[COSTO POR UNIDAD DE PRODUCTO (3) ]]*Tabla16[[#This Row],[COSTO UNITARIO AÑO 3 3]]*VLOOKUP(Tabla16[[#This Row],[CÓDIGO DEL PRODUCTO Y/O SERVICIO ]],Tabla3[],10)</f>
        <v>0</v>
      </c>
      <c r="BL108" s="353">
        <f>Tabla16[[#This Row],[COSTO POR UNIDAD DE PRODUCTO (3) ]]*Tabla16[[#This Row],[COSTO UNITARIO AÑO 4 3]]*VLOOKUP(Tabla16[[#This Row],[CÓDIGO DEL PRODUCTO Y/O SERVICIO ]],Tabla3[],14)</f>
        <v>0</v>
      </c>
      <c r="BM108" s="353">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53">
        <f>IF(Tabla16[[#This Row],[CANTIDADES A UTILIZAR EN EL AÑO 1 4]]=0,0,Tabla16[[#This Row],[CANTIDADES A UTILIZAR EN EL AÑO 1 4]]*1/Tabla16[[#This Row],[UNIDADES PRODUCIDAS AÑO 1 4]])</f>
        <v>0</v>
      </c>
      <c r="BY108" s="353">
        <f>$C$76*(1+BASES!$E$10)</f>
        <v>0</v>
      </c>
      <c r="BZ108" s="353">
        <f>Tabla16[[#This Row],[COSTO UNITARIO AÑO 2 4]]*(1+BASES!$F$10)</f>
        <v>0</v>
      </c>
      <c r="CA108" s="353">
        <f>Tabla16[[#This Row],[COSTO UNITARIO AÑO 3 4 ]]*(1+BASES!$G$10)</f>
        <v>0</v>
      </c>
      <c r="CB108" s="353">
        <f>Tabla16[[#This Row],[COSTO UNITARIO AÑO 4 4]]*(1+BASES!$H$10)</f>
        <v>0</v>
      </c>
      <c r="CC108" s="353">
        <f>Tabla16[[#This Row],[COSTO POR UNIDAD DE PRODUCTO (4)]]*$C$76*VLOOKUP(Tabla16[[#This Row],[CÓDIGO DEL PRODUCTO Y/O SERVICIO ]],Tabla3[],3)</f>
        <v>0</v>
      </c>
      <c r="CD108" s="353">
        <f>Tabla16[[#This Row],[COSTO POR UNIDAD DE PRODUCTO (4)]]*Tabla16[[#This Row],[COSTO UNITARIO AÑO 2 4]]*VLOOKUP(Tabla16[[#This Row],[CÓDIGO DEL PRODUCTO Y/O SERVICIO ]],Tabla3[],6)</f>
        <v>0</v>
      </c>
      <c r="CE108" s="353">
        <f>Tabla16[[#This Row],[COSTO POR UNIDAD DE PRODUCTO (4)]]*Tabla16[[#This Row],[COSTO UNITARIO AÑO 3 4 ]]*VLOOKUP(Tabla16[[#This Row],[CÓDIGO DEL PRODUCTO Y/O SERVICIO ]],Tabla3[],10)</f>
        <v>0</v>
      </c>
      <c r="CF108" s="353">
        <f>Tabla16[[#This Row],[COSTO POR UNIDAD DE PRODUCTO (4)]]*Tabla16[[#This Row],[COSTO UNITARIO AÑO 4 4]]*VLOOKUP(Tabla16[[#This Row],[CÓDIGO DEL PRODUCTO Y/O SERVICIO ]],Tabla3[],14)</f>
        <v>0</v>
      </c>
      <c r="CG108" s="353">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53">
        <f>IF(Tabla16[[#This Row],[CANTIDADES A UTILIZAR EN EL AÑO 1 5]]=0,0,Tabla16[[#This Row],[CANTIDADES A UTILIZAR EN EL AÑO 1 5]]*1/Tabla16[[#This Row],[UNIDADES PRODUCIDAS AÑO 1 5]])</f>
        <v>0</v>
      </c>
      <c r="CS108" s="353">
        <f>$C$77*(1+BASES!$E$10)</f>
        <v>0</v>
      </c>
      <c r="CT108" s="353">
        <f>Tabla16[[#This Row],[COSTO UNITARIO AÑO 2 5]]*(1+BASES!$F$10)</f>
        <v>0</v>
      </c>
      <c r="CU108" s="353">
        <f>Tabla16[[#This Row],[COSTO UNITARIO AÑO 3 5]]*(1+BASES!$G$10)</f>
        <v>0</v>
      </c>
      <c r="CV108" s="353">
        <f>Tabla16[[#This Row],[COSTO UNITARIO AÑO 4 5]]*(1+BASES!$H$10)</f>
        <v>0</v>
      </c>
      <c r="CW108" s="353">
        <f>Tabla16[[#This Row],[COSTO POR UNIDAD DE PRODUCTO (5) ]]*$C$77*VLOOKUP(Tabla16[[#This Row],[CÓDIGO DEL PRODUCTO Y/O SERVICIO ]],Tabla3[],3)</f>
        <v>0</v>
      </c>
      <c r="CX108" s="353">
        <f>Tabla16[[#This Row],[COSTO POR UNIDAD DE PRODUCTO (5) ]]*Tabla16[[#This Row],[COSTO UNITARIO AÑO 2 5]]*VLOOKUP(Tabla16[[#This Row],[CÓDIGO DEL PRODUCTO Y/O SERVICIO ]],Tabla3[],6)</f>
        <v>0</v>
      </c>
      <c r="CY108" s="353">
        <f>Tabla16[[#This Row],[COSTO POR UNIDAD DE PRODUCTO (5) ]]*Tabla16[[#This Row],[COSTO UNITARIO AÑO 3 5]]*VLOOKUP(Tabla16[[#This Row],[CÓDIGO DEL PRODUCTO Y/O SERVICIO ]],Tabla3[],10)</f>
        <v>0</v>
      </c>
      <c r="CZ108" s="353">
        <f>Tabla16[[#This Row],[COSTO POR UNIDAD DE PRODUCTO (5) ]]*Tabla16[[#This Row],[COSTO UNITARIO AÑO 4 5]]*VLOOKUP(Tabla16[[#This Row],[CÓDIGO DEL PRODUCTO Y/O SERVICIO ]],Tabla3[],14)</f>
        <v>0</v>
      </c>
      <c r="DA108" s="353">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53">
        <f>IF(Tabla16[[#This Row],[CANTIDADES A UTILIZAR EN EL AÑO 1 6]]=0,0,Tabla16[[#This Row],[CANTIDADES A UTILIZAR EN EL AÑO 1 6]]*1/Tabla16[[#This Row],[UNIDADES PRODUCIDAS AÑO 1 6]])</f>
        <v>0</v>
      </c>
      <c r="DM108" s="353">
        <f>$C$78*(1+BASES!$E$10)</f>
        <v>0</v>
      </c>
      <c r="DN108" s="353">
        <f>Tabla16[[#This Row],[COSTO UNITARIO AÑO 2 6]]*(1+BASES!$F$10)</f>
        <v>0</v>
      </c>
      <c r="DO108" s="353">
        <f>Tabla16[[#This Row],[COSTO UNITARIO AÑO 3 6]]*(1+BASES!$G$10)</f>
        <v>0</v>
      </c>
      <c r="DP108" s="353">
        <f>Tabla16[[#This Row],[COSTO UNITARIO AÑO 4 6]]*(1+BASES!$H$10)</f>
        <v>0</v>
      </c>
      <c r="DQ108" s="353">
        <f>Tabla16[[#This Row],[COSTO POR UNIDAD DE PRODUCTO (6) ]]*$C$78*VLOOKUP(Tabla16[[#This Row],[CÓDIGO DEL PRODUCTO Y/O SERVICIO ]],Tabla3[],3)</f>
        <v>0</v>
      </c>
      <c r="DR108" s="353">
        <f>Tabla16[[#This Row],[COSTO POR UNIDAD DE PRODUCTO (6) ]]*Tabla16[[#This Row],[COSTO UNITARIO AÑO 2 6]]*VLOOKUP(Tabla16[[#This Row],[CÓDIGO DEL PRODUCTO Y/O SERVICIO ]],Tabla3[],6)</f>
        <v>0</v>
      </c>
      <c r="DS108" s="353">
        <f>Tabla16[[#This Row],[COSTO POR UNIDAD DE PRODUCTO (6) ]]*Tabla16[[#This Row],[COSTO UNITARIO AÑO 3 6]]*VLOOKUP(Tabla16[[#This Row],[CÓDIGO DEL PRODUCTO Y/O SERVICIO ]],Tabla3[],10)</f>
        <v>0</v>
      </c>
      <c r="DT108" s="353">
        <f>Tabla16[[#This Row],[COSTO POR UNIDAD DE PRODUCTO (6) ]]*Tabla16[[#This Row],[COSTO UNITARIO AÑO 4 6]]*VLOOKUP(Tabla16[[#This Row],[CÓDIGO DEL PRODUCTO Y/O SERVICIO ]],Tabla3[],14)</f>
        <v>0</v>
      </c>
      <c r="DU108" s="353">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53">
        <f>IF(Tabla16[[#This Row],[CANTIDADES A UTILIZAR EN EL AÑO 1 7]]=0,0,Tabla16[[#This Row],[CANTIDADES A UTILIZAR EN EL AÑO 1 7]]*1/Tabla16[[#This Row],[UNIDADES PRODUCIDAS AÑO 1 7]])</f>
        <v>0</v>
      </c>
      <c r="EG108" s="353">
        <f>$C$79*(1+BASES!$E$10)</f>
        <v>0</v>
      </c>
      <c r="EH108" s="353">
        <f>Tabla16[[#This Row],[COSTO UNITARIO AÑO 2 7]]*(1+BASES!$F$10)</f>
        <v>0</v>
      </c>
      <c r="EI108" s="353">
        <f>Tabla16[[#This Row],[COSTO UNITARIO AÑO 3 7]]*(1+BASES!$G$10)</f>
        <v>0</v>
      </c>
      <c r="EJ108" s="353">
        <f>Tabla16[[#This Row],[COSTO UNITARIO AÑO 4 7]]*(1+BASES!$H$10)</f>
        <v>0</v>
      </c>
      <c r="EK108" s="353">
        <f>Tabla16[[#This Row],[COSTO POR UNIDAD DE PRODUCTO (7) ]]*$C$79*VLOOKUP(Tabla16[[#This Row],[CÓDIGO DEL PRODUCTO Y/O SERVICIO ]],Tabla3[],3)</f>
        <v>0</v>
      </c>
      <c r="EL108" s="353">
        <f>Tabla16[[#This Row],[COSTO POR UNIDAD DE PRODUCTO (7) ]]*Tabla16[[#This Row],[COSTO UNITARIO AÑO 2 7]]*VLOOKUP(Tabla16[[#This Row],[CÓDIGO DEL PRODUCTO Y/O SERVICIO ]],Tabla3[],6)</f>
        <v>0</v>
      </c>
      <c r="EM108" s="353">
        <f>Tabla16[[#This Row],[COSTO POR UNIDAD DE PRODUCTO (7) ]]*Tabla16[[#This Row],[COSTO UNITARIO AÑO 3 7]]*VLOOKUP(Tabla16[[#This Row],[CÓDIGO DEL PRODUCTO Y/O SERVICIO ]],Tabla3[],10)</f>
        <v>0</v>
      </c>
      <c r="EN108" s="353">
        <f>Tabla16[[#This Row],[COSTO POR UNIDAD DE PRODUCTO (7) ]]*Tabla16[[#This Row],[COSTO UNITARIO AÑO 4 7]]*VLOOKUP(Tabla16[[#This Row],[CÓDIGO DEL PRODUCTO Y/O SERVICIO ]],Tabla3[],14)</f>
        <v>0</v>
      </c>
      <c r="EO108" s="353">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53">
        <f>IF(Tabla16[[#This Row],[CANTIDADES A UTILIZAR EN EL AÑO 1 8]]=0,0,Tabla16[[#This Row],[CANTIDADES A UTILIZAR EN EL AÑO 1 8]]*1/Tabla16[[#This Row],[UNIDADES PRODUCIDAS AÑO 1 8]])</f>
        <v>0</v>
      </c>
      <c r="FA108" s="353">
        <f>$C$80*(1+BASES!$E$10)</f>
        <v>0</v>
      </c>
      <c r="FB108" s="353">
        <f>Tabla16[[#This Row],[COSTO UNITARIO AÑO 2 8]]*(1+BASES!$F$10)</f>
        <v>0</v>
      </c>
      <c r="FC108" s="353">
        <f>Tabla16[[#This Row],[COSTO UNITARIO AÑO 3 8]]*(1+BASES!$G$10)</f>
        <v>0</v>
      </c>
      <c r="FD108" s="353">
        <f>Tabla16[[#This Row],[COSTO UNITARIO AÑO 4 8]]*(1+BASES!$H$10)</f>
        <v>0</v>
      </c>
      <c r="FE108" s="353">
        <f>Tabla16[[#This Row],[COSTO POR UNIDAD DE PRODUCTO (8) ]]*$C$80*VLOOKUP(Tabla16[[#This Row],[CÓDIGO DEL PRODUCTO Y/O SERVICIO ]],Tabla3[],3)</f>
        <v>0</v>
      </c>
      <c r="FF108" s="353">
        <f>Tabla16[[#This Row],[COSTO POR UNIDAD DE PRODUCTO (8) ]]*Tabla16[[#This Row],[COSTO UNITARIO AÑO 2 8]]*VLOOKUP(Tabla16[[#This Row],[CÓDIGO DEL PRODUCTO Y/O SERVICIO ]],Tabla3[],6)</f>
        <v>0</v>
      </c>
      <c r="FG108" s="353">
        <f>Tabla16[[#This Row],[COSTO POR UNIDAD DE PRODUCTO (8) ]]*Tabla16[[#This Row],[COSTO UNITARIO AÑO 3 8]]*VLOOKUP(Tabla16[[#This Row],[CÓDIGO DEL PRODUCTO Y/O SERVICIO ]],Tabla3[],10)</f>
        <v>0</v>
      </c>
      <c r="FH108" s="353">
        <f>Tabla16[[#This Row],[COSTO POR UNIDAD DE PRODUCTO (8) ]]*Tabla16[[#This Row],[COSTO UNITARIO AÑO 4 8]]*VLOOKUP(Tabla16[[#This Row],[CÓDIGO DEL PRODUCTO Y/O SERVICIO ]],Tabla3[],14)</f>
        <v>0</v>
      </c>
      <c r="FI108" s="353">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53">
        <f>IF(Tabla16[[#This Row],[CANTIDADES A UTILIZAR EN EL AÑO 1 9]]=0,0,Tabla16[[#This Row],[CANTIDADES A UTILIZAR EN EL AÑO 1 9]]*1/Tabla16[[#This Row],[UNIDADES PRODUCIDAS AÑO 1 9]])</f>
        <v>0</v>
      </c>
      <c r="FU108" s="353">
        <f>$C$81*(1+BASES!$E$10)</f>
        <v>0</v>
      </c>
      <c r="FV108" s="353">
        <f>Tabla16[[#This Row],[COSTO UNITARIO AÑO 2 9]]*(1+BASES!$F$10)</f>
        <v>0</v>
      </c>
      <c r="FW108" s="353">
        <f>Tabla16[[#This Row],[COSTO UNITARIO AÑO 3 9]]*(1+BASES!$G$10)</f>
        <v>0</v>
      </c>
      <c r="FX108" s="353">
        <f>Tabla16[[#This Row],[COSTO UNITARIO AÑO 4 9]]*(1+BASES!$H$10)</f>
        <v>0</v>
      </c>
      <c r="FY108" s="353">
        <f>Tabla16[[#This Row],[COSTO POR UNIDAD DE PRODUCTO (9) ]]*$C$81*VLOOKUP(Tabla16[[#This Row],[CÓDIGO DEL PRODUCTO Y/O SERVICIO ]],Tabla3[],3)</f>
        <v>0</v>
      </c>
      <c r="FZ108" s="353">
        <f>Tabla16[[#This Row],[COSTO POR UNIDAD DE PRODUCTO (9) ]]*Tabla16[[#This Row],[COSTO UNITARIO AÑO 2 9]]*VLOOKUP(Tabla16[[#This Row],[CÓDIGO DEL PRODUCTO Y/O SERVICIO ]],Tabla3[],6)</f>
        <v>0</v>
      </c>
      <c r="GA108" s="353">
        <f>Tabla16[[#This Row],[COSTO POR UNIDAD DE PRODUCTO (9) ]]*Tabla16[[#This Row],[COSTO UNITARIO AÑO 3 9]]*VLOOKUP(Tabla16[[#This Row],[CÓDIGO DEL PRODUCTO Y/O SERVICIO ]],Tabla3[],10)</f>
        <v>0</v>
      </c>
      <c r="GB108" s="353">
        <f>Tabla16[[#This Row],[COSTO POR UNIDAD DE PRODUCTO (9) ]]*Tabla16[[#This Row],[COSTO UNITARIO AÑO 4 9]]*VLOOKUP(Tabla16[[#This Row],[CÓDIGO DEL PRODUCTO Y/O SERVICIO ]],Tabla3[],14)</f>
        <v>0</v>
      </c>
      <c r="GC108" s="353">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53">
        <f>IF(Tabla16[[#This Row],[CANTIDADES A UTILIZAR EN EL AÑO 1 10]]=0,0,Tabla16[[#This Row],[CANTIDADES A UTILIZAR EN EL AÑO 1 10]]*1/Tabla16[[#This Row],[UNIDADES PRODUCIDAS AÑO 1 10]])</f>
        <v>0</v>
      </c>
      <c r="GO108" s="353">
        <f>$C$82*(1+BASES!$E$10)</f>
        <v>0</v>
      </c>
      <c r="GP108" s="353">
        <f>Tabla16[[#This Row],[COSTO UNITARIO AÑO 2 10]]*(1+BASES!$F$10)</f>
        <v>0</v>
      </c>
      <c r="GQ108" s="353">
        <f>Tabla16[[#This Row],[COSTO UNITARIO AÑO 3 10]]*(1+BASES!$G$10)</f>
        <v>0</v>
      </c>
      <c r="GR108" s="353">
        <f>Tabla16[[#This Row],[COSTO UNITARIO AÑO 4 10]]*(1+BASES!$H$10)</f>
        <v>0</v>
      </c>
      <c r="GS108" s="353">
        <f>Tabla16[[#This Row],[COSTO POR UNIDAD DE PRODUCTO (10) ]]*C83*VLOOKUP(Tabla16[[#This Row],[CÓDIGO DEL PRODUCTO Y/O SERVICIO ]],Tabla3[],3)</f>
        <v>0</v>
      </c>
      <c r="GT108" s="353">
        <f>Tabla16[[#This Row],[COSTO POR UNIDAD DE PRODUCTO (10) ]]*Tabla16[[#This Row],[COSTO UNITARIO AÑO 2 10]]*VLOOKUP(Tabla16[[#This Row],[CÓDIGO DEL PRODUCTO Y/O SERVICIO ]],Tabla3[],6)</f>
        <v>0</v>
      </c>
      <c r="GU108" s="353">
        <f>Tabla16[[#This Row],[COSTO POR UNIDAD DE PRODUCTO (10) ]]*Tabla16[[#This Row],[COSTO UNITARIO AÑO 3 10]]*VLOOKUP(Tabla16[[#This Row],[CÓDIGO DEL PRODUCTO Y/O SERVICIO ]],Tabla3[],10)</f>
        <v>0</v>
      </c>
      <c r="GV108" s="353">
        <f>Tabla16[[#This Row],[COSTO POR UNIDAD DE PRODUCTO (10) ]]*Tabla16[[#This Row],[COSTO UNITARIO AÑO 4 10]]*VLOOKUP(Tabla16[[#This Row],[CÓDIGO DEL PRODUCTO Y/O SERVICIO ]],Tabla3[],14)</f>
        <v>0</v>
      </c>
      <c r="GW108" s="353">
        <f>Tabla16[[#This Row],[COSTO POR UNIDAD DE PRODUCTO (10) ]]*Tabla16[[#This Row],[COSTO UNITARIO AÑO 5 10]]*VLOOKUP(Tabla16[[#This Row],[CÓDIGO DEL PRODUCTO Y/O SERVICIO ]],Tabla3[],18)</f>
        <v>0</v>
      </c>
      <c r="GX108" s="390">
        <f>Tabla16[[#This Row],[AÑO 1 10]]+Tabla16[[#This Row],[AÑO 1 9]]+Tabla16[[#This Row],[AÑO 1 8]]+Tabla16[[#This Row],[AÑO 1 7]]+Tabla16[[#This Row],[AÑO 1 6]]+Tabla16[[#This Row],[AÑO 1 5]]+Tabla16[[#This Row],[AÑO 1 4]]+Tabla16[[#This Row],[AÑO 1 3]]+Tabla16[[#This Row],[AÑO 1 2]]+Tabla16[[#This Row],[AÑO 1 1]]</f>
        <v>0</v>
      </c>
      <c r="GY108" s="390">
        <f>Tabla16[[#This Row],[AÑO 2 10]]+Tabla16[[#This Row],[AÑO 2 9]]+Tabla16[[#This Row],[AÑO 2 8]]+Tabla16[[#This Row],[AÑO 2 7]]+Tabla16[[#This Row],[AÑO 2 6]]+Tabla16[[#This Row],[AÑO 2 5]]+Tabla16[[#This Row],[AÑO 2 4]]+Tabla16[[#This Row],[AÑO 2 3]]+Tabla16[[#This Row],[AÑO 2 2]]+Tabla16[[#This Row],[AÑO 2 1]]</f>
        <v>0</v>
      </c>
      <c r="GZ108" s="390">
        <f>Tabla16[[#This Row],[AÑO 3 10]]+Tabla16[[#This Row],[AÑO 3 9]]+Tabla16[[#This Row],[AÑO 3 8]]+Tabla16[[#This Row],[AÑO 3 7]]+Tabla16[[#This Row],[AÑO 3 6]]+Tabla16[[#This Row],[AÑO 3 5]]+Tabla16[[#This Row],[AÑO 3 4]]+Tabla16[[#This Row],[AÑO 3 3]]+Tabla16[[#This Row],[AÑO 3 2]]+Tabla16[[#This Row],[AÑO 3 1]]</f>
        <v>0</v>
      </c>
      <c r="HA108" s="390">
        <f>Tabla16[[#This Row],[AÑO 4 10]]+Tabla16[[#This Row],[AÑO 4 9]]+Tabla16[[#This Row],[AÑO 4 8]]+Tabla16[[#This Row],[AÑO 4 7]]+Tabla16[[#This Row],[AÑO 4 6]]+Tabla16[[#This Row],[AÑO 4 5]]+Tabla16[[#This Row],[AÑO 4 4 ]]+Tabla16[[#This Row],[AÑO 4 3]]+Tabla16[[#This Row],[AÑO 4 2]]+Tabla16[[#This Row],[AÑO 4 1]]</f>
        <v>0</v>
      </c>
      <c r="HB108" s="390">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9"/>
      <c r="D109" s="339"/>
    </row>
    <row r="110" spans="3:210" x14ac:dyDescent="0.25">
      <c r="C110" s="339"/>
      <c r="D110" s="339"/>
    </row>
    <row r="111" spans="3:210" x14ac:dyDescent="0.25">
      <c r="C111" s="339"/>
      <c r="D111" s="339"/>
    </row>
    <row r="112" spans="3:210" x14ac:dyDescent="0.25">
      <c r="C112" s="339"/>
      <c r="D112" s="339"/>
    </row>
    <row r="113" spans="2:205" x14ac:dyDescent="0.25">
      <c r="C113" s="339"/>
      <c r="D113" s="339"/>
    </row>
    <row r="114" spans="2:205" x14ac:dyDescent="0.25">
      <c r="C114" s="339"/>
      <c r="D114" s="339"/>
    </row>
    <row r="115" spans="2:205" x14ac:dyDescent="0.25">
      <c r="C115" s="339"/>
      <c r="D115" s="339"/>
    </row>
    <row r="116" spans="2:205" x14ac:dyDescent="0.25">
      <c r="C116" s="339"/>
      <c r="D116" s="339"/>
    </row>
    <row r="117" spans="2:205" x14ac:dyDescent="0.25">
      <c r="C117" s="339"/>
      <c r="D117" s="339"/>
    </row>
    <row r="118" spans="2:205" x14ac:dyDescent="0.25">
      <c r="C118" s="339"/>
      <c r="D118" s="339"/>
    </row>
    <row r="119" spans="2:205" s="7" customFormat="1" ht="15.75" hidden="1" x14ac:dyDescent="0.25">
      <c r="C119" s="388"/>
      <c r="D119" s="388"/>
      <c r="U119" s="389">
        <f>SUM(Tabla16[AÑO 1 1])</f>
        <v>0</v>
      </c>
      <c r="V119" s="389">
        <f>SUM(Tabla16[AÑO 2 1])</f>
        <v>0</v>
      </c>
      <c r="W119" s="389">
        <f>SUM(Tabla16[AÑO 3 1])</f>
        <v>0</v>
      </c>
      <c r="X119" s="389">
        <f>SUM(Tabla16[AÑO 4 1])</f>
        <v>0</v>
      </c>
      <c r="Y119" s="389">
        <f>SUM(Tabla16[AÑO 5 1])</f>
        <v>0</v>
      </c>
      <c r="AO119" s="389">
        <f>SUM(Tabla16[AÑO 1 2])</f>
        <v>0</v>
      </c>
      <c r="AP119" s="389">
        <f>SUM(Tabla16[AÑO 2 2])</f>
        <v>0</v>
      </c>
      <c r="AQ119" s="389">
        <f>SUM(Tabla16[AÑO 3 2])</f>
        <v>0</v>
      </c>
      <c r="AR119" s="389">
        <f>SUM(Tabla16[AÑO 4 2])</f>
        <v>0</v>
      </c>
      <c r="AS119" s="389">
        <f>SUM(Tabla16[AÑO 5 2])</f>
        <v>0</v>
      </c>
      <c r="BI119" s="389">
        <f>SUM(Tabla16[AÑO 1 3])</f>
        <v>0</v>
      </c>
      <c r="BJ119" s="389">
        <f>SUM(Tabla16[AÑO 2 3])</f>
        <v>0</v>
      </c>
      <c r="BK119" s="389">
        <f>SUM(Tabla16[AÑO 3 3])</f>
        <v>0</v>
      </c>
      <c r="BL119" s="389">
        <f>SUM(Tabla16[AÑO 4 3])</f>
        <v>0</v>
      </c>
      <c r="BM119" s="389">
        <f>SUM(Tabla16[AÑO 5 3])</f>
        <v>0</v>
      </c>
      <c r="CC119" s="389">
        <f>SUM(Tabla16[AÑO 1 4])</f>
        <v>0</v>
      </c>
      <c r="CD119" s="389">
        <f>SUM(Tabla16[AÑO 2 4])</f>
        <v>0</v>
      </c>
      <c r="CE119" s="389">
        <f>SUM(Tabla16[AÑO 3 4])</f>
        <v>0</v>
      </c>
      <c r="CF119" s="389">
        <f>SUM(Tabla16[[AÑO 4 4 ]])</f>
        <v>0</v>
      </c>
      <c r="CG119" s="389">
        <f>SUM(Tabla16[AÑO 5 4])</f>
        <v>0</v>
      </c>
      <c r="CW119" s="389">
        <f>SUM(Tabla16[AÑO 1 5])</f>
        <v>0</v>
      </c>
      <c r="CX119" s="389">
        <f>SUM(Tabla16[AÑO 2 5])</f>
        <v>0</v>
      </c>
      <c r="CY119" s="389">
        <f>SUM(Tabla16[AÑO 3 5])</f>
        <v>0</v>
      </c>
      <c r="CZ119" s="389">
        <f>SUM(Tabla16[AÑO 4 5])</f>
        <v>0</v>
      </c>
      <c r="DA119" s="389">
        <f>SUM(Tabla16[AÑO 5 5])</f>
        <v>0</v>
      </c>
      <c r="DQ119" s="389">
        <f>SUM(Tabla16[AÑO 1 6])</f>
        <v>0</v>
      </c>
      <c r="DR119" s="389">
        <f>SUM(Tabla16[AÑO 2 6])</f>
        <v>0</v>
      </c>
      <c r="DS119" s="389">
        <f>SUM(Tabla16[AÑO 3 6])</f>
        <v>0</v>
      </c>
      <c r="DT119" s="389">
        <f>SUM(Tabla16[AÑO 4 6])</f>
        <v>0</v>
      </c>
      <c r="DU119" s="389">
        <f>SUM(Tabla16[AÑO 5 6])</f>
        <v>0</v>
      </c>
      <c r="EK119" s="389">
        <f>SUM(Tabla16[AÑO 1 7])</f>
        <v>0</v>
      </c>
      <c r="EL119" s="389">
        <f>SUM(Tabla16[AÑO 2 7])</f>
        <v>0</v>
      </c>
      <c r="EM119" s="389">
        <f>SUM(Tabla16[AÑO 3 7])</f>
        <v>0</v>
      </c>
      <c r="EN119" s="389">
        <f>SUM(Tabla16[AÑO 4 7])</f>
        <v>0</v>
      </c>
      <c r="EO119" s="389">
        <f>SUM(Tabla16[AÑO 5 7])</f>
        <v>0</v>
      </c>
      <c r="FE119" s="389">
        <f>SUM(Tabla16[AÑO 1 8])</f>
        <v>0</v>
      </c>
      <c r="FF119" s="389">
        <f>SUM(Tabla16[AÑO 2 8])</f>
        <v>0</v>
      </c>
      <c r="FG119" s="389">
        <f>SUM(Tabla16[AÑO 3 8])</f>
        <v>0</v>
      </c>
      <c r="FH119" s="389">
        <f>SUM(Tabla16[AÑO 4 8])</f>
        <v>0</v>
      </c>
      <c r="FI119" s="389">
        <f>SUM(Tabla16[AÑO 5 8])</f>
        <v>0</v>
      </c>
      <c r="FY119" s="389">
        <f>SUM(Tabla16[AÑO 1 9])</f>
        <v>0</v>
      </c>
      <c r="FZ119" s="389">
        <f>SUM(Tabla16[AÑO 2 9])</f>
        <v>0</v>
      </c>
      <c r="GA119" s="389">
        <f>SUM(Tabla16[AÑO 3 9])</f>
        <v>0</v>
      </c>
      <c r="GB119" s="389">
        <f>SUM(Tabla16[AÑO 4 9])</f>
        <v>0</v>
      </c>
      <c r="GC119" s="389">
        <f>SUM(Tabla16[AÑO 5 9])</f>
        <v>0</v>
      </c>
      <c r="GS119" s="389">
        <f>SUM(Tabla16[AÑO 1 10])</f>
        <v>0</v>
      </c>
      <c r="GT119" s="389">
        <f>SUM(Tabla16[AÑO 2 10])</f>
        <v>0</v>
      </c>
      <c r="GU119" s="389">
        <f>SUM(Tabla16[AÑO 3 10])</f>
        <v>0</v>
      </c>
      <c r="GV119" s="389">
        <f>SUM(Tabla16[AÑO 4 10])</f>
        <v>0</v>
      </c>
      <c r="GW119" s="389">
        <f>SUM(Tabla16[AÑO 5 10])</f>
        <v>0</v>
      </c>
    </row>
    <row r="120" spans="2:205" s="7" customFormat="1" ht="15.75" x14ac:dyDescent="0.25">
      <c r="C120" s="388"/>
      <c r="D120" s="388"/>
      <c r="U120" s="389"/>
      <c r="V120" s="389"/>
      <c r="W120" s="389"/>
      <c r="X120" s="389"/>
      <c r="Y120" s="389"/>
      <c r="AO120" s="389"/>
      <c r="AP120" s="389"/>
      <c r="AQ120" s="389"/>
      <c r="AR120" s="389"/>
      <c r="AS120" s="389"/>
      <c r="BI120" s="389"/>
      <c r="BJ120" s="389"/>
      <c r="BK120" s="389"/>
      <c r="BL120" s="389"/>
      <c r="BM120" s="389"/>
      <c r="CC120" s="389"/>
      <c r="CD120" s="389"/>
      <c r="CE120" s="389"/>
      <c r="CF120" s="389"/>
      <c r="CG120" s="389"/>
      <c r="CW120" s="389"/>
      <c r="CX120" s="389"/>
      <c r="CY120" s="389"/>
      <c r="CZ120" s="389"/>
      <c r="DA120" s="389"/>
      <c r="DQ120" s="389"/>
      <c r="DR120" s="389"/>
      <c r="DS120" s="389"/>
      <c r="DT120" s="389"/>
      <c r="DU120" s="389"/>
      <c r="EK120" s="389"/>
      <c r="EL120" s="389"/>
      <c r="EM120" s="389"/>
      <c r="EN120" s="389"/>
      <c r="EO120" s="389"/>
      <c r="FE120" s="389"/>
      <c r="FF120" s="389"/>
      <c r="FG120" s="389"/>
      <c r="FH120" s="389"/>
      <c r="FI120" s="389"/>
      <c r="FY120" s="389"/>
      <c r="FZ120" s="389"/>
      <c r="GA120" s="389"/>
      <c r="GB120" s="389"/>
      <c r="GC120" s="389"/>
      <c r="GS120" s="389"/>
      <c r="GT120" s="389"/>
      <c r="GU120" s="389"/>
      <c r="GV120" s="389"/>
      <c r="GW120" s="389"/>
    </row>
    <row r="121" spans="2:205" x14ac:dyDescent="0.25">
      <c r="C121" s="339"/>
      <c r="D121" s="339"/>
    </row>
    <row r="122" spans="2:205" x14ac:dyDescent="0.25">
      <c r="C122" s="339"/>
      <c r="D122" s="339"/>
    </row>
    <row r="123" spans="2:205" x14ac:dyDescent="0.25">
      <c r="C123" s="339"/>
      <c r="D123" s="339"/>
    </row>
    <row r="124" spans="2:205" x14ac:dyDescent="0.25">
      <c r="C124" s="339"/>
      <c r="D124" s="339"/>
    </row>
    <row r="125" spans="2:205" x14ac:dyDescent="0.25">
      <c r="C125" s="339"/>
      <c r="D125" s="339"/>
    </row>
    <row r="126" spans="2:205" x14ac:dyDescent="0.25">
      <c r="C126" s="339"/>
      <c r="D126" s="339"/>
    </row>
    <row r="127" spans="2:205" ht="15.75" x14ac:dyDescent="0.25">
      <c r="B127" s="69" t="s">
        <v>651</v>
      </c>
      <c r="C127" s="376" t="s">
        <v>440</v>
      </c>
      <c r="D127" s="339"/>
    </row>
    <row r="128" spans="2:205" ht="15.75" x14ac:dyDescent="0.25">
      <c r="B128" s="342"/>
      <c r="C128" s="373"/>
      <c r="D128" s="339"/>
    </row>
    <row r="129" spans="2:15" ht="15.75" x14ac:dyDescent="0.25">
      <c r="B129" s="345"/>
      <c r="C129" s="374"/>
      <c r="D129" s="339"/>
    </row>
    <row r="130" spans="2:15" ht="15.75" x14ac:dyDescent="0.25">
      <c r="B130" s="345"/>
      <c r="C130" s="374"/>
      <c r="D130" s="339"/>
    </row>
    <row r="131" spans="2:15" ht="15.75" x14ac:dyDescent="0.25">
      <c r="B131" s="345"/>
      <c r="C131" s="374"/>
      <c r="D131" s="339"/>
    </row>
    <row r="132" spans="2:15" ht="15.75" x14ac:dyDescent="0.25">
      <c r="B132" s="345"/>
      <c r="C132" s="374"/>
      <c r="D132" s="339"/>
    </row>
    <row r="133" spans="2:15" ht="15.75" x14ac:dyDescent="0.25">
      <c r="B133" s="345"/>
      <c r="C133" s="374"/>
      <c r="D133" s="339"/>
    </row>
    <row r="134" spans="2:15" ht="15.75" x14ac:dyDescent="0.25">
      <c r="B134" s="345"/>
      <c r="C134" s="374"/>
      <c r="D134" s="339"/>
    </row>
    <row r="135" spans="2:15" ht="15.75" x14ac:dyDescent="0.25">
      <c r="B135" s="345"/>
      <c r="C135" s="374"/>
      <c r="D135" s="339"/>
    </row>
    <row r="136" spans="2:15" ht="15.75" x14ac:dyDescent="0.25">
      <c r="B136" s="345"/>
      <c r="C136" s="374"/>
      <c r="D136" s="339"/>
    </row>
    <row r="137" spans="2:15" ht="15.75" x14ac:dyDescent="0.25">
      <c r="B137" s="348"/>
      <c r="C137" s="375"/>
      <c r="D137" s="339"/>
    </row>
    <row r="138" spans="2:15" x14ac:dyDescent="0.25">
      <c r="C138" s="339"/>
      <c r="D138" s="339"/>
    </row>
    <row r="139" spans="2:15" x14ac:dyDescent="0.25">
      <c r="C139" s="339"/>
      <c r="D139" s="339"/>
    </row>
    <row r="140" spans="2:15" x14ac:dyDescent="0.25">
      <c r="C140" s="339"/>
      <c r="D140" s="339"/>
    </row>
    <row r="141" spans="2:15" x14ac:dyDescent="0.25">
      <c r="C141" s="339"/>
      <c r="D141" s="339"/>
    </row>
    <row r="142" spans="2:15" x14ac:dyDescent="0.25">
      <c r="C142" s="339"/>
      <c r="D142" s="339"/>
    </row>
    <row r="143" spans="2:15" ht="15.75" x14ac:dyDescent="0.25">
      <c r="C143" s="339"/>
      <c r="D143" s="339"/>
      <c r="F143" s="607" t="s">
        <v>650</v>
      </c>
      <c r="G143" s="607"/>
      <c r="H143" s="607"/>
      <c r="I143" s="607"/>
      <c r="J143" s="607"/>
      <c r="K143" s="607"/>
      <c r="L143" s="607"/>
      <c r="M143" s="607"/>
      <c r="N143" s="607"/>
      <c r="O143" s="607"/>
    </row>
    <row r="144" spans="2:15" ht="15.75" x14ac:dyDescent="0.25">
      <c r="C144" s="376" t="s">
        <v>437</v>
      </c>
      <c r="D144" s="376" t="s">
        <v>438</v>
      </c>
      <c r="E144" s="52"/>
      <c r="F144" s="383" cm="1">
        <f t="array" ref="F144:O144">TRANSPOSE(Tabla13[COSTO INDIRECTO])</f>
        <v>0</v>
      </c>
      <c r="G144" s="383">
        <v>0</v>
      </c>
      <c r="H144" s="383">
        <v>0</v>
      </c>
      <c r="I144" s="383">
        <v>0</v>
      </c>
      <c r="J144" s="383">
        <v>0</v>
      </c>
      <c r="K144" s="383">
        <v>0</v>
      </c>
      <c r="L144" s="383">
        <v>0</v>
      </c>
      <c r="M144" s="383">
        <v>0</v>
      </c>
      <c r="N144" s="383">
        <v>0</v>
      </c>
      <c r="O144" s="383">
        <v>0</v>
      </c>
    </row>
    <row r="145" spans="3:15" ht="15.75" x14ac:dyDescent="0.25">
      <c r="C145" s="444">
        <v>0</v>
      </c>
      <c r="D145" s="377" t="str">
        <f>VLOOKUP(Tabla14[[#This Row],[CÓDIGO DEL PRODUCTO Y/O SERVICIO ]],Tabla3[],2,0)</f>
        <v xml:space="preserve">Seleccionar producto o servicio </v>
      </c>
      <c r="E145" s="104"/>
      <c r="F145" s="104"/>
      <c r="G145" s="104"/>
      <c r="H145" s="104"/>
      <c r="I145" s="104"/>
      <c r="J145" s="104"/>
      <c r="K145" s="104"/>
      <c r="L145" s="104"/>
      <c r="M145" s="104"/>
      <c r="N145" s="104"/>
      <c r="O145" s="104"/>
    </row>
    <row r="146" spans="3:15" ht="15.75" x14ac:dyDescent="0.25">
      <c r="C146" s="370"/>
      <c r="D146" s="377" t="str">
        <f>VLOOKUP(Tabla14[[#This Row],[CÓDIGO DEL PRODUCTO Y/O SERVICIO ]],Tabla3[],2,0)</f>
        <v xml:space="preserve">Seleccionar producto o servicio </v>
      </c>
      <c r="E146" s="104"/>
      <c r="F146" s="104"/>
      <c r="G146" s="104"/>
      <c r="H146" s="104"/>
      <c r="I146" s="104"/>
      <c r="J146" s="104"/>
      <c r="K146" s="104"/>
      <c r="L146" s="104"/>
      <c r="M146" s="104"/>
      <c r="N146" s="104"/>
      <c r="O146" s="104"/>
    </row>
    <row r="147" spans="3:15" x14ac:dyDescent="0.25">
      <c r="C147" s="339"/>
      <c r="D147" s="339"/>
    </row>
    <row r="148" spans="3:15" x14ac:dyDescent="0.25">
      <c r="C148" s="339"/>
      <c r="D148" s="339"/>
    </row>
    <row r="149" spans="3:15" x14ac:dyDescent="0.25">
      <c r="C149" s="339"/>
      <c r="D149" s="339"/>
    </row>
    <row r="150" spans="3:15" x14ac:dyDescent="0.25">
      <c r="C150" s="339"/>
      <c r="D150" s="339"/>
    </row>
    <row r="151" spans="3:15" x14ac:dyDescent="0.25">
      <c r="C151" s="339"/>
      <c r="D151" s="339"/>
    </row>
    <row r="152" spans="3:15" x14ac:dyDescent="0.25">
      <c r="C152" s="339"/>
      <c r="D152" s="339"/>
    </row>
    <row r="153" spans="3:15" x14ac:dyDescent="0.25">
      <c r="C153" s="339"/>
      <c r="D153" s="339"/>
    </row>
    <row r="154" spans="3:15" x14ac:dyDescent="0.25">
      <c r="C154" s="339"/>
      <c r="D154" s="339"/>
    </row>
    <row r="155" spans="3:15" x14ac:dyDescent="0.25">
      <c r="C155" s="339"/>
      <c r="D155" s="339"/>
    </row>
    <row r="156" spans="3:15" x14ac:dyDescent="0.25">
      <c r="C156" s="339"/>
      <c r="D156" s="339"/>
    </row>
    <row r="157" spans="3:15" x14ac:dyDescent="0.25">
      <c r="C157" s="339"/>
      <c r="D157" s="339"/>
    </row>
    <row r="158" spans="3:15" x14ac:dyDescent="0.25">
      <c r="C158" s="339"/>
      <c r="D158" s="339"/>
    </row>
    <row r="159" spans="3:15" x14ac:dyDescent="0.25">
      <c r="C159" s="339"/>
      <c r="D159" s="339"/>
    </row>
    <row r="160" spans="3:15" ht="15.75" thickBot="1" x14ac:dyDescent="0.3">
      <c r="C160" s="339"/>
      <c r="D160" s="339"/>
    </row>
    <row r="161" spans="3:210" ht="16.5" thickBot="1" x14ac:dyDescent="0.3">
      <c r="C161" s="339"/>
      <c r="D161" s="339"/>
      <c r="F161" s="556">
        <f>B128</f>
        <v>0</v>
      </c>
      <c r="G161" s="557"/>
      <c r="H161" s="557"/>
      <c r="I161" s="557"/>
      <c r="J161" s="557"/>
      <c r="K161" s="557"/>
      <c r="L161" s="557"/>
      <c r="M161" s="557"/>
      <c r="N161" s="557"/>
      <c r="O161" s="557"/>
      <c r="P161" s="557"/>
      <c r="Q161" s="557"/>
      <c r="R161" s="557"/>
      <c r="S161" s="557"/>
      <c r="T161" s="557"/>
      <c r="U161" s="557"/>
      <c r="V161" s="557"/>
      <c r="W161" s="557"/>
      <c r="X161" s="557"/>
      <c r="Y161" s="558"/>
      <c r="Z161" s="552">
        <f>B129</f>
        <v>0</v>
      </c>
      <c r="AA161" s="553"/>
      <c r="AB161" s="553"/>
      <c r="AC161" s="553"/>
      <c r="AD161" s="553"/>
      <c r="AE161" s="553"/>
      <c r="AF161" s="553"/>
      <c r="AG161" s="553"/>
      <c r="AH161" s="553"/>
      <c r="AI161" s="553"/>
      <c r="AJ161" s="553"/>
      <c r="AK161" s="553"/>
      <c r="AL161" s="553"/>
      <c r="AM161" s="553"/>
      <c r="AN161" s="553"/>
      <c r="AO161" s="553"/>
      <c r="AP161" s="553"/>
      <c r="AQ161" s="553"/>
      <c r="AR161" s="553"/>
      <c r="AS161" s="564"/>
      <c r="AT161" s="623">
        <f>B130</f>
        <v>0</v>
      </c>
      <c r="AU161" s="624"/>
      <c r="AV161" s="624"/>
      <c r="AW161" s="624"/>
      <c r="AX161" s="624"/>
      <c r="AY161" s="624"/>
      <c r="AZ161" s="624"/>
      <c r="BA161" s="624"/>
      <c r="BB161" s="624"/>
      <c r="BC161" s="624"/>
      <c r="BD161" s="624"/>
      <c r="BE161" s="624"/>
      <c r="BF161" s="624"/>
      <c r="BG161" s="624"/>
      <c r="BH161" s="624"/>
      <c r="BI161" s="624"/>
      <c r="BJ161" s="624"/>
      <c r="BK161" s="624"/>
      <c r="BL161" s="624"/>
      <c r="BM161" s="625"/>
      <c r="BN161" s="552">
        <f>B131</f>
        <v>0</v>
      </c>
      <c r="BO161" s="553"/>
      <c r="BP161" s="553"/>
      <c r="BQ161" s="553"/>
      <c r="BR161" s="553"/>
      <c r="BS161" s="553"/>
      <c r="BT161" s="553"/>
      <c r="BU161" s="553"/>
      <c r="BV161" s="553"/>
      <c r="BW161" s="553"/>
      <c r="BX161" s="553"/>
      <c r="BY161" s="553"/>
      <c r="BZ161" s="553"/>
      <c r="CA161" s="553"/>
      <c r="CB161" s="553"/>
      <c r="CC161" s="553"/>
      <c r="CD161" s="553"/>
      <c r="CE161" s="553"/>
      <c r="CF161" s="553"/>
      <c r="CG161" s="564"/>
      <c r="CH161" s="556">
        <f>B132</f>
        <v>0</v>
      </c>
      <c r="CI161" s="557"/>
      <c r="CJ161" s="557"/>
      <c r="CK161" s="557"/>
      <c r="CL161" s="557"/>
      <c r="CM161" s="557"/>
      <c r="CN161" s="557"/>
      <c r="CO161" s="557"/>
      <c r="CP161" s="557"/>
      <c r="CQ161" s="557"/>
      <c r="CR161" s="557"/>
      <c r="CS161" s="557"/>
      <c r="CT161" s="557"/>
      <c r="CU161" s="557"/>
      <c r="CV161" s="557"/>
      <c r="CW161" s="557"/>
      <c r="CX161" s="557"/>
      <c r="CY161" s="557"/>
      <c r="CZ161" s="557"/>
      <c r="DA161" s="558"/>
      <c r="DB161" s="552">
        <f>B133</f>
        <v>0</v>
      </c>
      <c r="DC161" s="553"/>
      <c r="DD161" s="553"/>
      <c r="DE161" s="553"/>
      <c r="DF161" s="553"/>
      <c r="DG161" s="553"/>
      <c r="DH161" s="553"/>
      <c r="DI161" s="553"/>
      <c r="DJ161" s="553"/>
      <c r="DK161" s="553"/>
      <c r="DL161" s="553"/>
      <c r="DM161" s="553"/>
      <c r="DN161" s="553"/>
      <c r="DO161" s="553"/>
      <c r="DP161" s="553"/>
      <c r="DQ161" s="553"/>
      <c r="DR161" s="553"/>
      <c r="DS161" s="553"/>
      <c r="DT161" s="553"/>
      <c r="DU161" s="564"/>
      <c r="DV161" s="556">
        <f>B134</f>
        <v>0</v>
      </c>
      <c r="DW161" s="557"/>
      <c r="DX161" s="557"/>
      <c r="DY161" s="557"/>
      <c r="DZ161" s="557"/>
      <c r="EA161" s="557"/>
      <c r="EB161" s="557"/>
      <c r="EC161" s="557"/>
      <c r="ED161" s="557"/>
      <c r="EE161" s="557"/>
      <c r="EF161" s="557"/>
      <c r="EG161" s="557"/>
      <c r="EH161" s="557"/>
      <c r="EI161" s="557"/>
      <c r="EJ161" s="557"/>
      <c r="EK161" s="557"/>
      <c r="EL161" s="557"/>
      <c r="EM161" s="557"/>
      <c r="EN161" s="557"/>
      <c r="EO161" s="558"/>
      <c r="EP161" s="552">
        <f>B135</f>
        <v>0</v>
      </c>
      <c r="EQ161" s="553"/>
      <c r="ER161" s="553"/>
      <c r="ES161" s="553"/>
      <c r="ET161" s="553"/>
      <c r="EU161" s="553"/>
      <c r="EV161" s="553"/>
      <c r="EW161" s="553"/>
      <c r="EX161" s="553"/>
      <c r="EY161" s="553"/>
      <c r="EZ161" s="553"/>
      <c r="FA161" s="553"/>
      <c r="FB161" s="553"/>
      <c r="FC161" s="553"/>
      <c r="FD161" s="553"/>
      <c r="FE161" s="553"/>
      <c r="FF161" s="553"/>
      <c r="FG161" s="553"/>
      <c r="FH161" s="553"/>
      <c r="FI161" s="564"/>
      <c r="FJ161" s="556">
        <f>B136</f>
        <v>0</v>
      </c>
      <c r="FK161" s="557"/>
      <c r="FL161" s="557"/>
      <c r="FM161" s="557"/>
      <c r="FN161" s="557"/>
      <c r="FO161" s="557"/>
      <c r="FP161" s="557"/>
      <c r="FQ161" s="557"/>
      <c r="FR161" s="557"/>
      <c r="FS161" s="557"/>
      <c r="FT161" s="557"/>
      <c r="FU161" s="557"/>
      <c r="FV161" s="557"/>
      <c r="FW161" s="557"/>
      <c r="FX161" s="557"/>
      <c r="FY161" s="557"/>
      <c r="FZ161" s="557"/>
      <c r="GA161" s="557"/>
      <c r="GB161" s="557"/>
      <c r="GC161" s="558"/>
      <c r="GD161" s="552">
        <f>B137</f>
        <v>0</v>
      </c>
      <c r="GE161" s="553"/>
      <c r="GF161" s="553"/>
      <c r="GG161" s="553"/>
      <c r="GH161" s="553"/>
      <c r="GI161" s="553"/>
      <c r="GJ161" s="553"/>
      <c r="GK161" s="553"/>
      <c r="GL161" s="553"/>
      <c r="GM161" s="553"/>
      <c r="GN161" s="553"/>
      <c r="GO161" s="553"/>
      <c r="GP161" s="553"/>
      <c r="GQ161" s="553"/>
      <c r="GR161" s="553"/>
      <c r="GS161" s="553"/>
      <c r="GT161" s="553"/>
      <c r="GU161" s="553"/>
      <c r="GV161" s="553"/>
      <c r="GW161" s="553"/>
      <c r="GX161" s="548" t="s">
        <v>872</v>
      </c>
      <c r="GY161" s="548"/>
      <c r="GZ161" s="548"/>
      <c r="HA161" s="548"/>
      <c r="HB161" s="548"/>
    </row>
    <row r="162" spans="3:210" ht="15.75" x14ac:dyDescent="0.25">
      <c r="F162" s="384"/>
      <c r="G162" s="378"/>
      <c r="H162" s="378"/>
      <c r="I162" s="378"/>
      <c r="J162" s="378"/>
      <c r="K162" s="378"/>
      <c r="L162" s="378"/>
      <c r="M162" s="378"/>
      <c r="N162" s="378"/>
      <c r="O162" s="378"/>
      <c r="P162" s="565" t="s">
        <v>443</v>
      </c>
      <c r="Q162" s="565"/>
      <c r="R162" s="565"/>
      <c r="S162" s="565"/>
      <c r="T162" s="565"/>
      <c r="U162" s="565" t="s">
        <v>444</v>
      </c>
      <c r="V162" s="565"/>
      <c r="W162" s="565"/>
      <c r="X162" s="565"/>
      <c r="Y162" s="565"/>
      <c r="Z162" s="379"/>
      <c r="AA162" s="379"/>
      <c r="AB162" s="379"/>
      <c r="AC162" s="379"/>
      <c r="AD162" s="379"/>
      <c r="AE162" s="379"/>
      <c r="AF162" s="379"/>
      <c r="AG162" s="379"/>
      <c r="AH162" s="379"/>
      <c r="AI162" s="379"/>
      <c r="AJ162" s="550" t="s">
        <v>443</v>
      </c>
      <c r="AK162" s="550"/>
      <c r="AL162" s="550"/>
      <c r="AM162" s="550"/>
      <c r="AN162" s="550"/>
      <c r="AO162" s="550" t="s">
        <v>444</v>
      </c>
      <c r="AP162" s="550"/>
      <c r="AQ162" s="550"/>
      <c r="AR162" s="550"/>
      <c r="AS162" s="550"/>
      <c r="AT162" s="385"/>
      <c r="AU162" s="385"/>
      <c r="AV162" s="385"/>
      <c r="AW162" s="385"/>
      <c r="AX162" s="385"/>
      <c r="AY162" s="385"/>
      <c r="AZ162" s="385"/>
      <c r="BA162" s="385"/>
      <c r="BB162" s="385"/>
      <c r="BC162" s="385"/>
      <c r="BD162" s="622" t="s">
        <v>443</v>
      </c>
      <c r="BE162" s="622"/>
      <c r="BF162" s="622"/>
      <c r="BG162" s="622"/>
      <c r="BH162" s="622"/>
      <c r="BI162" s="622" t="s">
        <v>444</v>
      </c>
      <c r="BJ162" s="622"/>
      <c r="BK162" s="622"/>
      <c r="BL162" s="622"/>
      <c r="BM162" s="622"/>
      <c r="BN162" s="379"/>
      <c r="BO162" s="379"/>
      <c r="BP162" s="379"/>
      <c r="BQ162" s="379"/>
      <c r="BR162" s="379"/>
      <c r="BS162" s="379"/>
      <c r="BT162" s="379"/>
      <c r="BU162" s="379"/>
      <c r="BV162" s="379"/>
      <c r="BW162" s="379"/>
      <c r="BX162" s="550" t="s">
        <v>443</v>
      </c>
      <c r="BY162" s="550"/>
      <c r="BZ162" s="550"/>
      <c r="CA162" s="550"/>
      <c r="CB162" s="550"/>
      <c r="CC162" s="550" t="s">
        <v>444</v>
      </c>
      <c r="CD162" s="550"/>
      <c r="CE162" s="550"/>
      <c r="CF162" s="550"/>
      <c r="CG162" s="550"/>
      <c r="CH162" s="378"/>
      <c r="CI162" s="378"/>
      <c r="CJ162" s="378"/>
      <c r="CK162" s="378"/>
      <c r="CL162" s="378"/>
      <c r="CM162" s="378"/>
      <c r="CN162" s="378"/>
      <c r="CO162" s="378"/>
      <c r="CP162" s="378"/>
      <c r="CQ162" s="378"/>
      <c r="CR162" s="565" t="s">
        <v>443</v>
      </c>
      <c r="CS162" s="565"/>
      <c r="CT162" s="565"/>
      <c r="CU162" s="565"/>
      <c r="CV162" s="565"/>
      <c r="CW162" s="565" t="s">
        <v>444</v>
      </c>
      <c r="CX162" s="565"/>
      <c r="CY162" s="565"/>
      <c r="CZ162" s="565"/>
      <c r="DA162" s="565"/>
      <c r="DB162" s="379"/>
      <c r="DC162" s="379"/>
      <c r="DD162" s="379"/>
      <c r="DE162" s="379"/>
      <c r="DF162" s="379"/>
      <c r="DG162" s="379"/>
      <c r="DH162" s="379"/>
      <c r="DI162" s="379"/>
      <c r="DJ162" s="379"/>
      <c r="DK162" s="379"/>
      <c r="DL162" s="550" t="s">
        <v>443</v>
      </c>
      <c r="DM162" s="550"/>
      <c r="DN162" s="550"/>
      <c r="DO162" s="550"/>
      <c r="DP162" s="550"/>
      <c r="DQ162" s="550" t="s">
        <v>444</v>
      </c>
      <c r="DR162" s="550"/>
      <c r="DS162" s="550"/>
      <c r="DT162" s="550"/>
      <c r="DU162" s="550"/>
      <c r="DV162" s="378"/>
      <c r="DW162" s="378"/>
      <c r="DX162" s="378"/>
      <c r="DY162" s="378"/>
      <c r="DZ162" s="378"/>
      <c r="EA162" s="378"/>
      <c r="EB162" s="378"/>
      <c r="EC162" s="378"/>
      <c r="ED162" s="378"/>
      <c r="EE162" s="378"/>
      <c r="EF162" s="565" t="s">
        <v>443</v>
      </c>
      <c r="EG162" s="565"/>
      <c r="EH162" s="565"/>
      <c r="EI162" s="565"/>
      <c r="EJ162" s="565"/>
      <c r="EK162" s="565" t="s">
        <v>444</v>
      </c>
      <c r="EL162" s="565"/>
      <c r="EM162" s="565"/>
      <c r="EN162" s="565"/>
      <c r="EO162" s="565"/>
      <c r="EP162" s="379"/>
      <c r="EQ162" s="379"/>
      <c r="ER162" s="379"/>
      <c r="ES162" s="379"/>
      <c r="ET162" s="379"/>
      <c r="EU162" s="379"/>
      <c r="EV162" s="379"/>
      <c r="EW162" s="379"/>
      <c r="EX162" s="379"/>
      <c r="EY162" s="379"/>
      <c r="EZ162" s="550" t="s">
        <v>443</v>
      </c>
      <c r="FA162" s="550"/>
      <c r="FB162" s="550"/>
      <c r="FC162" s="550"/>
      <c r="FD162" s="550"/>
      <c r="FE162" s="550" t="s">
        <v>444</v>
      </c>
      <c r="FF162" s="550"/>
      <c r="FG162" s="550"/>
      <c r="FH162" s="550"/>
      <c r="FI162" s="550"/>
      <c r="FJ162" s="378"/>
      <c r="FK162" s="378"/>
      <c r="FL162" s="378"/>
      <c r="FM162" s="378"/>
      <c r="FN162" s="378"/>
      <c r="FO162" s="378"/>
      <c r="FP162" s="378"/>
      <c r="FQ162" s="378"/>
      <c r="FR162" s="378"/>
      <c r="FS162" s="378"/>
      <c r="FT162" s="565" t="s">
        <v>443</v>
      </c>
      <c r="FU162" s="565"/>
      <c r="FV162" s="565"/>
      <c r="FW162" s="565"/>
      <c r="FX162" s="565"/>
      <c r="FY162" s="565" t="s">
        <v>444</v>
      </c>
      <c r="FZ162" s="565"/>
      <c r="GA162" s="565"/>
      <c r="GB162" s="565"/>
      <c r="GC162" s="565"/>
      <c r="GD162" s="379"/>
      <c r="GE162" s="379"/>
      <c r="GF162" s="379"/>
      <c r="GG162" s="379"/>
      <c r="GH162" s="379"/>
      <c r="GI162" s="379"/>
      <c r="GJ162" s="379"/>
      <c r="GK162" s="379"/>
      <c r="GL162" s="379"/>
      <c r="GM162" s="379"/>
      <c r="GN162" s="550" t="s">
        <v>560</v>
      </c>
      <c r="GO162" s="550"/>
      <c r="GP162" s="550"/>
      <c r="GQ162" s="550"/>
      <c r="GR162" s="550"/>
      <c r="GS162" s="550" t="s">
        <v>444</v>
      </c>
      <c r="GT162" s="550"/>
      <c r="GU162" s="550"/>
      <c r="GV162" s="550"/>
      <c r="GW162" s="551"/>
      <c r="GX162" s="548"/>
      <c r="GY162" s="548"/>
      <c r="GZ162" s="548"/>
      <c r="HA162" s="548"/>
      <c r="HB162" s="548"/>
    </row>
    <row r="163" spans="3:210" ht="45" customHeight="1" x14ac:dyDescent="0.25">
      <c r="C163" s="376" t="s">
        <v>437</v>
      </c>
      <c r="D163" s="376" t="s">
        <v>438</v>
      </c>
      <c r="E163" s="369" t="s">
        <v>442</v>
      </c>
      <c r="F163" s="380" t="s">
        <v>765</v>
      </c>
      <c r="G163" s="380" t="s">
        <v>653</v>
      </c>
      <c r="H163" s="380" t="s">
        <v>766</v>
      </c>
      <c r="I163" s="380" t="s">
        <v>767</v>
      </c>
      <c r="J163" s="380" t="s">
        <v>768</v>
      </c>
      <c r="K163" s="380" t="s">
        <v>769</v>
      </c>
      <c r="L163" s="380" t="s">
        <v>658</v>
      </c>
      <c r="M163" s="380" t="s">
        <v>770</v>
      </c>
      <c r="N163" s="380" t="s">
        <v>771</v>
      </c>
      <c r="O163" s="380" t="s">
        <v>772</v>
      </c>
      <c r="P163" s="380" t="s">
        <v>449</v>
      </c>
      <c r="Q163" s="380" t="s">
        <v>773</v>
      </c>
      <c r="R163" s="380" t="s">
        <v>774</v>
      </c>
      <c r="S163" s="380" t="s">
        <v>775</v>
      </c>
      <c r="T163" s="380" t="s">
        <v>776</v>
      </c>
      <c r="U163" s="380" t="s">
        <v>666</v>
      </c>
      <c r="V163" s="380" t="s">
        <v>777</v>
      </c>
      <c r="W163" s="380" t="s">
        <v>778</v>
      </c>
      <c r="X163" s="380" t="s">
        <v>779</v>
      </c>
      <c r="Y163" s="380" t="s">
        <v>780</v>
      </c>
      <c r="Z163" s="381" t="s">
        <v>457</v>
      </c>
      <c r="AA163" s="381" t="s">
        <v>781</v>
      </c>
      <c r="AB163" s="381" t="s">
        <v>782</v>
      </c>
      <c r="AC163" s="381" t="s">
        <v>783</v>
      </c>
      <c r="AD163" s="381" t="s">
        <v>784</v>
      </c>
      <c r="AE163" s="381" t="s">
        <v>785</v>
      </c>
      <c r="AF163" s="381" t="s">
        <v>677</v>
      </c>
      <c r="AG163" s="381" t="s">
        <v>678</v>
      </c>
      <c r="AH163" s="381" t="s">
        <v>679</v>
      </c>
      <c r="AI163" s="381" t="s">
        <v>786</v>
      </c>
      <c r="AJ163" s="381" t="s">
        <v>448</v>
      </c>
      <c r="AK163" s="381" t="s">
        <v>681</v>
      </c>
      <c r="AL163" s="381" t="s">
        <v>787</v>
      </c>
      <c r="AM163" s="381" t="s">
        <v>788</v>
      </c>
      <c r="AN163" s="381" t="s">
        <v>789</v>
      </c>
      <c r="AO163" s="381" t="s">
        <v>462</v>
      </c>
      <c r="AP163" s="381" t="s">
        <v>790</v>
      </c>
      <c r="AQ163" s="381" t="s">
        <v>791</v>
      </c>
      <c r="AR163" s="381" t="s">
        <v>792</v>
      </c>
      <c r="AS163" s="381" t="s">
        <v>793</v>
      </c>
      <c r="AT163" s="380" t="s">
        <v>466</v>
      </c>
      <c r="AU163" s="380" t="s">
        <v>467</v>
      </c>
      <c r="AV163" s="380" t="s">
        <v>468</v>
      </c>
      <c r="AW163" s="380" t="s">
        <v>689</v>
      </c>
      <c r="AX163" s="380" t="s">
        <v>690</v>
      </c>
      <c r="AY163" s="380" t="s">
        <v>470</v>
      </c>
      <c r="AZ163" s="380" t="s">
        <v>471</v>
      </c>
      <c r="BA163" s="380" t="s">
        <v>472</v>
      </c>
      <c r="BB163" s="380" t="s">
        <v>473</v>
      </c>
      <c r="BC163" s="380" t="s">
        <v>794</v>
      </c>
      <c r="BD163" s="380" t="s">
        <v>455</v>
      </c>
      <c r="BE163" s="380" t="s">
        <v>795</v>
      </c>
      <c r="BF163" s="380" t="s">
        <v>796</v>
      </c>
      <c r="BG163" s="380" t="s">
        <v>797</v>
      </c>
      <c r="BH163" s="380" t="s">
        <v>798</v>
      </c>
      <c r="BI163" s="380" t="s">
        <v>474</v>
      </c>
      <c r="BJ163" s="380" t="s">
        <v>475</v>
      </c>
      <c r="BK163" s="380" t="s">
        <v>799</v>
      </c>
      <c r="BL163" s="380" t="s">
        <v>800</v>
      </c>
      <c r="BM163" s="380" t="s">
        <v>801</v>
      </c>
      <c r="BN163" s="381" t="s">
        <v>802</v>
      </c>
      <c r="BO163" s="381" t="s">
        <v>702</v>
      </c>
      <c r="BP163" s="381" t="s">
        <v>478</v>
      </c>
      <c r="BQ163" s="381" t="s">
        <v>803</v>
      </c>
      <c r="BR163" s="381" t="s">
        <v>480</v>
      </c>
      <c r="BS163" s="381" t="s">
        <v>804</v>
      </c>
      <c r="BT163" s="381" t="s">
        <v>805</v>
      </c>
      <c r="BU163" s="381" t="s">
        <v>806</v>
      </c>
      <c r="BV163" s="381" t="s">
        <v>807</v>
      </c>
      <c r="BW163" s="381" t="s">
        <v>484</v>
      </c>
      <c r="BX163" s="381" t="s">
        <v>722</v>
      </c>
      <c r="BY163" s="381" t="s">
        <v>808</v>
      </c>
      <c r="BZ163" s="381" t="s">
        <v>809</v>
      </c>
      <c r="CA163" s="381" t="s">
        <v>810</v>
      </c>
      <c r="CB163" s="381" t="s">
        <v>811</v>
      </c>
      <c r="CC163" s="381" t="s">
        <v>812</v>
      </c>
      <c r="CD163" s="381" t="s">
        <v>813</v>
      </c>
      <c r="CE163" s="381" t="s">
        <v>814</v>
      </c>
      <c r="CF163" s="381" t="s">
        <v>708</v>
      </c>
      <c r="CG163" s="381" t="s">
        <v>815</v>
      </c>
      <c r="CH163" s="380" t="s">
        <v>709</v>
      </c>
      <c r="CI163" s="380" t="s">
        <v>492</v>
      </c>
      <c r="CJ163" s="380" t="s">
        <v>816</v>
      </c>
      <c r="CK163" s="380" t="s">
        <v>494</v>
      </c>
      <c r="CL163" s="380" t="s">
        <v>817</v>
      </c>
      <c r="CM163" s="380" t="s">
        <v>818</v>
      </c>
      <c r="CN163" s="380" t="s">
        <v>819</v>
      </c>
      <c r="CO163" s="380" t="s">
        <v>820</v>
      </c>
      <c r="CP163" s="380" t="s">
        <v>497</v>
      </c>
      <c r="CQ163" s="380" t="s">
        <v>821</v>
      </c>
      <c r="CR163" s="380" t="s">
        <v>491</v>
      </c>
      <c r="CS163" s="380" t="s">
        <v>500</v>
      </c>
      <c r="CT163" s="380" t="s">
        <v>501</v>
      </c>
      <c r="CU163" s="380" t="s">
        <v>502</v>
      </c>
      <c r="CV163" s="380" t="s">
        <v>822</v>
      </c>
      <c r="CW163" s="380" t="s">
        <v>503</v>
      </c>
      <c r="CX163" s="380" t="s">
        <v>499</v>
      </c>
      <c r="CY163" s="380" t="s">
        <v>823</v>
      </c>
      <c r="CZ163" s="380" t="s">
        <v>504</v>
      </c>
      <c r="DA163" s="380" t="s">
        <v>505</v>
      </c>
      <c r="DB163" s="381" t="s">
        <v>507</v>
      </c>
      <c r="DC163" s="381" t="s">
        <v>824</v>
      </c>
      <c r="DD163" s="381" t="s">
        <v>509</v>
      </c>
      <c r="DE163" s="381" t="s">
        <v>725</v>
      </c>
      <c r="DF163" s="381" t="s">
        <v>726</v>
      </c>
      <c r="DG163" s="381" t="s">
        <v>825</v>
      </c>
      <c r="DH163" s="381" t="s">
        <v>511</v>
      </c>
      <c r="DI163" s="381" t="s">
        <v>512</v>
      </c>
      <c r="DJ163" s="381" t="s">
        <v>513</v>
      </c>
      <c r="DK163" s="381" t="s">
        <v>826</v>
      </c>
      <c r="DL163" s="381" t="s">
        <v>506</v>
      </c>
      <c r="DM163" s="381" t="s">
        <v>515</v>
      </c>
      <c r="DN163" s="381" t="s">
        <v>516</v>
      </c>
      <c r="DO163" s="381" t="s">
        <v>827</v>
      </c>
      <c r="DP163" s="381" t="s">
        <v>517</v>
      </c>
      <c r="DQ163" s="381" t="s">
        <v>828</v>
      </c>
      <c r="DR163" s="381" t="s">
        <v>519</v>
      </c>
      <c r="DS163" s="381" t="s">
        <v>829</v>
      </c>
      <c r="DT163" s="381" t="s">
        <v>521</v>
      </c>
      <c r="DU163" s="381" t="s">
        <v>522</v>
      </c>
      <c r="DV163" s="380" t="s">
        <v>524</v>
      </c>
      <c r="DW163" s="380" t="s">
        <v>525</v>
      </c>
      <c r="DX163" s="380" t="s">
        <v>526</v>
      </c>
      <c r="DY163" s="380" t="s">
        <v>527</v>
      </c>
      <c r="DZ163" s="380" t="s">
        <v>830</v>
      </c>
      <c r="EA163" s="380" t="s">
        <v>831</v>
      </c>
      <c r="EB163" s="380" t="s">
        <v>529</v>
      </c>
      <c r="EC163" s="380" t="s">
        <v>530</v>
      </c>
      <c r="ED163" s="380" t="s">
        <v>531</v>
      </c>
      <c r="EE163" s="380" t="s">
        <v>532</v>
      </c>
      <c r="EF163" s="380" t="s">
        <v>523</v>
      </c>
      <c r="EG163" s="380" t="s">
        <v>533</v>
      </c>
      <c r="EH163" s="380" t="s">
        <v>832</v>
      </c>
      <c r="EI163" s="380" t="s">
        <v>833</v>
      </c>
      <c r="EJ163" s="380" t="s">
        <v>536</v>
      </c>
      <c r="EK163" s="380" t="s">
        <v>834</v>
      </c>
      <c r="EL163" s="380" t="s">
        <v>538</v>
      </c>
      <c r="EM163" s="380" t="s">
        <v>539</v>
      </c>
      <c r="EN163" s="380" t="s">
        <v>734</v>
      </c>
      <c r="EO163" s="380" t="s">
        <v>540</v>
      </c>
      <c r="EP163" s="381" t="s">
        <v>542</v>
      </c>
      <c r="EQ163" s="381" t="s">
        <v>835</v>
      </c>
      <c r="ER163" s="381" t="s">
        <v>836</v>
      </c>
      <c r="ES163" s="381" t="s">
        <v>545</v>
      </c>
      <c r="ET163" s="381" t="s">
        <v>837</v>
      </c>
      <c r="EU163" s="381" t="s">
        <v>547</v>
      </c>
      <c r="EV163" s="381" t="s">
        <v>548</v>
      </c>
      <c r="EW163" s="381" t="s">
        <v>549</v>
      </c>
      <c r="EX163" s="381" t="s">
        <v>838</v>
      </c>
      <c r="EY163" s="381" t="s">
        <v>737</v>
      </c>
      <c r="EZ163" s="381" t="s">
        <v>541</v>
      </c>
      <c r="FA163" s="381" t="s">
        <v>551</v>
      </c>
      <c r="FB163" s="381" t="s">
        <v>552</v>
      </c>
      <c r="FC163" s="381" t="s">
        <v>553</v>
      </c>
      <c r="FD163" s="381" t="s">
        <v>738</v>
      </c>
      <c r="FE163" s="381" t="s">
        <v>554</v>
      </c>
      <c r="FF163" s="381" t="s">
        <v>555</v>
      </c>
      <c r="FG163" s="381" t="s">
        <v>556</v>
      </c>
      <c r="FH163" s="381" t="s">
        <v>557</v>
      </c>
      <c r="FI163" s="381" t="s">
        <v>839</v>
      </c>
      <c r="FJ163" s="380" t="s">
        <v>561</v>
      </c>
      <c r="FK163" s="380" t="s">
        <v>562</v>
      </c>
      <c r="FL163" s="380" t="s">
        <v>840</v>
      </c>
      <c r="FM163" s="380" t="s">
        <v>841</v>
      </c>
      <c r="FN163" s="380" t="s">
        <v>842</v>
      </c>
      <c r="FO163" s="380" t="s">
        <v>843</v>
      </c>
      <c r="FP163" s="380" t="s">
        <v>566</v>
      </c>
      <c r="FQ163" s="380" t="s">
        <v>743</v>
      </c>
      <c r="FR163" s="380" t="s">
        <v>567</v>
      </c>
      <c r="FS163" s="380" t="s">
        <v>844</v>
      </c>
      <c r="FT163" s="380" t="s">
        <v>559</v>
      </c>
      <c r="FU163" s="380" t="s">
        <v>845</v>
      </c>
      <c r="FV163" s="380" t="s">
        <v>846</v>
      </c>
      <c r="FW163" s="380" t="s">
        <v>847</v>
      </c>
      <c r="FX163" s="380" t="s">
        <v>572</v>
      </c>
      <c r="FY163" s="380" t="s">
        <v>848</v>
      </c>
      <c r="FZ163" s="380" t="s">
        <v>849</v>
      </c>
      <c r="GA163" s="380" t="s">
        <v>574</v>
      </c>
      <c r="GB163" s="380" t="s">
        <v>745</v>
      </c>
      <c r="GC163" s="380" t="s">
        <v>746</v>
      </c>
      <c r="GD163" s="381" t="s">
        <v>850</v>
      </c>
      <c r="GE163" s="381" t="s">
        <v>851</v>
      </c>
      <c r="GF163" s="381" t="s">
        <v>578</v>
      </c>
      <c r="GG163" s="381" t="s">
        <v>579</v>
      </c>
      <c r="GH163" s="381" t="s">
        <v>852</v>
      </c>
      <c r="GI163" s="381" t="s">
        <v>748</v>
      </c>
      <c r="GJ163" s="381" t="s">
        <v>853</v>
      </c>
      <c r="GK163" s="381" t="s">
        <v>582</v>
      </c>
      <c r="GL163" s="381" t="s">
        <v>854</v>
      </c>
      <c r="GM163" s="381" t="s">
        <v>855</v>
      </c>
      <c r="GN163" s="381" t="s">
        <v>575</v>
      </c>
      <c r="GO163" s="381" t="s">
        <v>856</v>
      </c>
      <c r="GP163" s="381" t="s">
        <v>857</v>
      </c>
      <c r="GQ163" s="381" t="s">
        <v>584</v>
      </c>
      <c r="GR163" s="381" t="s">
        <v>585</v>
      </c>
      <c r="GS163" s="381" t="s">
        <v>586</v>
      </c>
      <c r="GT163" s="381" t="s">
        <v>858</v>
      </c>
      <c r="GU163" s="381" t="s">
        <v>859</v>
      </c>
      <c r="GV163" s="381" t="s">
        <v>587</v>
      </c>
      <c r="GW163" s="391" t="s">
        <v>588</v>
      </c>
      <c r="GX163" s="428" t="s">
        <v>883</v>
      </c>
      <c r="GY163" s="428" t="s">
        <v>884</v>
      </c>
      <c r="GZ163" s="428" t="s">
        <v>885</v>
      </c>
      <c r="HA163" s="428" t="s">
        <v>882</v>
      </c>
      <c r="HB163" s="428"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53">
        <f>IF(Tabla12[[#This Row],[CANTIDADES A UTILIZAR EN EL AÑO 1 1]]=0,0,Tabla12[[#This Row],[CANTIDADES A UTILIZAR EN EL AÑO 1 1]]*1/Tabla12[[#This Row],[UNIDADES PRODUCIDAS AÑO 1 1 ]])</f>
        <v>0</v>
      </c>
      <c r="Q164" s="353">
        <f>$C$128*(1+BASES!$E$10)</f>
        <v>0</v>
      </c>
      <c r="R164" s="353">
        <f>Tabla12[[#This Row],[COSTO UNITARIO AÑO 2 1 ]]*(1+BASES!$F$10)</f>
        <v>0</v>
      </c>
      <c r="S164" s="353">
        <f>Tabla12[[#This Row],[COSTO UNITARIO AÑO 3 1 ]]*(1+BASES!$G$10)</f>
        <v>0</v>
      </c>
      <c r="T164" s="353">
        <f>Tabla12[[#This Row],[COSTO UNITARIO AÑO 4 1 ]]*(1+BASES!$H$10)</f>
        <v>0</v>
      </c>
      <c r="U164" s="353">
        <f>Tabla12[[#This Row],[COSTO POR UNIDAD DE PRODUCTO (1)]]*$C$128*VLOOKUP(Tabla12[[#This Row],[CÓDIGO DEL PRODUCTO Y/O SERVICIO ]],Tabla3[],3)</f>
        <v>0</v>
      </c>
      <c r="V164" s="353">
        <f>Tabla12[[#This Row],[COSTO POR UNIDAD DE PRODUCTO (1)]]*Tabla12[[#This Row],[COSTO UNITARIO AÑO 2 1 ]]*VLOOKUP(Tabla12[[#This Row],[CÓDIGO DEL PRODUCTO Y/O SERVICIO ]],Tabla3[],6)</f>
        <v>0</v>
      </c>
      <c r="W164" s="353">
        <f>Tabla12[[#This Row],[COSTO POR UNIDAD DE PRODUCTO (1)]]*Tabla12[[#This Row],[COSTO UNITARIO AÑO 3 1 ]]*VLOOKUP(Tabla12[[#This Row],[CÓDIGO DEL PRODUCTO Y/O SERVICIO ]],Tabla3[],10)</f>
        <v>0</v>
      </c>
      <c r="X164" s="353">
        <f>Tabla12[[#This Row],[COSTO POR UNIDAD DE PRODUCTO (1)]]*Tabla12[[#This Row],[COSTO UNITARIO AÑO 4 1 ]]*VLOOKUP(Tabla12[[#This Row],[CÓDIGO DEL PRODUCTO Y/O SERVICIO ]],Tabla3[],14)</f>
        <v>0</v>
      </c>
      <c r="Y164" s="353">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53">
        <f>IF(Tabla12[[#This Row],[CANTIDADES A UTILIZAR EN EL AÑO 1 2 ]]=0,0,Tabla12[[#This Row],[CANTIDADES A UTILIZAR EN EL AÑO 1 2 ]]*1/Tabla12[[#This Row],[UNIDADES PRODUCIDAS AÑO 1 2]])</f>
        <v>0</v>
      </c>
      <c r="AK164" s="353">
        <f>$C$129*(1+BASES!$E$10)</f>
        <v>0</v>
      </c>
      <c r="AL164" s="353">
        <f>Tabla12[[#This Row],[COSTO UNITARIO AÑO 2 2]]*(1+BASES!$F$10)</f>
        <v>0</v>
      </c>
      <c r="AM164" s="353">
        <f>Tabla12[[#This Row],[COSTO UNITARIO AÑO 3 2 ]]*(1+BASES!$G$10)</f>
        <v>0</v>
      </c>
      <c r="AN164" s="353">
        <f>Tabla12[[#This Row],[COSTO UNITARIO AÑO 4 2 ]]*(1+BASES!$H$10)</f>
        <v>0</v>
      </c>
      <c r="AO164" s="353">
        <f>Tabla12[[#This Row],[COSTO POR UNIDAD DE PRODUCTO (2)]]*$C$129*VLOOKUP(Tabla12[[#This Row],[CÓDIGO DEL PRODUCTO Y/O SERVICIO ]],Tabla3[],3)</f>
        <v>0</v>
      </c>
      <c r="AP164" s="353">
        <f>Tabla12[[#This Row],[COSTO POR UNIDAD DE PRODUCTO (2)]]*Tabla12[[#This Row],[COSTO UNITARIO AÑO 2 2]]*VLOOKUP(Tabla12[[#This Row],[CÓDIGO DEL PRODUCTO Y/O SERVICIO ]],Tabla3[],6)</f>
        <v>0</v>
      </c>
      <c r="AQ164" s="353">
        <f>Tabla12[[#This Row],[COSTO POR UNIDAD DE PRODUCTO (2)]]*Tabla12[[#This Row],[COSTO UNITARIO AÑO 3 2 ]]*VLOOKUP(Tabla12[[#This Row],[CÓDIGO DEL PRODUCTO Y/O SERVICIO ]],Tabla3[],10)</f>
        <v>0</v>
      </c>
      <c r="AR164" s="353">
        <f>Tabla12[[#This Row],[COSTO POR UNIDAD DE PRODUCTO (2)]]*Tabla12[[#This Row],[COSTO UNITARIO AÑO 4 2 ]]*VLOOKUP(Tabla12[[#This Row],[CÓDIGO DEL PRODUCTO Y/O SERVICIO ]],Tabla3[],14)</f>
        <v>0</v>
      </c>
      <c r="AS164" s="353">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53">
        <f>IF(Tabla12[[#This Row],[CANTIDADES A UTILIZAR EN EL AÑO 1 3]]=0,0,Tabla12[[#This Row],[CANTIDADES A UTILIZAR EN EL AÑO 1 3]]*1/Tabla12[[#This Row],[UNIDADES PRODUCIDAS AÑO 1 3]])</f>
        <v>0</v>
      </c>
      <c r="BE164" s="353">
        <f>$C$130*(1+BASES!$E$10)</f>
        <v>0</v>
      </c>
      <c r="BF164" s="353">
        <f>Tabla12[[#This Row],[COSTO UNITARIO AÑO 2 3]]*(1+BASES!$F$10)</f>
        <v>0</v>
      </c>
      <c r="BG164" s="353">
        <f>Tabla12[[#This Row],[COSTO UNITARIO AÑO 3 3 ]]*(1+BASES!$G$10)</f>
        <v>0</v>
      </c>
      <c r="BH164" s="353">
        <f>Tabla12[[#This Row],[COSTO UNITARIO AÑO 4 3]]*(1+BASES!$H$10)</f>
        <v>0</v>
      </c>
      <c r="BI164" s="353">
        <f>Tabla12[[#This Row],[COSTO POR UNIDAD DE PRODUCTO (3)]]*$C$130*VLOOKUP(Tabla12[[#This Row],[CÓDIGO DEL PRODUCTO Y/O SERVICIO ]],Tabla3[],3)</f>
        <v>0</v>
      </c>
      <c r="BJ164" s="353">
        <f>Tabla12[[#This Row],[COSTO POR UNIDAD DE PRODUCTO (3)]]*Tabla12[[#This Row],[COSTO UNITARIO AÑO 2 3]]*VLOOKUP(Tabla12[[#This Row],[CÓDIGO DEL PRODUCTO Y/O SERVICIO ]],Tabla3[],6)</f>
        <v>0</v>
      </c>
      <c r="BK164" s="353">
        <f>Tabla12[[#This Row],[COSTO POR UNIDAD DE PRODUCTO (3)]]*Tabla12[[#This Row],[COSTO UNITARIO AÑO 3 3 ]]*VLOOKUP(Tabla12[[#This Row],[CÓDIGO DEL PRODUCTO Y/O SERVICIO ]],Tabla3[],10)</f>
        <v>0</v>
      </c>
      <c r="BL164" s="353">
        <f>Tabla12[[#This Row],[COSTO POR UNIDAD DE PRODUCTO (3)]]*Tabla12[[#This Row],[COSTO UNITARIO AÑO 4 3]]*VLOOKUP(Tabla12[[#This Row],[CÓDIGO DEL PRODUCTO Y/O SERVICIO ]],Tabla3[],14)</f>
        <v>0</v>
      </c>
      <c r="BM164" s="353">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53">
        <f>IF(Tabla12[[#This Row],[CANTIDADES A UTILIZAR EN EL AÑO 1 4]]=0,0,Tabla12[[#This Row],[CANTIDADES A UTILIZAR EN EL AÑO 1 4]]*1/Tabla12[[#This Row],[UNIDADES PRODUCIDAS AÑO 1 4]])</f>
        <v>0</v>
      </c>
      <c r="BY164" s="353">
        <f>$C$131*(1+BASES!$E$10)</f>
        <v>0</v>
      </c>
      <c r="BZ164" s="353">
        <f>Tabla12[[#This Row],[COSTO UNITARIO AÑO 2 4 ]]*(1+BASES!$F$10)</f>
        <v>0</v>
      </c>
      <c r="CA164" s="353">
        <f>Tabla12[[#This Row],[COSTO UNITARIO AÑO 3 4 ]]*(1+BASES!$G$10)</f>
        <v>0</v>
      </c>
      <c r="CB164" s="353">
        <f>Tabla12[[#This Row],[COSTO UNITARIO AÑO 4 4 ]]*(1+BASES!$H$10)</f>
        <v>0</v>
      </c>
      <c r="CC164" s="353">
        <f>Tabla12[[#This Row],[COSTO POR UNIDAD DE PRODUCTO (4)]]*$C$131*VLOOKUP(Tabla12[[#This Row],[CÓDIGO DEL PRODUCTO Y/O SERVICIO ]],Tabla3[],3)</f>
        <v>0</v>
      </c>
      <c r="CD164" s="353">
        <f>Tabla12[[#This Row],[COSTO POR UNIDAD DE PRODUCTO (4)]]*Tabla12[[#This Row],[COSTO UNITARIO AÑO 2 4 ]]*VLOOKUP(Tabla12[[#This Row],[CÓDIGO DEL PRODUCTO Y/O SERVICIO ]],Tabla3[],6)</f>
        <v>0</v>
      </c>
      <c r="CE164" s="353">
        <f>Tabla12[[#This Row],[COSTO POR UNIDAD DE PRODUCTO (4)]]*Tabla12[[#This Row],[COSTO UNITARIO AÑO 3 4 ]]*VLOOKUP(Tabla12[[#This Row],[CÓDIGO DEL PRODUCTO Y/O SERVICIO ]],Tabla3[],10)</f>
        <v>0</v>
      </c>
      <c r="CF164" s="353">
        <f>Tabla12[[#This Row],[COSTO POR UNIDAD DE PRODUCTO (4)]]*Tabla12[[#This Row],[COSTO UNITARIO AÑO 4 4 ]]*VLOOKUP(Tabla12[[#This Row],[CÓDIGO DEL PRODUCTO Y/O SERVICIO ]],Tabla3[],14)</f>
        <v>0</v>
      </c>
      <c r="CG164" s="353">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53">
        <f>IF(Tabla12[[#This Row],[CANTIDADES A UTILIZAR EN EL AÑO 1 5]]=0,0,Tabla12[[#This Row],[CANTIDADES A UTILIZAR EN EL AÑO 1 5]]*1/Tabla12[[#This Row],[UNIDADES PRODUCIDAS AÑO 1 5]])</f>
        <v>0</v>
      </c>
      <c r="CS164" s="353">
        <f>$C$132*(1+BASES!$E$10)</f>
        <v>0</v>
      </c>
      <c r="CT164" s="353">
        <f>Tabla12[[#This Row],[COSTO UNITARIO AÑO 2 5]]*(1+BASES!$F$10)</f>
        <v>0</v>
      </c>
      <c r="CU164" s="353">
        <f>Tabla12[[#This Row],[COSTO UNITARIO AÑO 3 5]]*(1+BASES!$G$10)</f>
        <v>0</v>
      </c>
      <c r="CV164" s="353">
        <f>Tabla12[[#This Row],[COSTO UNITARIO AÑO 4 5]]*(1+BASES!$H$10)</f>
        <v>0</v>
      </c>
      <c r="CW164" s="353">
        <f>Tabla12[[#This Row],[COSTO POR UNIDAD DE PRODUCTO (5)]]*$C$132*VLOOKUP(Tabla12[[#This Row],[CÓDIGO DEL PRODUCTO Y/O SERVICIO ]],Tabla3[],3)</f>
        <v>0</v>
      </c>
      <c r="CX164" s="353">
        <f>Tabla12[[#This Row],[COSTO POR UNIDAD DE PRODUCTO (5)]]*Tabla12[[#This Row],[COSTO UNITARIO AÑO 2 5]]*VLOOKUP(Tabla12[[#This Row],[CÓDIGO DEL PRODUCTO Y/O SERVICIO ]],Tabla3[],6)</f>
        <v>0</v>
      </c>
      <c r="CY164" s="353">
        <f>Tabla12[[#This Row],[COSTO POR UNIDAD DE PRODUCTO (5)]]*Tabla12[[#This Row],[COSTO UNITARIO AÑO 3 5]]*VLOOKUP(Tabla12[[#This Row],[CÓDIGO DEL PRODUCTO Y/O SERVICIO ]],Tabla3[],10)</f>
        <v>0</v>
      </c>
      <c r="CZ164" s="353">
        <f>Tabla12[[#This Row],[COSTO POR UNIDAD DE PRODUCTO (5)]]*Tabla12[[#This Row],[COSTO UNITARIO AÑO 4 5]]*VLOOKUP(Tabla12[[#This Row],[CÓDIGO DEL PRODUCTO Y/O SERVICIO ]],Tabla3[],14)</f>
        <v>0</v>
      </c>
      <c r="DA164" s="353">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53">
        <f>IF(Tabla12[[#This Row],[CANTIDADES A UTILIZAR EN EL AÑO 1 6]]=0,0,Tabla12[[#This Row],[CANTIDADES A UTILIZAR EN EL AÑO 1 6]]*1/Tabla12[[#This Row],[UNIDADES PRODUCIDAS AÑO 1 6]])</f>
        <v>0</v>
      </c>
      <c r="DM164" s="353">
        <f>$C$133*(1+BASES!$E$10)</f>
        <v>0</v>
      </c>
      <c r="DN164" s="353">
        <f>Tabla12[[#This Row],[COSTO UNITARIO AÑO 2 6]]*(1+BASES!$F$10)</f>
        <v>0</v>
      </c>
      <c r="DO164" s="353">
        <f>Tabla12[[#This Row],[COSTO UNITARIO AÑO 3 6]]*(1+BASES!$G$10)</f>
        <v>0</v>
      </c>
      <c r="DP164" s="353">
        <f>Tabla12[[#This Row],[COSTO UNITARIO AÑO 4 6]]*(1+BASES!$H$10)</f>
        <v>0</v>
      </c>
      <c r="DQ164" s="353">
        <f>Tabla12[[#This Row],[COSTO POR UNIDAD DE PRODUCTO (6)]]*$C$133*VLOOKUP(Tabla12[[#This Row],[CÓDIGO DEL PRODUCTO Y/O SERVICIO ]],Tabla3[],3)</f>
        <v>0</v>
      </c>
      <c r="DR164" s="353">
        <f>Tabla12[[#This Row],[COSTO POR UNIDAD DE PRODUCTO (6)]]*Tabla12[[#This Row],[COSTO UNITARIO AÑO 2 6]]*VLOOKUP(Tabla12[[#This Row],[CÓDIGO DEL PRODUCTO Y/O SERVICIO ]],Tabla3[],6)</f>
        <v>0</v>
      </c>
      <c r="DS164" s="353">
        <f>Tabla12[[#This Row],[COSTO POR UNIDAD DE PRODUCTO (6)]]*Tabla12[[#This Row],[COSTO UNITARIO AÑO 3 6]]*VLOOKUP(Tabla12[[#This Row],[CÓDIGO DEL PRODUCTO Y/O SERVICIO ]],Tabla3[],10)</f>
        <v>0</v>
      </c>
      <c r="DT164" s="353">
        <f>Tabla12[[#This Row],[COSTO POR UNIDAD DE PRODUCTO (6)]]*Tabla12[[#This Row],[COSTO UNITARIO AÑO 4 6]]*VLOOKUP(Tabla12[[#This Row],[CÓDIGO DEL PRODUCTO Y/O SERVICIO ]],Tabla3[],14)</f>
        <v>0</v>
      </c>
      <c r="DU164" s="353">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53">
        <f>IF(Tabla12[[#This Row],[CANTIDADES A UTILIZAR EN EL AÑO 1 7]]=0,0,Tabla12[[#This Row],[CANTIDADES A UTILIZAR EN EL AÑO 1 7]]*1/Tabla12[[#This Row],[UNIDADES PRODUCIDAS AÑO 1 7]])</f>
        <v>0</v>
      </c>
      <c r="EG164" s="353">
        <f>$C$134*(1+BASES!$E$10)</f>
        <v>0</v>
      </c>
      <c r="EH164" s="353">
        <f>Tabla12[[#This Row],[COSTO UNITARIO AÑO 2 7]]*(1+BASES!$F$10)</f>
        <v>0</v>
      </c>
      <c r="EI164" s="353">
        <f>Tabla12[[#This Row],[COSTO UNITARIO AÑO 3 7]]*(1+BASES!$G$10)</f>
        <v>0</v>
      </c>
      <c r="EJ164" s="353">
        <f>Tabla12[[#This Row],[COSTO UNITARIO AÑO 4 7]]*(1+BASES!$H$10)</f>
        <v>0</v>
      </c>
      <c r="EK164" s="353">
        <f>Tabla12[[#This Row],[COSTO POR UNIDAD DE PRODUCTO (7)]]*$C$134*VLOOKUP(Tabla12[[#This Row],[CÓDIGO DEL PRODUCTO Y/O SERVICIO ]],Tabla3[],3)</f>
        <v>0</v>
      </c>
      <c r="EL164" s="353">
        <f>Tabla12[[#This Row],[COSTO POR UNIDAD DE PRODUCTO (7)]]*Tabla12[[#This Row],[COSTO UNITARIO AÑO 2 7]]*VLOOKUP(Tabla12[[#This Row],[CÓDIGO DEL PRODUCTO Y/O SERVICIO ]],Tabla3[],6)</f>
        <v>0</v>
      </c>
      <c r="EM164" s="353">
        <f>Tabla12[[#This Row],[COSTO POR UNIDAD DE PRODUCTO (7)]]*Tabla12[[#This Row],[COSTO UNITARIO AÑO 3 7]]*VLOOKUP(Tabla12[[#This Row],[CÓDIGO DEL PRODUCTO Y/O SERVICIO ]],Tabla3[],10)</f>
        <v>0</v>
      </c>
      <c r="EN164" s="353">
        <f>Tabla12[[#This Row],[COSTO POR UNIDAD DE PRODUCTO (7)]]*Tabla12[[#This Row],[COSTO UNITARIO AÑO 4 7]]*VLOOKUP(Tabla12[[#This Row],[CÓDIGO DEL PRODUCTO Y/O SERVICIO ]],Tabla3[],14)</f>
        <v>0</v>
      </c>
      <c r="EO164" s="353">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53">
        <f>IF(Tabla12[[#This Row],[CANTIDADES A UTILIZAR EN EL AÑO 1 8]]=0,0,Tabla12[[#This Row],[CANTIDADES A UTILIZAR EN EL AÑO 1 8]]*1/Tabla12[[#This Row],[UNIDADES PRODUCIDAS AÑO 1 8]])</f>
        <v>0</v>
      </c>
      <c r="FA164" s="353">
        <f>$C$135*(1+BASES!$E$10)</f>
        <v>0</v>
      </c>
      <c r="FB164" s="353">
        <f>Tabla12[[#This Row],[COSTO UNITARIO AÑO 2 8]]*(1+BASES!$F$10)</f>
        <v>0</v>
      </c>
      <c r="FC164" s="353">
        <f>Tabla12[[#This Row],[COSTO UNITARIO AÑO 3 8]]*(1+BASES!$G$10)</f>
        <v>0</v>
      </c>
      <c r="FD164" s="353">
        <f>Tabla12[[#This Row],[COSTO UNITARIO AÑO 4 8]]*(1+BASES!$H$10)</f>
        <v>0</v>
      </c>
      <c r="FE164" s="353">
        <f>Tabla12[[#This Row],[COSTO POR UNIDAD DE PRODUCTO (8)]]*$C$135*VLOOKUP(Tabla12[[#This Row],[CÓDIGO DEL PRODUCTO Y/O SERVICIO ]],Tabla3[],3)</f>
        <v>0</v>
      </c>
      <c r="FF164" s="353">
        <f>Tabla12[[#This Row],[COSTO POR UNIDAD DE PRODUCTO (8)]]*Tabla12[[#This Row],[COSTO UNITARIO AÑO 2 8]]*VLOOKUP(Tabla12[[#This Row],[CÓDIGO DEL PRODUCTO Y/O SERVICIO ]],Tabla3[],6)</f>
        <v>0</v>
      </c>
      <c r="FG164" s="353">
        <f>Tabla12[[#This Row],[COSTO POR UNIDAD DE PRODUCTO (8)]]*Tabla12[[#This Row],[COSTO UNITARIO AÑO 3 8]]*VLOOKUP(Tabla12[[#This Row],[CÓDIGO DEL PRODUCTO Y/O SERVICIO ]],Tabla3[],10)</f>
        <v>0</v>
      </c>
      <c r="FH164" s="353">
        <f>Tabla12[[#This Row],[COSTO POR UNIDAD DE PRODUCTO (8)]]*Tabla12[[#This Row],[COSTO UNITARIO AÑO 4 8]]*VLOOKUP(Tabla12[[#This Row],[CÓDIGO DEL PRODUCTO Y/O SERVICIO ]],Tabla3[],14)</f>
        <v>0</v>
      </c>
      <c r="FI164" s="353">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53">
        <f>IF(Tabla12[[#This Row],[CANTIDADES A UTILIZAR EN EL AÑO 1 9]]=0,0,Tabla12[[#This Row],[CANTIDADES A UTILIZAR EN EL AÑO 1 9]]*1/Tabla12[[#This Row],[UNIDADES PRODUCIDAS AÑO 1 9 ]])</f>
        <v>0</v>
      </c>
      <c r="FU164" s="353">
        <f>$C$136*(1+BASES!$E$10)</f>
        <v>0</v>
      </c>
      <c r="FV164" s="353">
        <f>Tabla12[[#This Row],[COSTO UNITARIO AÑO 2 9]]*(1+BASES!$F$10)</f>
        <v>0</v>
      </c>
      <c r="FW164" s="353">
        <f>Tabla12[[#This Row],[COSTO UNITARIO AÑO 3 9]]*(1+BASES!$G$10)</f>
        <v>0</v>
      </c>
      <c r="FX164" s="353">
        <f>Tabla12[[#This Row],[COSTO UNITARIO AÑO 4 9]]*(1+BASES!$H$10)</f>
        <v>0</v>
      </c>
      <c r="FY164" s="353">
        <f>Tabla12[[#This Row],[COSTO POR UNIDAD DE PRODUCTO (9)]]*$C$136*VLOOKUP(Tabla12[[#This Row],[CÓDIGO DEL PRODUCTO Y/O SERVICIO ]],Tabla3[],3)</f>
        <v>0</v>
      </c>
      <c r="FZ164" s="353">
        <f>Tabla12[[#This Row],[COSTO POR UNIDAD DE PRODUCTO (9)]]*Tabla12[[#This Row],[COSTO UNITARIO AÑO 2 9]]*VLOOKUP(Tabla12[[#This Row],[CÓDIGO DEL PRODUCTO Y/O SERVICIO ]],Tabla3[],6)</f>
        <v>0</v>
      </c>
      <c r="GA164" s="353">
        <f>Tabla12[[#This Row],[COSTO POR UNIDAD DE PRODUCTO (9)]]*Tabla12[[#This Row],[COSTO UNITARIO AÑO 3 9]]*VLOOKUP(Tabla12[[#This Row],[CÓDIGO DEL PRODUCTO Y/O SERVICIO ]],Tabla3[],10)</f>
        <v>0</v>
      </c>
      <c r="GB164" s="353">
        <f>Tabla12[[#This Row],[COSTO POR UNIDAD DE PRODUCTO (9)]]*Tabla12[[#This Row],[COSTO UNITARIO AÑO 4 9]]*VLOOKUP(Tabla12[[#This Row],[CÓDIGO DEL PRODUCTO Y/O SERVICIO ]],Tabla3[],14)</f>
        <v>0</v>
      </c>
      <c r="GC164" s="353">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53">
        <f>IF(Tabla12[[#This Row],[CANTIDADES A UTILIZAR EN EL AÑO 1 10 ]]=0,0,Tabla12[[#This Row],[CANTIDADES A UTILIZAR EN EL AÑO 1 10 ]]*1/Tabla12[[#This Row],[UNIDADES PRODUCIDAS AÑO 1 10 ]])</f>
        <v>0</v>
      </c>
      <c r="GO164" s="353">
        <f>$C$137*(1+BASES!$E$10)</f>
        <v>0</v>
      </c>
      <c r="GP164" s="353">
        <f>Tabla12[[#This Row],[COSTO UNITARIO AÑO 2 10 ]]*(1+BASES!$F$10)</f>
        <v>0</v>
      </c>
      <c r="GQ164" s="353">
        <f>Tabla12[[#This Row],[COSTO UNITARIO AÑO 3 10 ]]*(1+BASES!$G$10)</f>
        <v>0</v>
      </c>
      <c r="GR164" s="353">
        <f>Tabla12[[#This Row],[COSTO UNITARIO AÑO 4 10]]*(1+BASES!$H$10)</f>
        <v>0</v>
      </c>
      <c r="GS164" s="353">
        <f>Tabla12[[#This Row],[COSTO POR UNIDAD DE PRODUCTO (10)]]*$C$137*VLOOKUP(Tabla12[[#This Row],[CÓDIGO DEL PRODUCTO Y/O SERVICIO ]],Tabla3[],3)</f>
        <v>0</v>
      </c>
      <c r="GT164" s="353">
        <f>Tabla12[[#This Row],[COSTO POR UNIDAD DE PRODUCTO (10)]]*Tabla12[[#This Row],[COSTO UNITARIO AÑO 2 10 ]]*VLOOKUP(Tabla12[[#This Row],[CÓDIGO DEL PRODUCTO Y/O SERVICIO ]],Tabla3[],6)</f>
        <v>0</v>
      </c>
      <c r="GU164" s="353">
        <f>Tabla12[[#This Row],[COSTO POR UNIDAD DE PRODUCTO (10)]]*Tabla12[[#This Row],[COSTO UNITARIO AÑO 3 10 ]]*VLOOKUP(Tabla12[[#This Row],[CÓDIGO DEL PRODUCTO Y/O SERVICIO ]],Tabla3[],10)</f>
        <v>0</v>
      </c>
      <c r="GV164" s="353">
        <f>Tabla12[[#This Row],[COSTO POR UNIDAD DE PRODUCTO (10)]]*Tabla12[[#This Row],[COSTO UNITARIO AÑO 4 10]]*VLOOKUP(Tabla12[[#This Row],[CÓDIGO DEL PRODUCTO Y/O SERVICIO ]],Tabla3[],14)</f>
        <v>0</v>
      </c>
      <c r="GW164" s="353">
        <f>Tabla12[[#This Row],[COSTO POR UNIDAD DE PRODUCTO (10)]]*Tabla12[[#This Row],[COSTO UNITARIO AÑO 5 10 ]]*VLOOKUP(Tabla12[[#This Row],[CÓDIGO DEL PRODUCTO Y/O SERVICIO ]],Tabla3[],18)</f>
        <v>0</v>
      </c>
      <c r="GX164" s="390">
        <f>Tabla12[[#This Row],[AÑO 1 10 ]]+Tabla12[[#This Row],[AÑO 1 9 ]]+Tabla12[[#This Row],[AÑO 1 8]]+Tabla12[[#This Row],[AÑO 1 7]]+Tabla12[[#This Row],[AÑO 1 6]]+Tabla12[[#This Row],[AÑO 1 5]]+Tabla12[[#This Row],[AÑO 1 4 ]]+Tabla12[[#This Row],[AÑO 1 3]]+Tabla12[[#This Row],[AÑO 1 2]]+Tabla12[[#This Row],[AÑO 1 1]]</f>
        <v>0</v>
      </c>
      <c r="GY164" s="390">
        <f>Tabla12[[#This Row],[AÑO 2 10 ]]+Tabla12[[#This Row],[AÑO 2 9 ]]+Tabla12[[#This Row],[AÑO 2 8]]+Tabla12[[#This Row],[AÑO 2 7]]+Tabla12[[#This Row],[AÑO 2 6]]+Tabla12[[#This Row],[AÑO 2 5]]+Tabla12[[#This Row],[AÑO 2 4 ]]+Tabla12[[#This Row],[AÑO 2 3]]+Tabla12[[#This Row],[AÑO 2 2 ]]+Tabla12[[#This Row],[AÑO 2 1 ]]</f>
        <v>0</v>
      </c>
      <c r="GZ164" s="390">
        <f>Tabla12[[#This Row],[AÑO 3 10 ]]+Tabla12[[#This Row],[AÑO 3 9]]+Tabla12[[#This Row],[AÑO 3 8]]+Tabla12[[#This Row],[AÑO 3 7]]+Tabla12[[#This Row],[AÑO 3 6]]+Tabla12[[#This Row],[AÑO 3 5]]+Tabla12[[#This Row],[AÑO 3 4 ]]+Tabla12[[#This Row],[AÑO 3 3 ]]+Tabla12[[#This Row],[AÑO 3 2 ]]+Tabla12[[#This Row],[AÑO 3 1 ]]</f>
        <v>0</v>
      </c>
      <c r="HA164" s="390">
        <f>Tabla12[[#This Row],[AÑO 4 10 ]]+Tabla12[[#This Row],[AÑO 4 9]]+Tabla12[[#This Row],[AÑO 4 8]]+Tabla12[[#This Row],[AÑO 4 7]]+Tabla12[[#This Row],[AÑO 4 6]]+Tabla12[[#This Row],[AÑO 4 5]]+Tabla12[[#This Row],[AÑO 4 4 ]]+Tabla12[[#This Row],[AÑO 4 3 ]]+Tabla12[[#This Row],[AÑO 4 2 ]]+Tabla12[[#This Row],[AÑO 4 1 ]]</f>
        <v>0</v>
      </c>
      <c r="HB164" s="390">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68" t="str">
        <f>VLOOKUP(Tabla12[[#This Row],[CÓDIGO DEL PRODUCTO Y/O SERVICIO ]],Tabla3[],2,0)</f>
        <v xml:space="preserve">Seleccionar producto o servicio </v>
      </c>
      <c r="E165" s="372"/>
      <c r="F165" s="368">
        <f>VLOOKUP(Tabla12[[#This Row],[CÓDIGO DEL PRODUCTO Y/O SERVICIO ]],Tabla3[],3)</f>
        <v>0</v>
      </c>
      <c r="G165" s="368">
        <f>Tabla12[[#This Row],[UNIDADES PRODUCIDAS AÑO 1 1 ]]*$F$145</f>
        <v>0</v>
      </c>
      <c r="H165" s="112">
        <f>VLOOKUP(Tabla12[[#This Row],[CÓDIGO DEL PRODUCTO Y/O SERVICIO ]],Tabla3[],9)</f>
        <v>0</v>
      </c>
      <c r="I165" s="368">
        <f>Tabla12[[#This Row],[CANTIDADES A UTILIZAR EN EL AÑO 1 1]]*(1+Tabla12[[#This Row],[CAMBIO PORCENTUAL EN UNIDADES VENDIDAS AÑO 2 1 ]])</f>
        <v>0</v>
      </c>
      <c r="J165" s="112">
        <f>VLOOKUP(Tabla12[[#This Row],[CÓDIGO DEL PRODUCTO Y/O SERVICIO ]],Tabla3[],13)</f>
        <v>0</v>
      </c>
      <c r="K165" s="368">
        <f>Tabla12[[#This Row],[CANTIDADES A UTILIZAR EN EL AÑO 2 1]]*(1+Tabla12[[#This Row],[CAMBIO PORCENTUAL EN UNIDADES VENDIDAS AÑO 3 1 ]])</f>
        <v>0</v>
      </c>
      <c r="L165" s="112">
        <f>VLOOKUP(Tabla12[[#This Row],[CÓDIGO DEL PRODUCTO Y/O SERVICIO ]],Tabla3[],17)</f>
        <v>0</v>
      </c>
      <c r="M165" s="368">
        <f>Tabla12[[#This Row],[CANTIDADES A UTILIZAR EN EL AÑO 3 1 ]]*(1+Tabla12[[#This Row],[CAMBIO PORCENTUAL EN UNIDADES VENDIDAS AÑO 4 1]])</f>
        <v>0</v>
      </c>
      <c r="N165" s="112">
        <f>VLOOKUP(Tabla12[[#This Row],[CÓDIGO DEL PRODUCTO Y/O SERVICIO ]],Tabla3[],21)</f>
        <v>0</v>
      </c>
      <c r="O165" s="368">
        <f>Tabla12[[#This Row],[CANTIDADES A UTILIZAR EN EL AÑO 4 1 ]]*(1+Tabla12[[#This Row],[CAMBIO PORCENTUAL EN UNIDADES VENDIDAS AÑO 5 1 ]])</f>
        <v>0</v>
      </c>
      <c r="P165" s="353">
        <f>IF(Tabla12[[#This Row],[CANTIDADES A UTILIZAR EN EL AÑO 1 1]]=0,0,Tabla12[[#This Row],[CANTIDADES A UTILIZAR EN EL AÑO 1 1]]*1/Tabla12[[#This Row],[UNIDADES PRODUCIDAS AÑO 1 1 ]])</f>
        <v>0</v>
      </c>
      <c r="Q165" s="353">
        <f>$C$128*(1+BASES!$E$10)</f>
        <v>0</v>
      </c>
      <c r="R165" s="353">
        <f>Tabla12[[#This Row],[COSTO UNITARIO AÑO 2 1 ]]*(1+BASES!$F$10)</f>
        <v>0</v>
      </c>
      <c r="S165" s="353">
        <f>Tabla12[[#This Row],[COSTO UNITARIO AÑO 3 1 ]]*(1+BASES!$G$10)</f>
        <v>0</v>
      </c>
      <c r="T165" s="353">
        <f>Tabla12[[#This Row],[COSTO UNITARIO AÑO 4 1 ]]*(1+BASES!$H$10)</f>
        <v>0</v>
      </c>
      <c r="U165" s="353">
        <f>Tabla12[[#This Row],[COSTO POR UNIDAD DE PRODUCTO (1)]]*$C$128*VLOOKUP(Tabla12[[#This Row],[CÓDIGO DEL PRODUCTO Y/O SERVICIO ]],Tabla3[],3)</f>
        <v>0</v>
      </c>
      <c r="V165" s="353">
        <f>Tabla12[[#This Row],[COSTO POR UNIDAD DE PRODUCTO (1)]]*Tabla12[[#This Row],[COSTO UNITARIO AÑO 2 1 ]]*VLOOKUP(Tabla12[[#This Row],[CÓDIGO DEL PRODUCTO Y/O SERVICIO ]],Tabla3[],6)</f>
        <v>0</v>
      </c>
      <c r="W165" s="353">
        <f>Tabla12[[#This Row],[COSTO POR UNIDAD DE PRODUCTO (1)]]*Tabla12[[#This Row],[COSTO UNITARIO AÑO 3 1 ]]*VLOOKUP(Tabla12[[#This Row],[CÓDIGO DEL PRODUCTO Y/O SERVICIO ]],Tabla3[],10)</f>
        <v>0</v>
      </c>
      <c r="X165" s="353">
        <f>Tabla12[[#This Row],[COSTO POR UNIDAD DE PRODUCTO (1)]]*Tabla12[[#This Row],[COSTO UNITARIO AÑO 4 1 ]]*VLOOKUP(Tabla12[[#This Row],[CÓDIGO DEL PRODUCTO Y/O SERVICIO ]],Tabla3[],14)</f>
        <v>0</v>
      </c>
      <c r="Y165" s="353">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53">
        <f>IF(Tabla12[[#This Row],[CANTIDADES A UTILIZAR EN EL AÑO 1 2 ]]=0,0,Tabla12[[#This Row],[CANTIDADES A UTILIZAR EN EL AÑO 1 2 ]]*1/Tabla12[[#This Row],[UNIDADES PRODUCIDAS AÑO 1 2]])</f>
        <v>0</v>
      </c>
      <c r="AK165" s="353">
        <f>$C$129*(1+BASES!$E$10)</f>
        <v>0</v>
      </c>
      <c r="AL165" s="353">
        <f>Tabla12[[#This Row],[COSTO UNITARIO AÑO 2 2]]*(1+BASES!$F$10)</f>
        <v>0</v>
      </c>
      <c r="AM165" s="353">
        <f>Tabla12[[#This Row],[COSTO UNITARIO AÑO 3 2 ]]*(1+BASES!$G$10)</f>
        <v>0</v>
      </c>
      <c r="AN165" s="353">
        <f>Tabla12[[#This Row],[COSTO UNITARIO AÑO 4 2 ]]*(1+BASES!$H$10)</f>
        <v>0</v>
      </c>
      <c r="AO165" s="353">
        <f>Tabla12[[#This Row],[COSTO POR UNIDAD DE PRODUCTO (2)]]*$C$129*VLOOKUP(Tabla12[[#This Row],[CÓDIGO DEL PRODUCTO Y/O SERVICIO ]],Tabla3[],3)</f>
        <v>0</v>
      </c>
      <c r="AP165" s="353">
        <f>Tabla12[[#This Row],[COSTO POR UNIDAD DE PRODUCTO (2)]]*Tabla12[[#This Row],[COSTO UNITARIO AÑO 2 2]]*VLOOKUP(Tabla12[[#This Row],[CÓDIGO DEL PRODUCTO Y/O SERVICIO ]],Tabla3[],6)</f>
        <v>0</v>
      </c>
      <c r="AQ165" s="353">
        <f>Tabla12[[#This Row],[COSTO POR UNIDAD DE PRODUCTO (2)]]*Tabla12[[#This Row],[COSTO UNITARIO AÑO 3 2 ]]*VLOOKUP(Tabla12[[#This Row],[CÓDIGO DEL PRODUCTO Y/O SERVICIO ]],Tabla3[],10)</f>
        <v>0</v>
      </c>
      <c r="AR165" s="353">
        <f>Tabla12[[#This Row],[COSTO POR UNIDAD DE PRODUCTO (2)]]*Tabla12[[#This Row],[COSTO UNITARIO AÑO 4 2 ]]*VLOOKUP(Tabla12[[#This Row],[CÓDIGO DEL PRODUCTO Y/O SERVICIO ]],Tabla3[],14)</f>
        <v>0</v>
      </c>
      <c r="AS165" s="353">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53">
        <f>IF(Tabla12[[#This Row],[CANTIDADES A UTILIZAR EN EL AÑO 1 3]]=0,0,Tabla12[[#This Row],[CANTIDADES A UTILIZAR EN EL AÑO 1 3]]*1/Tabla12[[#This Row],[UNIDADES PRODUCIDAS AÑO 1 3]])</f>
        <v>0</v>
      </c>
      <c r="BE165" s="353">
        <f>$C$130*(1+BASES!$E$10)</f>
        <v>0</v>
      </c>
      <c r="BF165" s="353">
        <f>Tabla12[[#This Row],[COSTO UNITARIO AÑO 2 3]]*(1+BASES!$F$10)</f>
        <v>0</v>
      </c>
      <c r="BG165" s="353">
        <f>Tabla12[[#This Row],[COSTO UNITARIO AÑO 3 3 ]]*(1+BASES!$G$10)</f>
        <v>0</v>
      </c>
      <c r="BH165" s="353">
        <f>Tabla12[[#This Row],[COSTO UNITARIO AÑO 4 3]]*(1+BASES!$H$10)</f>
        <v>0</v>
      </c>
      <c r="BI165" s="353">
        <f>Tabla12[[#This Row],[COSTO POR UNIDAD DE PRODUCTO (3)]]*$C$130*VLOOKUP(Tabla12[[#This Row],[CÓDIGO DEL PRODUCTO Y/O SERVICIO ]],Tabla3[],3)</f>
        <v>0</v>
      </c>
      <c r="BJ165" s="353">
        <f>Tabla12[[#This Row],[COSTO POR UNIDAD DE PRODUCTO (3)]]*Tabla12[[#This Row],[COSTO UNITARIO AÑO 2 3]]*VLOOKUP(Tabla12[[#This Row],[CÓDIGO DEL PRODUCTO Y/O SERVICIO ]],Tabla3[],6)</f>
        <v>0</v>
      </c>
      <c r="BK165" s="353">
        <f>Tabla12[[#This Row],[COSTO POR UNIDAD DE PRODUCTO (3)]]*Tabla12[[#This Row],[COSTO UNITARIO AÑO 3 3 ]]*VLOOKUP(Tabla12[[#This Row],[CÓDIGO DEL PRODUCTO Y/O SERVICIO ]],Tabla3[],10)</f>
        <v>0</v>
      </c>
      <c r="BL165" s="353">
        <f>Tabla12[[#This Row],[COSTO POR UNIDAD DE PRODUCTO (3)]]*Tabla12[[#This Row],[COSTO UNITARIO AÑO 4 3]]*VLOOKUP(Tabla12[[#This Row],[CÓDIGO DEL PRODUCTO Y/O SERVICIO ]],Tabla3[],14)</f>
        <v>0</v>
      </c>
      <c r="BM165" s="353">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53">
        <f>IF(Tabla12[[#This Row],[CANTIDADES A UTILIZAR EN EL AÑO 1 4]]=0,0,Tabla12[[#This Row],[CANTIDADES A UTILIZAR EN EL AÑO 1 4]]*1/Tabla12[[#This Row],[UNIDADES PRODUCIDAS AÑO 1 4]])</f>
        <v>0</v>
      </c>
      <c r="BY165" s="353">
        <f>$C$131*(1+BASES!$E$10)</f>
        <v>0</v>
      </c>
      <c r="BZ165" s="353">
        <f>Tabla12[[#This Row],[COSTO UNITARIO AÑO 2 4 ]]*(1+BASES!$F$10)</f>
        <v>0</v>
      </c>
      <c r="CA165" s="353">
        <f>Tabla12[[#This Row],[COSTO UNITARIO AÑO 3 4 ]]*(1+BASES!$G$10)</f>
        <v>0</v>
      </c>
      <c r="CB165" s="353">
        <f>Tabla12[[#This Row],[COSTO UNITARIO AÑO 4 4 ]]*(1+BASES!$H$10)</f>
        <v>0</v>
      </c>
      <c r="CC165" s="353">
        <f>Tabla12[[#This Row],[COSTO POR UNIDAD DE PRODUCTO (4)]]*$C$131*VLOOKUP(Tabla12[[#This Row],[CÓDIGO DEL PRODUCTO Y/O SERVICIO ]],Tabla3[],3)</f>
        <v>0</v>
      </c>
      <c r="CD165" s="353">
        <f>Tabla12[[#This Row],[COSTO POR UNIDAD DE PRODUCTO (4)]]*Tabla12[[#This Row],[COSTO UNITARIO AÑO 2 4 ]]*VLOOKUP(Tabla12[[#This Row],[CÓDIGO DEL PRODUCTO Y/O SERVICIO ]],Tabla3[],6)</f>
        <v>0</v>
      </c>
      <c r="CE165" s="353">
        <f>Tabla12[[#This Row],[COSTO POR UNIDAD DE PRODUCTO (4)]]*Tabla12[[#This Row],[COSTO UNITARIO AÑO 3 4 ]]*VLOOKUP(Tabla12[[#This Row],[CÓDIGO DEL PRODUCTO Y/O SERVICIO ]],Tabla3[],10)</f>
        <v>0</v>
      </c>
      <c r="CF165" s="353">
        <f>Tabla12[[#This Row],[COSTO POR UNIDAD DE PRODUCTO (4)]]*Tabla12[[#This Row],[COSTO UNITARIO AÑO 4 4 ]]*VLOOKUP(Tabla12[[#This Row],[CÓDIGO DEL PRODUCTO Y/O SERVICIO ]],Tabla3[],14)</f>
        <v>0</v>
      </c>
      <c r="CG165" s="353">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53">
        <f>IF(Tabla12[[#This Row],[CANTIDADES A UTILIZAR EN EL AÑO 1 5]]=0,0,Tabla12[[#This Row],[CANTIDADES A UTILIZAR EN EL AÑO 1 5]]*1/Tabla12[[#This Row],[UNIDADES PRODUCIDAS AÑO 1 5]])</f>
        <v>0</v>
      </c>
      <c r="CS165" s="353">
        <f>$C$132*(1+BASES!$E$10)</f>
        <v>0</v>
      </c>
      <c r="CT165" s="353">
        <f>Tabla12[[#This Row],[COSTO UNITARIO AÑO 2 5]]*(1+BASES!$F$10)</f>
        <v>0</v>
      </c>
      <c r="CU165" s="353">
        <f>Tabla12[[#This Row],[COSTO UNITARIO AÑO 3 5]]*(1+BASES!$G$10)</f>
        <v>0</v>
      </c>
      <c r="CV165" s="353">
        <f>Tabla12[[#This Row],[COSTO UNITARIO AÑO 4 5]]*(1+BASES!$H$10)</f>
        <v>0</v>
      </c>
      <c r="CW165" s="353">
        <f>Tabla12[[#This Row],[COSTO POR UNIDAD DE PRODUCTO (5)]]*$C$132*VLOOKUP(Tabla12[[#This Row],[CÓDIGO DEL PRODUCTO Y/O SERVICIO ]],Tabla3[],3)</f>
        <v>0</v>
      </c>
      <c r="CX165" s="353">
        <f>Tabla12[[#This Row],[COSTO POR UNIDAD DE PRODUCTO (5)]]*Tabla12[[#This Row],[COSTO UNITARIO AÑO 2 5]]*VLOOKUP(Tabla12[[#This Row],[CÓDIGO DEL PRODUCTO Y/O SERVICIO ]],Tabla3[],6)</f>
        <v>0</v>
      </c>
      <c r="CY165" s="353">
        <f>Tabla12[[#This Row],[COSTO POR UNIDAD DE PRODUCTO (5)]]*Tabla12[[#This Row],[COSTO UNITARIO AÑO 3 5]]*VLOOKUP(Tabla12[[#This Row],[CÓDIGO DEL PRODUCTO Y/O SERVICIO ]],Tabla3[],10)</f>
        <v>0</v>
      </c>
      <c r="CZ165" s="353">
        <f>Tabla12[[#This Row],[COSTO POR UNIDAD DE PRODUCTO (5)]]*Tabla12[[#This Row],[COSTO UNITARIO AÑO 4 5]]*VLOOKUP(Tabla12[[#This Row],[CÓDIGO DEL PRODUCTO Y/O SERVICIO ]],Tabla3[],14)</f>
        <v>0</v>
      </c>
      <c r="DA165" s="353">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53">
        <f>IF(Tabla12[[#This Row],[CANTIDADES A UTILIZAR EN EL AÑO 1 6]]=0,0,Tabla12[[#This Row],[CANTIDADES A UTILIZAR EN EL AÑO 1 6]]*1/Tabla12[[#This Row],[UNIDADES PRODUCIDAS AÑO 1 6]])</f>
        <v>0</v>
      </c>
      <c r="DM165" s="353">
        <f>$C$133*(1+BASES!$E$10)</f>
        <v>0</v>
      </c>
      <c r="DN165" s="353">
        <f>Tabla12[[#This Row],[COSTO UNITARIO AÑO 2 6]]*(1+BASES!$F$10)</f>
        <v>0</v>
      </c>
      <c r="DO165" s="353">
        <f>Tabla12[[#This Row],[COSTO UNITARIO AÑO 3 6]]*(1+BASES!$G$10)</f>
        <v>0</v>
      </c>
      <c r="DP165" s="353">
        <f>Tabla12[[#This Row],[COSTO UNITARIO AÑO 4 6]]*(1+BASES!$H$10)</f>
        <v>0</v>
      </c>
      <c r="DQ165" s="353">
        <f>Tabla12[[#This Row],[COSTO POR UNIDAD DE PRODUCTO (6)]]*$C$133*VLOOKUP(Tabla12[[#This Row],[CÓDIGO DEL PRODUCTO Y/O SERVICIO ]],Tabla3[],3)</f>
        <v>0</v>
      </c>
      <c r="DR165" s="353">
        <f>Tabla12[[#This Row],[COSTO POR UNIDAD DE PRODUCTO (6)]]*Tabla12[[#This Row],[COSTO UNITARIO AÑO 2 6]]*VLOOKUP(Tabla12[[#This Row],[CÓDIGO DEL PRODUCTO Y/O SERVICIO ]],Tabla3[],6)</f>
        <v>0</v>
      </c>
      <c r="DS165" s="353">
        <f>Tabla12[[#This Row],[COSTO POR UNIDAD DE PRODUCTO (6)]]*Tabla12[[#This Row],[COSTO UNITARIO AÑO 3 6]]*VLOOKUP(Tabla12[[#This Row],[CÓDIGO DEL PRODUCTO Y/O SERVICIO ]],Tabla3[],10)</f>
        <v>0</v>
      </c>
      <c r="DT165" s="353">
        <f>Tabla12[[#This Row],[COSTO POR UNIDAD DE PRODUCTO (6)]]*Tabla12[[#This Row],[COSTO UNITARIO AÑO 4 6]]*VLOOKUP(Tabla12[[#This Row],[CÓDIGO DEL PRODUCTO Y/O SERVICIO ]],Tabla3[],14)</f>
        <v>0</v>
      </c>
      <c r="DU165" s="353">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53">
        <f>IF(Tabla12[[#This Row],[CANTIDADES A UTILIZAR EN EL AÑO 1 7]]=0,0,Tabla12[[#This Row],[CANTIDADES A UTILIZAR EN EL AÑO 1 7]]*1/Tabla12[[#This Row],[UNIDADES PRODUCIDAS AÑO 1 7]])</f>
        <v>0</v>
      </c>
      <c r="EG165" s="353">
        <f>$C$134*(1+BASES!$E$10)</f>
        <v>0</v>
      </c>
      <c r="EH165" s="353">
        <f>Tabla12[[#This Row],[COSTO UNITARIO AÑO 2 7]]*(1+BASES!$F$10)</f>
        <v>0</v>
      </c>
      <c r="EI165" s="353">
        <f>Tabla12[[#This Row],[COSTO UNITARIO AÑO 3 7]]*(1+BASES!$G$10)</f>
        <v>0</v>
      </c>
      <c r="EJ165" s="353">
        <f>Tabla12[[#This Row],[COSTO UNITARIO AÑO 4 7]]*(1+BASES!$H$10)</f>
        <v>0</v>
      </c>
      <c r="EK165" s="353">
        <f>Tabla12[[#This Row],[COSTO POR UNIDAD DE PRODUCTO (7)]]*$C$134*VLOOKUP(Tabla12[[#This Row],[CÓDIGO DEL PRODUCTO Y/O SERVICIO ]],Tabla3[],3)</f>
        <v>0</v>
      </c>
      <c r="EL165" s="353">
        <f>Tabla12[[#This Row],[COSTO POR UNIDAD DE PRODUCTO (7)]]*Tabla12[[#This Row],[COSTO UNITARIO AÑO 2 7]]*VLOOKUP(Tabla12[[#This Row],[CÓDIGO DEL PRODUCTO Y/O SERVICIO ]],Tabla3[],6)</f>
        <v>0</v>
      </c>
      <c r="EM165" s="353">
        <f>Tabla12[[#This Row],[COSTO POR UNIDAD DE PRODUCTO (7)]]*Tabla12[[#This Row],[COSTO UNITARIO AÑO 3 7]]*VLOOKUP(Tabla12[[#This Row],[CÓDIGO DEL PRODUCTO Y/O SERVICIO ]],Tabla3[],10)</f>
        <v>0</v>
      </c>
      <c r="EN165" s="353">
        <f>Tabla12[[#This Row],[COSTO POR UNIDAD DE PRODUCTO (7)]]*Tabla12[[#This Row],[COSTO UNITARIO AÑO 4 7]]*VLOOKUP(Tabla12[[#This Row],[CÓDIGO DEL PRODUCTO Y/O SERVICIO ]],Tabla3[],14)</f>
        <v>0</v>
      </c>
      <c r="EO165" s="353">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53">
        <f>IF(Tabla12[[#This Row],[CANTIDADES A UTILIZAR EN EL AÑO 1 8]]=0,0,Tabla12[[#This Row],[CANTIDADES A UTILIZAR EN EL AÑO 1 8]]*1/Tabla12[[#This Row],[UNIDADES PRODUCIDAS AÑO 1 8]])</f>
        <v>0</v>
      </c>
      <c r="FA165" s="353">
        <f>$C$135*(1+BASES!$E$10)</f>
        <v>0</v>
      </c>
      <c r="FB165" s="353">
        <f>Tabla12[[#This Row],[COSTO UNITARIO AÑO 2 8]]*(1+BASES!$F$10)</f>
        <v>0</v>
      </c>
      <c r="FC165" s="353">
        <f>Tabla12[[#This Row],[COSTO UNITARIO AÑO 3 8]]*(1+BASES!$G$10)</f>
        <v>0</v>
      </c>
      <c r="FD165" s="353">
        <f>Tabla12[[#This Row],[COSTO UNITARIO AÑO 4 8]]*(1+BASES!$H$10)</f>
        <v>0</v>
      </c>
      <c r="FE165" s="353">
        <f>Tabla12[[#This Row],[COSTO POR UNIDAD DE PRODUCTO (8)]]*$C$135*VLOOKUP(Tabla12[[#This Row],[CÓDIGO DEL PRODUCTO Y/O SERVICIO ]],Tabla3[],3)</f>
        <v>0</v>
      </c>
      <c r="FF165" s="353">
        <f>Tabla12[[#This Row],[COSTO POR UNIDAD DE PRODUCTO (8)]]*Tabla12[[#This Row],[COSTO UNITARIO AÑO 2 8]]*VLOOKUP(Tabla12[[#This Row],[CÓDIGO DEL PRODUCTO Y/O SERVICIO ]],Tabla3[],6)</f>
        <v>0</v>
      </c>
      <c r="FG165" s="353">
        <f>Tabla12[[#This Row],[COSTO POR UNIDAD DE PRODUCTO (8)]]*Tabla12[[#This Row],[COSTO UNITARIO AÑO 3 8]]*VLOOKUP(Tabla12[[#This Row],[CÓDIGO DEL PRODUCTO Y/O SERVICIO ]],Tabla3[],10)</f>
        <v>0</v>
      </c>
      <c r="FH165" s="353">
        <f>Tabla12[[#This Row],[COSTO POR UNIDAD DE PRODUCTO (8)]]*Tabla12[[#This Row],[COSTO UNITARIO AÑO 4 8]]*VLOOKUP(Tabla12[[#This Row],[CÓDIGO DEL PRODUCTO Y/O SERVICIO ]],Tabla3[],14)</f>
        <v>0</v>
      </c>
      <c r="FI165" s="353">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53">
        <f>IF(Tabla12[[#This Row],[CANTIDADES A UTILIZAR EN EL AÑO 1 9]]=0,0,Tabla12[[#This Row],[CANTIDADES A UTILIZAR EN EL AÑO 1 9]]*1/Tabla12[[#This Row],[UNIDADES PRODUCIDAS AÑO 1 9 ]])</f>
        <v>0</v>
      </c>
      <c r="FU165" s="353">
        <f>$C$136*(1+BASES!$E$10)</f>
        <v>0</v>
      </c>
      <c r="FV165" s="353">
        <f>Tabla12[[#This Row],[COSTO UNITARIO AÑO 2 9]]*(1+BASES!$F$10)</f>
        <v>0</v>
      </c>
      <c r="FW165" s="353">
        <f>Tabla12[[#This Row],[COSTO UNITARIO AÑO 3 9]]*(1+BASES!$G$10)</f>
        <v>0</v>
      </c>
      <c r="FX165" s="353">
        <f>Tabla12[[#This Row],[COSTO UNITARIO AÑO 4 9]]*(1+BASES!$H$10)</f>
        <v>0</v>
      </c>
      <c r="FY165" s="353">
        <f>Tabla12[[#This Row],[COSTO POR UNIDAD DE PRODUCTO (9)]]*$C$136*VLOOKUP(Tabla12[[#This Row],[CÓDIGO DEL PRODUCTO Y/O SERVICIO ]],Tabla3[],3)</f>
        <v>0</v>
      </c>
      <c r="FZ165" s="353">
        <f>Tabla12[[#This Row],[COSTO POR UNIDAD DE PRODUCTO (9)]]*Tabla12[[#This Row],[COSTO UNITARIO AÑO 2 9]]*VLOOKUP(Tabla12[[#This Row],[CÓDIGO DEL PRODUCTO Y/O SERVICIO ]],Tabla3[],6)</f>
        <v>0</v>
      </c>
      <c r="GA165" s="353">
        <f>Tabla12[[#This Row],[COSTO POR UNIDAD DE PRODUCTO (9)]]*Tabla12[[#This Row],[COSTO UNITARIO AÑO 3 9]]*VLOOKUP(Tabla12[[#This Row],[CÓDIGO DEL PRODUCTO Y/O SERVICIO ]],Tabla3[],10)</f>
        <v>0</v>
      </c>
      <c r="GB165" s="353">
        <f>Tabla12[[#This Row],[COSTO POR UNIDAD DE PRODUCTO (9)]]*Tabla12[[#This Row],[COSTO UNITARIO AÑO 4 9]]*VLOOKUP(Tabla12[[#This Row],[CÓDIGO DEL PRODUCTO Y/O SERVICIO ]],Tabla3[],14)</f>
        <v>0</v>
      </c>
      <c r="GC165" s="353">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53">
        <f>IF(Tabla12[[#This Row],[CANTIDADES A UTILIZAR EN EL AÑO 1 10 ]]=0,0,Tabla12[[#This Row],[CANTIDADES A UTILIZAR EN EL AÑO 1 10 ]]*1/Tabla12[[#This Row],[UNIDADES PRODUCIDAS AÑO 1 10 ]])</f>
        <v>0</v>
      </c>
      <c r="GO165" s="353">
        <f>$C$137*(1+BASES!$E$10)</f>
        <v>0</v>
      </c>
      <c r="GP165" s="353">
        <f>Tabla12[[#This Row],[COSTO UNITARIO AÑO 2 10 ]]*(1+BASES!$F$10)</f>
        <v>0</v>
      </c>
      <c r="GQ165" s="353">
        <f>Tabla12[[#This Row],[COSTO UNITARIO AÑO 3 10 ]]*(1+BASES!$G$10)</f>
        <v>0</v>
      </c>
      <c r="GR165" s="353">
        <f>Tabla12[[#This Row],[COSTO UNITARIO AÑO 4 10]]*(1+BASES!$H$10)</f>
        <v>0</v>
      </c>
      <c r="GS165" s="353">
        <f>Tabla12[[#This Row],[COSTO POR UNIDAD DE PRODUCTO (10)]]*$C$137*VLOOKUP(Tabla12[[#This Row],[CÓDIGO DEL PRODUCTO Y/O SERVICIO ]],Tabla3[],3)</f>
        <v>0</v>
      </c>
      <c r="GT165" s="353">
        <f>Tabla12[[#This Row],[COSTO POR UNIDAD DE PRODUCTO (10)]]*Tabla12[[#This Row],[COSTO UNITARIO AÑO 2 10 ]]*VLOOKUP(Tabla12[[#This Row],[CÓDIGO DEL PRODUCTO Y/O SERVICIO ]],Tabla3[],6)</f>
        <v>0</v>
      </c>
      <c r="GU165" s="353">
        <f>Tabla12[[#This Row],[COSTO POR UNIDAD DE PRODUCTO (10)]]*Tabla12[[#This Row],[COSTO UNITARIO AÑO 3 10 ]]*VLOOKUP(Tabla12[[#This Row],[CÓDIGO DEL PRODUCTO Y/O SERVICIO ]],Tabla3[],10)</f>
        <v>0</v>
      </c>
      <c r="GV165" s="353">
        <f>Tabla12[[#This Row],[COSTO POR UNIDAD DE PRODUCTO (10)]]*Tabla12[[#This Row],[COSTO UNITARIO AÑO 4 10]]*VLOOKUP(Tabla12[[#This Row],[CÓDIGO DEL PRODUCTO Y/O SERVICIO ]],Tabla3[],14)</f>
        <v>0</v>
      </c>
      <c r="GW165" s="353">
        <f>Tabla12[[#This Row],[COSTO POR UNIDAD DE PRODUCTO (10)]]*Tabla12[[#This Row],[COSTO UNITARIO AÑO 5 10 ]]*VLOOKUP(Tabla12[[#This Row],[CÓDIGO DEL PRODUCTO Y/O SERVICIO ]],Tabla3[],18)</f>
        <v>0</v>
      </c>
      <c r="GX165" s="390">
        <f>Tabla12[[#This Row],[AÑO 1 10 ]]+Tabla12[[#This Row],[AÑO 1 9 ]]+Tabla12[[#This Row],[AÑO 1 8]]+Tabla12[[#This Row],[AÑO 1 7]]+Tabla12[[#This Row],[AÑO 1 6]]+Tabla12[[#This Row],[AÑO 1 5]]+Tabla12[[#This Row],[AÑO 1 4 ]]+Tabla12[[#This Row],[AÑO 1 3]]+Tabla12[[#This Row],[AÑO 1 2]]+Tabla12[[#This Row],[AÑO 1 1]]</f>
        <v>0</v>
      </c>
      <c r="GY165" s="390">
        <f>Tabla12[[#This Row],[AÑO 2 10 ]]+Tabla12[[#This Row],[AÑO 2 9 ]]+Tabla12[[#This Row],[AÑO 2 8]]+Tabla12[[#This Row],[AÑO 2 7]]+Tabla12[[#This Row],[AÑO 2 6]]+Tabla12[[#This Row],[AÑO 2 5]]+Tabla12[[#This Row],[AÑO 2 4 ]]+Tabla12[[#This Row],[AÑO 2 3]]+Tabla12[[#This Row],[AÑO 2 2 ]]+Tabla12[[#This Row],[AÑO 2 1 ]]</f>
        <v>0</v>
      </c>
      <c r="GZ165" s="390">
        <f>Tabla12[[#This Row],[AÑO 3 10 ]]+Tabla12[[#This Row],[AÑO 3 9]]+Tabla12[[#This Row],[AÑO 3 8]]+Tabla12[[#This Row],[AÑO 3 7]]+Tabla12[[#This Row],[AÑO 3 6]]+Tabla12[[#This Row],[AÑO 3 5]]+Tabla12[[#This Row],[AÑO 3 4 ]]+Tabla12[[#This Row],[AÑO 3 3 ]]+Tabla12[[#This Row],[AÑO 3 2 ]]+Tabla12[[#This Row],[AÑO 3 1 ]]</f>
        <v>0</v>
      </c>
      <c r="HA165" s="390">
        <f>Tabla12[[#This Row],[AÑO 4 10 ]]+Tabla12[[#This Row],[AÑO 4 9]]+Tabla12[[#This Row],[AÑO 4 8]]+Tabla12[[#This Row],[AÑO 4 7]]+Tabla12[[#This Row],[AÑO 4 6]]+Tabla12[[#This Row],[AÑO 4 5]]+Tabla12[[#This Row],[AÑO 4 4 ]]+Tabla12[[#This Row],[AÑO 4 3 ]]+Tabla12[[#This Row],[AÑO 4 2 ]]+Tabla12[[#This Row],[AÑO 4 1 ]]</f>
        <v>0</v>
      </c>
      <c r="HB165" s="390">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9">
        <f>SUM(Tabla12[AÑO 1 1])</f>
        <v>0</v>
      </c>
      <c r="V175" s="389">
        <f>SUM(Tabla12[[AÑO 2 1 ]])</f>
        <v>0</v>
      </c>
      <c r="W175" s="389">
        <f>SUM(Tabla12[[AÑO 3 1 ]])</f>
        <v>0</v>
      </c>
      <c r="X175" s="389">
        <f>SUM(Tabla12[[AÑO 4 1 ]])</f>
        <v>0</v>
      </c>
      <c r="Y175" s="389">
        <f>SUM(Tabla12[[AÑO 5 1 ]])</f>
        <v>0</v>
      </c>
      <c r="AO175" s="389">
        <f>SUM(Tabla12[AÑO 1 2])</f>
        <v>0</v>
      </c>
      <c r="AP175" s="389">
        <f>SUM(Tabla12[[AÑO 2 2 ]])</f>
        <v>0</v>
      </c>
      <c r="AQ175" s="389">
        <f>SUM(Tabla12[[AÑO 3 2 ]])</f>
        <v>0</v>
      </c>
      <c r="AR175" s="389">
        <f>SUM(Tabla12[[AÑO 4 2 ]])</f>
        <v>0</v>
      </c>
      <c r="AS175" s="389">
        <f>SUM(Tabla12[[AÑO 5 2 ]])</f>
        <v>0</v>
      </c>
      <c r="BI175" s="389">
        <f>SUM(Tabla12[AÑO 1 3])</f>
        <v>0</v>
      </c>
      <c r="BJ175" s="389">
        <f>SUM(Tabla12[AÑO 2 3])</f>
        <v>0</v>
      </c>
      <c r="BK175" s="389">
        <f>SUM(Tabla12[[AÑO 3 3 ]])</f>
        <v>0</v>
      </c>
      <c r="BL175" s="389">
        <f>SUM(Tabla12[[AÑO 4 3 ]])</f>
        <v>0</v>
      </c>
      <c r="BM175" s="389">
        <f>SUM(Tabla12[[AÑO 5 3 ]])</f>
        <v>0</v>
      </c>
      <c r="CC175" s="389">
        <f>SUM(Tabla12[[AÑO 1 4 ]])</f>
        <v>0</v>
      </c>
      <c r="CD175" s="389">
        <f>SUM(Tabla12[[AÑO 2 4 ]])</f>
        <v>0</v>
      </c>
      <c r="CE175" s="389">
        <f>SUM(Tabla12[[AÑO 3 4 ]])</f>
        <v>0</v>
      </c>
      <c r="CF175" s="389">
        <f>SUM(Tabla12[[AÑO 4 4 ]])</f>
        <v>0</v>
      </c>
      <c r="CG175" s="389">
        <f>SUM(Tabla12[[AÑO 5 4 ]])</f>
        <v>0</v>
      </c>
      <c r="CW175" s="389">
        <f>SUM(Tabla12[AÑO 1 5])</f>
        <v>0</v>
      </c>
      <c r="CX175" s="389">
        <f>SUM(Tabla12[AÑO 2 5])</f>
        <v>0</v>
      </c>
      <c r="CY175" s="389">
        <f>SUM(Tabla12[AÑO 3 5])</f>
        <v>0</v>
      </c>
      <c r="CZ175" s="389">
        <f>SUM(Tabla12[AÑO 4 5])</f>
        <v>0</v>
      </c>
      <c r="DA175" s="389">
        <f>SUM(Tabla12[AÑO 5 5])</f>
        <v>0</v>
      </c>
      <c r="DQ175" s="389">
        <f>SUM(Tabla12[AÑO 1 6])</f>
        <v>0</v>
      </c>
      <c r="DR175" s="389">
        <f>SUM(Tabla12[AÑO 2 6])</f>
        <v>0</v>
      </c>
      <c r="DS175" s="389">
        <f>SUM(Tabla12[AÑO 3 6])</f>
        <v>0</v>
      </c>
      <c r="DT175" s="389">
        <f>SUM(Tabla12[AÑO 4 6])</f>
        <v>0</v>
      </c>
      <c r="DU175" s="389">
        <f>SUM(Tabla12[AÑO 5 6])</f>
        <v>0</v>
      </c>
      <c r="EK175" s="389">
        <f>SUM(Tabla12[AÑO 1 7])</f>
        <v>0</v>
      </c>
      <c r="EL175" s="389">
        <f>SUM(Tabla12[AÑO 2 7])</f>
        <v>0</v>
      </c>
      <c r="EM175" s="389">
        <f>SUM(Tabla12[AÑO 3 7])</f>
        <v>0</v>
      </c>
      <c r="EN175" s="389">
        <f>SUM(Tabla12[AÑO 4 7])</f>
        <v>0</v>
      </c>
      <c r="EO175" s="389">
        <f>SUM(Tabla12[AÑO 5 7])</f>
        <v>0</v>
      </c>
      <c r="FE175" s="389">
        <f>SUM(Tabla12[AÑO 1 8])</f>
        <v>0</v>
      </c>
      <c r="FF175" s="389">
        <f>SUM(Tabla12[AÑO 2 8])</f>
        <v>0</v>
      </c>
      <c r="FG175" s="389">
        <f>SUM(Tabla12[AÑO 3 8])</f>
        <v>0</v>
      </c>
      <c r="FH175" s="389">
        <f>SUM(Tabla12[AÑO 4 8])</f>
        <v>0</v>
      </c>
      <c r="FI175" s="389">
        <f>SUM(Tabla12[AÑO 5 8])</f>
        <v>0</v>
      </c>
      <c r="FY175" s="389">
        <f>SUM(Tabla12[[AÑO 1 9 ]])</f>
        <v>0</v>
      </c>
      <c r="FZ175" s="389">
        <f>SUM(Tabla12[[AÑO 2 9 ]])</f>
        <v>0</v>
      </c>
      <c r="GA175" s="389">
        <f>SUM(Tabla12[AÑO 3 9])</f>
        <v>0</v>
      </c>
      <c r="GB175" s="389">
        <f>SUM(Tabla12[AÑO 4 9])</f>
        <v>0</v>
      </c>
      <c r="GC175" s="389">
        <f>SUM(Tabla12[AÑO 5 9])</f>
        <v>0</v>
      </c>
      <c r="GS175" s="389">
        <f>SUM(Tabla12[[AÑO 1 10 ]])</f>
        <v>0</v>
      </c>
      <c r="GT175" s="389">
        <f>SUM(Tabla12[[AÑO 2 10 ]])</f>
        <v>0</v>
      </c>
      <c r="GU175" s="389">
        <f>SUM(Tabla12[[AÑO 3 10 ]])</f>
        <v>0</v>
      </c>
      <c r="GV175" s="389">
        <f>SUM(Tabla12[[AÑO 4 10 ]])</f>
        <v>0</v>
      </c>
      <c r="GW175" s="389">
        <f>SUM(Tabla12[[AÑO 5 10 ]])</f>
        <v>0</v>
      </c>
    </row>
    <row r="178" spans="3:25" ht="15.75" x14ac:dyDescent="0.25">
      <c r="C178" s="104"/>
      <c r="D178" s="386" t="s">
        <v>860</v>
      </c>
      <c r="E178" s="386"/>
      <c r="F178" s="386" t="s">
        <v>861</v>
      </c>
      <c r="G178" s="386" t="s">
        <v>445</v>
      </c>
      <c r="H178" s="386" t="s">
        <v>446</v>
      </c>
      <c r="I178" s="386" t="s">
        <v>447</v>
      </c>
    </row>
    <row r="179" spans="3:25" ht="15.75" x14ac:dyDescent="0.25">
      <c r="C179" s="92" t="s">
        <v>45</v>
      </c>
      <c r="D179" s="392">
        <f>U67+AO67+BI67+CC67+CW67+DQ67+EK67+FE67+FY67+GS67+HM67+IG67+JA67+JU67+KO67+LI67+MC67+MW67+NQ67+OK67</f>
        <v>0</v>
      </c>
      <c r="E179" s="392">
        <f>V67+AP67+BJ67+CD67+CX67+DR67+EL67+FF67+FZ67+GT67+HN67+IH67+JB67+JV67+KP67+LJ67+MD67+MX67+NR67+OL67</f>
        <v>0</v>
      </c>
      <c r="F179" s="392">
        <f>V67+AP67+BJ67+CD67+CX67+DR67+EL67+FF67+FZ67+GT67+HN67+IH67+JB67+JV67+KP67+LJ67+MD67+MX67+NR67+OL67</f>
        <v>0</v>
      </c>
      <c r="G179" s="392">
        <f>W67+AQ67+BK67+CE67+CY67+DS67+EM67+FG67+GA67+GU67+HO67+II67+JC67+JW67+KQ67+LK67+ME67+MY67+NS67+OM67</f>
        <v>0</v>
      </c>
      <c r="H179" s="392">
        <f>X67+AR67+BL67+CF67+CZ67+DT67+EN67+FH67+GB67+GV67+HP67+IJ67+JD67+JX67+KR67+LL67+MF67+MZ67+NT67+ON67</f>
        <v>0</v>
      </c>
      <c r="I179" s="392">
        <f>Y67+AS67+BM67+CG67+DA67+DU67+EO67+FI67+GC67+GW67+HQ67+IK67+JE67+JY67+KS67+LM67+MG67+NA67+NU67+OO67</f>
        <v>0</v>
      </c>
    </row>
    <row r="180" spans="3:25" ht="15.75" x14ac:dyDescent="0.25">
      <c r="C180" s="92" t="s">
        <v>46</v>
      </c>
      <c r="D180" s="392">
        <f>U119+AO119+BI119+CC119+CW119+DQ119+EK119+FE119+FY119+GS119</f>
        <v>0</v>
      </c>
      <c r="E180" s="392">
        <f>V119+AP119+BJ119+CD119+CX119+DR119+EL119+FF119+FZ119+GT119</f>
        <v>0</v>
      </c>
      <c r="F180" s="392">
        <f>V119+AP119+BJ119+CD119+CX119+DR119+EL119+FF119+FZ119+GT119</f>
        <v>0</v>
      </c>
      <c r="G180" s="392">
        <f>W119+AQ119+BK119+CE119+CY119+DS119+EM119+FG119+GA119+GU119</f>
        <v>0</v>
      </c>
      <c r="H180" s="392">
        <f>X119+AR119+BL119+CF119+CZ119+DT119+EN119+FH119+GB119+GV119</f>
        <v>0</v>
      </c>
      <c r="I180" s="392">
        <f>Y119+AS119+BM119+CG119+DA119+DU119+EO119+FI119+GC119+GW119</f>
        <v>0</v>
      </c>
    </row>
    <row r="181" spans="3:25" ht="16.5" thickBot="1" x14ac:dyDescent="0.3">
      <c r="C181" s="393" t="s">
        <v>862</v>
      </c>
      <c r="D181" s="394">
        <f>U175+AO175+BI175+CC175+CW175+DQ175+EK175+FE175+FY175+GS175</f>
        <v>0</v>
      </c>
      <c r="E181" s="394">
        <f t="shared" ref="E181" si="0">V175+AP175+BJ175+CD175+CX175+DR175+EL175+FF175+FZ175+GT175</f>
        <v>0</v>
      </c>
      <c r="F181" s="394">
        <f>V175+AP175+BJ175+CD175+CX175+DR175+EL175+FF175+FZ175+GT175</f>
        <v>0</v>
      </c>
      <c r="G181" s="394">
        <f>W175+AQ175+BK175+CE175+CY175+DS175+EM175+FG175+GA175+GU175</f>
        <v>0</v>
      </c>
      <c r="H181" s="394">
        <f>X175+AR175+BL175+CF175+CZ175+DT175+EN175+FH175+GB175+GV175</f>
        <v>0</v>
      </c>
      <c r="I181" s="394">
        <f>Y175+AS175+BM175+CG175+DA175+DU175+EO175+FI175+GC175+GW175</f>
        <v>0</v>
      </c>
    </row>
    <row r="182" spans="3:25" ht="16.5" thickBot="1" x14ac:dyDescent="0.3">
      <c r="C182" s="395" t="s">
        <v>47</v>
      </c>
      <c r="D182" s="396">
        <f>SUM(D179:D181)</f>
        <v>0</v>
      </c>
      <c r="E182" s="396">
        <f t="shared" ref="E182:I182" si="1">SUM(E179:E181)</f>
        <v>0</v>
      </c>
      <c r="F182" s="396">
        <f t="shared" si="1"/>
        <v>0</v>
      </c>
      <c r="G182" s="396">
        <f t="shared" si="1"/>
        <v>0</v>
      </c>
      <c r="H182" s="396">
        <f>SUM(H179:H181)</f>
        <v>0</v>
      </c>
      <c r="I182" s="396">
        <f t="shared" si="1"/>
        <v>0</v>
      </c>
    </row>
    <row r="189" spans="3:25" ht="15.75" x14ac:dyDescent="0.25">
      <c r="C189" s="634" t="s">
        <v>53</v>
      </c>
      <c r="D189" s="634"/>
      <c r="E189" s="634"/>
      <c r="F189" s="634"/>
      <c r="G189" s="634"/>
      <c r="H189" s="634"/>
      <c r="I189" s="634"/>
      <c r="J189" s="634"/>
      <c r="K189" s="634"/>
      <c r="L189" s="634"/>
      <c r="M189" s="634"/>
      <c r="N189" s="634"/>
      <c r="O189" s="634"/>
      <c r="P189" s="634"/>
      <c r="Q189" s="634"/>
      <c r="R189" s="634"/>
      <c r="S189" s="634"/>
      <c r="T189" s="634"/>
      <c r="U189" s="549" t="s">
        <v>54</v>
      </c>
      <c r="V189" s="549"/>
      <c r="W189" s="549"/>
      <c r="X189" s="549"/>
      <c r="Y189" s="549"/>
    </row>
    <row r="190" spans="3:25" ht="15.75" x14ac:dyDescent="0.25">
      <c r="C190" s="397"/>
      <c r="D190" s="397"/>
      <c r="E190" s="398"/>
      <c r="F190" s="630" t="s">
        <v>43</v>
      </c>
      <c r="G190" s="630"/>
      <c r="H190" s="630"/>
      <c r="I190" s="630"/>
      <c r="J190" s="630"/>
      <c r="K190" s="631" t="s">
        <v>44</v>
      </c>
      <c r="L190" s="631"/>
      <c r="M190" s="631"/>
      <c r="N190" s="631"/>
      <c r="O190" s="631"/>
      <c r="P190" s="632" t="s">
        <v>102</v>
      </c>
      <c r="Q190" s="632"/>
      <c r="R190" s="632"/>
      <c r="S190" s="632"/>
      <c r="T190" s="633"/>
      <c r="U190" s="549"/>
      <c r="V190" s="549"/>
      <c r="W190" s="549"/>
      <c r="X190" s="549"/>
      <c r="Y190" s="549"/>
    </row>
    <row r="191" spans="3:25" ht="15.75" x14ac:dyDescent="0.25">
      <c r="C191" s="376" t="s">
        <v>437</v>
      </c>
      <c r="D191" s="376" t="s">
        <v>438</v>
      </c>
      <c r="E191" s="376" t="s">
        <v>442</v>
      </c>
      <c r="F191" s="399" t="s">
        <v>860</v>
      </c>
      <c r="G191" s="399" t="s">
        <v>861</v>
      </c>
      <c r="H191" s="399" t="s">
        <v>445</v>
      </c>
      <c r="I191" s="399" t="s">
        <v>51</v>
      </c>
      <c r="J191" s="399" t="s">
        <v>447</v>
      </c>
      <c r="K191" s="399" t="s">
        <v>863</v>
      </c>
      <c r="L191" s="399" t="s">
        <v>864</v>
      </c>
      <c r="M191" s="399" t="s">
        <v>865</v>
      </c>
      <c r="N191" s="399" t="s">
        <v>866</v>
      </c>
      <c r="O191" s="399" t="s">
        <v>867</v>
      </c>
      <c r="P191" s="399" t="s">
        <v>868</v>
      </c>
      <c r="Q191" s="399" t="s">
        <v>869</v>
      </c>
      <c r="R191" s="399" t="s">
        <v>870</v>
      </c>
      <c r="S191" s="399" t="s">
        <v>871</v>
      </c>
      <c r="T191" s="399" t="s">
        <v>887</v>
      </c>
      <c r="U191" s="399" t="s">
        <v>888</v>
      </c>
      <c r="V191" s="399" t="s">
        <v>889</v>
      </c>
      <c r="W191" s="399" t="s">
        <v>890</v>
      </c>
      <c r="X191" s="399" t="s">
        <v>891</v>
      </c>
      <c r="Y191" s="399" t="s">
        <v>892</v>
      </c>
    </row>
    <row r="192" spans="3:25" ht="15.75" x14ac:dyDescent="0.25">
      <c r="C192" s="445">
        <v>0</v>
      </c>
      <c r="D192" s="382" t="str">
        <f>VLOOKUP(Tabla15[[#This Row],[CÓDIGO DEL PRODUCTO Y/O SERVICIO ]],Tabla3[],2,0)</f>
        <v xml:space="preserve">Seleccionar producto o servicio </v>
      </c>
      <c r="E192" s="382"/>
      <c r="F192" s="400">
        <f>IF(F55=0,0,OP55/F55)</f>
        <v>0</v>
      </c>
      <c r="G192" s="400">
        <f>IF(PRODUCTO_O_SERVICIO!G20=0,0,COSTOS_DE_PRODUCCION!OQ55/PRODUCTO_O_SERVICIO!G20)</f>
        <v>0</v>
      </c>
      <c r="H192" s="400">
        <f>IF(PRODUCTO_O_SERVICIO!K20=0,0,COSTOS_DE_PRODUCCION!OR55/PRODUCTO_O_SERVICIO!K20)</f>
        <v>0</v>
      </c>
      <c r="I192" s="400">
        <f>IF(PRODUCTO_O_SERVICIO!O20=0,0,COSTOS_DE_PRODUCCION!OS55/PRODUCTO_O_SERVICIO!O20)</f>
        <v>0</v>
      </c>
      <c r="J192" s="400">
        <f>IF(PRODUCTO_O_SERVICIO!S20=0,0,COSTOS_DE_PRODUCCION!OT55/PRODUCTO_O_SERVICIO!S20)</f>
        <v>0</v>
      </c>
      <c r="K192" s="400">
        <f>IF(PRODUCTO_O_SERVICIO!D20=0,0,COSTOS_DE_PRODUCCION!GX107/PRODUCTO_O_SERVICIO!D20)</f>
        <v>0</v>
      </c>
      <c r="L192" s="400">
        <f>IF(PRODUCTO_O_SERVICIO!G20=0,0,COSTOS_DE_PRODUCCION!GY107/PRODUCTO_O_SERVICIO!G20)</f>
        <v>0</v>
      </c>
      <c r="M192" s="400">
        <f>IF(PRODUCTO_O_SERVICIO!K20=0,0,COSTOS_DE_PRODUCCION!GZ107/PRODUCTO_O_SERVICIO!K20)</f>
        <v>0</v>
      </c>
      <c r="N192" s="400">
        <f>IF(PRODUCTO_O_SERVICIO!O20=0,0,COSTOS_DE_PRODUCCION!HA107/PRODUCTO_O_SERVICIO!O20)</f>
        <v>0</v>
      </c>
      <c r="O192" s="400">
        <f>IF(PRODUCTO_O_SERVICIO!S20=0,0,COSTOS_DE_PRODUCCION!HB107/PRODUCTO_O_SERVICIO!S20)</f>
        <v>0</v>
      </c>
      <c r="P192" s="400">
        <f>IF(PRODUCTO_O_SERVICIO!D20=0,0,COSTOS_DE_PRODUCCION!GX164/PRODUCTO_O_SERVICIO!D20)</f>
        <v>0</v>
      </c>
      <c r="Q192" s="400">
        <f>IF(PRODUCTO_O_SERVICIO!G20=0,0,COSTOS_DE_PRODUCCION!GY164/PRODUCTO_O_SERVICIO!G20)</f>
        <v>0</v>
      </c>
      <c r="R192" s="400">
        <f>IF(PRODUCTO_O_SERVICIO!K20=0,0,COSTOS_DE_PRODUCCION!GZ164/PRODUCTO_O_SERVICIO!K20)</f>
        <v>0</v>
      </c>
      <c r="S192" s="400">
        <f>IF(PRODUCTO_O_SERVICIO!O20=0,0,COSTOS_DE_PRODUCCION!HA164/PRODUCTO_O_SERVICIO!O20)</f>
        <v>0</v>
      </c>
      <c r="T192" s="400">
        <f>IF(PRODUCTO_O_SERVICIO!S20=0,0,COSTOS_DE_PRODUCCION!HB164/PRODUCTO_O_SERVICIO!S20)</f>
        <v>0</v>
      </c>
      <c r="U192" s="400">
        <f>Tabla15[[#This Row],[AÑO 1 ]]+Tabla15[[#This Row],[AÑO 1 2]]+Tabla15[[#This Row],[AÑO 1 3]]</f>
        <v>0</v>
      </c>
      <c r="V192" s="400">
        <f>Tabla15[[#This Row],[AÑO 2 ]]+Tabla15[[#This Row],[AÑO 2 2]]+Tabla15[[#This Row],[AÑO 2 3]]</f>
        <v>0</v>
      </c>
      <c r="W192" s="400">
        <f>Tabla15[[#This Row],[AÑO 3 ]]+Tabla15[[#This Row],[AÑO 3 2]]+Tabla15[[#This Row],[AÑO 3 3]]</f>
        <v>0</v>
      </c>
      <c r="X192" s="400">
        <f>Tabla15[[#This Row],[AÑO 4]]+Tabla15[[#This Row],[AÑO 4 2]]+Tabla15[[#This Row],[AÑO 4 3 ]]</f>
        <v>0</v>
      </c>
      <c r="Y192" s="400">
        <f>Tabla15[[#This Row],[AÑO 5 ]]+Tabla15[[#This Row],[AÑO 5 2]]+Tabla15[[#This Row],[AÑO 5 3]]</f>
        <v>0</v>
      </c>
    </row>
    <row r="193" spans="3:25" ht="15.75" x14ac:dyDescent="0.25">
      <c r="C193" s="371"/>
      <c r="D193" s="501" t="str">
        <f>VLOOKUP(Tabla15[[#This Row],[CÓDIGO DEL PRODUCTO Y/O SERVICIO ]],Tabla3[],2,0)</f>
        <v xml:space="preserve">Seleccionar producto o servicio </v>
      </c>
      <c r="E193" s="382"/>
      <c r="F193" s="400">
        <f>IF(F56=0,0,OP56/F56)</f>
        <v>0</v>
      </c>
      <c r="G193" s="400">
        <f>IF(PRODUCTO_O_SERVICIO!G21=0,0,COSTOS_DE_PRODUCCION!OQ56/PRODUCTO_O_SERVICIO!G21)</f>
        <v>0</v>
      </c>
      <c r="H193" s="400">
        <f>IF(PRODUCTO_O_SERVICIO!K21=0,0,COSTOS_DE_PRODUCCION!OR56/PRODUCTO_O_SERVICIO!K21)</f>
        <v>0</v>
      </c>
      <c r="I193" s="400">
        <f>IF(PRODUCTO_O_SERVICIO!O21=0,0,COSTOS_DE_PRODUCCION!OS56/PRODUCTO_O_SERVICIO!O21)</f>
        <v>0</v>
      </c>
      <c r="J193" s="400">
        <f>IF(PRODUCTO_O_SERVICIO!S21=0,0,COSTOS_DE_PRODUCCION!OT56/PRODUCTO_O_SERVICIO!S21)</f>
        <v>0</v>
      </c>
      <c r="K193" s="400">
        <f>IF(PRODUCTO_O_SERVICIO!D21=0,0,COSTOS_DE_PRODUCCION!GX108/PRODUCTO_O_SERVICIO!D21)</f>
        <v>0</v>
      </c>
      <c r="L193" s="400">
        <f>IF(PRODUCTO_O_SERVICIO!G21=0,0,COSTOS_DE_PRODUCCION!GY108/PRODUCTO_O_SERVICIO!G21)</f>
        <v>0</v>
      </c>
      <c r="M193" s="400">
        <f>IF(PRODUCTO_O_SERVICIO!K21=0,0,COSTOS_DE_PRODUCCION!GZ108/PRODUCTO_O_SERVICIO!K21)</f>
        <v>0</v>
      </c>
      <c r="N193" s="400">
        <f>IF(PRODUCTO_O_SERVICIO!O21=0,0,COSTOS_DE_PRODUCCION!HA108/PRODUCTO_O_SERVICIO!O21)</f>
        <v>0</v>
      </c>
      <c r="O193" s="400">
        <f>IF(PRODUCTO_O_SERVICIO!S21=0,0,COSTOS_DE_PRODUCCION!HB108/PRODUCTO_O_SERVICIO!S21)</f>
        <v>0</v>
      </c>
      <c r="P193" s="400">
        <f>IF(PRODUCTO_O_SERVICIO!D21=0,0,COSTOS_DE_PRODUCCION!GX165/PRODUCTO_O_SERVICIO!D21)</f>
        <v>0</v>
      </c>
      <c r="Q193" s="400">
        <f>IF(PRODUCTO_O_SERVICIO!G21=0,0,COSTOS_DE_PRODUCCION!GY165/PRODUCTO_O_SERVICIO!G21)</f>
        <v>0</v>
      </c>
      <c r="R193" s="400">
        <f>IF(PRODUCTO_O_SERVICIO!K21=0,0,COSTOS_DE_PRODUCCION!GZ165/PRODUCTO_O_SERVICIO!K21)</f>
        <v>0</v>
      </c>
      <c r="S193" s="400">
        <f>IF(PRODUCTO_O_SERVICIO!O21=0,0,COSTOS_DE_PRODUCCION!HA165/PRODUCTO_O_SERVICIO!O21)</f>
        <v>0</v>
      </c>
      <c r="T193" s="400">
        <f>IF(PRODUCTO_O_SERVICIO!S21=0,0,COSTOS_DE_PRODUCCION!HB165/PRODUCTO_O_SERVICIO!S21)</f>
        <v>0</v>
      </c>
      <c r="U193" s="400">
        <f>Tabla15[[#This Row],[AÑO 1 ]]+Tabla15[[#This Row],[AÑO 1 2]]+Tabla15[[#This Row],[AÑO 1 3]]</f>
        <v>0</v>
      </c>
      <c r="V193" s="400">
        <f>Tabla15[[#This Row],[AÑO 2 ]]+Tabla15[[#This Row],[AÑO 2 2]]+Tabla15[[#This Row],[AÑO 2 3]]</f>
        <v>0</v>
      </c>
      <c r="W193" s="400">
        <f>Tabla15[[#This Row],[AÑO 3 ]]+Tabla15[[#This Row],[AÑO 3 2]]+Tabla15[[#This Row],[AÑO 3 3]]</f>
        <v>0</v>
      </c>
      <c r="X193" s="400">
        <f>Tabla15[[#This Row],[AÑO 4]]+Tabla15[[#This Row],[AÑO 4 2]]+Tabla15[[#This Row],[AÑO 4 3 ]]</f>
        <v>0</v>
      </c>
      <c r="Y193" s="400">
        <f>Tabla15[[#This Row],[AÑO 5 ]]+Tabla15[[#This Row],[AÑO 5 2]]+Tabla15[[#This Row],[AÑO 5 3]]</f>
        <v>0</v>
      </c>
    </row>
  </sheetData>
  <sheetProtection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F190:J190"/>
    <mergeCell ref="K190:O190"/>
    <mergeCell ref="P190:T190"/>
    <mergeCell ref="C189:T189"/>
    <mergeCell ref="U162:Y162"/>
    <mergeCell ref="P162:T162"/>
    <mergeCell ref="F161:Y161"/>
    <mergeCell ref="AO162:AS162"/>
    <mergeCell ref="AJ162:AN162"/>
    <mergeCell ref="Z161:AS161"/>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8:O88"/>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OK53:OO53"/>
    <mergeCell ref="OF53:OJ53"/>
    <mergeCell ref="NV52:OO52"/>
    <mergeCell ref="MW53:NA53"/>
    <mergeCell ref="MR53:MV53"/>
    <mergeCell ref="MH52:NA52"/>
    <mergeCell ref="NQ53:NU53"/>
    <mergeCell ref="NL53:NP53"/>
    <mergeCell ref="NB52:NU52"/>
    <mergeCell ref="LD53:LH53"/>
    <mergeCell ref="LI53:LM53"/>
    <mergeCell ref="KT52:LM52"/>
    <mergeCell ref="MC53:MG53"/>
    <mergeCell ref="LX53:MB53"/>
    <mergeCell ref="LN52:MG52"/>
    <mergeCell ref="JP53:JT53"/>
    <mergeCell ref="JU53:JY53"/>
    <mergeCell ref="JF52:JY52"/>
    <mergeCell ref="KJ53:KN53"/>
    <mergeCell ref="KO53:KS53"/>
    <mergeCell ref="JZ52:KS52"/>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topLeftCell="B18" zoomScaleNormal="100" workbookViewId="0">
      <selection activeCell="G9" sqref="G9"/>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36" t="s">
        <v>55</v>
      </c>
      <c r="E6" s="637"/>
      <c r="F6" s="637"/>
      <c r="G6" s="637"/>
      <c r="H6" s="637"/>
      <c r="I6" s="637"/>
      <c r="J6" s="637"/>
      <c r="K6" s="637"/>
      <c r="L6" s="637"/>
      <c r="M6" s="637"/>
      <c r="N6" s="637"/>
      <c r="O6" s="638"/>
    </row>
    <row r="7" spans="4:15" ht="16.5" thickBot="1" x14ac:dyDescent="0.3">
      <c r="D7" s="63"/>
      <c r="E7" s="77" t="s">
        <v>353</v>
      </c>
      <c r="F7" s="641">
        <f>BASES!D7</f>
        <v>2021</v>
      </c>
      <c r="G7" s="642"/>
      <c r="H7" s="641">
        <f>BASES!E7</f>
        <v>2022</v>
      </c>
      <c r="I7" s="642"/>
      <c r="J7" s="641">
        <f>BASES!F7</f>
        <v>2023</v>
      </c>
      <c r="K7" s="642"/>
      <c r="L7" s="641">
        <f>BASES!G7</f>
        <v>2024</v>
      </c>
      <c r="M7" s="642"/>
      <c r="N7" s="641">
        <f>BASES!H7</f>
        <v>2025</v>
      </c>
      <c r="O7" s="642"/>
    </row>
    <row r="8" spans="4:15" ht="15.75" x14ac:dyDescent="0.25">
      <c r="D8" s="69" t="s">
        <v>355</v>
      </c>
      <c r="E8" s="69" t="s">
        <v>358</v>
      </c>
      <c r="F8" s="69" t="s">
        <v>1191</v>
      </c>
      <c r="G8" s="69" t="s">
        <v>359</v>
      </c>
      <c r="H8" s="69" t="s">
        <v>1192</v>
      </c>
      <c r="I8" s="69" t="s">
        <v>360</v>
      </c>
      <c r="J8" s="69" t="s">
        <v>1193</v>
      </c>
      <c r="K8" s="69" t="s">
        <v>361</v>
      </c>
      <c r="L8" s="69" t="s">
        <v>1194</v>
      </c>
      <c r="M8" s="69" t="s">
        <v>362</v>
      </c>
      <c r="N8" s="69" t="s">
        <v>1195</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538" t="s">
        <v>348</v>
      </c>
      <c r="E12" s="539"/>
      <c r="F12" s="643"/>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538" t="s">
        <v>356</v>
      </c>
      <c r="E13" s="539"/>
      <c r="F13" s="643"/>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538" t="s">
        <v>357</v>
      </c>
      <c r="E14" s="539"/>
      <c r="F14" s="643"/>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44" t="s">
        <v>57</v>
      </c>
      <c r="E20" s="645"/>
      <c r="F20" s="645"/>
      <c r="G20" s="645"/>
      <c r="H20" s="645"/>
      <c r="I20" s="645"/>
      <c r="J20" s="645"/>
      <c r="K20" s="645"/>
      <c r="L20" s="645"/>
      <c r="M20" s="645"/>
      <c r="N20" s="645"/>
      <c r="O20" s="645"/>
      <c r="P20" s="645"/>
      <c r="Q20" s="645"/>
      <c r="R20" s="645"/>
      <c r="S20" s="645"/>
      <c r="T20" s="646"/>
    </row>
    <row r="21" spans="4:20" ht="16.5" thickBot="1" x14ac:dyDescent="0.3">
      <c r="E21" s="76" t="s">
        <v>353</v>
      </c>
      <c r="F21" s="657">
        <f>BASES!D7</f>
        <v>2021</v>
      </c>
      <c r="G21" s="658"/>
      <c r="H21" s="658"/>
      <c r="I21" s="657">
        <f>BASES!E7</f>
        <v>2022</v>
      </c>
      <c r="J21" s="658"/>
      <c r="K21" s="658"/>
      <c r="L21" s="657">
        <f>BASES!F7</f>
        <v>2023</v>
      </c>
      <c r="M21" s="658"/>
      <c r="N21" s="658"/>
      <c r="O21" s="657">
        <f>BASES!G7</f>
        <v>2024</v>
      </c>
      <c r="P21" s="658"/>
      <c r="Q21" s="658"/>
      <c r="R21" s="657">
        <f>BASES!H7</f>
        <v>2025</v>
      </c>
      <c r="S21" s="658"/>
      <c r="T21" s="658"/>
    </row>
    <row r="22" spans="4:20" ht="15.75" x14ac:dyDescent="0.25">
      <c r="D22" s="52" t="s">
        <v>355</v>
      </c>
      <c r="E22" s="52" t="s">
        <v>358</v>
      </c>
      <c r="F22" s="52" t="s">
        <v>364</v>
      </c>
      <c r="G22" s="401" t="s">
        <v>365</v>
      </c>
      <c r="H22" s="52" t="s">
        <v>366</v>
      </c>
      <c r="I22" s="52" t="s">
        <v>367</v>
      </c>
      <c r="J22" s="401" t="s">
        <v>368</v>
      </c>
      <c r="K22" s="52" t="s">
        <v>369</v>
      </c>
      <c r="L22" s="52" t="s">
        <v>370</v>
      </c>
      <c r="M22" s="401" t="s">
        <v>371</v>
      </c>
      <c r="N22" s="52" t="s">
        <v>372</v>
      </c>
      <c r="O22" s="52" t="s">
        <v>373</v>
      </c>
      <c r="P22" s="401" t="s">
        <v>374</v>
      </c>
      <c r="Q22" s="52" t="s">
        <v>375</v>
      </c>
      <c r="R22" s="52" t="s">
        <v>376</v>
      </c>
      <c r="S22" s="401"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647" t="s">
        <v>61</v>
      </c>
      <c r="E30" s="648"/>
      <c r="F30" s="648"/>
      <c r="G30" s="649"/>
      <c r="I30" s="656" t="s">
        <v>322</v>
      </c>
      <c r="J30" s="656"/>
      <c r="K30" s="656"/>
    </row>
    <row r="31" spans="4:20" x14ac:dyDescent="0.25">
      <c r="D31" s="650"/>
      <c r="E31" s="651"/>
      <c r="F31" s="651"/>
      <c r="G31" s="652"/>
      <c r="I31" s="656"/>
      <c r="J31" s="656"/>
      <c r="K31" s="656"/>
    </row>
    <row r="32" spans="4:20" x14ac:dyDescent="0.25">
      <c r="D32" s="650"/>
      <c r="E32" s="651"/>
      <c r="F32" s="651"/>
      <c r="G32" s="652"/>
      <c r="I32" s="656"/>
      <c r="J32" s="656"/>
      <c r="K32" s="656"/>
    </row>
    <row r="33" spans="4:24" ht="15.75" customHeight="1" thickBot="1" x14ac:dyDescent="0.3">
      <c r="D33" s="653"/>
      <c r="E33" s="654"/>
      <c r="F33" s="654"/>
      <c r="G33" s="655"/>
      <c r="I33" s="656"/>
      <c r="J33" s="656"/>
      <c r="K33" s="656"/>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661" t="s">
        <v>61</v>
      </c>
      <c r="F38" s="662"/>
      <c r="G38" s="662"/>
      <c r="H38" s="662"/>
      <c r="I38" s="662"/>
      <c r="J38" s="662"/>
      <c r="K38" s="662"/>
      <c r="L38" s="662"/>
      <c r="M38" s="662"/>
      <c r="N38" s="662"/>
      <c r="O38" s="662"/>
      <c r="P38" s="662"/>
      <c r="Q38" s="662"/>
      <c r="R38" s="662"/>
      <c r="S38" s="662"/>
      <c r="T38" s="662"/>
      <c r="U38" s="662"/>
      <c r="V38" s="662"/>
      <c r="W38" s="663"/>
    </row>
    <row r="39" spans="4:24" ht="15.75" x14ac:dyDescent="0.25">
      <c r="E39" s="129" t="s">
        <v>379</v>
      </c>
      <c r="F39" s="668" t="s">
        <v>381</v>
      </c>
      <c r="G39" s="669"/>
      <c r="H39" s="669"/>
      <c r="I39" s="660">
        <f>BASES!D7</f>
        <v>2021</v>
      </c>
      <c r="J39" s="660"/>
      <c r="K39" s="660"/>
      <c r="L39" s="660">
        <f>BASES!E7</f>
        <v>2022</v>
      </c>
      <c r="M39" s="660"/>
      <c r="N39" s="660"/>
      <c r="O39" s="660">
        <f>BASES!F7</f>
        <v>2023</v>
      </c>
      <c r="P39" s="660"/>
      <c r="Q39" s="660"/>
      <c r="R39" s="660">
        <f>BASES!G7</f>
        <v>2024</v>
      </c>
      <c r="S39" s="660"/>
      <c r="T39" s="660"/>
      <c r="U39" s="660">
        <f>BASES!H7</f>
        <v>2025</v>
      </c>
      <c r="V39" s="660"/>
      <c r="W39" s="660"/>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664" t="s">
        <v>391</v>
      </c>
      <c r="F184" s="665"/>
      <c r="G184" s="666"/>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647" t="s">
        <v>325</v>
      </c>
      <c r="E187" s="648"/>
      <c r="F187" s="648"/>
      <c r="G187" s="649"/>
    </row>
    <row r="188" spans="4:24" ht="15" customHeight="1" x14ac:dyDescent="0.25">
      <c r="D188" s="650"/>
      <c r="E188" s="651"/>
      <c r="F188" s="651"/>
      <c r="G188" s="652"/>
    </row>
    <row r="189" spans="4:24" ht="15" customHeight="1" x14ac:dyDescent="0.25">
      <c r="D189" s="650"/>
      <c r="E189" s="651"/>
      <c r="F189" s="651"/>
      <c r="G189" s="652"/>
    </row>
    <row r="190" spans="4:24" ht="15" customHeight="1" x14ac:dyDescent="0.25">
      <c r="D190" s="650"/>
      <c r="E190" s="651"/>
      <c r="F190" s="651"/>
      <c r="G190" s="652"/>
    </row>
    <row r="191" spans="4:24" ht="15" customHeight="1" thickBot="1" x14ac:dyDescent="0.3">
      <c r="D191" s="653"/>
      <c r="E191" s="654"/>
      <c r="F191" s="654"/>
      <c r="G191" s="655"/>
    </row>
    <row r="192" spans="4:24" ht="15" customHeight="1" x14ac:dyDescent="0.25">
      <c r="D192"/>
      <c r="E192"/>
      <c r="F192"/>
      <c r="G192"/>
    </row>
    <row r="194" spans="5:24" ht="15.75" x14ac:dyDescent="0.25">
      <c r="E194" s="659" t="s">
        <v>393</v>
      </c>
      <c r="F194" s="667" t="s">
        <v>59</v>
      </c>
      <c r="G194" s="667"/>
      <c r="H194" s="667"/>
      <c r="I194" s="667" t="s">
        <v>48</v>
      </c>
      <c r="J194" s="667"/>
      <c r="K194" s="667"/>
      <c r="L194" s="667" t="s">
        <v>49</v>
      </c>
      <c r="M194" s="667"/>
      <c r="N194" s="667"/>
      <c r="O194" s="667" t="s">
        <v>50</v>
      </c>
      <c r="P194" s="667"/>
      <c r="Q194" s="667"/>
      <c r="R194" s="667" t="s">
        <v>51</v>
      </c>
      <c r="S194" s="667"/>
      <c r="T194" s="667"/>
      <c r="U194" s="667" t="s">
        <v>52</v>
      </c>
      <c r="V194" s="667"/>
      <c r="W194" s="667"/>
      <c r="X194" s="102"/>
    </row>
    <row r="195" spans="5:24" ht="15.75" x14ac:dyDescent="0.25">
      <c r="E195" s="659"/>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39" t="s">
        <v>68</v>
      </c>
      <c r="F243" s="639"/>
      <c r="G243" s="639"/>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39" t="s">
        <v>401</v>
      </c>
      <c r="F251" s="639"/>
      <c r="G251" s="639"/>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40" t="s">
        <v>287</v>
      </c>
      <c r="F253" s="640"/>
      <c r="G253" s="640"/>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35" t="s">
        <v>290</v>
      </c>
      <c r="F256" s="635"/>
      <c r="G256" s="635"/>
      <c r="H256" s="635"/>
      <c r="I256" s="635"/>
      <c r="J256" s="635"/>
      <c r="K256" s="635"/>
      <c r="L256" s="635"/>
      <c r="M256" s="635"/>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35" t="s">
        <v>423</v>
      </c>
      <c r="F278" s="635"/>
      <c r="G278" s="635"/>
      <c r="H278" s="635"/>
      <c r="I278" s="635"/>
      <c r="J278" s="635"/>
      <c r="K278" s="635"/>
      <c r="L278" s="635"/>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35" t="s">
        <v>426</v>
      </c>
      <c r="F300" s="635"/>
      <c r="G300" s="635"/>
      <c r="H300" s="635"/>
      <c r="I300" s="635"/>
      <c r="J300" s="635"/>
      <c r="K300" s="635"/>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35" t="s">
        <v>427</v>
      </c>
      <c r="F322" s="635"/>
      <c r="G322" s="635"/>
      <c r="H322" s="635"/>
      <c r="I322" s="635"/>
      <c r="J322" s="635"/>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35" t="s">
        <v>428</v>
      </c>
      <c r="F344" s="635"/>
      <c r="G344" s="635"/>
      <c r="H344" s="635"/>
      <c r="I344" s="635"/>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 ref="D20:T20"/>
    <mergeCell ref="D30:G33"/>
    <mergeCell ref="I30:K33"/>
    <mergeCell ref="L21:N21"/>
    <mergeCell ref="E256:M256"/>
    <mergeCell ref="F21:H21"/>
    <mergeCell ref="I21:K21"/>
    <mergeCell ref="O21:Q21"/>
    <mergeCell ref="E194:E195"/>
    <mergeCell ref="R21:T2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topLeftCell="A5"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70" t="s">
        <v>402</v>
      </c>
      <c r="B6" s="671"/>
    </row>
    <row r="7" spans="1:16" x14ac:dyDescent="0.25">
      <c r="A7" s="672"/>
      <c r="B7" s="673"/>
    </row>
    <row r="8" spans="1:16" x14ac:dyDescent="0.25">
      <c r="A8" s="672"/>
      <c r="B8" s="673"/>
    </row>
    <row r="9" spans="1:16" ht="15.75" thickBot="1" x14ac:dyDescent="0.3">
      <c r="A9" s="674"/>
      <c r="B9" s="675"/>
    </row>
    <row r="14" spans="1:16" x14ac:dyDescent="0.25">
      <c r="A14" s="680" t="s">
        <v>70</v>
      </c>
      <c r="B14" s="680"/>
      <c r="C14" s="680"/>
      <c r="D14" s="680"/>
      <c r="E14" s="680"/>
      <c r="F14" s="680"/>
      <c r="G14" s="680"/>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6" t="s">
        <v>78</v>
      </c>
      <c r="C28" s="197">
        <f>SUM(C17:C27)</f>
        <v>0</v>
      </c>
      <c r="D28" s="197">
        <f t="shared" ref="D28:P28" si="11">SUM(D17:D27)</f>
        <v>0</v>
      </c>
      <c r="E28" s="197">
        <f t="shared" si="11"/>
        <v>0</v>
      </c>
      <c r="F28" s="197">
        <f t="shared" si="11"/>
        <v>0</v>
      </c>
      <c r="G28" s="197">
        <f t="shared" si="11"/>
        <v>0</v>
      </c>
      <c r="H28" s="197">
        <f t="shared" si="11"/>
        <v>0</v>
      </c>
      <c r="I28" s="197">
        <f t="shared" si="11"/>
        <v>0</v>
      </c>
      <c r="J28" s="197">
        <f t="shared" si="11"/>
        <v>0</v>
      </c>
      <c r="K28" s="197"/>
      <c r="L28" s="197">
        <f t="shared" si="11"/>
        <v>0</v>
      </c>
      <c r="M28" s="197">
        <f t="shared" si="11"/>
        <v>0</v>
      </c>
      <c r="N28" s="197">
        <f t="shared" si="11"/>
        <v>0</v>
      </c>
      <c r="O28" s="197">
        <f t="shared" si="11"/>
        <v>0</v>
      </c>
      <c r="P28" s="197">
        <f t="shared" si="11"/>
        <v>0</v>
      </c>
    </row>
    <row r="29" spans="1:16" x14ac:dyDescent="0.25">
      <c r="A29" s="150"/>
      <c r="B29" s="196" t="s">
        <v>80</v>
      </c>
      <c r="C29" s="197">
        <f>C28*12</f>
        <v>0</v>
      </c>
      <c r="D29" s="197">
        <f t="shared" ref="D29:O29" si="12">D28*12</f>
        <v>0</v>
      </c>
      <c r="E29" s="197">
        <f t="shared" si="12"/>
        <v>0</v>
      </c>
      <c r="F29" s="197">
        <f t="shared" si="12"/>
        <v>0</v>
      </c>
      <c r="G29" s="197">
        <f t="shared" si="12"/>
        <v>0</v>
      </c>
      <c r="H29" s="197">
        <f t="shared" si="12"/>
        <v>0</v>
      </c>
      <c r="I29" s="197">
        <f t="shared" si="12"/>
        <v>0</v>
      </c>
      <c r="J29" s="197">
        <f t="shared" si="12"/>
        <v>0</v>
      </c>
      <c r="K29" s="197"/>
      <c r="L29" s="197">
        <f t="shared" si="12"/>
        <v>0</v>
      </c>
      <c r="M29" s="197">
        <f t="shared" si="12"/>
        <v>0</v>
      </c>
      <c r="N29" s="197">
        <f t="shared" si="12"/>
        <v>0</v>
      </c>
      <c r="O29" s="197">
        <f t="shared" si="12"/>
        <v>0</v>
      </c>
      <c r="P29" s="197"/>
    </row>
    <row r="32" spans="1:16" x14ac:dyDescent="0.25">
      <c r="A32" s="679" t="s">
        <v>81</v>
      </c>
      <c r="B32" s="679"/>
      <c r="C32" s="679"/>
      <c r="D32" s="679"/>
      <c r="E32" s="679"/>
      <c r="F32" s="679"/>
      <c r="G32" s="679"/>
      <c r="H32" s="679"/>
      <c r="I32" s="679"/>
      <c r="J32" s="679"/>
      <c r="K32" s="679"/>
      <c r="L32" s="679"/>
      <c r="M32" s="679"/>
      <c r="N32" s="679"/>
      <c r="O32" s="679"/>
      <c r="P32" s="679"/>
    </row>
    <row r="34" spans="1:4" x14ac:dyDescent="0.25">
      <c r="A34" s="198" t="s">
        <v>71</v>
      </c>
      <c r="B34" s="198" t="s">
        <v>72</v>
      </c>
      <c r="C34" s="198" t="s">
        <v>73</v>
      </c>
      <c r="D34" s="198"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6" t="s">
        <v>83</v>
      </c>
      <c r="C46" s="199">
        <f>SUM(C35:C45)</f>
        <v>0</v>
      </c>
      <c r="D46" s="199">
        <f>SUM(D35:D45)</f>
        <v>0</v>
      </c>
    </row>
    <row r="47" spans="1:4" x14ac:dyDescent="0.25">
      <c r="A47" s="141"/>
      <c r="B47" s="196" t="s">
        <v>79</v>
      </c>
      <c r="C47" s="199">
        <f>C46*12</f>
        <v>0</v>
      </c>
      <c r="D47" s="200"/>
    </row>
    <row r="50" spans="1:16" ht="15.75" thickBot="1" x14ac:dyDescent="0.3"/>
    <row r="51" spans="1:16" x14ac:dyDescent="0.25">
      <c r="A51" s="670" t="s">
        <v>403</v>
      </c>
      <c r="B51" s="676"/>
      <c r="C51" s="671"/>
    </row>
    <row r="52" spans="1:16" x14ac:dyDescent="0.25">
      <c r="A52" s="672"/>
      <c r="B52" s="677"/>
      <c r="C52" s="673"/>
    </row>
    <row r="53" spans="1:16" x14ac:dyDescent="0.25">
      <c r="A53" s="672"/>
      <c r="B53" s="677"/>
      <c r="C53" s="673"/>
    </row>
    <row r="54" spans="1:16" ht="15.75" thickBot="1" x14ac:dyDescent="0.3">
      <c r="A54" s="674"/>
      <c r="B54" s="678"/>
      <c r="C54" s="675"/>
    </row>
    <row r="56" spans="1:16" x14ac:dyDescent="0.25">
      <c r="A56" s="680" t="s">
        <v>70</v>
      </c>
      <c r="B56" s="680"/>
      <c r="C56" s="680"/>
      <c r="D56" s="680"/>
      <c r="E56" s="680"/>
      <c r="F56" s="680"/>
      <c r="G56" s="680"/>
      <c r="H56" s="680"/>
      <c r="I56" s="680"/>
      <c r="J56" s="680"/>
      <c r="K56" s="680"/>
      <c r="L56" s="680"/>
      <c r="M56" s="680"/>
      <c r="N56" s="680"/>
      <c r="O56" s="680"/>
      <c r="P56" s="680"/>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1" t="s">
        <v>78</v>
      </c>
      <c r="C70" s="199">
        <f>SUM(C60:C69)</f>
        <v>0</v>
      </c>
      <c r="D70" s="199">
        <f t="shared" ref="D70:P70" si="25">SUM(D60:D69)</f>
        <v>0</v>
      </c>
      <c r="E70" s="199">
        <f t="shared" si="25"/>
        <v>0</v>
      </c>
      <c r="F70" s="199">
        <f t="shared" si="25"/>
        <v>0</v>
      </c>
      <c r="G70" s="199">
        <f t="shared" si="25"/>
        <v>0</v>
      </c>
      <c r="H70" s="199">
        <f t="shared" si="25"/>
        <v>0</v>
      </c>
      <c r="I70" s="199">
        <f t="shared" si="25"/>
        <v>0</v>
      </c>
      <c r="J70" s="199">
        <f t="shared" si="25"/>
        <v>0</v>
      </c>
      <c r="K70" s="199"/>
      <c r="L70" s="199">
        <f t="shared" si="25"/>
        <v>0</v>
      </c>
      <c r="M70" s="199">
        <f t="shared" si="25"/>
        <v>0</v>
      </c>
      <c r="N70" s="199">
        <f t="shared" si="25"/>
        <v>0</v>
      </c>
      <c r="O70" s="199">
        <f t="shared" si="25"/>
        <v>0</v>
      </c>
      <c r="P70" s="199">
        <f t="shared" si="25"/>
        <v>0</v>
      </c>
    </row>
    <row r="71" spans="1:16" x14ac:dyDescent="0.25">
      <c r="A71" s="141"/>
      <c r="B71" s="201" t="s">
        <v>79</v>
      </c>
      <c r="C71" s="199">
        <f>C70*12</f>
        <v>0</v>
      </c>
      <c r="D71" s="199">
        <f t="shared" ref="D71:O71" si="26">D70*12</f>
        <v>0</v>
      </c>
      <c r="E71" s="199">
        <f t="shared" si="26"/>
        <v>0</v>
      </c>
      <c r="F71" s="199">
        <f t="shared" si="26"/>
        <v>0</v>
      </c>
      <c r="G71" s="199">
        <f t="shared" si="26"/>
        <v>0</v>
      </c>
      <c r="H71" s="199">
        <f t="shared" si="26"/>
        <v>0</v>
      </c>
      <c r="I71" s="199">
        <f t="shared" si="26"/>
        <v>0</v>
      </c>
      <c r="J71" s="199">
        <f t="shared" si="26"/>
        <v>0</v>
      </c>
      <c r="K71" s="199"/>
      <c r="L71" s="199">
        <f t="shared" si="26"/>
        <v>0</v>
      </c>
      <c r="M71" s="199">
        <f t="shared" si="26"/>
        <v>0</v>
      </c>
      <c r="N71" s="199">
        <f t="shared" si="26"/>
        <v>0</v>
      </c>
      <c r="O71" s="199">
        <f t="shared" si="26"/>
        <v>0</v>
      </c>
      <c r="P71" s="199"/>
    </row>
    <row r="74" spans="1:16" x14ac:dyDescent="0.25">
      <c r="A74" s="679" t="s">
        <v>84</v>
      </c>
      <c r="B74" s="679"/>
      <c r="C74" s="679"/>
      <c r="D74" s="679"/>
      <c r="E74" s="679"/>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6" t="s">
        <v>78</v>
      </c>
      <c r="C88" s="202">
        <f>SUM(C77:C87)</f>
        <v>0</v>
      </c>
      <c r="D88" s="203">
        <f>SUM(D77:D87)</f>
        <v>0</v>
      </c>
    </row>
    <row r="89" spans="1:4" ht="15.75" thickBot="1" x14ac:dyDescent="0.3">
      <c r="A89" s="161"/>
      <c r="B89" s="204" t="s">
        <v>80</v>
      </c>
      <c r="C89" s="205">
        <f>C88*12</f>
        <v>0</v>
      </c>
      <c r="D89" s="206"/>
    </row>
    <row r="91" spans="1:4" ht="15.75" thickBot="1" x14ac:dyDescent="0.3"/>
    <row r="92" spans="1:4" x14ac:dyDescent="0.25">
      <c r="A92" s="670" t="s">
        <v>404</v>
      </c>
      <c r="B92" s="676"/>
      <c r="C92" s="671"/>
    </row>
    <row r="93" spans="1:4" x14ac:dyDescent="0.25">
      <c r="A93" s="672"/>
      <c r="B93" s="677"/>
      <c r="C93" s="673"/>
    </row>
    <row r="94" spans="1:4" x14ac:dyDescent="0.25">
      <c r="A94" s="672"/>
      <c r="B94" s="677"/>
      <c r="C94" s="673"/>
    </row>
    <row r="95" spans="1:4" x14ac:dyDescent="0.25">
      <c r="A95" s="672"/>
      <c r="B95" s="677"/>
      <c r="C95" s="673"/>
    </row>
    <row r="96" spans="1:4" x14ac:dyDescent="0.25">
      <c r="A96" s="672"/>
      <c r="B96" s="677"/>
      <c r="C96" s="673"/>
    </row>
    <row r="97" spans="1:16" x14ac:dyDescent="0.25">
      <c r="A97" s="672"/>
      <c r="B97" s="677"/>
      <c r="C97" s="673"/>
    </row>
    <row r="98" spans="1:16" ht="15.75" thickBot="1" x14ac:dyDescent="0.3">
      <c r="A98" s="674"/>
      <c r="B98" s="678"/>
      <c r="C98" s="675"/>
    </row>
    <row r="101" spans="1:16" x14ac:dyDescent="0.25">
      <c r="D101" s="162" t="s">
        <v>85</v>
      </c>
    </row>
    <row r="103" spans="1:16" x14ac:dyDescent="0.25">
      <c r="A103" s="680" t="s">
        <v>70</v>
      </c>
      <c r="B103" s="680"/>
      <c r="C103" s="680"/>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6" t="s">
        <v>78</v>
      </c>
      <c r="C118" s="199">
        <f>SUM(C108:C117)</f>
        <v>0</v>
      </c>
      <c r="D118" s="199">
        <f t="shared" ref="D118:P118" si="39">SUM(D108:D117)</f>
        <v>0</v>
      </c>
      <c r="E118" s="199">
        <f t="shared" si="39"/>
        <v>0</v>
      </c>
      <c r="F118" s="199">
        <f t="shared" si="39"/>
        <v>0</v>
      </c>
      <c r="G118" s="199">
        <f t="shared" si="39"/>
        <v>0</v>
      </c>
      <c r="H118" s="199">
        <f t="shared" si="39"/>
        <v>0</v>
      </c>
      <c r="I118" s="199">
        <f t="shared" si="39"/>
        <v>0</v>
      </c>
      <c r="J118" s="199">
        <f t="shared" si="39"/>
        <v>0</v>
      </c>
      <c r="K118" s="199"/>
      <c r="L118" s="199">
        <f t="shared" si="39"/>
        <v>0</v>
      </c>
      <c r="M118" s="199">
        <f t="shared" si="39"/>
        <v>0</v>
      </c>
      <c r="N118" s="199">
        <f t="shared" si="39"/>
        <v>0</v>
      </c>
      <c r="O118" s="199">
        <f t="shared" si="39"/>
        <v>0</v>
      </c>
      <c r="P118" s="199">
        <f t="shared" si="39"/>
        <v>0</v>
      </c>
    </row>
    <row r="119" spans="1:16" x14ac:dyDescent="0.25">
      <c r="A119" s="150"/>
      <c r="B119" s="196" t="s">
        <v>79</v>
      </c>
      <c r="C119" s="199">
        <f>C118*12</f>
        <v>0</v>
      </c>
      <c r="D119" s="199">
        <f t="shared" ref="D119:O119" si="40">D118*12</f>
        <v>0</v>
      </c>
      <c r="E119" s="199">
        <f t="shared" si="40"/>
        <v>0</v>
      </c>
      <c r="F119" s="199">
        <f t="shared" si="40"/>
        <v>0</v>
      </c>
      <c r="G119" s="199">
        <f t="shared" si="40"/>
        <v>0</v>
      </c>
      <c r="H119" s="199">
        <f t="shared" si="40"/>
        <v>0</v>
      </c>
      <c r="I119" s="199">
        <f t="shared" si="40"/>
        <v>0</v>
      </c>
      <c r="J119" s="199">
        <f t="shared" si="40"/>
        <v>0</v>
      </c>
      <c r="K119" s="199"/>
      <c r="L119" s="199">
        <f t="shared" si="40"/>
        <v>0</v>
      </c>
      <c r="M119" s="199">
        <f t="shared" si="40"/>
        <v>0</v>
      </c>
      <c r="N119" s="199">
        <f t="shared" si="40"/>
        <v>0</v>
      </c>
      <c r="O119" s="199">
        <f t="shared" si="40"/>
        <v>0</v>
      </c>
      <c r="P119" s="199"/>
    </row>
    <row r="122" spans="1:16" x14ac:dyDescent="0.25">
      <c r="A122" s="680" t="s">
        <v>81</v>
      </c>
      <c r="B122" s="680"/>
      <c r="C122" s="680"/>
    </row>
    <row r="123" spans="1:16" ht="15.75" thickBot="1" x14ac:dyDescent="0.3"/>
    <row r="124" spans="1:16" x14ac:dyDescent="0.25">
      <c r="A124" s="207" t="s">
        <v>71</v>
      </c>
      <c r="B124" s="208" t="s">
        <v>72</v>
      </c>
      <c r="C124" s="208" t="s">
        <v>73</v>
      </c>
      <c r="D124" s="209"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6" t="s">
        <v>78</v>
      </c>
      <c r="C136" s="199">
        <f>SUM(C125:C135)</f>
        <v>0</v>
      </c>
      <c r="D136" s="210">
        <f>SUM(D125:D135)</f>
        <v>0</v>
      </c>
      <c r="G136" s="670" t="s">
        <v>406</v>
      </c>
      <c r="H136" s="676"/>
      <c r="I136" s="676"/>
      <c r="J136" s="676"/>
      <c r="K136" s="676"/>
      <c r="L136" s="671"/>
    </row>
    <row r="137" spans="1:12" ht="15.75" thickBot="1" x14ac:dyDescent="0.3">
      <c r="A137" s="161"/>
      <c r="B137" s="204" t="s">
        <v>80</v>
      </c>
      <c r="C137" s="211">
        <f>C136*12</f>
        <v>0</v>
      </c>
      <c r="D137" s="212"/>
      <c r="G137" s="672"/>
      <c r="H137" s="677"/>
      <c r="I137" s="677"/>
      <c r="J137" s="677"/>
      <c r="K137" s="677"/>
      <c r="L137" s="673"/>
    </row>
    <row r="138" spans="1:12" x14ac:dyDescent="0.25">
      <c r="G138" s="672"/>
      <c r="H138" s="677"/>
      <c r="I138" s="677"/>
      <c r="J138" s="677"/>
      <c r="K138" s="677"/>
      <c r="L138" s="673"/>
    </row>
    <row r="139" spans="1:12" ht="15.75" thickBot="1" x14ac:dyDescent="0.3">
      <c r="G139" s="672"/>
      <c r="H139" s="677"/>
      <c r="I139" s="677"/>
      <c r="J139" s="677"/>
      <c r="K139" s="677"/>
      <c r="L139" s="673"/>
    </row>
    <row r="140" spans="1:12" ht="15.75" thickBot="1" x14ac:dyDescent="0.3">
      <c r="A140" s="670" t="s">
        <v>405</v>
      </c>
      <c r="B140" s="676"/>
      <c r="C140" s="671"/>
      <c r="G140" s="674"/>
      <c r="H140" s="678"/>
      <c r="I140" s="678"/>
      <c r="J140" s="678"/>
      <c r="K140" s="678"/>
      <c r="L140" s="675"/>
    </row>
    <row r="141" spans="1:12" x14ac:dyDescent="0.25">
      <c r="A141" s="672"/>
      <c r="B141" s="677"/>
      <c r="C141" s="673"/>
    </row>
    <row r="142" spans="1:12" ht="15.75" thickBot="1" x14ac:dyDescent="0.3">
      <c r="A142" s="674"/>
      <c r="B142" s="678"/>
      <c r="C142" s="675"/>
    </row>
    <row r="143" spans="1:12" ht="15.75" thickBot="1" x14ac:dyDescent="0.3"/>
    <row r="144" spans="1:12" x14ac:dyDescent="0.25">
      <c r="A144" s="207" t="s">
        <v>86</v>
      </c>
      <c r="B144" s="208" t="s">
        <v>87</v>
      </c>
      <c r="C144" s="209" t="s">
        <v>88</v>
      </c>
    </row>
    <row r="145" spans="1:12" ht="15.75" thickBot="1" x14ac:dyDescent="0.3">
      <c r="A145" s="169"/>
      <c r="B145" s="170"/>
      <c r="C145" s="171">
        <f>B145*12</f>
        <v>0</v>
      </c>
    </row>
    <row r="146" spans="1:12" x14ac:dyDescent="0.25">
      <c r="A146" s="169"/>
      <c r="B146" s="170"/>
      <c r="C146" s="171">
        <f t="shared" ref="C146:C171" si="41">B146*12</f>
        <v>0</v>
      </c>
      <c r="G146" s="207" t="s">
        <v>90</v>
      </c>
      <c r="H146" s="213">
        <f>BASES!D7</f>
        <v>2021</v>
      </c>
      <c r="I146" s="213">
        <f>BASES!E7</f>
        <v>2022</v>
      </c>
      <c r="J146" s="213">
        <f>BASES!F7</f>
        <v>2023</v>
      </c>
      <c r="K146" s="213">
        <f>BASES!G7</f>
        <v>2024</v>
      </c>
      <c r="L146" s="213">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4"/>
      <c r="I150" s="214"/>
      <c r="J150" s="214"/>
      <c r="K150" s="214"/>
      <c r="L150" s="214"/>
    </row>
    <row r="151" spans="1:12" ht="15.75" thickBot="1" x14ac:dyDescent="0.3">
      <c r="A151" s="169"/>
      <c r="B151" s="170"/>
      <c r="C151" s="171">
        <f t="shared" si="41"/>
        <v>0</v>
      </c>
      <c r="G151" s="177" t="s">
        <v>95</v>
      </c>
      <c r="H151" s="211">
        <f>SUM(H147:H150)</f>
        <v>0</v>
      </c>
      <c r="I151" s="211">
        <f>SUM(I147:I150)</f>
        <v>0</v>
      </c>
      <c r="J151" s="211">
        <f>SUM(J147:J150)</f>
        <v>0</v>
      </c>
      <c r="K151" s="215">
        <f>SUM(K147:K150)</f>
        <v>0</v>
      </c>
      <c r="L151" s="216">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7" t="s">
        <v>89</v>
      </c>
      <c r="B172" s="218"/>
      <c r="C172" s="216">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M10" sqref="M10"/>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9" t="s">
        <v>96</v>
      </c>
      <c r="D7" s="221">
        <f>'CTOS_VS_ING_OPER-INV_INFRAEST'!H253</f>
        <v>0</v>
      </c>
    </row>
    <row r="8" spans="2:5" ht="15.75" thickBot="1" x14ac:dyDescent="0.3">
      <c r="C8" s="220" t="s">
        <v>97</v>
      </c>
      <c r="D8" s="222">
        <f>'CTOS_VS_ING_OPER-INV_INFRAEST'!H241</f>
        <v>0</v>
      </c>
    </row>
    <row r="9" spans="2:5" ht="15.75" thickBot="1" x14ac:dyDescent="0.3">
      <c r="D9" s="225"/>
      <c r="E9" s="225"/>
    </row>
    <row r="10" spans="2:5" x14ac:dyDescent="0.25">
      <c r="B10" s="178"/>
      <c r="C10" s="179" t="s">
        <v>42</v>
      </c>
      <c r="D10" s="223" t="s">
        <v>98</v>
      </c>
      <c r="E10" s="224" t="s">
        <v>99</v>
      </c>
    </row>
    <row r="11" spans="2:5" ht="15.75" thickBot="1" x14ac:dyDescent="0.3">
      <c r="B11" s="180" t="s">
        <v>100</v>
      </c>
      <c r="C11" s="437">
        <f>COSTOS_DE_PRODUCCION!D180</f>
        <v>0</v>
      </c>
      <c r="D11" s="182"/>
      <c r="E11" s="183">
        <f>(C11/12)*D11</f>
        <v>0</v>
      </c>
    </row>
    <row r="12" spans="2:5" ht="15.75" thickBot="1" x14ac:dyDescent="0.3"/>
    <row r="13" spans="2:5" x14ac:dyDescent="0.25">
      <c r="B13" s="178"/>
      <c r="C13" s="179" t="s">
        <v>101</v>
      </c>
      <c r="D13" s="223" t="s">
        <v>98</v>
      </c>
      <c r="E13" s="224" t="s">
        <v>99</v>
      </c>
    </row>
    <row r="14" spans="2:5" ht="15.75" thickBot="1" x14ac:dyDescent="0.3">
      <c r="B14" s="180" t="s">
        <v>100</v>
      </c>
      <c r="C14" s="181">
        <f>COSTOS_DE_PRODUCCION!D179</f>
        <v>0</v>
      </c>
      <c r="D14" s="182"/>
      <c r="E14" s="183">
        <f>(C14/12)*D14</f>
        <v>0</v>
      </c>
    </row>
    <row r="15" spans="2:5" ht="15.75" thickBot="1" x14ac:dyDescent="0.3"/>
    <row r="16" spans="2:5" x14ac:dyDescent="0.25">
      <c r="B16" s="178"/>
      <c r="C16" s="179" t="s">
        <v>102</v>
      </c>
      <c r="D16" s="223" t="s">
        <v>98</v>
      </c>
      <c r="E16" s="224" t="s">
        <v>99</v>
      </c>
    </row>
    <row r="17" spans="2:7" ht="15.75" thickBot="1" x14ac:dyDescent="0.3">
      <c r="B17" s="180" t="s">
        <v>100</v>
      </c>
      <c r="C17" s="181">
        <f>COSTOS_DE_PRODUCCION!D181</f>
        <v>0</v>
      </c>
      <c r="D17" s="182"/>
      <c r="E17" s="183">
        <f>(C17/12)*D17</f>
        <v>0</v>
      </c>
    </row>
    <row r="19" spans="2:7" x14ac:dyDescent="0.25">
      <c r="C19" s="681" t="s">
        <v>103</v>
      </c>
      <c r="D19" s="681"/>
      <c r="E19" s="184">
        <f>D7+D8+E11+E14+E17</f>
        <v>0</v>
      </c>
    </row>
    <row r="20" spans="2:7" ht="15.75" thickBot="1" x14ac:dyDescent="0.3">
      <c r="C20" s="681" t="s">
        <v>104</v>
      </c>
      <c r="D20" s="681"/>
      <c r="E20" s="185"/>
    </row>
    <row r="21" spans="2:7" x14ac:dyDescent="0.25">
      <c r="C21" s="681" t="s">
        <v>105</v>
      </c>
      <c r="D21" s="681"/>
      <c r="E21" s="186">
        <f>E19-E20</f>
        <v>0</v>
      </c>
    </row>
    <row r="23" spans="2:7" x14ac:dyDescent="0.25">
      <c r="C23" s="149"/>
      <c r="D23" s="149" t="s">
        <v>78</v>
      </c>
      <c r="E23" s="149" t="s">
        <v>79</v>
      </c>
    </row>
    <row r="24" spans="2:7" x14ac:dyDescent="0.25">
      <c r="C24" s="149" t="s">
        <v>106</v>
      </c>
      <c r="D24" s="192"/>
      <c r="E24" s="193">
        <f>((1+D24)^12)-1</f>
        <v>0</v>
      </c>
    </row>
    <row r="25" spans="2:7" ht="15.75" thickBot="1" x14ac:dyDescent="0.3"/>
    <row r="26" spans="2:7" x14ac:dyDescent="0.25">
      <c r="C26" s="187" t="s">
        <v>58</v>
      </c>
      <c r="D26" s="188" t="s">
        <v>107</v>
      </c>
      <c r="E26" s="188" t="s">
        <v>108</v>
      </c>
      <c r="F26" s="188" t="s">
        <v>109</v>
      </c>
      <c r="G26" s="189" t="s">
        <v>110</v>
      </c>
    </row>
    <row r="27" spans="2:7" x14ac:dyDescent="0.25">
      <c r="C27" s="226" t="str">
        <f>BASES!C7</f>
        <v>AÑO 0</v>
      </c>
      <c r="D27" s="190"/>
      <c r="E27" s="190"/>
      <c r="F27" s="190"/>
      <c r="G27" s="191">
        <f>E21*-1</f>
        <v>0</v>
      </c>
    </row>
    <row r="28" spans="2:7" x14ac:dyDescent="0.25">
      <c r="C28" s="227">
        <f>BASES!D7</f>
        <v>2021</v>
      </c>
      <c r="D28" s="190">
        <f>E28+F28</f>
        <v>0</v>
      </c>
      <c r="E28" s="190">
        <f>$G$27/BASES!$G$22</f>
        <v>0</v>
      </c>
      <c r="F28" s="190">
        <f>G27*$E$24</f>
        <v>0</v>
      </c>
      <c r="G28" s="191">
        <f>G27-E28</f>
        <v>0</v>
      </c>
    </row>
    <row r="29" spans="2:7" x14ac:dyDescent="0.25">
      <c r="C29" s="227">
        <f>BASES!E7</f>
        <v>2022</v>
      </c>
      <c r="D29" s="190">
        <f>E29+F29</f>
        <v>0</v>
      </c>
      <c r="E29" s="190">
        <f>$G$27/BASES!$G$22</f>
        <v>0</v>
      </c>
      <c r="F29" s="190">
        <f>G28*$E$24</f>
        <v>0</v>
      </c>
      <c r="G29" s="191">
        <f>G28-E29</f>
        <v>0</v>
      </c>
    </row>
    <row r="30" spans="2:7" x14ac:dyDescent="0.25">
      <c r="C30" s="227">
        <f>BASES!F7</f>
        <v>2023</v>
      </c>
      <c r="D30" s="190">
        <f>E30+F30</f>
        <v>0</v>
      </c>
      <c r="E30" s="190">
        <f>$G$27/BASES!$G$22</f>
        <v>0</v>
      </c>
      <c r="F30" s="190">
        <f>G29*$E$24</f>
        <v>0</v>
      </c>
      <c r="G30" s="191">
        <f>G29-E30</f>
        <v>0</v>
      </c>
    </row>
    <row r="31" spans="2:7" x14ac:dyDescent="0.25">
      <c r="C31" s="227">
        <f>BASES!G7</f>
        <v>2024</v>
      </c>
      <c r="D31" s="190">
        <f>E31+F31</f>
        <v>0</v>
      </c>
      <c r="E31" s="190">
        <f>$G$27/BASES!$G$22</f>
        <v>0</v>
      </c>
      <c r="F31" s="190">
        <f>G30*$E$24</f>
        <v>0</v>
      </c>
      <c r="G31" s="191">
        <f>G30-E31</f>
        <v>0</v>
      </c>
    </row>
    <row r="32" spans="2:7" ht="15.75" thickBot="1" x14ac:dyDescent="0.3">
      <c r="C32" s="228">
        <f>BASES!H7</f>
        <v>2025</v>
      </c>
      <c r="D32" s="190">
        <f>E32+F32</f>
        <v>0</v>
      </c>
      <c r="E32" s="190">
        <f>$G$27/BASES!$G$22</f>
        <v>0</v>
      </c>
      <c r="F32" s="190">
        <f>G31*$E$24</f>
        <v>0</v>
      </c>
      <c r="G32" s="191">
        <f>G31-E32</f>
        <v>0</v>
      </c>
    </row>
  </sheetData>
  <sheetProtection algorithmName="SHA-512" hashValue="hCrFGGOSg0Vqtv3CYUztcrLkig1R5/3pNvG3rp94gBQWpqQT6MHS6dMGAZ9OLWa2fuoDndpmSDyFJSligw7q1A==" saltValue="WKUZnq7FdudS4PTkRrdccg==" spinCount="100000"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1" t="s">
        <v>111</v>
      </c>
      <c r="C3" s="229">
        <f>BASES!D7</f>
        <v>2021</v>
      </c>
      <c r="D3" s="229">
        <f>BASES!E7</f>
        <v>2022</v>
      </c>
      <c r="E3" s="229">
        <f>BASES!F7</f>
        <v>2023</v>
      </c>
      <c r="F3" s="229">
        <f>BASES!G7</f>
        <v>2024</v>
      </c>
      <c r="G3" s="230">
        <f>BASES!H7</f>
        <v>2025</v>
      </c>
    </row>
    <row r="4" spans="2:7" x14ac:dyDescent="0.25">
      <c r="B4" s="233" t="s">
        <v>56</v>
      </c>
      <c r="C4" s="402">
        <f>'CTOS_VS_ING_OPER-INV_INFRAEST'!G14</f>
        <v>0</v>
      </c>
      <c r="D4" s="402">
        <f>'CTOS_VS_ING_OPER-INV_INFRAEST'!I14</f>
        <v>0</v>
      </c>
      <c r="E4" s="402">
        <f>'CTOS_VS_ING_OPER-INV_INFRAEST'!K14</f>
        <v>0</v>
      </c>
      <c r="F4" s="402">
        <f>'CTOS_VS_ING_OPER-INV_INFRAEST'!M14</f>
        <v>0</v>
      </c>
      <c r="G4" s="403">
        <f>'CTOS_VS_ING_OPER-INV_INFRAEST'!O14</f>
        <v>0</v>
      </c>
    </row>
    <row r="5" spans="2:7" x14ac:dyDescent="0.25">
      <c r="B5" s="194" t="s">
        <v>112</v>
      </c>
      <c r="C5" s="404">
        <f>'GTOS_ADTIVO_Y_VTAS-CTOS_FIJOS'!P28+'GTOS_ADTIVO_Y_VTAS-CTOS_FIJOS'!D46</f>
        <v>0</v>
      </c>
      <c r="D5" s="404">
        <f>C5*(1+BASES!$E$8)</f>
        <v>0</v>
      </c>
      <c r="E5" s="404">
        <f>D5*(1+BASES!$F$8)</f>
        <v>0</v>
      </c>
      <c r="F5" s="404">
        <f>E5*(1+BASES!$G$8)</f>
        <v>0</v>
      </c>
      <c r="G5" s="405">
        <f>F5*(1+BASES!$H$8)</f>
        <v>0</v>
      </c>
    </row>
    <row r="6" spans="2:7" x14ac:dyDescent="0.25">
      <c r="B6" s="194" t="s">
        <v>113</v>
      </c>
      <c r="C6" s="404">
        <f>'GTOS_ADTIVO_Y_VTAS-CTOS_FIJOS'!D88+'GTOS_ADTIVO_Y_VTAS-CTOS_FIJOS'!O71</f>
        <v>0</v>
      </c>
      <c r="D6" s="404">
        <f>C6*(1+BASES!$E$8)</f>
        <v>0</v>
      </c>
      <c r="E6" s="404">
        <f>D6*(1+BASES!$F$8)</f>
        <v>0</v>
      </c>
      <c r="F6" s="404">
        <f>E6*(1+BASES!$G$8)</f>
        <v>0</v>
      </c>
      <c r="G6" s="405">
        <f>F6*(1+BASES!$H$8)</f>
        <v>0</v>
      </c>
    </row>
    <row r="7" spans="2:7" x14ac:dyDescent="0.25">
      <c r="B7" s="194" t="s">
        <v>114</v>
      </c>
      <c r="C7" s="404">
        <f>'GTOS_ADTIVO_Y_VTAS-CTOS_FIJOS'!C137+'GTOS_ADTIVO_Y_VTAS-CTOS_FIJOS'!O119</f>
        <v>0</v>
      </c>
      <c r="D7" s="404">
        <f>C7*(1+BASES!$E$8)</f>
        <v>0</v>
      </c>
      <c r="E7" s="404">
        <f>D7*(1+BASES!$F$8)</f>
        <v>0</v>
      </c>
      <c r="F7" s="404">
        <f>E7*(1+BASES!$G$8)</f>
        <v>0</v>
      </c>
      <c r="G7" s="405">
        <f>F7*(1+BASES!$H$8)</f>
        <v>0</v>
      </c>
    </row>
    <row r="8" spans="2:7" x14ac:dyDescent="0.25">
      <c r="B8" s="194" t="s">
        <v>115</v>
      </c>
      <c r="C8" s="404">
        <f>'GTOS_ADTIVO_Y_VTAS-CTOS_FIJOS'!H151</f>
        <v>0</v>
      </c>
      <c r="D8" s="404">
        <f>'GTOS_ADTIVO_Y_VTAS-CTOS_FIJOS'!I151</f>
        <v>0</v>
      </c>
      <c r="E8" s="404">
        <f>'GTOS_ADTIVO_Y_VTAS-CTOS_FIJOS'!J151</f>
        <v>0</v>
      </c>
      <c r="F8" s="404">
        <f>'GTOS_ADTIVO_Y_VTAS-CTOS_FIJOS'!K151</f>
        <v>0</v>
      </c>
      <c r="G8" s="405">
        <f>'GTOS_ADTIVO_Y_VTAS-CTOS_FIJOS'!L151</f>
        <v>0</v>
      </c>
    </row>
    <row r="9" spans="2:7" x14ac:dyDescent="0.25">
      <c r="B9" s="194" t="s">
        <v>116</v>
      </c>
      <c r="C9" s="404">
        <f>'GTOS_ADTIVO_Y_VTAS-CTOS_FIJOS'!C172</f>
        <v>0</v>
      </c>
      <c r="D9" s="404">
        <f>C9*(1+BASES!$E$8)</f>
        <v>0</v>
      </c>
      <c r="E9" s="404">
        <f>D9*(1+BASES!$F$8)</f>
        <v>0</v>
      </c>
      <c r="F9" s="404">
        <f>E9*(1+BASES!$G$8)</f>
        <v>0</v>
      </c>
      <c r="G9" s="405">
        <f>F9*(1+BASES!$H$8)</f>
        <v>0</v>
      </c>
    </row>
    <row r="10" spans="2:7" x14ac:dyDescent="0.25">
      <c r="B10" s="194" t="s">
        <v>117</v>
      </c>
      <c r="C10" s="404">
        <f>NECESIDADES_DE_FINANCIACION!D28*-1</f>
        <v>0</v>
      </c>
      <c r="D10" s="404">
        <f>NECESIDADES_DE_FINANCIACION!D29*-1</f>
        <v>0</v>
      </c>
      <c r="E10" s="404">
        <f>NECESIDADES_DE_FINANCIACION!D30*-1</f>
        <v>0</v>
      </c>
      <c r="F10" s="404">
        <f>NECESIDADES_DE_FINANCIACION!D31*-1</f>
        <v>0</v>
      </c>
      <c r="G10" s="405">
        <f>NECESIDADES_DE_FINANCIACION!D32*-1</f>
        <v>0</v>
      </c>
    </row>
    <row r="11" spans="2:7" x14ac:dyDescent="0.25">
      <c r="B11" s="194" t="s">
        <v>118</v>
      </c>
      <c r="C11" s="404">
        <f>ESTADO_DE_RESULTADOS!B7</f>
        <v>0</v>
      </c>
      <c r="D11" s="404">
        <f>ESTADO_DE_RESULTADOS!C7</f>
        <v>0</v>
      </c>
      <c r="E11" s="404">
        <f>ESTADO_DE_RESULTADOS!D7</f>
        <v>0</v>
      </c>
      <c r="F11" s="404">
        <f>ESTADO_DE_RESULTADOS!E7</f>
        <v>0</v>
      </c>
      <c r="G11" s="405">
        <f>ESTADO_DE_RESULTADOS!F7</f>
        <v>0</v>
      </c>
    </row>
    <row r="12" spans="2:7" x14ac:dyDescent="0.25">
      <c r="B12" s="194" t="s">
        <v>119</v>
      </c>
      <c r="C12" s="404">
        <f>ESTADO_DE_RESULTADOS!B8</f>
        <v>0</v>
      </c>
      <c r="D12" s="404">
        <f>ESTADO_DE_RESULTADOS!C8</f>
        <v>0</v>
      </c>
      <c r="E12" s="404">
        <f>ESTADO_DE_RESULTADOS!D8</f>
        <v>0</v>
      </c>
      <c r="F12" s="404">
        <f>ESTADO_DE_RESULTADOS!E8</f>
        <v>0</v>
      </c>
      <c r="G12" s="405">
        <f>ESTADO_DE_RESULTADOS!F8</f>
        <v>0</v>
      </c>
    </row>
    <row r="13" spans="2:7" x14ac:dyDescent="0.25">
      <c r="B13" s="232" t="s">
        <v>120</v>
      </c>
      <c r="C13" s="406">
        <f>SUM(C5:C12)</f>
        <v>0</v>
      </c>
      <c r="D13" s="406">
        <f>SUM(D5:D12)</f>
        <v>0</v>
      </c>
      <c r="E13" s="406">
        <f>SUM(E5:E12)</f>
        <v>0</v>
      </c>
      <c r="F13" s="406">
        <f>SUM(F5:F12)</f>
        <v>0</v>
      </c>
      <c r="G13" s="407">
        <f>SUM(G5:G12)</f>
        <v>0</v>
      </c>
    </row>
    <row r="14" spans="2:7" ht="15.75" thickBot="1" x14ac:dyDescent="0.3">
      <c r="B14" s="195" t="s">
        <v>121</v>
      </c>
      <c r="C14" s="408">
        <f>C4-C13</f>
        <v>0</v>
      </c>
      <c r="D14" s="408">
        <f>D4-D13</f>
        <v>0</v>
      </c>
      <c r="E14" s="408">
        <f>E4-E13</f>
        <v>0</v>
      </c>
      <c r="F14" s="408">
        <f>F4-F13</f>
        <v>0</v>
      </c>
      <c r="G14" s="409">
        <f>G4-G13</f>
        <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82" t="s">
        <v>419</v>
      </c>
      <c r="H2" s="683"/>
    </row>
    <row r="3" spans="5:11" ht="15.75" customHeight="1" thickBot="1" x14ac:dyDescent="0.3">
      <c r="G3" s="684"/>
      <c r="H3" s="685"/>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1196</v>
      </c>
      <c r="H8" s="69" t="s">
        <v>122</v>
      </c>
      <c r="I8" s="410"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39" t="s">
        <v>125</v>
      </c>
      <c r="F12" s="639"/>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593" t="s">
        <v>126</v>
      </c>
      <c r="F18" s="594"/>
      <c r="G18" s="594"/>
      <c r="H18" s="594"/>
      <c r="I18" s="595"/>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593" t="s">
        <v>131</v>
      </c>
      <c r="P23" s="594"/>
      <c r="Q23" s="595"/>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f>G31</f>
        <v>0</v>
      </c>
      <c r="P26" s="94">
        <f>O26</f>
        <v>0</v>
      </c>
      <c r="Q26" s="94">
        <f>P26</f>
        <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f>O26+O27</f>
        <v>0</v>
      </c>
      <c r="P28" s="94">
        <f>P26+P27</f>
        <v>0</v>
      </c>
      <c r="Q28" s="94">
        <f>Q26+Q27</f>
        <v>0</v>
      </c>
    </row>
    <row r="29" spans="5:17" ht="15.75" x14ac:dyDescent="0.25">
      <c r="E29" s="686" t="s">
        <v>411</v>
      </c>
      <c r="F29" s="686"/>
      <c r="G29" s="686"/>
      <c r="H29" s="686"/>
      <c r="I29" s="95">
        <f>SUM(Tabla7[[MARGEN PONDERADO ]])</f>
        <v>0</v>
      </c>
      <c r="N29" s="90" t="s">
        <v>417</v>
      </c>
      <c r="O29" s="94">
        <f>O25-O28</f>
        <v>0</v>
      </c>
      <c r="P29" s="94">
        <f t="shared" ref="P29:Q29" si="0">P25-P28</f>
        <v>0</v>
      </c>
      <c r="Q29" s="94">
        <f t="shared" si="0"/>
        <v>0</v>
      </c>
    </row>
    <row r="31" spans="5:17" ht="15.75" x14ac:dyDescent="0.25">
      <c r="E31" s="639" t="s">
        <v>89</v>
      </c>
      <c r="F31" s="639"/>
      <c r="G31" s="109">
        <f>CUADRO_DE_COSTOS_Y_GASTOS_FIJOS!$C$13</f>
        <v>0</v>
      </c>
    </row>
    <row r="33" spans="5:8" ht="15.75" x14ac:dyDescent="0.25">
      <c r="E33" s="664" t="s">
        <v>410</v>
      </c>
      <c r="F33" s="666"/>
      <c r="G33" s="113">
        <f>IF(I29=0,0,G31/I29)</f>
        <v>0</v>
      </c>
    </row>
    <row r="39" spans="5:8" ht="15.75" x14ac:dyDescent="0.25">
      <c r="E39" s="634" t="s">
        <v>128</v>
      </c>
      <c r="F39" s="634"/>
      <c r="G39" s="634"/>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86" t="s">
        <v>418</v>
      </c>
      <c r="F45" s="686"/>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E45:F45"/>
    <mergeCell ref="G2:H3"/>
    <mergeCell ref="E33:F33"/>
    <mergeCell ref="E29:H29"/>
    <mergeCell ref="E39:G39"/>
    <mergeCell ref="O23:Q23"/>
    <mergeCell ref="E12:F12"/>
    <mergeCell ref="E18:I18"/>
    <mergeCell ref="E31:F3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F2" sqref="F2"/>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693" t="s">
        <v>132</v>
      </c>
      <c r="B7" s="694"/>
      <c r="C7" s="276" t="str">
        <f>BASES!C7</f>
        <v>AÑO 0</v>
      </c>
      <c r="D7" s="276">
        <f>BASES!D7</f>
        <v>2021</v>
      </c>
      <c r="E7" s="276">
        <f>BASES!E7</f>
        <v>2022</v>
      </c>
      <c r="F7" s="276">
        <f>BASES!F7</f>
        <v>2023</v>
      </c>
      <c r="G7" s="276">
        <f>BASES!G7</f>
        <v>2024</v>
      </c>
      <c r="H7" s="276">
        <f>BASES!H7</f>
        <v>2025</v>
      </c>
    </row>
    <row r="8" spans="1:9" x14ac:dyDescent="0.25">
      <c r="A8" s="234" t="s">
        <v>133</v>
      </c>
      <c r="B8" s="235" t="s">
        <v>142</v>
      </c>
      <c r="C8" s="236"/>
      <c r="D8" s="237"/>
      <c r="E8" s="237"/>
      <c r="F8" s="237"/>
      <c r="G8" s="237"/>
      <c r="H8" s="238"/>
    </row>
    <row r="9" spans="1:9" x14ac:dyDescent="0.25">
      <c r="A9" s="239" t="s">
        <v>134</v>
      </c>
      <c r="B9" s="149" t="s">
        <v>143</v>
      </c>
      <c r="C9" s="774">
        <f>NECESIDADES_DE_FINANCIACION!E14+NECESIDADES_DE_FINANCIACION!E17</f>
        <v>0</v>
      </c>
      <c r="D9" s="412">
        <f>(COSTOS_DE_PRODUCCION!D179*BALANCE_GENERAL!D8)/360</f>
        <v>0</v>
      </c>
      <c r="E9" s="412">
        <f>(COSTOS_DE_PRODUCCION!F179*BALANCE_GENERAL!E8)/360</f>
        <v>0</v>
      </c>
      <c r="F9" s="412">
        <f>(COSTOS_DE_PRODUCCION!G179*BALANCE_GENERAL!F8)/360</f>
        <v>0</v>
      </c>
      <c r="G9" s="412">
        <f>(COSTOS_DE_PRODUCCION!H179*BALANCE_GENERAL!G8)/360</f>
        <v>0</v>
      </c>
      <c r="H9" s="412">
        <f>(COSTOS_DE_PRODUCCION!I179*BALANCE_GENERAL!H8)/360</f>
        <v>0</v>
      </c>
      <c r="I9" s="411"/>
    </row>
    <row r="10" spans="1:9" x14ac:dyDescent="0.25">
      <c r="A10" s="239" t="s">
        <v>135</v>
      </c>
      <c r="B10" s="149" t="s">
        <v>143</v>
      </c>
      <c r="C10" s="413"/>
      <c r="D10" s="414">
        <f>C9-D9</f>
        <v>0</v>
      </c>
      <c r="E10" s="414">
        <f>D9-E9</f>
        <v>0</v>
      </c>
      <c r="F10" s="414">
        <f>E9-F9</f>
        <v>0</v>
      </c>
      <c r="G10" s="414">
        <f>F9-G9</f>
        <v>0</v>
      </c>
      <c r="H10" s="414">
        <f>G9-H9</f>
        <v>0</v>
      </c>
    </row>
    <row r="11" spans="1:9" x14ac:dyDescent="0.25">
      <c r="A11" s="241" t="s">
        <v>136</v>
      </c>
      <c r="B11" s="149" t="s">
        <v>144</v>
      </c>
      <c r="C11" s="240"/>
      <c r="D11" s="242"/>
      <c r="E11" s="242"/>
      <c r="F11" s="242"/>
      <c r="G11" s="242"/>
      <c r="H11" s="243"/>
    </row>
    <row r="12" spans="1:9" x14ac:dyDescent="0.25">
      <c r="A12" s="241" t="s">
        <v>137</v>
      </c>
      <c r="B12" s="149" t="s">
        <v>143</v>
      </c>
      <c r="C12" s="415"/>
      <c r="D12" s="416">
        <f>ESTADO_DE_RESULTADOS!B4*BALANCE_GENERAL!D11/360</f>
        <v>0</v>
      </c>
      <c r="E12" s="416">
        <f>ESTADO_DE_RESULTADOS!C4*BALANCE_GENERAL!E11/360</f>
        <v>0</v>
      </c>
      <c r="F12" s="416">
        <f>ESTADO_DE_RESULTADOS!D4*BALANCE_GENERAL!F11/360</f>
        <v>0</v>
      </c>
      <c r="G12" s="416">
        <f>ESTADO_DE_RESULTADOS!E4*BALANCE_GENERAL!G11/360</f>
        <v>0</v>
      </c>
      <c r="H12" s="416">
        <f>ESTADO_DE_RESULTADOS!F4*BALANCE_GENERAL!H11/360</f>
        <v>0</v>
      </c>
    </row>
    <row r="13" spans="1:9" x14ac:dyDescent="0.25">
      <c r="A13" s="241" t="s">
        <v>138</v>
      </c>
      <c r="B13" s="149" t="s">
        <v>143</v>
      </c>
      <c r="C13" s="413"/>
      <c r="D13" s="414">
        <f>C12-D12</f>
        <v>0</v>
      </c>
      <c r="E13" s="414">
        <f>D12-E12</f>
        <v>0</v>
      </c>
      <c r="F13" s="414">
        <f>E12-F12</f>
        <v>0</v>
      </c>
      <c r="G13" s="414">
        <f>F12-G12</f>
        <v>0</v>
      </c>
      <c r="H13" s="414">
        <f>G12-H12</f>
        <v>0</v>
      </c>
    </row>
    <row r="14" spans="1:9" x14ac:dyDescent="0.25">
      <c r="A14" s="239" t="s">
        <v>139</v>
      </c>
      <c r="B14" s="149" t="s">
        <v>145</v>
      </c>
      <c r="C14" s="244"/>
      <c r="D14" s="245"/>
      <c r="E14" s="245"/>
      <c r="F14" s="245"/>
      <c r="G14" s="245"/>
      <c r="H14" s="246"/>
    </row>
    <row r="15" spans="1:9" x14ac:dyDescent="0.25">
      <c r="A15" s="239" t="s">
        <v>140</v>
      </c>
      <c r="B15" s="149" t="s">
        <v>143</v>
      </c>
      <c r="C15" s="417"/>
      <c r="D15" s="418">
        <f>(COSTOS_DE_PRODUCCION!D179+COSTOS_DE_PRODUCCION!D180)*BALANCE_GENERAL!D14/360</f>
        <v>0</v>
      </c>
      <c r="E15" s="418">
        <f>(COSTOS_DE_PRODUCCION!F179+COSTOS_DE_PRODUCCION!F180)*BALANCE_GENERAL!E14/360</f>
        <v>0</v>
      </c>
      <c r="F15" s="418">
        <f>(COSTOS_DE_PRODUCCION!G179+COSTOS_DE_PRODUCCION!G180)*BALANCE_GENERAL!F14/360</f>
        <v>0</v>
      </c>
      <c r="G15" s="418">
        <f>(COSTOS_DE_PRODUCCION!H179+COSTOS_DE_PRODUCCION!H180)*BALANCE_GENERAL!G14/360</f>
        <v>0</v>
      </c>
      <c r="H15" s="418">
        <f>(COSTOS_DE_PRODUCCION!I179+COSTOS_DE_PRODUCCION!I180)*BALANCE_GENERAL!H14/360</f>
        <v>0</v>
      </c>
      <c r="I15" s="411"/>
    </row>
    <row r="16" spans="1:9" ht="15.75" thickBot="1" x14ac:dyDescent="0.3">
      <c r="A16" s="247" t="s">
        <v>141</v>
      </c>
      <c r="B16" s="248" t="s">
        <v>146</v>
      </c>
      <c r="C16" s="419"/>
      <c r="D16" s="420">
        <f>C15-D15</f>
        <v>0</v>
      </c>
      <c r="E16" s="420">
        <f>D15-E15</f>
        <v>0</v>
      </c>
      <c r="F16" s="420">
        <f>E15-F15</f>
        <v>0</v>
      </c>
      <c r="G16" s="420">
        <f>F15-G15</f>
        <v>0</v>
      </c>
      <c r="H16" s="420">
        <f>G15-H15</f>
        <v>0</v>
      </c>
    </row>
    <row r="18" spans="1:8" ht="15.75" thickBot="1" x14ac:dyDescent="0.3"/>
    <row r="19" spans="1:8" x14ac:dyDescent="0.25">
      <c r="A19" s="249" t="s">
        <v>147</v>
      </c>
      <c r="B19" s="695" t="s">
        <v>111</v>
      </c>
      <c r="C19" s="695"/>
      <c r="D19" s="695"/>
      <c r="E19" s="695"/>
      <c r="F19" s="695"/>
      <c r="G19" s="696"/>
    </row>
    <row r="20" spans="1:8" x14ac:dyDescent="0.25">
      <c r="A20" s="250"/>
      <c r="B20" s="295" t="str">
        <f>C7</f>
        <v>AÑO 0</v>
      </c>
      <c r="C20" s="295">
        <f>D7</f>
        <v>2021</v>
      </c>
      <c r="D20" s="295">
        <f t="shared" ref="D20:G20" si="0">E7</f>
        <v>2022</v>
      </c>
      <c r="E20" s="295">
        <f t="shared" si="0"/>
        <v>2023</v>
      </c>
      <c r="F20" s="295">
        <f t="shared" si="0"/>
        <v>2024</v>
      </c>
      <c r="G20" s="295">
        <f t="shared" si="0"/>
        <v>2025</v>
      </c>
    </row>
    <row r="21" spans="1:8" ht="18.75" x14ac:dyDescent="0.3">
      <c r="A21" s="690" t="s">
        <v>148</v>
      </c>
      <c r="B21" s="691"/>
      <c r="C21" s="691"/>
      <c r="D21" s="691"/>
      <c r="E21" s="691"/>
      <c r="F21" s="691"/>
      <c r="G21" s="692"/>
    </row>
    <row r="22" spans="1:8" x14ac:dyDescent="0.25">
      <c r="A22" s="251" t="s">
        <v>149</v>
      </c>
      <c r="B22" s="252">
        <f>B74-B23-B24-B30-B33-B36-B39-B42-B45-B48-B51-B26-B27-B56</f>
        <v>0</v>
      </c>
      <c r="C22" s="252">
        <f t="shared" ref="C22:G22" si="1">C74-C23-C24-C30-C33-C36-C39-C42-C45-C48-C51-C26-C27-C56</f>
        <v>0</v>
      </c>
      <c r="D22" s="252">
        <f t="shared" si="1"/>
        <v>0</v>
      </c>
      <c r="E22" s="252">
        <f t="shared" si="1"/>
        <v>0</v>
      </c>
      <c r="F22" s="252">
        <f t="shared" si="1"/>
        <v>0</v>
      </c>
      <c r="G22" s="252">
        <f t="shared" si="1"/>
        <v>0</v>
      </c>
    </row>
    <row r="23" spans="1:8" x14ac:dyDescent="0.25">
      <c r="A23" s="251" t="s">
        <v>150</v>
      </c>
      <c r="B23" s="252">
        <f t="shared" ref="B23:G23" si="2">C9</f>
        <v>0</v>
      </c>
      <c r="C23" s="252">
        <f t="shared" si="2"/>
        <v>0</v>
      </c>
      <c r="D23" s="252">
        <f t="shared" si="2"/>
        <v>0</v>
      </c>
      <c r="E23" s="252">
        <f t="shared" si="2"/>
        <v>0</v>
      </c>
      <c r="F23" s="252">
        <f t="shared" si="2"/>
        <v>0</v>
      </c>
      <c r="G23" s="253">
        <f t="shared" si="2"/>
        <v>0</v>
      </c>
    </row>
    <row r="24" spans="1:8" x14ac:dyDescent="0.25">
      <c r="A24" s="251" t="s">
        <v>151</v>
      </c>
      <c r="B24" s="252">
        <f t="shared" ref="B24:G24" si="3">C12</f>
        <v>0</v>
      </c>
      <c r="C24" s="252">
        <f t="shared" si="3"/>
        <v>0</v>
      </c>
      <c r="D24" s="252">
        <f t="shared" si="3"/>
        <v>0</v>
      </c>
      <c r="E24" s="252">
        <f t="shared" si="3"/>
        <v>0</v>
      </c>
      <c r="F24" s="252">
        <f t="shared" si="3"/>
        <v>0</v>
      </c>
      <c r="G24" s="253">
        <f t="shared" si="3"/>
        <v>0</v>
      </c>
    </row>
    <row r="25" spans="1:8" x14ac:dyDescent="0.25">
      <c r="A25" s="254" t="s">
        <v>152</v>
      </c>
      <c r="B25" s="255">
        <f t="shared" ref="B25:G25" si="4">B22+B23+B24</f>
        <v>0</v>
      </c>
      <c r="C25" s="255">
        <f t="shared" si="4"/>
        <v>0</v>
      </c>
      <c r="D25" s="255">
        <f t="shared" si="4"/>
        <v>0</v>
      </c>
      <c r="E25" s="255">
        <f t="shared" si="4"/>
        <v>0</v>
      </c>
      <c r="F25" s="255">
        <f t="shared" si="4"/>
        <v>0</v>
      </c>
      <c r="G25" s="256">
        <f t="shared" si="4"/>
        <v>0</v>
      </c>
    </row>
    <row r="26" spans="1:8" x14ac:dyDescent="0.25">
      <c r="A26" s="251" t="s">
        <v>153</v>
      </c>
      <c r="B26" s="252">
        <f>'CTOS_VS_ING_OPER-INV_INFRAEST'!F402</f>
        <v>0</v>
      </c>
      <c r="C26" s="252">
        <f>'CTOS_VS_ING_OPER-INV_INFRAEST'!G402</f>
        <v>0</v>
      </c>
      <c r="D26" s="252">
        <f>'CTOS_VS_ING_OPER-INV_INFRAEST'!H402</f>
        <v>0</v>
      </c>
      <c r="E26" s="252">
        <f>'CTOS_VS_ING_OPER-INV_INFRAEST'!I402</f>
        <v>0</v>
      </c>
      <c r="F26" s="252">
        <f>'CTOS_VS_ING_OPER-INV_INFRAEST'!J402</f>
        <v>0</v>
      </c>
      <c r="G26" s="252">
        <f>'CTOS_VS_ING_OPER-INV_INFRAEST'!K402</f>
        <v>0</v>
      </c>
      <c r="H26" s="257"/>
    </row>
    <row r="27" spans="1:8" x14ac:dyDescent="0.25">
      <c r="A27" s="251" t="s">
        <v>154</v>
      </c>
      <c r="B27" s="252"/>
      <c r="C27" s="252">
        <f>'CTOS_VS_ING_OPER-INV_INFRAEST'!G403</f>
        <v>0</v>
      </c>
      <c r="D27" s="252">
        <f>'CTOS_VS_ING_OPER-INV_INFRAEST'!H403</f>
        <v>0</v>
      </c>
      <c r="E27" s="252">
        <f>'CTOS_VS_ING_OPER-INV_INFRAEST'!I403</f>
        <v>0</v>
      </c>
      <c r="F27" s="252">
        <f>'CTOS_VS_ING_OPER-INV_INFRAEST'!J403</f>
        <v>0</v>
      </c>
      <c r="G27" s="252">
        <f>'CTOS_VS_ING_OPER-INV_INFRAEST'!K403</f>
        <v>0</v>
      </c>
      <c r="H27" s="257"/>
    </row>
    <row r="28" spans="1:8" x14ac:dyDescent="0.25">
      <c r="A28" s="254" t="s">
        <v>155</v>
      </c>
      <c r="B28" s="258">
        <f t="shared" ref="B28:G28" si="5">B26+B27</f>
        <v>0</v>
      </c>
      <c r="C28" s="258">
        <f t="shared" si="5"/>
        <v>0</v>
      </c>
      <c r="D28" s="258">
        <f t="shared" si="5"/>
        <v>0</v>
      </c>
      <c r="E28" s="258">
        <f t="shared" si="5"/>
        <v>0</v>
      </c>
      <c r="F28" s="258">
        <f t="shared" si="5"/>
        <v>0</v>
      </c>
      <c r="G28" s="258">
        <f t="shared" si="5"/>
        <v>0</v>
      </c>
    </row>
    <row r="29" spans="1:8" ht="18.75" x14ac:dyDescent="0.3">
      <c r="A29" s="697" t="s">
        <v>156</v>
      </c>
      <c r="B29" s="698"/>
      <c r="C29" s="698"/>
      <c r="D29" s="698"/>
      <c r="E29" s="698"/>
      <c r="F29" s="698"/>
      <c r="G29" s="699"/>
    </row>
    <row r="30" spans="1:8" x14ac:dyDescent="0.25">
      <c r="A30" s="259" t="s">
        <v>157</v>
      </c>
      <c r="B30" s="260">
        <f>'CTOS_VS_ING_OPER-INV_INFRAEST'!F416</f>
        <v>0</v>
      </c>
      <c r="C30" s="260">
        <f>'CTOS_VS_ING_OPER-INV_INFRAEST'!G416</f>
        <v>0</v>
      </c>
      <c r="D30" s="260">
        <f>'CTOS_VS_ING_OPER-INV_INFRAEST'!H416</f>
        <v>0</v>
      </c>
      <c r="E30" s="260">
        <f>'CTOS_VS_ING_OPER-INV_INFRAEST'!I416</f>
        <v>0</v>
      </c>
      <c r="F30" s="260">
        <f>'CTOS_VS_ING_OPER-INV_INFRAEST'!J416</f>
        <v>0</v>
      </c>
      <c r="G30" s="260">
        <f>'CTOS_VS_ING_OPER-INV_INFRAEST'!K416</f>
        <v>0</v>
      </c>
      <c r="H30" s="257"/>
    </row>
    <row r="31" spans="1:8" x14ac:dyDescent="0.25">
      <c r="A31" s="261" t="s">
        <v>158</v>
      </c>
      <c r="B31" s="262">
        <f>'CTOS_VS_ING_OPER-INV_INFRAEST'!F367</f>
        <v>0</v>
      </c>
      <c r="C31" s="262">
        <f>'CTOS_VS_ING_OPER-INV_INFRAEST'!G367</f>
        <v>0</v>
      </c>
      <c r="D31" s="262">
        <f>'CTOS_VS_ING_OPER-INV_INFRAEST'!H367</f>
        <v>0</v>
      </c>
      <c r="E31" s="262">
        <f>'CTOS_VS_ING_OPER-INV_INFRAEST'!I367</f>
        <v>0</v>
      </c>
      <c r="F31" s="262">
        <f>'CTOS_VS_ING_OPER-INV_INFRAEST'!J367</f>
        <v>0</v>
      </c>
      <c r="G31" s="262">
        <f>'CTOS_VS_ING_OPER-INV_INFRAEST'!K367</f>
        <v>0</v>
      </c>
      <c r="H31" s="257"/>
    </row>
    <row r="32" spans="1:8" x14ac:dyDescent="0.25">
      <c r="A32" s="261" t="s">
        <v>160</v>
      </c>
      <c r="B32" s="262"/>
      <c r="C32" s="262">
        <f>'CTOS_VS_ING_OPER-INV_INFRAEST'!G368</f>
        <v>0</v>
      </c>
      <c r="D32" s="262">
        <f>'CTOS_VS_ING_OPER-INV_INFRAEST'!H368</f>
        <v>0</v>
      </c>
      <c r="E32" s="262">
        <f>'CTOS_VS_ING_OPER-INV_INFRAEST'!I368</f>
        <v>0</v>
      </c>
      <c r="F32" s="262">
        <f>'CTOS_VS_ING_OPER-INV_INFRAEST'!J368</f>
        <v>0</v>
      </c>
      <c r="G32" s="262">
        <f>'CTOS_VS_ING_OPER-INV_INFRAEST'!K368</f>
        <v>0</v>
      </c>
      <c r="H32" s="257"/>
    </row>
    <row r="33" spans="1:8" x14ac:dyDescent="0.25">
      <c r="A33" s="261" t="s">
        <v>161</v>
      </c>
      <c r="B33" s="262">
        <f t="shared" ref="B33:G33" si="6">B31+B32</f>
        <v>0</v>
      </c>
      <c r="C33" s="262">
        <f t="shared" si="6"/>
        <v>0</v>
      </c>
      <c r="D33" s="262">
        <f t="shared" si="6"/>
        <v>0</v>
      </c>
      <c r="E33" s="262">
        <f t="shared" si="6"/>
        <v>0</v>
      </c>
      <c r="F33" s="262">
        <f t="shared" si="6"/>
        <v>0</v>
      </c>
      <c r="G33" s="262">
        <f t="shared" si="6"/>
        <v>0</v>
      </c>
      <c r="H33" s="257"/>
    </row>
    <row r="34" spans="1:8" x14ac:dyDescent="0.25">
      <c r="A34" s="259" t="s">
        <v>162</v>
      </c>
      <c r="B34" s="260">
        <f>'CTOS_VS_ING_OPER-INV_INFRAEST'!F372</f>
        <v>0</v>
      </c>
      <c r="C34" s="260">
        <f>'CTOS_VS_ING_OPER-INV_INFRAEST'!G372</f>
        <v>0</v>
      </c>
      <c r="D34" s="260">
        <f>'CTOS_VS_ING_OPER-INV_INFRAEST'!H372</f>
        <v>0</v>
      </c>
      <c r="E34" s="260">
        <f>'CTOS_VS_ING_OPER-INV_INFRAEST'!I372</f>
        <v>0</v>
      </c>
      <c r="F34" s="260">
        <f>'CTOS_VS_ING_OPER-INV_INFRAEST'!J372</f>
        <v>0</v>
      </c>
      <c r="G34" s="260">
        <f>'CTOS_VS_ING_OPER-INV_INFRAEST'!K372</f>
        <v>0</v>
      </c>
      <c r="H34" s="257"/>
    </row>
    <row r="35" spans="1:8" x14ac:dyDescent="0.25">
      <c r="A35" s="259" t="s">
        <v>163</v>
      </c>
      <c r="B35" s="260"/>
      <c r="C35" s="260">
        <f>'CTOS_VS_ING_OPER-INV_INFRAEST'!G373</f>
        <v>0</v>
      </c>
      <c r="D35" s="260">
        <f>'CTOS_VS_ING_OPER-INV_INFRAEST'!H373</f>
        <v>0</v>
      </c>
      <c r="E35" s="260">
        <f>'CTOS_VS_ING_OPER-INV_INFRAEST'!I373</f>
        <v>0</v>
      </c>
      <c r="F35" s="260">
        <f>'CTOS_VS_ING_OPER-INV_INFRAEST'!J373</f>
        <v>0</v>
      </c>
      <c r="G35" s="260">
        <f>'CTOS_VS_ING_OPER-INV_INFRAEST'!K373</f>
        <v>0</v>
      </c>
      <c r="H35" s="257"/>
    </row>
    <row r="36" spans="1:8" x14ac:dyDescent="0.25">
      <c r="A36" s="259" t="s">
        <v>164</v>
      </c>
      <c r="B36" s="260">
        <f>B34+B35</f>
        <v>0</v>
      </c>
      <c r="C36" s="260">
        <f t="shared" ref="C36:G36" si="7">C34+C35</f>
        <v>0</v>
      </c>
      <c r="D36" s="260">
        <f t="shared" si="7"/>
        <v>0</v>
      </c>
      <c r="E36" s="260">
        <f t="shared" si="7"/>
        <v>0</v>
      </c>
      <c r="F36" s="260">
        <f t="shared" si="7"/>
        <v>0</v>
      </c>
      <c r="G36" s="260">
        <f t="shared" si="7"/>
        <v>0</v>
      </c>
      <c r="H36" s="257"/>
    </row>
    <row r="37" spans="1:8" x14ac:dyDescent="0.25">
      <c r="A37" s="261" t="s">
        <v>165</v>
      </c>
      <c r="B37" s="262">
        <f>'CTOS_VS_ING_OPER-INV_INFRAEST'!F377</f>
        <v>0</v>
      </c>
      <c r="C37" s="262">
        <f>'CTOS_VS_ING_OPER-INV_INFRAEST'!G377</f>
        <v>0</v>
      </c>
      <c r="D37" s="262">
        <f>'CTOS_VS_ING_OPER-INV_INFRAEST'!H377</f>
        <v>0</v>
      </c>
      <c r="E37" s="262">
        <f>'CTOS_VS_ING_OPER-INV_INFRAEST'!I377</f>
        <v>0</v>
      </c>
      <c r="F37" s="262">
        <f>'CTOS_VS_ING_OPER-INV_INFRAEST'!J377</f>
        <v>0</v>
      </c>
      <c r="G37" s="262">
        <f>'CTOS_VS_ING_OPER-INV_INFRAEST'!K377</f>
        <v>0</v>
      </c>
      <c r="H37" s="257"/>
    </row>
    <row r="38" spans="1:8" x14ac:dyDescent="0.25">
      <c r="A38" s="261" t="s">
        <v>159</v>
      </c>
      <c r="B38" s="262"/>
      <c r="C38" s="262">
        <f>'CTOS_VS_ING_OPER-INV_INFRAEST'!G378</f>
        <v>0</v>
      </c>
      <c r="D38" s="262">
        <f>'CTOS_VS_ING_OPER-INV_INFRAEST'!H378</f>
        <v>0</v>
      </c>
      <c r="E38" s="262">
        <f>'CTOS_VS_ING_OPER-INV_INFRAEST'!I378</f>
        <v>0</v>
      </c>
      <c r="F38" s="262">
        <f>'CTOS_VS_ING_OPER-INV_INFRAEST'!J378</f>
        <v>0</v>
      </c>
      <c r="G38" s="262">
        <f>'CTOS_VS_ING_OPER-INV_INFRAEST'!K378</f>
        <v>0</v>
      </c>
      <c r="H38" s="257"/>
    </row>
    <row r="39" spans="1:8" x14ac:dyDescent="0.25">
      <c r="A39" s="261" t="s">
        <v>166</v>
      </c>
      <c r="B39" s="262">
        <f t="shared" ref="B39:G39" si="8">B37+B38</f>
        <v>0</v>
      </c>
      <c r="C39" s="262">
        <f t="shared" si="8"/>
        <v>0</v>
      </c>
      <c r="D39" s="262">
        <f t="shared" si="8"/>
        <v>0</v>
      </c>
      <c r="E39" s="262">
        <f t="shared" si="8"/>
        <v>0</v>
      </c>
      <c r="F39" s="262">
        <f t="shared" si="8"/>
        <v>0</v>
      </c>
      <c r="G39" s="262">
        <f t="shared" si="8"/>
        <v>0</v>
      </c>
      <c r="H39" s="257"/>
    </row>
    <row r="40" spans="1:8" x14ac:dyDescent="0.25">
      <c r="A40" s="259" t="s">
        <v>167</v>
      </c>
      <c r="B40" s="260">
        <f>'CTOS_VS_ING_OPER-INV_INFRAEST'!F382</f>
        <v>0</v>
      </c>
      <c r="C40" s="260">
        <f>'CTOS_VS_ING_OPER-INV_INFRAEST'!G382</f>
        <v>0</v>
      </c>
      <c r="D40" s="260">
        <f>'CTOS_VS_ING_OPER-INV_INFRAEST'!H382</f>
        <v>0</v>
      </c>
      <c r="E40" s="260">
        <f>'CTOS_VS_ING_OPER-INV_INFRAEST'!I382</f>
        <v>0</v>
      </c>
      <c r="F40" s="260">
        <f>'CTOS_VS_ING_OPER-INV_INFRAEST'!J382</f>
        <v>0</v>
      </c>
      <c r="G40" s="260">
        <f>'CTOS_VS_ING_OPER-INV_INFRAEST'!K382</f>
        <v>0</v>
      </c>
      <c r="H40" s="257"/>
    </row>
    <row r="41" spans="1:8" x14ac:dyDescent="0.25">
      <c r="A41" s="259" t="s">
        <v>159</v>
      </c>
      <c r="B41" s="260"/>
      <c r="C41" s="260">
        <f>'CTOS_VS_ING_OPER-INV_INFRAEST'!G383</f>
        <v>0</v>
      </c>
      <c r="D41" s="260">
        <f>'CTOS_VS_ING_OPER-INV_INFRAEST'!H383</f>
        <v>0</v>
      </c>
      <c r="E41" s="260">
        <f>'CTOS_VS_ING_OPER-INV_INFRAEST'!I383</f>
        <v>0</v>
      </c>
      <c r="F41" s="260">
        <f>'CTOS_VS_ING_OPER-INV_INFRAEST'!J383</f>
        <v>0</v>
      </c>
      <c r="G41" s="260">
        <f>'CTOS_VS_ING_OPER-INV_INFRAEST'!K383</f>
        <v>0</v>
      </c>
      <c r="H41" s="257"/>
    </row>
    <row r="42" spans="1:8" x14ac:dyDescent="0.25">
      <c r="A42" s="259" t="s">
        <v>168</v>
      </c>
      <c r="B42" s="260">
        <f t="shared" ref="B42:G42" si="9">B40+B41</f>
        <v>0</v>
      </c>
      <c r="C42" s="260">
        <f t="shared" si="9"/>
        <v>0</v>
      </c>
      <c r="D42" s="260">
        <f t="shared" si="9"/>
        <v>0</v>
      </c>
      <c r="E42" s="260">
        <f t="shared" si="9"/>
        <v>0</v>
      </c>
      <c r="F42" s="260">
        <f t="shared" si="9"/>
        <v>0</v>
      </c>
      <c r="G42" s="260">
        <f t="shared" si="9"/>
        <v>0</v>
      </c>
      <c r="H42" s="257"/>
    </row>
    <row r="43" spans="1:8" x14ac:dyDescent="0.25">
      <c r="A43" s="261" t="s">
        <v>169</v>
      </c>
      <c r="B43" s="262">
        <f>'CTOS_VS_ING_OPER-INV_INFRAEST'!F387</f>
        <v>0</v>
      </c>
      <c r="C43" s="262">
        <f>'CTOS_VS_ING_OPER-INV_INFRAEST'!G387</f>
        <v>0</v>
      </c>
      <c r="D43" s="262">
        <f>'CTOS_VS_ING_OPER-INV_INFRAEST'!H387</f>
        <v>0</v>
      </c>
      <c r="E43" s="262">
        <f>'CTOS_VS_ING_OPER-INV_INFRAEST'!I387</f>
        <v>0</v>
      </c>
      <c r="F43" s="262">
        <f>'CTOS_VS_ING_OPER-INV_INFRAEST'!J387</f>
        <v>0</v>
      </c>
      <c r="G43" s="262">
        <f>'CTOS_VS_ING_OPER-INV_INFRAEST'!K387</f>
        <v>0</v>
      </c>
      <c r="H43" s="257"/>
    </row>
    <row r="44" spans="1:8" x14ac:dyDescent="0.25">
      <c r="A44" s="261" t="s">
        <v>159</v>
      </c>
      <c r="B44" s="262"/>
      <c r="C44" s="262">
        <f>'CTOS_VS_ING_OPER-INV_INFRAEST'!G388</f>
        <v>0</v>
      </c>
      <c r="D44" s="262">
        <f>'CTOS_VS_ING_OPER-INV_INFRAEST'!H388</f>
        <v>0</v>
      </c>
      <c r="E44" s="262">
        <f>'CTOS_VS_ING_OPER-INV_INFRAEST'!I388</f>
        <v>0</v>
      </c>
      <c r="F44" s="262">
        <f>'CTOS_VS_ING_OPER-INV_INFRAEST'!J388</f>
        <v>0</v>
      </c>
      <c r="G44" s="262">
        <f>'CTOS_VS_ING_OPER-INV_INFRAEST'!K388</f>
        <v>0</v>
      </c>
      <c r="H44" s="257"/>
    </row>
    <row r="45" spans="1:8" x14ac:dyDescent="0.25">
      <c r="A45" s="261" t="s">
        <v>170</v>
      </c>
      <c r="B45" s="262">
        <f t="shared" ref="B45:G45" si="10">B43+B44</f>
        <v>0</v>
      </c>
      <c r="C45" s="262">
        <f t="shared" si="10"/>
        <v>0</v>
      </c>
      <c r="D45" s="262">
        <f t="shared" si="10"/>
        <v>0</v>
      </c>
      <c r="E45" s="262">
        <f t="shared" si="10"/>
        <v>0</v>
      </c>
      <c r="F45" s="262">
        <f t="shared" si="10"/>
        <v>0</v>
      </c>
      <c r="G45" s="262">
        <f t="shared" si="10"/>
        <v>0</v>
      </c>
      <c r="H45" s="257"/>
    </row>
    <row r="46" spans="1:8" x14ac:dyDescent="0.25">
      <c r="A46" s="259" t="s">
        <v>171</v>
      </c>
      <c r="B46" s="260">
        <f>'CTOS_VS_ING_OPER-INV_INFRAEST'!F392</f>
        <v>0</v>
      </c>
      <c r="C46" s="260">
        <f>'CTOS_VS_ING_OPER-INV_INFRAEST'!G392</f>
        <v>0</v>
      </c>
      <c r="D46" s="260">
        <f>'CTOS_VS_ING_OPER-INV_INFRAEST'!H392</f>
        <v>0</v>
      </c>
      <c r="E46" s="260">
        <f>'CTOS_VS_ING_OPER-INV_INFRAEST'!I392</f>
        <v>0</v>
      </c>
      <c r="F46" s="260">
        <f>'CTOS_VS_ING_OPER-INV_INFRAEST'!J392</f>
        <v>0</v>
      </c>
      <c r="G46" s="260">
        <f>'CTOS_VS_ING_OPER-INV_INFRAEST'!K392</f>
        <v>0</v>
      </c>
      <c r="H46" s="257"/>
    </row>
    <row r="47" spans="1:8" x14ac:dyDescent="0.25">
      <c r="A47" s="259" t="s">
        <v>172</v>
      </c>
      <c r="B47" s="260"/>
      <c r="C47" s="260">
        <f>'CTOS_VS_ING_OPER-INV_INFRAEST'!G393</f>
        <v>0</v>
      </c>
      <c r="D47" s="260">
        <f>'CTOS_VS_ING_OPER-INV_INFRAEST'!H393</f>
        <v>0</v>
      </c>
      <c r="E47" s="260">
        <f>'CTOS_VS_ING_OPER-INV_INFRAEST'!I393</f>
        <v>0</v>
      </c>
      <c r="F47" s="260">
        <f>'CTOS_VS_ING_OPER-INV_INFRAEST'!J393</f>
        <v>0</v>
      </c>
      <c r="G47" s="260">
        <f>'CTOS_VS_ING_OPER-INV_INFRAEST'!K393</f>
        <v>0</v>
      </c>
      <c r="H47" s="257"/>
    </row>
    <row r="48" spans="1:8" x14ac:dyDescent="0.25">
      <c r="A48" s="259" t="s">
        <v>171</v>
      </c>
      <c r="B48" s="260">
        <f>B46+B47</f>
        <v>0</v>
      </c>
      <c r="C48" s="260">
        <f t="shared" ref="C48:G48" si="11">C46+C47</f>
        <v>0</v>
      </c>
      <c r="D48" s="260">
        <f t="shared" si="11"/>
        <v>0</v>
      </c>
      <c r="E48" s="260">
        <f t="shared" si="11"/>
        <v>0</v>
      </c>
      <c r="F48" s="260">
        <f t="shared" si="11"/>
        <v>0</v>
      </c>
      <c r="G48" s="260">
        <f t="shared" si="11"/>
        <v>0</v>
      </c>
      <c r="H48" s="257"/>
    </row>
    <row r="49" spans="1:8" x14ac:dyDescent="0.25">
      <c r="A49" s="261" t="s">
        <v>173</v>
      </c>
      <c r="B49" s="262">
        <f>'CTOS_VS_ING_OPER-INV_INFRAEST'!F397</f>
        <v>0</v>
      </c>
      <c r="C49" s="262">
        <f>'CTOS_VS_ING_OPER-INV_INFRAEST'!G397</f>
        <v>0</v>
      </c>
      <c r="D49" s="262">
        <f>'CTOS_VS_ING_OPER-INV_INFRAEST'!H397</f>
        <v>0</v>
      </c>
      <c r="E49" s="262">
        <f>'CTOS_VS_ING_OPER-INV_INFRAEST'!I397</f>
        <v>0</v>
      </c>
      <c r="F49" s="262">
        <f>'CTOS_VS_ING_OPER-INV_INFRAEST'!J397</f>
        <v>0</v>
      </c>
      <c r="G49" s="262">
        <f>'CTOS_VS_ING_OPER-INV_INFRAEST'!K397</f>
        <v>0</v>
      </c>
      <c r="H49" s="257"/>
    </row>
    <row r="50" spans="1:8" x14ac:dyDescent="0.25">
      <c r="A50" s="261" t="s">
        <v>172</v>
      </c>
      <c r="B50" s="262"/>
      <c r="C50" s="262">
        <f>'CTOS_VS_ING_OPER-INV_INFRAEST'!G398</f>
        <v>0</v>
      </c>
      <c r="D50" s="262">
        <f>'CTOS_VS_ING_OPER-INV_INFRAEST'!H398</f>
        <v>0</v>
      </c>
      <c r="E50" s="262">
        <f>'CTOS_VS_ING_OPER-INV_INFRAEST'!I398</f>
        <v>0</v>
      </c>
      <c r="F50" s="262">
        <f>'CTOS_VS_ING_OPER-INV_INFRAEST'!J398</f>
        <v>0</v>
      </c>
      <c r="G50" s="262">
        <f>'CTOS_VS_ING_OPER-INV_INFRAEST'!K398</f>
        <v>0</v>
      </c>
      <c r="H50" s="257"/>
    </row>
    <row r="51" spans="1:8" x14ac:dyDescent="0.25">
      <c r="A51" s="261" t="s">
        <v>311</v>
      </c>
      <c r="B51" s="262">
        <f>B49+B50</f>
        <v>0</v>
      </c>
      <c r="C51" s="262">
        <f t="shared" ref="C51:G51" si="12">C49+C50</f>
        <v>0</v>
      </c>
      <c r="D51" s="262">
        <f t="shared" si="12"/>
        <v>0</v>
      </c>
      <c r="E51" s="262">
        <f t="shared" si="12"/>
        <v>0</v>
      </c>
      <c r="F51" s="262">
        <f t="shared" si="12"/>
        <v>0</v>
      </c>
      <c r="G51" s="262">
        <f t="shared" si="12"/>
        <v>0</v>
      </c>
      <c r="H51" s="257"/>
    </row>
    <row r="52" spans="1:8" x14ac:dyDescent="0.25">
      <c r="A52" s="263" t="s">
        <v>174</v>
      </c>
      <c r="B52" s="258">
        <f>B30+B33+B36+B39+B42+B45+B48+B51</f>
        <v>0</v>
      </c>
      <c r="C52" s="258">
        <f t="shared" ref="C52:G52" si="13">C30+C33+C36+C39+C42+C45+C48+C51</f>
        <v>0</v>
      </c>
      <c r="D52" s="258">
        <f t="shared" si="13"/>
        <v>0</v>
      </c>
      <c r="E52" s="258">
        <f t="shared" si="13"/>
        <v>0</v>
      </c>
      <c r="F52" s="258">
        <f t="shared" si="13"/>
        <v>0</v>
      </c>
      <c r="G52" s="258">
        <f t="shared" si="13"/>
        <v>0</v>
      </c>
    </row>
    <row r="53" spans="1:8" ht="18.75" x14ac:dyDescent="0.3">
      <c r="A53" s="690" t="s">
        <v>69</v>
      </c>
      <c r="B53" s="691"/>
      <c r="C53" s="691"/>
      <c r="D53" s="691"/>
      <c r="E53" s="691"/>
      <c r="F53" s="691"/>
      <c r="G53" s="692"/>
    </row>
    <row r="54" spans="1:8" x14ac:dyDescent="0.25">
      <c r="A54" s="259" t="s">
        <v>69</v>
      </c>
      <c r="B54" s="264">
        <f>'CTOS_VS_ING_OPER-INV_INFRAEST'!F407</f>
        <v>0</v>
      </c>
      <c r="C54" s="264">
        <f>'CTOS_VS_ING_OPER-INV_INFRAEST'!G407</f>
        <v>0</v>
      </c>
      <c r="D54" s="264">
        <f>'CTOS_VS_ING_OPER-INV_INFRAEST'!H407</f>
        <v>0</v>
      </c>
      <c r="E54" s="264">
        <f>'CTOS_VS_ING_OPER-INV_INFRAEST'!I407</f>
        <v>0</v>
      </c>
      <c r="F54" s="264">
        <f>'CTOS_VS_ING_OPER-INV_INFRAEST'!J407</f>
        <v>0</v>
      </c>
      <c r="G54" s="264">
        <f>'CTOS_VS_ING_OPER-INV_INFRAEST'!K407</f>
        <v>0</v>
      </c>
      <c r="H54" s="257"/>
    </row>
    <row r="55" spans="1:8" x14ac:dyDescent="0.25">
      <c r="A55" s="259" t="s">
        <v>175</v>
      </c>
      <c r="B55" s="264">
        <f>'CTOS_VS_ING_OPER-INV_INFRAEST'!F409</f>
        <v>0</v>
      </c>
      <c r="C55" s="264">
        <f>'CTOS_VS_ING_OPER-INV_INFRAEST'!G409</f>
        <v>0</v>
      </c>
      <c r="D55" s="264">
        <f>'CTOS_VS_ING_OPER-INV_INFRAEST'!H409</f>
        <v>0</v>
      </c>
      <c r="E55" s="264">
        <f>'CTOS_VS_ING_OPER-INV_INFRAEST'!I409</f>
        <v>0</v>
      </c>
      <c r="F55" s="264">
        <f>'CTOS_VS_ING_OPER-INV_INFRAEST'!J409</f>
        <v>0</v>
      </c>
      <c r="G55" s="264">
        <f>'CTOS_VS_ING_OPER-INV_INFRAEST'!K409</f>
        <v>0</v>
      </c>
      <c r="H55" s="257"/>
    </row>
    <row r="56" spans="1:8" x14ac:dyDescent="0.25">
      <c r="A56" s="259" t="s">
        <v>69</v>
      </c>
      <c r="B56" s="264">
        <f>B54+B55</f>
        <v>0</v>
      </c>
      <c r="C56" s="264">
        <f t="shared" ref="C56:G56" si="14">C54+C55</f>
        <v>0</v>
      </c>
      <c r="D56" s="264">
        <f t="shared" si="14"/>
        <v>0</v>
      </c>
      <c r="E56" s="264">
        <f t="shared" si="14"/>
        <v>0</v>
      </c>
      <c r="F56" s="264">
        <f t="shared" si="14"/>
        <v>0</v>
      </c>
      <c r="G56" s="264">
        <f t="shared" si="14"/>
        <v>0</v>
      </c>
      <c r="H56" s="257"/>
    </row>
    <row r="57" spans="1:8" ht="15.75" thickBot="1" x14ac:dyDescent="0.3">
      <c r="A57" s="265" t="s">
        <v>176</v>
      </c>
      <c r="B57" s="266">
        <f t="shared" ref="B57:G57" si="15">B25+B28+B52+B56</f>
        <v>0</v>
      </c>
      <c r="C57" s="266">
        <f t="shared" si="15"/>
        <v>0</v>
      </c>
      <c r="D57" s="266">
        <f t="shared" si="15"/>
        <v>0</v>
      </c>
      <c r="E57" s="266">
        <f t="shared" si="15"/>
        <v>0</v>
      </c>
      <c r="F57" s="266">
        <f t="shared" si="15"/>
        <v>0</v>
      </c>
      <c r="G57" s="266">
        <f t="shared" si="15"/>
        <v>0</v>
      </c>
    </row>
    <row r="59" spans="1:8" ht="15.75" thickBot="1" x14ac:dyDescent="0.3"/>
    <row r="60" spans="1:8" ht="18.75" x14ac:dyDescent="0.3">
      <c r="A60" s="687" t="s">
        <v>177</v>
      </c>
      <c r="B60" s="688"/>
      <c r="C60" s="688"/>
      <c r="D60" s="688"/>
      <c r="E60" s="688"/>
      <c r="F60" s="688"/>
      <c r="G60" s="689"/>
    </row>
    <row r="61" spans="1:8" x14ac:dyDescent="0.25">
      <c r="A61" s="267" t="s">
        <v>139</v>
      </c>
      <c r="B61" s="268">
        <f t="shared" ref="B61:G61" si="16">C15</f>
        <v>0</v>
      </c>
      <c r="C61" s="268">
        <f t="shared" si="16"/>
        <v>0</v>
      </c>
      <c r="D61" s="268">
        <f t="shared" si="16"/>
        <v>0</v>
      </c>
      <c r="E61" s="268">
        <f t="shared" si="16"/>
        <v>0</v>
      </c>
      <c r="F61" s="268">
        <f t="shared" si="16"/>
        <v>0</v>
      </c>
      <c r="G61" s="268">
        <f t="shared" si="16"/>
        <v>0</v>
      </c>
    </row>
    <row r="62" spans="1:8" x14ac:dyDescent="0.25">
      <c r="A62" s="267" t="s">
        <v>178</v>
      </c>
      <c r="B62" s="268">
        <f>ESTADO_DE_RESULTADOS!B28</f>
        <v>0</v>
      </c>
      <c r="C62" s="268">
        <f>ESTADO_DE_RESULTADOS!C28</f>
        <v>0</v>
      </c>
      <c r="D62" s="268">
        <f>ESTADO_DE_RESULTADOS!D28</f>
        <v>0</v>
      </c>
      <c r="E62" s="268">
        <f>ESTADO_DE_RESULTADOS!E28</f>
        <v>0</v>
      </c>
      <c r="F62" s="268">
        <f>ESTADO_DE_RESULTADOS!F28</f>
        <v>0</v>
      </c>
      <c r="G62" s="268">
        <f>ESTADO_DE_RESULTADOS!G29</f>
        <v>0</v>
      </c>
    </row>
    <row r="63" spans="1:8" x14ac:dyDescent="0.25">
      <c r="A63" s="263" t="s">
        <v>179</v>
      </c>
      <c r="B63" s="258">
        <f t="shared" ref="B63:G63" si="17">SUM(B61:B62)</f>
        <v>0</v>
      </c>
      <c r="C63" s="258">
        <f t="shared" si="17"/>
        <v>0</v>
      </c>
      <c r="D63" s="258">
        <f t="shared" si="17"/>
        <v>0</v>
      </c>
      <c r="E63" s="258">
        <f t="shared" si="17"/>
        <v>0</v>
      </c>
      <c r="F63" s="258">
        <f t="shared" si="17"/>
        <v>0</v>
      </c>
      <c r="G63" s="258">
        <f t="shared" si="17"/>
        <v>0</v>
      </c>
    </row>
    <row r="64" spans="1:8" x14ac:dyDescent="0.25">
      <c r="A64" s="267" t="s">
        <v>180</v>
      </c>
      <c r="B64" s="268">
        <f>NECESIDADES_DE_FINANCIACION!E21</f>
        <v>0</v>
      </c>
      <c r="C64" s="268">
        <f>NECESIDADES_DE_FINANCIACION!G28*-1</f>
        <v>0</v>
      </c>
      <c r="D64" s="268">
        <f>NECESIDADES_DE_FINANCIACION!G29*-1</f>
        <v>0</v>
      </c>
      <c r="E64" s="268">
        <f>NECESIDADES_DE_FINANCIACION!G30*-1</f>
        <v>0</v>
      </c>
      <c r="F64" s="268">
        <f>NECESIDADES_DE_FINANCIACION!G31*-1</f>
        <v>0</v>
      </c>
      <c r="G64" s="268">
        <f>NECESIDADES_DE_FINANCIACION!G32*-1</f>
        <v>0</v>
      </c>
    </row>
    <row r="65" spans="1:7" x14ac:dyDescent="0.25">
      <c r="A65" s="263" t="s">
        <v>181</v>
      </c>
      <c r="B65" s="258">
        <f t="shared" ref="B65:G65" si="18">B63+B64</f>
        <v>0</v>
      </c>
      <c r="C65" s="258">
        <f t="shared" si="18"/>
        <v>0</v>
      </c>
      <c r="D65" s="258">
        <f t="shared" si="18"/>
        <v>0</v>
      </c>
      <c r="E65" s="258">
        <f t="shared" si="18"/>
        <v>0</v>
      </c>
      <c r="F65" s="258">
        <f t="shared" si="18"/>
        <v>0</v>
      </c>
      <c r="G65" s="258">
        <f t="shared" si="18"/>
        <v>0</v>
      </c>
    </row>
    <row r="66" spans="1:7" ht="18.75" x14ac:dyDescent="0.3">
      <c r="A66" s="690" t="s">
        <v>182</v>
      </c>
      <c r="B66" s="691"/>
      <c r="C66" s="691"/>
      <c r="D66" s="691"/>
      <c r="E66" s="691"/>
      <c r="F66" s="691"/>
      <c r="G66" s="692"/>
    </row>
    <row r="67" spans="1:7" x14ac:dyDescent="0.25">
      <c r="A67" s="269" t="s">
        <v>183</v>
      </c>
      <c r="B67" s="270">
        <f>NECESIDADES_DE_FINANCIACION!E20</f>
        <v>0</v>
      </c>
      <c r="C67" s="270">
        <f>B67+FLUJO_DE_CAJA!B39</f>
        <v>0</v>
      </c>
      <c r="D67" s="270">
        <f>C67+FLUJO_DE_CAJA!C39</f>
        <v>0</v>
      </c>
      <c r="E67" s="270">
        <f>D67+FLUJO_DE_CAJA!D39</f>
        <v>0</v>
      </c>
      <c r="F67" s="270">
        <f>E67+FLUJO_DE_CAJA!E39</f>
        <v>0</v>
      </c>
      <c r="G67" s="270">
        <f>F67+FLUJO_DE_CAJA!F39</f>
        <v>0</v>
      </c>
    </row>
    <row r="68" spans="1:7" x14ac:dyDescent="0.25">
      <c r="A68" s="269" t="s">
        <v>184</v>
      </c>
      <c r="B68" s="270">
        <f>0</f>
        <v>0</v>
      </c>
      <c r="C68" s="270">
        <f>ESTADO_DE_RESULTADOS!B29</f>
        <v>0</v>
      </c>
      <c r="D68" s="270">
        <f>ESTADO_DE_RESULTADOS!C29</f>
        <v>0</v>
      </c>
      <c r="E68" s="270">
        <f>ESTADO_DE_RESULTADOS!D29</f>
        <v>0</v>
      </c>
      <c r="F68" s="270">
        <f>ESTADO_DE_RESULTADOS!E29</f>
        <v>0</v>
      </c>
      <c r="G68" s="270">
        <f>ESTADO_DE_RESULTADOS!F29</f>
        <v>0</v>
      </c>
    </row>
    <row r="69" spans="1:7" x14ac:dyDescent="0.25">
      <c r="A69" s="269" t="s">
        <v>185</v>
      </c>
      <c r="B69" s="270">
        <f>0</f>
        <v>0</v>
      </c>
      <c r="C69" s="270">
        <f>ESTADO_DE_RESULTADOS!B35</f>
        <v>0</v>
      </c>
      <c r="D69" s="270">
        <f>ESTADO_DE_RESULTADOS!C35</f>
        <v>0</v>
      </c>
      <c r="E69" s="270">
        <f>ESTADO_DE_RESULTADOS!D35</f>
        <v>0</v>
      </c>
      <c r="F69" s="270">
        <f>ESTADO_DE_RESULTADOS!E35</f>
        <v>0</v>
      </c>
      <c r="G69" s="270">
        <f>ESTADO_DE_RESULTADOS!F35</f>
        <v>0</v>
      </c>
    </row>
    <row r="70" spans="1:7" x14ac:dyDescent="0.25">
      <c r="A70" s="269" t="s">
        <v>186</v>
      </c>
      <c r="B70" s="270">
        <f>0</f>
        <v>0</v>
      </c>
      <c r="C70" s="270">
        <f>ESTADO_DE_RESULTADOS!B31</f>
        <v>0</v>
      </c>
      <c r="D70" s="270">
        <f>ESTADO_DE_RESULTADOS!C31</f>
        <v>0</v>
      </c>
      <c r="E70" s="270">
        <f>ESTADO_DE_RESULTADOS!D31</f>
        <v>0</v>
      </c>
      <c r="F70" s="270">
        <f>ESTADO_DE_RESULTADOS!E31</f>
        <v>0</v>
      </c>
      <c r="G70" s="270">
        <f>ESTADO_DE_RESULTADOS!F31</f>
        <v>0</v>
      </c>
    </row>
    <row r="71" spans="1:7" x14ac:dyDescent="0.25">
      <c r="A71" s="269" t="s">
        <v>187</v>
      </c>
      <c r="B71" s="270">
        <f>0</f>
        <v>0</v>
      </c>
      <c r="C71" s="270"/>
      <c r="D71" s="270"/>
      <c r="E71" s="270"/>
      <c r="F71" s="270"/>
      <c r="G71" s="271"/>
    </row>
    <row r="72" spans="1:7" x14ac:dyDescent="0.25">
      <c r="A72" s="263" t="s">
        <v>188</v>
      </c>
      <c r="B72" s="258">
        <f t="shared" ref="B72:G72" si="19">B67+B68+B69+B70+B71</f>
        <v>0</v>
      </c>
      <c r="C72" s="258">
        <f t="shared" si="19"/>
        <v>0</v>
      </c>
      <c r="D72" s="258">
        <f t="shared" si="19"/>
        <v>0</v>
      </c>
      <c r="E72" s="258">
        <f t="shared" si="19"/>
        <v>0</v>
      </c>
      <c r="F72" s="258">
        <f t="shared" si="19"/>
        <v>0</v>
      </c>
      <c r="G72" s="258">
        <f t="shared" si="19"/>
        <v>0</v>
      </c>
    </row>
    <row r="73" spans="1:7" x14ac:dyDescent="0.25">
      <c r="A73" s="272"/>
      <c r="B73" s="150"/>
      <c r="C73" s="150"/>
      <c r="D73" s="150"/>
      <c r="E73" s="150"/>
      <c r="F73" s="150"/>
      <c r="G73" s="273"/>
    </row>
    <row r="74" spans="1:7" ht="15.75" thickBot="1" x14ac:dyDescent="0.3">
      <c r="A74" s="265" t="s">
        <v>189</v>
      </c>
      <c r="B74" s="266">
        <f t="shared" ref="B74:G74" si="20">B65+B72</f>
        <v>0</v>
      </c>
      <c r="C74" s="266">
        <f t="shared" si="20"/>
        <v>0</v>
      </c>
      <c r="D74" s="266">
        <f t="shared" si="20"/>
        <v>0</v>
      </c>
      <c r="E74" s="266">
        <f t="shared" si="20"/>
        <v>0</v>
      </c>
      <c r="F74" s="266">
        <f t="shared" si="20"/>
        <v>0</v>
      </c>
      <c r="G74" s="266">
        <f t="shared" si="20"/>
        <v>0</v>
      </c>
    </row>
    <row r="76" spans="1:7" x14ac:dyDescent="0.25">
      <c r="A76" s="274" t="s">
        <v>190</v>
      </c>
      <c r="B76" s="275">
        <f t="shared" ref="B76:G76" si="21">B74-B57</f>
        <v>0</v>
      </c>
      <c r="C76" s="275">
        <f t="shared" si="21"/>
        <v>0</v>
      </c>
      <c r="D76" s="275">
        <f t="shared" si="21"/>
        <v>0</v>
      </c>
      <c r="E76" s="275">
        <f t="shared" si="21"/>
        <v>0</v>
      </c>
      <c r="F76" s="275">
        <f t="shared" si="21"/>
        <v>0</v>
      </c>
      <c r="G76" s="275">
        <f t="shared" si="21"/>
        <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8" t="s">
        <v>191</v>
      </c>
      <c r="B3" s="296">
        <f>BASES!D7</f>
        <v>2021</v>
      </c>
      <c r="C3" s="296">
        <f>BASES!E7</f>
        <v>2022</v>
      </c>
      <c r="D3" s="296">
        <f>BASES!F7</f>
        <v>2023</v>
      </c>
      <c r="E3" s="296">
        <f>BASES!G7</f>
        <v>2024</v>
      </c>
      <c r="F3" s="296">
        <f>BASES!H7</f>
        <v>2025</v>
      </c>
      <c r="G3" s="225"/>
    </row>
    <row r="4" spans="1:9" x14ac:dyDescent="0.25">
      <c r="A4" s="277" t="s">
        <v>192</v>
      </c>
      <c r="B4" s="446">
        <f>'CTOS_VS_ING_OPER-INV_INFRAEST'!G12</f>
        <v>0</v>
      </c>
      <c r="C4" s="446">
        <f>'CTOS_VS_ING_OPER-INV_INFRAEST'!I12</f>
        <v>0</v>
      </c>
      <c r="D4" s="446">
        <f>'CTOS_VS_ING_OPER-INV_INFRAEST'!K12</f>
        <v>0</v>
      </c>
      <c r="E4" s="446">
        <f>'CTOS_VS_ING_OPER-INV_INFRAEST'!M12</f>
        <v>0</v>
      </c>
      <c r="F4" s="446">
        <f>'CTOS_VS_ING_OPER-INV_INFRAEST'!O12</f>
        <v>0</v>
      </c>
    </row>
    <row r="5" spans="1:9" x14ac:dyDescent="0.25">
      <c r="A5" s="277" t="s">
        <v>193</v>
      </c>
      <c r="B5" s="278">
        <f>B4*$I$12</f>
        <v>0</v>
      </c>
      <c r="C5" s="278">
        <f>C4*$I$12</f>
        <v>0</v>
      </c>
      <c r="D5" s="278">
        <f>D4*$I$12</f>
        <v>0</v>
      </c>
      <c r="E5" s="278">
        <f>E4*$I$12</f>
        <v>0</v>
      </c>
      <c r="F5" s="278">
        <f>F4*$I$12</f>
        <v>0</v>
      </c>
    </row>
    <row r="6" spans="1:9" x14ac:dyDescent="0.25">
      <c r="A6" s="277" t="s">
        <v>194</v>
      </c>
      <c r="B6" s="446">
        <f>COSTOS_DE_PRODUCCION!D182</f>
        <v>0</v>
      </c>
      <c r="C6" s="446">
        <f>COSTOS_DE_PRODUCCION!F182</f>
        <v>0</v>
      </c>
      <c r="D6" s="446">
        <f>COSTOS_DE_PRODUCCION!G182</f>
        <v>0</v>
      </c>
      <c r="E6" s="446">
        <f>COSTOS_DE_PRODUCCION!H182</f>
        <v>0</v>
      </c>
      <c r="F6" s="446">
        <f>COSTOS_DE_PRODUCCION!I182</f>
        <v>0</v>
      </c>
      <c r="G6" s="411"/>
    </row>
    <row r="7" spans="1:9" x14ac:dyDescent="0.25">
      <c r="A7" s="277" t="s">
        <v>34</v>
      </c>
      <c r="B7" s="446">
        <f>'CTOS_VS_ING_OPER-INV_INFRAEST'!G412</f>
        <v>0</v>
      </c>
      <c r="C7" s="446">
        <f>'CTOS_VS_ING_OPER-INV_INFRAEST'!H412</f>
        <v>0</v>
      </c>
      <c r="D7" s="446">
        <f>'CTOS_VS_ING_OPER-INV_INFRAEST'!I412</f>
        <v>0</v>
      </c>
      <c r="E7" s="446">
        <f>'CTOS_VS_ING_OPER-INV_INFRAEST'!J412</f>
        <v>0</v>
      </c>
      <c r="F7" s="446">
        <f>'CTOS_VS_ING_OPER-INV_INFRAEST'!K412</f>
        <v>0</v>
      </c>
      <c r="G7" s="257"/>
    </row>
    <row r="8" spans="1:9" ht="15.75" thickBot="1" x14ac:dyDescent="0.3">
      <c r="A8" s="277" t="s">
        <v>195</v>
      </c>
      <c r="B8" s="446">
        <f>'CTOS_VS_ING_OPER-INV_INFRAEST'!G413</f>
        <v>0</v>
      </c>
      <c r="C8" s="446">
        <f>'CTOS_VS_ING_OPER-INV_INFRAEST'!H413</f>
        <v>0</v>
      </c>
      <c r="D8" s="446">
        <f>'CTOS_VS_ING_OPER-INV_INFRAEST'!I413</f>
        <v>0</v>
      </c>
      <c r="E8" s="446">
        <f>'CTOS_VS_ING_OPER-INV_INFRAEST'!J413</f>
        <v>0</v>
      </c>
      <c r="F8" s="446">
        <f>'CTOS_VS_ING_OPER-INV_INFRAEST'!K413</f>
        <v>0</v>
      </c>
      <c r="G8" s="257"/>
    </row>
    <row r="9" spans="1:9" x14ac:dyDescent="0.25">
      <c r="A9" s="289" t="s">
        <v>196</v>
      </c>
      <c r="B9" s="451">
        <f>B4-B5-B6-B7-B8</f>
        <v>0</v>
      </c>
      <c r="C9" s="451">
        <f>C4-C5-C6-C7-C8</f>
        <v>0</v>
      </c>
      <c r="D9" s="451">
        <f>D4-D5-D6-D7-D8</f>
        <v>0</v>
      </c>
      <c r="E9" s="451">
        <f>E4-E5-E6-E7-E8</f>
        <v>0</v>
      </c>
      <c r="F9" s="451">
        <f>F4-F5-F6-F7-F8</f>
        <v>0</v>
      </c>
      <c r="H9" s="293" t="s">
        <v>211</v>
      </c>
      <c r="I9" s="291">
        <v>0</v>
      </c>
    </row>
    <row r="10" spans="1:9" x14ac:dyDescent="0.25">
      <c r="A10" s="277" t="s">
        <v>197</v>
      </c>
      <c r="B10" s="446">
        <f>CUADRO_DE_COSTOS_Y_GASTOS_FIJOS!C6+CUADRO_DE_COSTOS_Y_GASTOS_FIJOS!C8</f>
        <v>0</v>
      </c>
      <c r="C10" s="446">
        <f>CUADRO_DE_COSTOS_Y_GASTOS_FIJOS!D6+CUADRO_DE_COSTOS_Y_GASTOS_FIJOS!D8</f>
        <v>0</v>
      </c>
      <c r="D10" s="446">
        <f>CUADRO_DE_COSTOS_Y_GASTOS_FIJOS!E6+CUADRO_DE_COSTOS_Y_GASTOS_FIJOS!E8</f>
        <v>0</v>
      </c>
      <c r="E10" s="446">
        <f>CUADRO_DE_COSTOS_Y_GASTOS_FIJOS!F6+CUADRO_DE_COSTOS_Y_GASTOS_FIJOS!F8</f>
        <v>0</v>
      </c>
      <c r="F10" s="446">
        <f>CUADRO_DE_COSTOS_Y_GASTOS_FIJOS!G6+CUADRO_DE_COSTOS_Y_GASTOS_FIJOS!G8</f>
        <v>0</v>
      </c>
      <c r="H10" s="294" t="s">
        <v>212</v>
      </c>
      <c r="I10" s="292">
        <v>0</v>
      </c>
    </row>
    <row r="11" spans="1:9" x14ac:dyDescent="0.25">
      <c r="A11" s="277" t="s">
        <v>198</v>
      </c>
      <c r="B11" s="446">
        <f>CUADRO_DE_COSTOS_Y_GASTOS_FIJOS!C5+CUADRO_DE_COSTOS_Y_GASTOS_FIJOS!C9</f>
        <v>0</v>
      </c>
      <c r="C11" s="446">
        <f>CUADRO_DE_COSTOS_Y_GASTOS_FIJOS!D5+CUADRO_DE_COSTOS_Y_GASTOS_FIJOS!D9</f>
        <v>0</v>
      </c>
      <c r="D11" s="446">
        <f>CUADRO_DE_COSTOS_Y_GASTOS_FIJOS!E5+CUADRO_DE_COSTOS_Y_GASTOS_FIJOS!E9</f>
        <v>0</v>
      </c>
      <c r="E11" s="446">
        <f>CUADRO_DE_COSTOS_Y_GASTOS_FIJOS!F5+CUADRO_DE_COSTOS_Y_GASTOS_FIJOS!F9</f>
        <v>0</v>
      </c>
      <c r="F11" s="446">
        <f>CUADRO_DE_COSTOS_Y_GASTOS_FIJOS!G5+CUADRO_DE_COSTOS_Y_GASTOS_FIJOS!G9</f>
        <v>0</v>
      </c>
      <c r="H11" s="294" t="s">
        <v>213</v>
      </c>
      <c r="I11" s="292">
        <v>0</v>
      </c>
    </row>
    <row r="12" spans="1:9" x14ac:dyDescent="0.25">
      <c r="A12" s="277" t="s">
        <v>199</v>
      </c>
      <c r="B12" s="446">
        <f>CUADRO_DE_COSTOS_Y_GASTOS_FIJOS!C7</f>
        <v>0</v>
      </c>
      <c r="C12" s="446">
        <f>CUADRO_DE_COSTOS_Y_GASTOS_FIJOS!D7</f>
        <v>0</v>
      </c>
      <c r="D12" s="446">
        <f>CUADRO_DE_COSTOS_Y_GASTOS_FIJOS!E7</f>
        <v>0</v>
      </c>
      <c r="E12" s="446">
        <f>CUADRO_DE_COSTOS_Y_GASTOS_FIJOS!F7</f>
        <v>0</v>
      </c>
      <c r="F12" s="446">
        <f>CUADRO_DE_COSTOS_Y_GASTOS_FIJOS!G7</f>
        <v>0</v>
      </c>
      <c r="H12" s="294" t="s">
        <v>214</v>
      </c>
      <c r="I12" s="292">
        <v>0</v>
      </c>
    </row>
    <row r="13" spans="1:9" x14ac:dyDescent="0.25">
      <c r="A13" s="277" t="s">
        <v>200</v>
      </c>
      <c r="B13" s="446">
        <f>B4*BASES!$H$14</f>
        <v>0</v>
      </c>
      <c r="C13" s="446">
        <f>C4*BASES!$H$14</f>
        <v>0</v>
      </c>
      <c r="D13" s="446">
        <f>D4*BASES!$H$14</f>
        <v>0</v>
      </c>
      <c r="E13" s="446">
        <f>E4*BASES!$H$14</f>
        <v>0</v>
      </c>
      <c r="F13" s="446">
        <f>F4*BASES!$H$14</f>
        <v>0</v>
      </c>
      <c r="H13" s="294" t="s">
        <v>215</v>
      </c>
      <c r="I13" s="292">
        <v>0</v>
      </c>
    </row>
    <row r="14" spans="1:9" ht="13.9" customHeight="1" thickBot="1" x14ac:dyDescent="0.3">
      <c r="A14" s="277" t="s">
        <v>201</v>
      </c>
      <c r="B14" s="446">
        <f>B4*$I$13</f>
        <v>0</v>
      </c>
      <c r="C14" s="446">
        <f>C4*$I$13</f>
        <v>0</v>
      </c>
      <c r="D14" s="446">
        <f>D4*$I$13</f>
        <v>0</v>
      </c>
      <c r="E14" s="446">
        <f>E4*$I$13</f>
        <v>0</v>
      </c>
      <c r="F14" s="446">
        <f>F4*$I$13</f>
        <v>0</v>
      </c>
      <c r="H14" s="265" t="s">
        <v>216</v>
      </c>
      <c r="I14" s="453">
        <v>0</v>
      </c>
    </row>
    <row r="15" spans="1:9" ht="19.149999999999999" hidden="1" customHeight="1" x14ac:dyDescent="0.25">
      <c r="A15" s="452" t="s">
        <v>312</v>
      </c>
      <c r="B15" s="278"/>
      <c r="C15" s="278"/>
      <c r="D15" s="278"/>
      <c r="E15" s="278"/>
      <c r="F15" s="280"/>
    </row>
    <row r="16" spans="1:9" x14ac:dyDescent="0.25">
      <c r="A16" s="289" t="s">
        <v>202</v>
      </c>
      <c r="B16" s="451">
        <f>B9-SUM(B10:B15)</f>
        <v>0</v>
      </c>
      <c r="C16" s="451">
        <f>C9-SUM(C10:C15)</f>
        <v>0</v>
      </c>
      <c r="D16" s="451">
        <f>D9-SUM(D10:D15)</f>
        <v>0</v>
      </c>
      <c r="E16" s="451">
        <f>E9-SUM(E10:E15)</f>
        <v>0</v>
      </c>
      <c r="F16" s="451">
        <f>F9-SUM(F10:F15)</f>
        <v>0</v>
      </c>
      <c r="H16" s="281"/>
      <c r="I16" s="282"/>
    </row>
    <row r="17" spans="1:6" x14ac:dyDescent="0.25">
      <c r="A17" s="279" t="s">
        <v>313</v>
      </c>
      <c r="B17" s="278"/>
      <c r="C17" s="278"/>
      <c r="D17" s="278"/>
      <c r="E17" s="278"/>
      <c r="F17" s="280"/>
    </row>
    <row r="18" spans="1:6" x14ac:dyDescent="0.25">
      <c r="A18" s="277" t="s">
        <v>203</v>
      </c>
      <c r="B18" s="446">
        <f>NECESIDADES_DE_FINANCIACION!F28</f>
        <v>0</v>
      </c>
      <c r="C18" s="446">
        <f>NECESIDADES_DE_FINANCIACION!F29</f>
        <v>0</v>
      </c>
      <c r="D18" s="446">
        <f>NECESIDADES_DE_FINANCIACION!F30</f>
        <v>0</v>
      </c>
      <c r="E18" s="446">
        <f>NECESIDADES_DE_FINANCIACION!F31</f>
        <v>0</v>
      </c>
      <c r="F18" s="447">
        <f>NECESIDADES_DE_FINANCIACION!F32</f>
        <v>0</v>
      </c>
    </row>
    <row r="19" spans="1:6" x14ac:dyDescent="0.25">
      <c r="A19" s="277" t="s">
        <v>204</v>
      </c>
      <c r="B19" s="446">
        <f>NECESIDADES_DE_FINANCIACION!E28</f>
        <v>0</v>
      </c>
      <c r="C19" s="446">
        <f>B19</f>
        <v>0</v>
      </c>
      <c r="D19" s="446">
        <f>C19</f>
        <v>0</v>
      </c>
      <c r="E19" s="446">
        <f>D19</f>
        <v>0</v>
      </c>
      <c r="F19" s="446">
        <f>E19</f>
        <v>0</v>
      </c>
    </row>
    <row r="20" spans="1:6" x14ac:dyDescent="0.25">
      <c r="A20" s="277" t="s">
        <v>205</v>
      </c>
      <c r="B20" s="446">
        <f>B17+B18+B19</f>
        <v>0</v>
      </c>
      <c r="C20" s="446">
        <f>C17+C18+C19</f>
        <v>0</v>
      </c>
      <c r="D20" s="446">
        <f>D17+D18+D19</f>
        <v>0</v>
      </c>
      <c r="E20" s="446">
        <f>E17+E18+E19</f>
        <v>0</v>
      </c>
      <c r="F20" s="446">
        <f>F17+F18+F19</f>
        <v>0</v>
      </c>
    </row>
    <row r="21" spans="1:6" hidden="1" x14ac:dyDescent="0.25">
      <c r="A21" s="283" t="s">
        <v>314</v>
      </c>
      <c r="B21" s="448">
        <v>0</v>
      </c>
      <c r="C21" s="448">
        <v>0</v>
      </c>
      <c r="D21" s="448">
        <v>0</v>
      </c>
      <c r="E21" s="448">
        <v>0</v>
      </c>
      <c r="F21" s="449">
        <v>0</v>
      </c>
    </row>
    <row r="22" spans="1:6" hidden="1" x14ac:dyDescent="0.25">
      <c r="A22" s="283" t="s">
        <v>315</v>
      </c>
      <c r="B22" s="448">
        <v>0</v>
      </c>
      <c r="C22" s="448">
        <v>0</v>
      </c>
      <c r="D22" s="448">
        <v>0</v>
      </c>
      <c r="E22" s="448">
        <v>0</v>
      </c>
      <c r="F22" s="449">
        <v>0</v>
      </c>
    </row>
    <row r="23" spans="1:6" hidden="1" x14ac:dyDescent="0.25">
      <c r="A23" s="283" t="s">
        <v>316</v>
      </c>
      <c r="B23" s="448">
        <v>0</v>
      </c>
      <c r="C23" s="448">
        <v>0</v>
      </c>
      <c r="D23" s="448">
        <v>0</v>
      </c>
      <c r="E23" s="448">
        <v>0</v>
      </c>
      <c r="F23" s="449">
        <v>0</v>
      </c>
    </row>
    <row r="24" spans="1:6" hidden="1" x14ac:dyDescent="0.25">
      <c r="A24" s="283" t="s">
        <v>317</v>
      </c>
      <c r="B24" s="448">
        <v>0</v>
      </c>
      <c r="C24" s="448">
        <v>0</v>
      </c>
      <c r="D24" s="448">
        <v>0</v>
      </c>
      <c r="E24" s="448">
        <v>0</v>
      </c>
      <c r="F24" s="449">
        <v>0</v>
      </c>
    </row>
    <row r="25" spans="1:6" hidden="1" x14ac:dyDescent="0.25">
      <c r="A25" s="283" t="s">
        <v>318</v>
      </c>
      <c r="B25" s="448">
        <v>0</v>
      </c>
      <c r="C25" s="448">
        <v>0</v>
      </c>
      <c r="D25" s="448">
        <v>0</v>
      </c>
      <c r="E25" s="448">
        <v>0</v>
      </c>
      <c r="F25" s="449">
        <v>0</v>
      </c>
    </row>
    <row r="26" spans="1:6" hidden="1" x14ac:dyDescent="0.25">
      <c r="A26" s="284" t="s">
        <v>319</v>
      </c>
      <c r="B26" s="448">
        <f>B21+B22+B23+B24+B25</f>
        <v>0</v>
      </c>
      <c r="C26" s="448">
        <f>C21+C22+C23+C24+C25</f>
        <v>0</v>
      </c>
      <c r="D26" s="448">
        <f>D21+D22+D23+D24+D25</f>
        <v>0</v>
      </c>
      <c r="E26" s="448">
        <f>E21+E22+E23+E24+E25</f>
        <v>0</v>
      </c>
      <c r="F26" s="448">
        <f>F21+F22+F23+F24+F25</f>
        <v>0</v>
      </c>
    </row>
    <row r="27" spans="1:6" x14ac:dyDescent="0.25">
      <c r="A27" s="289" t="s">
        <v>206</v>
      </c>
      <c r="B27" s="451">
        <f>B16+B20+B26</f>
        <v>0</v>
      </c>
      <c r="C27" s="451">
        <f>C16+C20+C26</f>
        <v>0</v>
      </c>
      <c r="D27" s="451">
        <f>D16+D20+D26</f>
        <v>0</v>
      </c>
      <c r="E27" s="451">
        <f>E16+E20+E26</f>
        <v>0</v>
      </c>
      <c r="F27" s="451">
        <f>F16+F20+F26</f>
        <v>0</v>
      </c>
    </row>
    <row r="28" spans="1:6" x14ac:dyDescent="0.25">
      <c r="A28" s="277" t="s">
        <v>207</v>
      </c>
      <c r="B28" s="446">
        <f>IF(B27*$I$9&lt;0,0,B27*$I$9)</f>
        <v>0</v>
      </c>
      <c r="C28" s="446">
        <f>IF(C27*$I$9&lt;0,0,C27*$I$9)</f>
        <v>0</v>
      </c>
      <c r="D28" s="446">
        <f>IF(D27*$I$9&lt;0,0,D27*$I$9)</f>
        <v>0</v>
      </c>
      <c r="E28" s="446">
        <f>IF(E27*$I$9&lt;0,0,E27*$I$9)</f>
        <v>0</v>
      </c>
      <c r="F28" s="446">
        <f>IF(F27*$I$9&lt;0,0,F27*$I$9)</f>
        <v>0</v>
      </c>
    </row>
    <row r="29" spans="1:6" x14ac:dyDescent="0.25">
      <c r="A29" s="277" t="s">
        <v>208</v>
      </c>
      <c r="B29" s="446">
        <f>IF(B27*$I$10=0,0,B27*$I$10)</f>
        <v>0</v>
      </c>
      <c r="C29" s="446">
        <f>IF(C27*$I$10=0,0,C27*$I$10)</f>
        <v>0</v>
      </c>
      <c r="D29" s="446">
        <f>IF(D27*$I$10=0,0,D27*$I$10)</f>
        <v>0</v>
      </c>
      <c r="E29" s="446">
        <f>IF(E27*$I$10=0,0,E27*$I$10)</f>
        <v>0</v>
      </c>
      <c r="F29" s="446">
        <f>IF(F27*$I$10=0,0,F27*$I$10)</f>
        <v>0</v>
      </c>
    </row>
    <row r="30" spans="1:6" x14ac:dyDescent="0.25">
      <c r="A30" s="277" t="s">
        <v>209</v>
      </c>
      <c r="B30" s="446">
        <f>IF(B27*$I$11&lt;0,0,B27*$I$11)</f>
        <v>0</v>
      </c>
      <c r="C30" s="446">
        <f>IF(C27*$I$11&lt;0,0,C27*$I$11)</f>
        <v>0</v>
      </c>
      <c r="D30" s="446">
        <f>IF(D27*$I$11&lt;0,0,D27*$I$11)</f>
        <v>0</v>
      </c>
      <c r="E30" s="446">
        <f>IF(E27*$I$11&lt;0,0,E27*$I$11)</f>
        <v>0</v>
      </c>
      <c r="F30" s="446">
        <f>IF(F27*$I$11&lt;0,0,F27*$I$11)</f>
        <v>0</v>
      </c>
    </row>
    <row r="31" spans="1:6" ht="15.75" thickBot="1" x14ac:dyDescent="0.3">
      <c r="A31" s="290" t="s">
        <v>210</v>
      </c>
      <c r="B31" s="450">
        <f>B27-B28-B29-B30</f>
        <v>0</v>
      </c>
      <c r="C31" s="450">
        <f>C27-C28-C29-C30</f>
        <v>0</v>
      </c>
      <c r="D31" s="450">
        <f>D27-D28-D29-D30</f>
        <v>0</v>
      </c>
      <c r="E31" s="450">
        <f>E27-E28-E29-E30</f>
        <v>0</v>
      </c>
      <c r="F31" s="450">
        <f>F27-F28-F29-F30</f>
        <v>0</v>
      </c>
    </row>
    <row r="35" spans="1:6" ht="15" hidden="1" customHeight="1" x14ac:dyDescent="0.25">
      <c r="A35" s="285" t="s">
        <v>185</v>
      </c>
      <c r="B35" s="286">
        <v>0</v>
      </c>
      <c r="C35" s="286">
        <f>B31-B36</f>
        <v>0</v>
      </c>
      <c r="D35" s="286">
        <f>C31-C36</f>
        <v>0</v>
      </c>
      <c r="E35" s="286">
        <f>D31-D36</f>
        <v>0</v>
      </c>
      <c r="F35" s="286">
        <f>E31-E36</f>
        <v>0</v>
      </c>
    </row>
    <row r="36" spans="1:6" hidden="1" x14ac:dyDescent="0.25">
      <c r="A36" s="285" t="s">
        <v>216</v>
      </c>
      <c r="B36" s="287">
        <f>IF(B31*$I$14&lt;0,0,B31*$I$14)</f>
        <v>0</v>
      </c>
      <c r="C36" s="287">
        <f>IF(C31*$I$14&lt;0,0,C31*$I$14)</f>
        <v>0</v>
      </c>
      <c r="D36" s="287">
        <f>IF(D31*$I$14&lt;0,0,D31*$I$14)</f>
        <v>0</v>
      </c>
      <c r="E36" s="287">
        <f>IF(E31*$I$14&lt;0,0,E31*$I$14)</f>
        <v>0</v>
      </c>
      <c r="F36" s="287">
        <f>IF(F31*$I$14&lt;0,0,F31*$I$14)</f>
        <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topLeftCell="A1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4" t="s">
        <v>217</v>
      </c>
      <c r="B6" s="305">
        <f>BASES!D7</f>
        <v>2021</v>
      </c>
      <c r="C6" s="305">
        <f>BASES!E7</f>
        <v>2022</v>
      </c>
      <c r="D6" s="305">
        <f>BASES!F7</f>
        <v>2023</v>
      </c>
      <c r="E6" s="305">
        <f>BASES!G7</f>
        <v>2024</v>
      </c>
      <c r="F6" s="305">
        <f>BASES!H7</f>
        <v>2025</v>
      </c>
    </row>
    <row r="7" spans="1:7" ht="18.75" x14ac:dyDescent="0.25">
      <c r="A7" s="700" t="s">
        <v>218</v>
      </c>
      <c r="B7" s="701"/>
      <c r="C7" s="701"/>
      <c r="D7" s="701"/>
      <c r="E7" s="701"/>
      <c r="F7" s="702"/>
    </row>
    <row r="8" spans="1:7" x14ac:dyDescent="0.25">
      <c r="A8" s="297" t="s">
        <v>219</v>
      </c>
      <c r="B8" s="421">
        <f>ESTADO_DE_RESULTADOS!B16</f>
        <v>0</v>
      </c>
      <c r="C8" s="421">
        <f>ESTADO_DE_RESULTADOS!C16</f>
        <v>0</v>
      </c>
      <c r="D8" s="421">
        <f>ESTADO_DE_RESULTADOS!D16</f>
        <v>0</v>
      </c>
      <c r="E8" s="421">
        <f>ESTADO_DE_RESULTADOS!E16</f>
        <v>0</v>
      </c>
      <c r="F8" s="421">
        <f>ESTADO_DE_RESULTADOS!F16</f>
        <v>0</v>
      </c>
    </row>
    <row r="9" spans="1:7" x14ac:dyDescent="0.25">
      <c r="A9" s="297" t="s">
        <v>220</v>
      </c>
      <c r="B9" s="421">
        <f>'CTOS_VS_ING_OPER-INV_INFRAEST'!G412</f>
        <v>0</v>
      </c>
      <c r="C9" s="421">
        <f>'CTOS_VS_ING_OPER-INV_INFRAEST'!H412</f>
        <v>0</v>
      </c>
      <c r="D9" s="421">
        <f>'CTOS_VS_ING_OPER-INV_INFRAEST'!I412</f>
        <v>0</v>
      </c>
      <c r="E9" s="421">
        <f>'CTOS_VS_ING_OPER-INV_INFRAEST'!J412</f>
        <v>0</v>
      </c>
      <c r="F9" s="421">
        <f>'CTOS_VS_ING_OPER-INV_INFRAEST'!K412</f>
        <v>0</v>
      </c>
      <c r="G9" s="411"/>
    </row>
    <row r="10" spans="1:7" x14ac:dyDescent="0.25">
      <c r="A10" s="297" t="s">
        <v>221</v>
      </c>
      <c r="B10" s="421">
        <f>'CTOS_VS_ING_OPER-INV_INFRAEST'!G413</f>
        <v>0</v>
      </c>
      <c r="C10" s="421">
        <f>'CTOS_VS_ING_OPER-INV_INFRAEST'!H413</f>
        <v>0</v>
      </c>
      <c r="D10" s="421">
        <f>'CTOS_VS_ING_OPER-INV_INFRAEST'!I413</f>
        <v>0</v>
      </c>
      <c r="E10" s="421">
        <f>'CTOS_VS_ING_OPER-INV_INFRAEST'!J413</f>
        <v>0</v>
      </c>
      <c r="F10" s="421">
        <f>'CTOS_VS_ING_OPER-INV_INFRAEST'!K413</f>
        <v>0</v>
      </c>
      <c r="G10" s="411"/>
    </row>
    <row r="11" spans="1:7" x14ac:dyDescent="0.25">
      <c r="A11" s="297" t="s">
        <v>201</v>
      </c>
      <c r="B11" s="421">
        <f>ESTADO_DE_RESULTADOS!B14</f>
        <v>0</v>
      </c>
      <c r="C11" s="421">
        <f>ESTADO_DE_RESULTADOS!C14</f>
        <v>0</v>
      </c>
      <c r="D11" s="421">
        <f>ESTADO_DE_RESULTADOS!D14</f>
        <v>0</v>
      </c>
      <c r="E11" s="421">
        <f>ESTADO_DE_RESULTADOS!E14</f>
        <v>0</v>
      </c>
      <c r="F11" s="421">
        <f>ESTADO_DE_RESULTADOS!F14</f>
        <v>0</v>
      </c>
    </row>
    <row r="12" spans="1:7" x14ac:dyDescent="0.25">
      <c r="A12" s="297" t="s">
        <v>222</v>
      </c>
      <c r="B12" s="421"/>
      <c r="C12" s="421">
        <f>ESTADO_DE_RESULTADOS!B28*-1</f>
        <v>0</v>
      </c>
      <c r="D12" s="421">
        <f>ESTADO_DE_RESULTADOS!C28*-1</f>
        <v>0</v>
      </c>
      <c r="E12" s="421">
        <f>ESTADO_DE_RESULTADOS!D28*-1</f>
        <v>0</v>
      </c>
      <c r="F12" s="421">
        <f>ESTADO_DE_RESULTADOS!E28*-1</f>
        <v>0</v>
      </c>
    </row>
    <row r="13" spans="1:7" ht="15.75" thickBot="1" x14ac:dyDescent="0.3">
      <c r="A13" s="298" t="s">
        <v>223</v>
      </c>
      <c r="B13" s="422">
        <f>SUM(B8:B12)</f>
        <v>0</v>
      </c>
      <c r="C13" s="422">
        <f>SUM(C8:C12)</f>
        <v>0</v>
      </c>
      <c r="D13" s="422">
        <f>SUM(D8:D12)</f>
        <v>0</v>
      </c>
      <c r="E13" s="422">
        <f>SUM(E8:E12)</f>
        <v>0</v>
      </c>
      <c r="F13" s="422">
        <f>SUM(F8:F12)</f>
        <v>0</v>
      </c>
    </row>
    <row r="14" spans="1:7" ht="15.75" thickBot="1" x14ac:dyDescent="0.3"/>
    <row r="15" spans="1:7" ht="18.75" x14ac:dyDescent="0.25">
      <c r="A15" s="703" t="s">
        <v>224</v>
      </c>
      <c r="B15" s="704"/>
      <c r="C15" s="704"/>
      <c r="D15" s="704"/>
      <c r="E15" s="704"/>
      <c r="F15" s="705"/>
    </row>
    <row r="16" spans="1:7" ht="18.75" x14ac:dyDescent="0.25">
      <c r="A16" s="302" t="s">
        <v>225</v>
      </c>
      <c r="B16" s="303">
        <f>B6</f>
        <v>2021</v>
      </c>
      <c r="C16" s="303">
        <f>C6</f>
        <v>2022</v>
      </c>
      <c r="D16" s="303">
        <f>D6</f>
        <v>2023</v>
      </c>
      <c r="E16" s="303">
        <f>E6</f>
        <v>2024</v>
      </c>
      <c r="F16" s="303">
        <f>F6</f>
        <v>2025</v>
      </c>
    </row>
    <row r="17" spans="1:7" x14ac:dyDescent="0.25">
      <c r="A17" s="299" t="s">
        <v>226</v>
      </c>
      <c r="B17" s="423">
        <f>BALANCE_GENERAL!D10</f>
        <v>0</v>
      </c>
      <c r="C17" s="423">
        <f>BALANCE_GENERAL!E10</f>
        <v>0</v>
      </c>
      <c r="D17" s="423">
        <f>BALANCE_GENERAL!F10</f>
        <v>0</v>
      </c>
      <c r="E17" s="423">
        <f>BALANCE_GENERAL!G10</f>
        <v>0</v>
      </c>
      <c r="F17" s="423">
        <f>BALANCE_GENERAL!H10</f>
        <v>0</v>
      </c>
    </row>
    <row r="18" spans="1:7" x14ac:dyDescent="0.25">
      <c r="A18" s="299" t="s">
        <v>227</v>
      </c>
      <c r="B18" s="423">
        <f>BALANCE_GENERAL!D13</f>
        <v>0</v>
      </c>
      <c r="C18" s="423">
        <f>BALANCE_GENERAL!E13</f>
        <v>0</v>
      </c>
      <c r="D18" s="423">
        <f>BALANCE_GENERAL!F13</f>
        <v>0</v>
      </c>
      <c r="E18" s="423">
        <f>BALANCE_GENERAL!G13</f>
        <v>0</v>
      </c>
      <c r="F18" s="423">
        <f>BALANCE_GENERAL!H13</f>
        <v>0</v>
      </c>
    </row>
    <row r="19" spans="1:7" x14ac:dyDescent="0.25">
      <c r="A19" s="299" t="s">
        <v>228</v>
      </c>
      <c r="B19" s="423">
        <f>BALANCE_GENERAL!D16</f>
        <v>0</v>
      </c>
      <c r="C19" s="423">
        <f>BALANCE_GENERAL!E16</f>
        <v>0</v>
      </c>
      <c r="D19" s="423">
        <f>BALANCE_GENERAL!F16</f>
        <v>0</v>
      </c>
      <c r="E19" s="423">
        <f>BALANCE_GENERAL!G16</f>
        <v>0</v>
      </c>
      <c r="F19" s="423">
        <f>BALANCE_GENERAL!H16</f>
        <v>0</v>
      </c>
    </row>
    <row r="20" spans="1:7" x14ac:dyDescent="0.25">
      <c r="A20" s="454" t="s">
        <v>229</v>
      </c>
      <c r="B20" s="455">
        <f>SUM(B17:B19)</f>
        <v>0</v>
      </c>
      <c r="C20" s="455">
        <f>SUM(C17:C19)</f>
        <v>0</v>
      </c>
      <c r="D20" s="455">
        <f>SUM(D17:D19)</f>
        <v>0</v>
      </c>
      <c r="E20" s="455">
        <f>SUM(E17:E19)</f>
        <v>0</v>
      </c>
      <c r="F20" s="455">
        <f>SUM(F17:F19)</f>
        <v>0</v>
      </c>
    </row>
    <row r="21" spans="1:7" x14ac:dyDescent="0.25">
      <c r="A21" s="299" t="s">
        <v>230</v>
      </c>
      <c r="B21" s="423">
        <f>'CTOS_VS_ING_OPER-INV_INFRAEST'!G36</f>
        <v>0</v>
      </c>
      <c r="C21" s="423">
        <f>'CTOS_VS_ING_OPER-INV_INFRAEST'!H36</f>
        <v>0</v>
      </c>
      <c r="D21" s="423">
        <f>'CTOS_VS_ING_OPER-INV_INFRAEST'!I36</f>
        <v>0</v>
      </c>
      <c r="E21" s="423">
        <f>'CTOS_VS_ING_OPER-INV_INFRAEST'!J36</f>
        <v>0</v>
      </c>
      <c r="F21" s="423">
        <f>'CTOS_VS_ING_OPER-INV_INFRAEST'!K36</f>
        <v>0</v>
      </c>
    </row>
    <row r="22" spans="1:7" x14ac:dyDescent="0.25">
      <c r="A22" s="299" t="s">
        <v>231</v>
      </c>
      <c r="B22" s="423">
        <f>'CTOS_VS_ING_OPER-INV_INFRAEST'!K48</f>
        <v>0</v>
      </c>
      <c r="C22" s="423">
        <f>'CTOS_VS_ING_OPER-INV_INFRAEST'!N48</f>
        <v>0</v>
      </c>
      <c r="D22" s="423">
        <f>'CTOS_VS_ING_OPER-INV_INFRAEST'!Q48</f>
        <v>0</v>
      </c>
      <c r="E22" s="423">
        <f>'CTOS_VS_ING_OPER-INV_INFRAEST'!T48</f>
        <v>0</v>
      </c>
      <c r="F22" s="423">
        <f>'CTOS_VS_ING_OPER-INV_INFRAEST'!W48</f>
        <v>0</v>
      </c>
      <c r="G22" s="257"/>
    </row>
    <row r="23" spans="1:7" x14ac:dyDescent="0.25">
      <c r="A23" s="299" t="s">
        <v>232</v>
      </c>
      <c r="B23" s="423">
        <f>'CTOS_VS_ING_OPER-INV_INFRAEST'!K91</f>
        <v>0</v>
      </c>
      <c r="C23" s="423">
        <f>'CTOS_VS_ING_OPER-INV_INFRAEST'!N91</f>
        <v>0</v>
      </c>
      <c r="D23" s="423">
        <f>'CTOS_VS_ING_OPER-INV_INFRAEST'!Q91</f>
        <v>0</v>
      </c>
      <c r="E23" s="423">
        <f>'CTOS_VS_ING_OPER-INV_INFRAEST'!T91</f>
        <v>0</v>
      </c>
      <c r="F23" s="423">
        <f>'CTOS_VS_ING_OPER-INV_INFRAEST'!W91</f>
        <v>0</v>
      </c>
      <c r="G23" s="257"/>
    </row>
    <row r="24" spans="1:7" x14ac:dyDescent="0.25">
      <c r="A24" s="299" t="s">
        <v>233</v>
      </c>
      <c r="B24" s="423">
        <f>'CTOS_VS_ING_OPER-INV_INFRAEST'!K144</f>
        <v>0</v>
      </c>
      <c r="C24" s="423">
        <f>'CTOS_VS_ING_OPER-INV_INFRAEST'!N144</f>
        <v>0</v>
      </c>
      <c r="D24" s="423">
        <f>'CTOS_VS_ING_OPER-INV_INFRAEST'!Q144</f>
        <v>0</v>
      </c>
      <c r="E24" s="423">
        <f>'CTOS_VS_ING_OPER-INV_INFRAEST'!T144</f>
        <v>0</v>
      </c>
      <c r="F24" s="423">
        <f>'CTOS_VS_ING_OPER-INV_INFRAEST'!W144</f>
        <v>0</v>
      </c>
      <c r="G24" s="257"/>
    </row>
    <row r="25" spans="1:7" x14ac:dyDescent="0.25">
      <c r="A25" s="299" t="s">
        <v>234</v>
      </c>
      <c r="B25" s="423">
        <f>'CTOS_VS_ING_OPER-INV_INFRAEST'!K154</f>
        <v>0</v>
      </c>
      <c r="C25" s="423">
        <f>'CTOS_VS_ING_OPER-INV_INFRAEST'!N154</f>
        <v>0</v>
      </c>
      <c r="D25" s="423">
        <f>'CTOS_VS_ING_OPER-INV_INFRAEST'!Q154</f>
        <v>0</v>
      </c>
      <c r="E25" s="423">
        <f>'CTOS_VS_ING_OPER-INV_INFRAEST'!T154</f>
        <v>0</v>
      </c>
      <c r="F25" s="423">
        <f>'CTOS_VS_ING_OPER-INV_INFRAEST'!W154</f>
        <v>0</v>
      </c>
      <c r="G25" s="257"/>
    </row>
    <row r="26" spans="1:7" x14ac:dyDescent="0.25">
      <c r="A26" s="299" t="s">
        <v>235</v>
      </c>
      <c r="B26" s="423">
        <f>'CTOS_VS_ING_OPER-INV_INFRAEST'!K182</f>
        <v>0</v>
      </c>
      <c r="C26" s="423">
        <f>'CTOS_VS_ING_OPER-INV_INFRAEST'!N182</f>
        <v>0</v>
      </c>
      <c r="D26" s="423">
        <f>'CTOS_VS_ING_OPER-INV_INFRAEST'!Q182</f>
        <v>0</v>
      </c>
      <c r="E26" s="423">
        <f>'CTOS_VS_ING_OPER-INV_INFRAEST'!T182</f>
        <v>0</v>
      </c>
      <c r="F26" s="423">
        <f>'CTOS_VS_ING_OPER-INV_INFRAEST'!W182</f>
        <v>0</v>
      </c>
      <c r="G26" s="257"/>
    </row>
    <row r="27" spans="1:7" x14ac:dyDescent="0.25">
      <c r="A27" s="299" t="s">
        <v>236</v>
      </c>
      <c r="B27" s="423">
        <f>'CTOS_VS_ING_OPER-INV_INFRAEST'!K212</f>
        <v>0</v>
      </c>
      <c r="C27" s="423">
        <f>'CTOS_VS_ING_OPER-INV_INFRAEST'!N212</f>
        <v>0</v>
      </c>
      <c r="D27" s="423">
        <f>'CTOS_VS_ING_OPER-INV_INFRAEST'!Q212</f>
        <v>0</v>
      </c>
      <c r="E27" s="423">
        <f>'CTOS_VS_ING_OPER-INV_INFRAEST'!T212</f>
        <v>0</v>
      </c>
      <c r="F27" s="423">
        <f>'CTOS_VS_ING_OPER-INV_INFRAEST'!W212</f>
        <v>0</v>
      </c>
      <c r="G27" s="257"/>
    </row>
    <row r="28" spans="1:7" x14ac:dyDescent="0.25">
      <c r="A28" s="299" t="s">
        <v>237</v>
      </c>
      <c r="B28" s="423">
        <f>'CTOS_VS_ING_OPER-INV_INFRAEST'!K231</f>
        <v>0</v>
      </c>
      <c r="C28" s="423">
        <f>'CTOS_VS_ING_OPER-INV_INFRAEST'!N231</f>
        <v>0</v>
      </c>
      <c r="D28" s="423">
        <f>'CTOS_VS_ING_OPER-INV_INFRAEST'!Q231</f>
        <v>0</v>
      </c>
      <c r="E28" s="423">
        <f>'CTOS_VS_ING_OPER-INV_INFRAEST'!T231</f>
        <v>0</v>
      </c>
      <c r="F28" s="423">
        <f>'CTOS_VS_ING_OPER-INV_INFRAEST'!W231</f>
        <v>0</v>
      </c>
      <c r="G28" s="257"/>
    </row>
    <row r="29" spans="1:7" x14ac:dyDescent="0.25">
      <c r="A29" s="299" t="s">
        <v>238</v>
      </c>
      <c r="B29" s="423">
        <f>'CTOS_VS_ING_OPER-INV_INFRAEST'!K249</f>
        <v>0</v>
      </c>
      <c r="C29" s="423">
        <f>'CTOS_VS_ING_OPER-INV_INFRAEST'!N249</f>
        <v>0</v>
      </c>
      <c r="D29" s="423">
        <f>'CTOS_VS_ING_OPER-INV_INFRAEST'!Q249</f>
        <v>0</v>
      </c>
      <c r="E29" s="423">
        <f>'CTOS_VS_ING_OPER-INV_INFRAEST'!T249</f>
        <v>0</v>
      </c>
      <c r="F29" s="423">
        <f>'CTOS_VS_ING_OPER-INV_INFRAEST'!W249</f>
        <v>0</v>
      </c>
      <c r="G29" s="257"/>
    </row>
    <row r="30" spans="1:7" x14ac:dyDescent="0.25">
      <c r="A30" s="454" t="s">
        <v>239</v>
      </c>
      <c r="B30" s="455">
        <f>SUM(B21:B29)*-1</f>
        <v>0</v>
      </c>
      <c r="C30" s="455">
        <f>SUM(C21:C29)*-1</f>
        <v>0</v>
      </c>
      <c r="D30" s="455">
        <f>SUM(D21:D29)*-1</f>
        <v>0</v>
      </c>
      <c r="E30" s="455">
        <f>SUM(E21:E29)*-1</f>
        <v>0</v>
      </c>
      <c r="F30" s="455">
        <f>SUM(F21:F29)*-1</f>
        <v>0</v>
      </c>
    </row>
    <row r="31" spans="1:7" ht="15.75" thickBot="1" x14ac:dyDescent="0.3">
      <c r="A31" s="301" t="s">
        <v>240</v>
      </c>
      <c r="B31" s="424">
        <f>B20+B30</f>
        <v>0</v>
      </c>
      <c r="C31" s="424">
        <f>C20+C30</f>
        <v>0</v>
      </c>
      <c r="D31" s="424">
        <f>D20+D30</f>
        <v>0</v>
      </c>
      <c r="E31" s="424">
        <f>E20+E30</f>
        <v>0</v>
      </c>
      <c r="F31" s="424">
        <f>F20+F30</f>
        <v>0</v>
      </c>
    </row>
    <row r="32" spans="1:7" ht="15.75" thickBot="1" x14ac:dyDescent="0.3"/>
    <row r="33" spans="1:6" ht="18.75" x14ac:dyDescent="0.25">
      <c r="A33" s="703" t="s">
        <v>241</v>
      </c>
      <c r="B33" s="704"/>
      <c r="C33" s="704"/>
      <c r="D33" s="704"/>
      <c r="E33" s="704"/>
      <c r="F33" s="705"/>
    </row>
    <row r="34" spans="1:6" ht="18.75" x14ac:dyDescent="0.25">
      <c r="A34" s="302" t="s">
        <v>242</v>
      </c>
      <c r="B34" s="303">
        <f>B6</f>
        <v>2021</v>
      </c>
      <c r="C34" s="303">
        <f>C6</f>
        <v>2022</v>
      </c>
      <c r="D34" s="303">
        <f>D6</f>
        <v>2023</v>
      </c>
      <c r="E34" s="303">
        <f>E6</f>
        <v>2024</v>
      </c>
      <c r="F34" s="303">
        <f>F6</f>
        <v>2025</v>
      </c>
    </row>
    <row r="35" spans="1:6" x14ac:dyDescent="0.25">
      <c r="A35" s="299" t="s">
        <v>243</v>
      </c>
      <c r="B35" s="425">
        <v>0</v>
      </c>
      <c r="C35" s="425">
        <v>0</v>
      </c>
      <c r="D35" s="425">
        <v>0</v>
      </c>
      <c r="E35" s="425">
        <v>0</v>
      </c>
      <c r="F35" s="425">
        <v>0</v>
      </c>
    </row>
    <row r="36" spans="1:6" x14ac:dyDescent="0.25">
      <c r="A36" s="299" t="s">
        <v>244</v>
      </c>
      <c r="B36" s="425">
        <f>NECESIDADES_DE_FINANCIACION!E28</f>
        <v>0</v>
      </c>
      <c r="C36" s="425">
        <f>NECESIDADES_DE_FINANCIACION!F28</f>
        <v>0</v>
      </c>
      <c r="D36" s="425">
        <f>NECESIDADES_DE_FINANCIACION!G28</f>
        <v>0</v>
      </c>
      <c r="E36" s="425">
        <f>NECESIDADES_DE_FINANCIACION!H28</f>
        <v>0</v>
      </c>
      <c r="F36" s="425">
        <f>NECESIDADES_DE_FINANCIACION!I28</f>
        <v>0</v>
      </c>
    </row>
    <row r="37" spans="1:6" x14ac:dyDescent="0.25">
      <c r="A37" s="299" t="s">
        <v>245</v>
      </c>
      <c r="B37" s="425">
        <f>NECESIDADES_DE_FINANCIACION!F28</f>
        <v>0</v>
      </c>
      <c r="C37" s="425">
        <f>NECESIDADES_DE_FINANCIACION!G28</f>
        <v>0</v>
      </c>
      <c r="D37" s="425">
        <f>NECESIDADES_DE_FINANCIACION!H28</f>
        <v>0</v>
      </c>
      <c r="E37" s="425">
        <f>NECESIDADES_DE_FINANCIACION!I28</f>
        <v>0</v>
      </c>
      <c r="F37" s="425">
        <f>NECESIDADES_DE_FINANCIACION!J28</f>
        <v>0</v>
      </c>
    </row>
    <row r="38" spans="1:6" x14ac:dyDescent="0.25">
      <c r="A38" s="299" t="s">
        <v>246</v>
      </c>
      <c r="B38" s="425">
        <f>ESTADO_DE_RESULTADOS!B36*-1</f>
        <v>0</v>
      </c>
      <c r="C38" s="425">
        <f>ESTADO_DE_RESULTADOS!C36*-1</f>
        <v>0</v>
      </c>
      <c r="D38" s="425">
        <f>ESTADO_DE_RESULTADOS!D36*-1</f>
        <v>0</v>
      </c>
      <c r="E38" s="425">
        <f>ESTADO_DE_RESULTADOS!E36*-1</f>
        <v>0</v>
      </c>
      <c r="F38" s="425">
        <f>ESTADO_DE_RESULTADOS!F36*-1</f>
        <v>0</v>
      </c>
    </row>
    <row r="39" spans="1:6" x14ac:dyDescent="0.25">
      <c r="A39" s="232" t="s">
        <v>247</v>
      </c>
      <c r="B39" s="426"/>
      <c r="C39" s="426"/>
      <c r="D39" s="426"/>
      <c r="E39" s="426"/>
      <c r="F39" s="426"/>
    </row>
    <row r="40" spans="1:6" ht="15.75" thickBot="1" x14ac:dyDescent="0.3">
      <c r="A40" s="456" t="s">
        <v>248</v>
      </c>
      <c r="B40" s="457">
        <f>SUM(B35:B39)</f>
        <v>0</v>
      </c>
      <c r="C40" s="457">
        <f>SUM(C35:C39)</f>
        <v>0</v>
      </c>
      <c r="D40" s="457">
        <f>SUM(D35:D39)</f>
        <v>0</v>
      </c>
      <c r="E40" s="457">
        <f>SUM(E35:E39)</f>
        <v>0</v>
      </c>
      <c r="F40" s="457">
        <f>SUM(F35:F39)</f>
        <v>0</v>
      </c>
    </row>
    <row r="41" spans="1:6" ht="15.75" thickBot="1" x14ac:dyDescent="0.3"/>
    <row r="42" spans="1:6" x14ac:dyDescent="0.25">
      <c r="A42" s="300" t="s">
        <v>320</v>
      </c>
      <c r="B42" s="427">
        <f>B13+B31+B40</f>
        <v>0</v>
      </c>
      <c r="C42" s="427">
        <f>C13+C31+C40</f>
        <v>0</v>
      </c>
      <c r="D42" s="427">
        <f>D13+D31+D40</f>
        <v>0</v>
      </c>
      <c r="E42" s="427">
        <f>E13+E31+E40</f>
        <v>0</v>
      </c>
      <c r="F42" s="427">
        <f>F13+F31+F40</f>
        <v>0</v>
      </c>
    </row>
    <row r="43" spans="1:6" x14ac:dyDescent="0.25">
      <c r="A43" s="299" t="s">
        <v>249</v>
      </c>
      <c r="B43" s="425">
        <f>BALANCE_GENERAL!B22</f>
        <v>0</v>
      </c>
      <c r="C43" s="425">
        <f>BALANCE_GENERAL!C22</f>
        <v>0</v>
      </c>
      <c r="D43" s="425">
        <f>BALANCE_GENERAL!D22</f>
        <v>0</v>
      </c>
      <c r="E43" s="425">
        <f>BALANCE_GENERAL!E22</f>
        <v>0</v>
      </c>
      <c r="F43" s="425">
        <f>BALANCE_GENERAL!F22</f>
        <v>0</v>
      </c>
    </row>
    <row r="44" spans="1:6" ht="15.75" thickBot="1" x14ac:dyDescent="0.3">
      <c r="A44" s="458" t="s">
        <v>250</v>
      </c>
      <c r="B44" s="459">
        <f>B42+B43</f>
        <v>0</v>
      </c>
      <c r="C44" s="459">
        <f>C42+C43</f>
        <v>0</v>
      </c>
      <c r="D44" s="459">
        <f>D42+D43</f>
        <v>0</v>
      </c>
      <c r="E44" s="459">
        <f>E42+E43</f>
        <v>0</v>
      </c>
      <c r="F44" s="459">
        <f>F42+F43</f>
        <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A50" sqref="A50"/>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6"/>
    </row>
    <row r="8" spans="1:8" ht="15.75" thickBot="1" x14ac:dyDescent="0.3"/>
    <row r="9" spans="1:8" ht="14.45" customHeight="1" x14ac:dyDescent="0.25">
      <c r="A9" s="712" t="s">
        <v>324</v>
      </c>
      <c r="B9" s="713"/>
      <c r="C9" s="713"/>
      <c r="D9" s="713"/>
      <c r="E9" s="713"/>
      <c r="F9" s="713"/>
      <c r="G9" s="713"/>
      <c r="H9" s="710">
        <f>BASES!H18</f>
        <v>0.38</v>
      </c>
    </row>
    <row r="10" spans="1:8" ht="15.75" thickBot="1" x14ac:dyDescent="0.3">
      <c r="A10" s="714"/>
      <c r="B10" s="715"/>
      <c r="C10" s="715"/>
      <c r="D10" s="715"/>
      <c r="E10" s="715"/>
      <c r="F10" s="715"/>
      <c r="G10" s="715"/>
      <c r="H10" s="711"/>
    </row>
    <row r="11" spans="1:8" ht="19.5" thickBot="1" x14ac:dyDescent="0.35">
      <c r="A11" s="716" t="s">
        <v>251</v>
      </c>
      <c r="B11" s="717"/>
      <c r="C11" s="717"/>
      <c r="D11" s="717"/>
      <c r="E11" s="717"/>
      <c r="F11" s="717"/>
      <c r="G11" s="717"/>
      <c r="H11" s="307">
        <f>NECESIDADES_DE_FINANCIACION!E19</f>
        <v>0</v>
      </c>
    </row>
    <row r="13" spans="1:8" ht="15.75" thickBot="1" x14ac:dyDescent="0.3"/>
    <row r="14" spans="1:8" ht="15.75" thickBot="1" x14ac:dyDescent="0.3">
      <c r="C14" s="718" t="s">
        <v>252</v>
      </c>
      <c r="D14" s="719"/>
      <c r="E14" s="719"/>
      <c r="F14" s="719"/>
      <c r="G14" s="719"/>
      <c r="H14" s="720"/>
    </row>
    <row r="15" spans="1:8" ht="15.75" thickBot="1" x14ac:dyDescent="0.3"/>
    <row r="16" spans="1:8" x14ac:dyDescent="0.25">
      <c r="A16" s="737" t="s">
        <v>242</v>
      </c>
      <c r="B16" s="738"/>
      <c r="C16" s="321" t="str">
        <f>BASES!C7</f>
        <v>AÑO 0</v>
      </c>
      <c r="D16" s="322">
        <f>BASES!D7</f>
        <v>2021</v>
      </c>
      <c r="E16" s="322">
        <f>BASES!E7</f>
        <v>2022</v>
      </c>
      <c r="F16" s="322">
        <f>BASES!F7</f>
        <v>2023</v>
      </c>
      <c r="G16" s="322">
        <f>BASES!G7</f>
        <v>2024</v>
      </c>
      <c r="H16" s="322">
        <f>BASES!H7</f>
        <v>2025</v>
      </c>
    </row>
    <row r="17" spans="1:10" ht="15.75" thickBot="1" x14ac:dyDescent="0.3">
      <c r="A17" s="741" t="s">
        <v>253</v>
      </c>
      <c r="B17" s="742"/>
      <c r="C17" s="308">
        <f>H11*-1</f>
        <v>0</v>
      </c>
      <c r="D17" s="308">
        <f>FLUJO_DE_CAJA!B44</f>
        <v>0</v>
      </c>
      <c r="E17" s="308">
        <f>FLUJO_DE_CAJA!C44</f>
        <v>0</v>
      </c>
      <c r="F17" s="308">
        <f>FLUJO_DE_CAJA!D44</f>
        <v>0</v>
      </c>
      <c r="G17" s="308">
        <f>FLUJO_DE_CAJA!E44</f>
        <v>0</v>
      </c>
      <c r="H17" s="308">
        <f>FLUJO_DE_CAJA!F44</f>
        <v>0</v>
      </c>
    </row>
    <row r="18" spans="1:10" ht="15.75" thickBot="1" x14ac:dyDescent="0.3"/>
    <row r="19" spans="1:10" x14ac:dyDescent="0.25">
      <c r="C19" s="721" t="s">
        <v>254</v>
      </c>
      <c r="D19" s="722"/>
      <c r="E19" s="309">
        <f>C17+NPV(H9,D17:H17)</f>
        <v>0</v>
      </c>
    </row>
    <row r="20" spans="1:10" ht="15.75" thickBot="1" x14ac:dyDescent="0.3">
      <c r="C20" s="723" t="s">
        <v>255</v>
      </c>
      <c r="D20" s="724"/>
      <c r="E20" s="310" t="e">
        <f>IRR(C17:H17)</f>
        <v>#NUM!</v>
      </c>
    </row>
    <row r="22" spans="1:10" ht="15.75" thickBot="1" x14ac:dyDescent="0.3"/>
    <row r="23" spans="1:10" x14ac:dyDescent="0.25">
      <c r="A23" s="725" t="s">
        <v>256</v>
      </c>
      <c r="B23" s="727" t="e">
        <f>E20</f>
        <v>#NUM!</v>
      </c>
      <c r="C23" s="729" t="s">
        <v>257</v>
      </c>
      <c r="D23" s="731">
        <f>H9</f>
        <v>0.38</v>
      </c>
      <c r="E23" s="733" t="s">
        <v>1186</v>
      </c>
      <c r="F23" s="733"/>
      <c r="G23" s="735" t="s">
        <v>262</v>
      </c>
      <c r="H23" s="706" t="s">
        <v>1188</v>
      </c>
    </row>
    <row r="24" spans="1:10" ht="15.75" thickBot="1" x14ac:dyDescent="0.3">
      <c r="A24" s="726"/>
      <c r="B24" s="728"/>
      <c r="C24" s="730"/>
      <c r="D24" s="732"/>
      <c r="E24" s="734"/>
      <c r="F24" s="734"/>
      <c r="G24" s="736"/>
      <c r="H24" s="707"/>
    </row>
    <row r="25" spans="1:10" ht="15.75" thickBot="1" x14ac:dyDescent="0.3">
      <c r="J25" s="311"/>
    </row>
    <row r="26" spans="1:10" x14ac:dyDescent="0.25">
      <c r="A26" s="739" t="s">
        <v>256</v>
      </c>
      <c r="B26" s="747" t="e">
        <f>E20</f>
        <v>#NUM!</v>
      </c>
      <c r="C26" s="753" t="s">
        <v>258</v>
      </c>
      <c r="D26" s="747">
        <f>H9</f>
        <v>0.38</v>
      </c>
      <c r="E26" s="733" t="s">
        <v>1187</v>
      </c>
      <c r="F26" s="733"/>
      <c r="G26" s="751" t="s">
        <v>261</v>
      </c>
      <c r="H26" s="706" t="s">
        <v>1189</v>
      </c>
    </row>
    <row r="27" spans="1:10" ht="15.75" thickBot="1" x14ac:dyDescent="0.3">
      <c r="A27" s="740"/>
      <c r="B27" s="748"/>
      <c r="C27" s="754"/>
      <c r="D27" s="748"/>
      <c r="E27" s="734"/>
      <c r="F27" s="734"/>
      <c r="G27" s="752"/>
      <c r="H27" s="707"/>
    </row>
    <row r="28" spans="1:10" ht="15.75" thickBot="1" x14ac:dyDescent="0.3"/>
    <row r="29" spans="1:10" x14ac:dyDescent="0.25">
      <c r="A29" s="739" t="s">
        <v>256</v>
      </c>
      <c r="B29" s="757" t="e">
        <f>E20</f>
        <v>#NUM!</v>
      </c>
      <c r="C29" s="753" t="s">
        <v>259</v>
      </c>
      <c r="D29" s="747">
        <f>H9</f>
        <v>0.38</v>
      </c>
      <c r="E29" s="733" t="s">
        <v>1186</v>
      </c>
      <c r="F29" s="733"/>
      <c r="G29" s="751" t="s">
        <v>260</v>
      </c>
      <c r="H29" s="708" t="s">
        <v>1190</v>
      </c>
    </row>
    <row r="30" spans="1:10" ht="15.75" thickBot="1" x14ac:dyDescent="0.3">
      <c r="A30" s="740"/>
      <c r="B30" s="748"/>
      <c r="C30" s="754"/>
      <c r="D30" s="748"/>
      <c r="E30" s="734"/>
      <c r="F30" s="734"/>
      <c r="G30" s="752"/>
      <c r="H30" s="709"/>
    </row>
    <row r="31" spans="1:10" ht="15.75" thickBot="1" x14ac:dyDescent="0.3"/>
    <row r="32" spans="1:10" x14ac:dyDescent="0.25">
      <c r="A32" s="764" t="s">
        <v>263</v>
      </c>
      <c r="B32" s="765"/>
      <c r="C32" s="312">
        <f>D16</f>
        <v>2021</v>
      </c>
      <c r="D32" s="312">
        <f>E16</f>
        <v>2022</v>
      </c>
      <c r="E32" s="312">
        <f>F16</f>
        <v>2023</v>
      </c>
      <c r="F32" s="312">
        <f>G16</f>
        <v>2024</v>
      </c>
      <c r="G32" s="312">
        <f>H16</f>
        <v>2025</v>
      </c>
    </row>
    <row r="33" spans="1:7" x14ac:dyDescent="0.25">
      <c r="A33" s="745" t="s">
        <v>264</v>
      </c>
      <c r="B33" s="746"/>
      <c r="C33" s="323">
        <f>IF(BALANCE_GENERAL!C63=0,0,BALANCE_GENERAL!C25/BALANCE_GENERAL!C63)</f>
        <v>0</v>
      </c>
      <c r="D33" s="323">
        <f>IF(BALANCE_GENERAL!D63=0,0,BALANCE_GENERAL!D25/BALANCE_GENERAL!D63)</f>
        <v>0</v>
      </c>
      <c r="E33" s="323">
        <f>IF(BALANCE_GENERAL!E63=0,0,BALANCE_GENERAL!E25/BALANCE_GENERAL!E63)</f>
        <v>0</v>
      </c>
      <c r="F33" s="323">
        <f>IF(BALANCE_GENERAL!F63=0,0,BALANCE_GENERAL!F25/BALANCE_GENERAL!F63)</f>
        <v>0</v>
      </c>
      <c r="G33" s="323">
        <f>IF(BALANCE_GENERAL!G63=0,0,BALANCE_GENERAL!G25/BALANCE_GENERAL!G63)</f>
        <v>0</v>
      </c>
    </row>
    <row r="34" spans="1:7" x14ac:dyDescent="0.25">
      <c r="A34" s="745" t="s">
        <v>321</v>
      </c>
      <c r="B34" s="746"/>
      <c r="C34" s="324">
        <f>IF(BALANCE_GENERAL!B57=0,0,BALANCE_GENERAL!B65/BALANCE_GENERAL!B57)</f>
        <v>0</v>
      </c>
      <c r="D34" s="324">
        <f>IF(BALANCE_GENERAL!C57=0,0,BALANCE_GENERAL!C65/BALANCE_GENERAL!C57)</f>
        <v>0</v>
      </c>
      <c r="E34" s="324">
        <f>IF(BALANCE_GENERAL!D57=0,0,BALANCE_GENERAL!D65/BALANCE_GENERAL!D57)</f>
        <v>0</v>
      </c>
      <c r="F34" s="324">
        <f>IF(BALANCE_GENERAL!E57=0,0,BALANCE_GENERAL!E65/BALANCE_GENERAL!E57)</f>
        <v>0</v>
      </c>
      <c r="G34" s="324">
        <f>IF(BALANCE_GENERAL!F57=0,0,BALANCE_GENERAL!F65/BALANCE_GENERAL!F57)</f>
        <v>0</v>
      </c>
    </row>
    <row r="35" spans="1:7" x14ac:dyDescent="0.25">
      <c r="A35" s="745" t="s">
        <v>265</v>
      </c>
      <c r="B35" s="746"/>
      <c r="C35" s="324">
        <f>IF(ESTADO_DE_RESULTADOS!B4=0,0,ESTADO_DE_RESULTADOS!B16/ESTADO_DE_RESULTADOS!B4)</f>
        <v>0</v>
      </c>
      <c r="D35" s="324">
        <f>IF(ESTADO_DE_RESULTADOS!C4=0,0,ESTADO_DE_RESULTADOS!C16/ESTADO_DE_RESULTADOS!C4)</f>
        <v>0</v>
      </c>
      <c r="E35" s="324">
        <f>IF(ESTADO_DE_RESULTADOS!D4=0,0,ESTADO_DE_RESULTADOS!D16/ESTADO_DE_RESULTADOS!D4)</f>
        <v>0</v>
      </c>
      <c r="F35" s="324">
        <f>IF(ESTADO_DE_RESULTADOS!E4=0,0,ESTADO_DE_RESULTADOS!E16/ESTADO_DE_RESULTADOS!E4)</f>
        <v>0</v>
      </c>
      <c r="G35" s="324">
        <f>IF(ESTADO_DE_RESULTADOS!F4=0,0,ESTADO_DE_RESULTADOS!F16/ESTADO_DE_RESULTADOS!F4)</f>
        <v>0</v>
      </c>
    </row>
    <row r="36" spans="1:7" x14ac:dyDescent="0.25">
      <c r="A36" s="745" t="s">
        <v>266</v>
      </c>
      <c r="B36" s="746"/>
      <c r="C36" s="324">
        <f>IF(ESTADO_DE_RESULTADOS!B4=0,0,ESTADO_DE_RESULTADOS!B31/ESTADO_DE_RESULTADOS!B4)</f>
        <v>0</v>
      </c>
      <c r="D36" s="324">
        <f>IF(ESTADO_DE_RESULTADOS!C4=0,0,ESTADO_DE_RESULTADOS!C31/ESTADO_DE_RESULTADOS!C4)</f>
        <v>0</v>
      </c>
      <c r="E36" s="324">
        <f>IF(ESTADO_DE_RESULTADOS!D4=0,0,ESTADO_DE_RESULTADOS!D31/ESTADO_DE_RESULTADOS!D4)</f>
        <v>0</v>
      </c>
      <c r="F36" s="324">
        <f>IF(ESTADO_DE_RESULTADOS!E4=0,0,ESTADO_DE_RESULTADOS!E31/ESTADO_DE_RESULTADOS!E4)</f>
        <v>0</v>
      </c>
      <c r="G36" s="324">
        <f>IF(ESTADO_DE_RESULTADOS!F4=0,0,ESTADO_DE_RESULTADOS!F31/ESTADO_DE_RESULTADOS!F4)</f>
        <v>0</v>
      </c>
    </row>
    <row r="37" spans="1:7" x14ac:dyDescent="0.25">
      <c r="A37" s="745" t="s">
        <v>267</v>
      </c>
      <c r="B37" s="746"/>
      <c r="C37" s="324">
        <f>IF(BALANCE_GENERAL!B72=0,0,BALANCE_GENERAL!B34/BALANCE_GENERAL!B72)</f>
        <v>0</v>
      </c>
      <c r="D37" s="324">
        <f>IF(BALANCE_GENERAL!C72=0,0,BALANCE_GENERAL!C34/BALANCE_GENERAL!C72)</f>
        <v>0</v>
      </c>
      <c r="E37" s="324">
        <f>IF(BALANCE_GENERAL!D72=0,0,BALANCE_GENERAL!D34/BALANCE_GENERAL!D72)</f>
        <v>0</v>
      </c>
      <c r="F37" s="324">
        <f>IF(BALANCE_GENERAL!E72=0,0,BALANCE_GENERAL!E34/BALANCE_GENERAL!E72)</f>
        <v>0</v>
      </c>
      <c r="G37" s="324">
        <f>IF(BALANCE_GENERAL!F72=0,0,BALANCE_GENERAL!F34/BALANCE_GENERAL!F72)</f>
        <v>0</v>
      </c>
    </row>
    <row r="38" spans="1:7" ht="15.75" thickBot="1" x14ac:dyDescent="0.3">
      <c r="A38" s="755" t="s">
        <v>268</v>
      </c>
      <c r="B38" s="756"/>
      <c r="C38" s="325">
        <f>IF(BALANCE_GENERAL!B57=0,0,BALANCE_GENERAL!B34/BALANCE_GENERAL!B57)</f>
        <v>0</v>
      </c>
      <c r="D38" s="325">
        <f>IF(BALANCE_GENERAL!C57=0,0,BALANCE_GENERAL!C34/BALANCE_GENERAL!C57)</f>
        <v>0</v>
      </c>
      <c r="E38" s="325">
        <f>IF(BALANCE_GENERAL!D57=0,0,BALANCE_GENERAL!D34/BALANCE_GENERAL!D57)</f>
        <v>0</v>
      </c>
      <c r="F38" s="325">
        <f>IF(BALANCE_GENERAL!E57=0,0,BALANCE_GENERAL!E34/BALANCE_GENERAL!E57)</f>
        <v>0</v>
      </c>
      <c r="G38" s="325">
        <f>IF(BALANCE_GENERAL!F57=0,0,BALANCE_GENERAL!F34/BALANCE_GENERAL!F57)</f>
        <v>0</v>
      </c>
    </row>
    <row r="39" spans="1:7" x14ac:dyDescent="0.25">
      <c r="A39" s="758" t="s">
        <v>269</v>
      </c>
      <c r="B39" s="759"/>
      <c r="C39" s="762" t="str">
        <f>IF(ISERROR(-C17/AVERAGE(D17:H17)),"N.A.",(-C17/AVERAGE(D17:H17)))</f>
        <v>N.A.</v>
      </c>
      <c r="D39" s="762"/>
      <c r="E39" s="749" t="s">
        <v>58</v>
      </c>
      <c r="F39" s="313"/>
      <c r="G39" s="313"/>
    </row>
    <row r="40" spans="1:7" ht="15.75" thickBot="1" x14ac:dyDescent="0.3">
      <c r="A40" s="760"/>
      <c r="B40" s="761"/>
      <c r="C40" s="763"/>
      <c r="D40" s="763"/>
      <c r="E40" s="750"/>
      <c r="F40" s="313"/>
      <c r="G40" s="313"/>
    </row>
    <row r="44" spans="1:7" ht="15.75" thickBot="1" x14ac:dyDescent="0.3"/>
    <row r="45" spans="1:7" ht="46.9" customHeight="1" thickBot="1" x14ac:dyDescent="0.3">
      <c r="A45" s="314" t="s">
        <v>270</v>
      </c>
      <c r="B45" s="315" t="s">
        <v>273</v>
      </c>
      <c r="C45" s="326">
        <f>C17*-1</f>
        <v>0</v>
      </c>
      <c r="D45" s="315" t="s">
        <v>274</v>
      </c>
      <c r="E45" s="316" t="s">
        <v>275</v>
      </c>
      <c r="F45" s="317" t="s">
        <v>211</v>
      </c>
    </row>
    <row r="46" spans="1:7" ht="35.450000000000003" customHeight="1" thickBot="1" x14ac:dyDescent="0.3">
      <c r="A46" s="743" t="s">
        <v>278</v>
      </c>
      <c r="B46" s="318" t="s">
        <v>276</v>
      </c>
      <c r="C46" s="327">
        <f>NECESIDADES_DE_FINANCIACION!E20</f>
        <v>0</v>
      </c>
      <c r="D46" s="329">
        <f>IF(C45=0,0,C46/C45)</f>
        <v>0</v>
      </c>
      <c r="E46" s="330">
        <f>H9</f>
        <v>0.38</v>
      </c>
      <c r="F46" s="333">
        <f>ESTADO_DE_RESULTADOS!I9</f>
        <v>0</v>
      </c>
    </row>
    <row r="47" spans="1:7" ht="45" customHeight="1" thickBot="1" x14ac:dyDescent="0.3">
      <c r="A47" s="744"/>
      <c r="B47" s="319" t="s">
        <v>277</v>
      </c>
      <c r="C47" s="328">
        <f>NECESIDADES_DE_FINANCIACION!E21</f>
        <v>0</v>
      </c>
      <c r="D47" s="331">
        <f>IF(C45=0,0,C47/C45)</f>
        <v>0</v>
      </c>
      <c r="E47" s="332">
        <f>NECESIDADES_DE_FINANCIACION!E24</f>
        <v>0</v>
      </c>
      <c r="F47" s="313"/>
    </row>
    <row r="49" spans="1:2" ht="15.75" thickBot="1" x14ac:dyDescent="0.3"/>
    <row r="50" spans="1:2" ht="15.75" thickBot="1" x14ac:dyDescent="0.3">
      <c r="A50" s="320" t="s">
        <v>279</v>
      </c>
      <c r="B50" s="334">
        <f>IF((D47*E47*(1-F46))+(D46*E46)&lt;0,"N.A.",(D47*E47*(1-F46))+(D46*E46))</f>
        <v>0</v>
      </c>
    </row>
    <row r="75" spans="14:14" x14ac:dyDescent="0.25">
      <c r="N75" s="139" t="s">
        <v>41</v>
      </c>
    </row>
  </sheetData>
  <sheetProtection algorithmName="SHA-512" hashValue="23QMe/PgxhNo55MQVEXtn1bkL42inFnPmivydo7eOcZNvgy5hIiE1srrp6AvzNBmF2UQn9tpBfgi8MJrzZQdSQ==" saltValue="WQsw7uEG8a5afBTrQU+qHw==" spinCount="100000" sheet="1" objects="1" scenarios="1"/>
  <mergeCells count="40">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 ref="A26:A27"/>
    <mergeCell ref="A17:B17"/>
    <mergeCell ref="A46:A47"/>
    <mergeCell ref="A37:B37"/>
    <mergeCell ref="D26:D27"/>
    <mergeCell ref="D29:D30"/>
    <mergeCell ref="A35:B35"/>
    <mergeCell ref="A36:B36"/>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2:Y80"/>
  <sheetViews>
    <sheetView showGridLines="0" zoomScaleNormal="100" workbookViewId="0">
      <selection activeCell="E2" sqref="E2"/>
    </sheetView>
  </sheetViews>
  <sheetFormatPr baseColWidth="10" defaultRowHeight="15.75" x14ac:dyDescent="0.25"/>
  <cols>
    <col min="1" max="1" width="11.42578125" style="63"/>
    <col min="2" max="2" width="57.5703125" style="63" bestFit="1" customWidth="1"/>
    <col min="3" max="10" width="11.42578125" style="63"/>
    <col min="11" max="11" width="25.42578125" bestFit="1" customWidth="1"/>
    <col min="12" max="12" width="24.7109375" customWidth="1"/>
    <col min="13" max="17" width="12.7109375" customWidth="1"/>
    <col min="18" max="18" width="23.85546875" bestFit="1" customWidth="1"/>
    <col min="19" max="22" width="12.7109375" customWidth="1"/>
    <col min="23" max="23" width="12.5703125" customWidth="1"/>
    <col min="26" max="16384" width="11.42578125" style="63"/>
  </cols>
  <sheetData>
    <row r="2" spans="2:7" ht="32.25" customHeight="1" x14ac:dyDescent="0.25"/>
    <row r="4" spans="2:7" x14ac:dyDescent="0.25">
      <c r="B4" s="104" t="s">
        <v>1168</v>
      </c>
      <c r="C4" s="463">
        <v>0</v>
      </c>
    </row>
    <row r="5" spans="2:7" x14ac:dyDescent="0.25">
      <c r="B5" s="460" t="s">
        <v>1183</v>
      </c>
      <c r="C5" s="461">
        <v>0.02</v>
      </c>
    </row>
    <row r="7" spans="2:7" ht="31.5" customHeight="1" x14ac:dyDescent="0.25">
      <c r="B7" s="464" t="s">
        <v>191</v>
      </c>
      <c r="C7" s="465">
        <f>ESTADO_DE_RESULTADOS!B3</f>
        <v>2021</v>
      </c>
      <c r="D7" s="465">
        <f>ESTADO_DE_RESULTADOS!C3</f>
        <v>2022</v>
      </c>
      <c r="E7" s="465">
        <f>ESTADO_DE_RESULTADOS!D3</f>
        <v>2023</v>
      </c>
      <c r="F7" s="465">
        <f>ESTADO_DE_RESULTADOS!E3</f>
        <v>2024</v>
      </c>
      <c r="G7" s="465">
        <f>ESTADO_DE_RESULTADOS!F3</f>
        <v>2025</v>
      </c>
    </row>
    <row r="8" spans="2:7" x14ac:dyDescent="0.25">
      <c r="B8" s="466" t="s">
        <v>192</v>
      </c>
      <c r="C8" s="94">
        <f>ESTADO_DE_RESULTADOS!B4*(1+$C$4)</f>
        <v>0</v>
      </c>
      <c r="D8" s="94">
        <f>ESTADO_DE_RESULTADOS!C4*(1+$C$4)</f>
        <v>0</v>
      </c>
      <c r="E8" s="94">
        <f>ESTADO_DE_RESULTADOS!D4*(1+$C$4)</f>
        <v>0</v>
      </c>
      <c r="F8" s="94">
        <f>ESTADO_DE_RESULTADOS!E4*(1+$C$4)</f>
        <v>0</v>
      </c>
      <c r="G8" s="94">
        <f>ESTADO_DE_RESULTADOS!F4*(1+$C$4)</f>
        <v>0</v>
      </c>
    </row>
    <row r="9" spans="2:7" x14ac:dyDescent="0.25">
      <c r="B9" s="466" t="s">
        <v>193</v>
      </c>
      <c r="C9" s="93">
        <f>ESTADO_DE_RESULTADOS!B5</f>
        <v>0</v>
      </c>
      <c r="D9" s="93">
        <f>ESTADO_DE_RESULTADOS!C5</f>
        <v>0</v>
      </c>
      <c r="E9" s="93">
        <f>ESTADO_DE_RESULTADOS!D5</f>
        <v>0</v>
      </c>
      <c r="F9" s="93">
        <f>ESTADO_DE_RESULTADOS!E5</f>
        <v>0</v>
      </c>
      <c r="G9" s="93">
        <f>ESTADO_DE_RESULTADOS!F5</f>
        <v>0</v>
      </c>
    </row>
    <row r="10" spans="2:7" x14ac:dyDescent="0.25">
      <c r="B10" s="466" t="s">
        <v>194</v>
      </c>
      <c r="C10" s="94">
        <f>ESTADO_DE_RESULTADOS!B6</f>
        <v>0</v>
      </c>
      <c r="D10" s="94">
        <f>ESTADO_DE_RESULTADOS!C6</f>
        <v>0</v>
      </c>
      <c r="E10" s="94">
        <f>ESTADO_DE_RESULTADOS!D6</f>
        <v>0</v>
      </c>
      <c r="F10" s="94">
        <f>ESTADO_DE_RESULTADOS!E6</f>
        <v>0</v>
      </c>
      <c r="G10" s="94">
        <f>ESTADO_DE_RESULTADOS!F6</f>
        <v>0</v>
      </c>
    </row>
    <row r="11" spans="2:7" x14ac:dyDescent="0.25">
      <c r="B11" s="466" t="s">
        <v>34</v>
      </c>
      <c r="C11" s="94">
        <f>ESTADO_DE_RESULTADOS!B7</f>
        <v>0</v>
      </c>
      <c r="D11" s="94">
        <f>ESTADO_DE_RESULTADOS!C7</f>
        <v>0</v>
      </c>
      <c r="E11" s="94">
        <f>ESTADO_DE_RESULTADOS!D7</f>
        <v>0</v>
      </c>
      <c r="F11" s="94">
        <f>ESTADO_DE_RESULTADOS!E7</f>
        <v>0</v>
      </c>
      <c r="G11" s="94">
        <f>ESTADO_DE_RESULTADOS!F7</f>
        <v>0</v>
      </c>
    </row>
    <row r="12" spans="2:7" x14ac:dyDescent="0.25">
      <c r="B12" s="466" t="s">
        <v>195</v>
      </c>
      <c r="C12" s="94">
        <f>ESTADO_DE_RESULTADOS!B8</f>
        <v>0</v>
      </c>
      <c r="D12" s="94">
        <f>ESTADO_DE_RESULTADOS!C8</f>
        <v>0</v>
      </c>
      <c r="E12" s="94">
        <f>ESTADO_DE_RESULTADOS!D8</f>
        <v>0</v>
      </c>
      <c r="F12" s="94">
        <f>ESTADO_DE_RESULTADOS!E8</f>
        <v>0</v>
      </c>
      <c r="G12" s="94">
        <f>ESTADO_DE_RESULTADOS!F8</f>
        <v>0</v>
      </c>
    </row>
    <row r="13" spans="2:7" x14ac:dyDescent="0.25">
      <c r="B13" s="467" t="s">
        <v>196</v>
      </c>
      <c r="C13" s="468">
        <f>C8-C9-C10-C11-C12</f>
        <v>0</v>
      </c>
      <c r="D13" s="468">
        <f t="shared" ref="D13:G13" si="0">D8-D9-D10-D11-D12</f>
        <v>0</v>
      </c>
      <c r="E13" s="468">
        <f t="shared" si="0"/>
        <v>0</v>
      </c>
      <c r="F13" s="468">
        <f t="shared" si="0"/>
        <v>0</v>
      </c>
      <c r="G13" s="468">
        <f t="shared" si="0"/>
        <v>0</v>
      </c>
    </row>
    <row r="14" spans="2:7" x14ac:dyDescent="0.25">
      <c r="B14" s="466" t="s">
        <v>197</v>
      </c>
      <c r="C14" s="94">
        <f>ESTADO_DE_RESULTADOS!B10</f>
        <v>0</v>
      </c>
      <c r="D14" s="94">
        <f>ESTADO_DE_RESULTADOS!C10</f>
        <v>0</v>
      </c>
      <c r="E14" s="94">
        <f>ESTADO_DE_RESULTADOS!D10</f>
        <v>0</v>
      </c>
      <c r="F14" s="94">
        <f>ESTADO_DE_RESULTADOS!E10</f>
        <v>0</v>
      </c>
      <c r="G14" s="94">
        <f>ESTADO_DE_RESULTADOS!F10</f>
        <v>0</v>
      </c>
    </row>
    <row r="15" spans="2:7" x14ac:dyDescent="0.25">
      <c r="B15" s="466" t="s">
        <v>198</v>
      </c>
      <c r="C15" s="94">
        <f>ESTADO_DE_RESULTADOS!B11</f>
        <v>0</v>
      </c>
      <c r="D15" s="94">
        <f>ESTADO_DE_RESULTADOS!C11</f>
        <v>0</v>
      </c>
      <c r="E15" s="94">
        <f>ESTADO_DE_RESULTADOS!D11</f>
        <v>0</v>
      </c>
      <c r="F15" s="94">
        <f>ESTADO_DE_RESULTADOS!E11</f>
        <v>0</v>
      </c>
      <c r="G15" s="94">
        <f>ESTADO_DE_RESULTADOS!F11</f>
        <v>0</v>
      </c>
    </row>
    <row r="16" spans="2:7" x14ac:dyDescent="0.25">
      <c r="B16" s="466" t="s">
        <v>199</v>
      </c>
      <c r="C16" s="94">
        <f>ESTADO_DE_RESULTADOS!B12</f>
        <v>0</v>
      </c>
      <c r="D16" s="94">
        <f>ESTADO_DE_RESULTADOS!C12</f>
        <v>0</v>
      </c>
      <c r="E16" s="94">
        <f>ESTADO_DE_RESULTADOS!D12</f>
        <v>0</v>
      </c>
      <c r="F16" s="94">
        <f>ESTADO_DE_RESULTADOS!E12</f>
        <v>0</v>
      </c>
      <c r="G16" s="94">
        <f>ESTADO_DE_RESULTADOS!F12</f>
        <v>0</v>
      </c>
    </row>
    <row r="17" spans="2:7" x14ac:dyDescent="0.25">
      <c r="B17" s="466" t="s">
        <v>200</v>
      </c>
      <c r="C17" s="94">
        <f>ESTADO_DE_RESULTADOS!B13</f>
        <v>0</v>
      </c>
      <c r="D17" s="94">
        <f>ESTADO_DE_RESULTADOS!C13</f>
        <v>0</v>
      </c>
      <c r="E17" s="94">
        <f>ESTADO_DE_RESULTADOS!D13</f>
        <v>0</v>
      </c>
      <c r="F17" s="94">
        <f>ESTADO_DE_RESULTADOS!E13</f>
        <v>0</v>
      </c>
      <c r="G17" s="94">
        <f>ESTADO_DE_RESULTADOS!F13</f>
        <v>0</v>
      </c>
    </row>
    <row r="18" spans="2:7" x14ac:dyDescent="0.25">
      <c r="B18" s="466" t="s">
        <v>201</v>
      </c>
      <c r="C18" s="94">
        <f>ESTADO_DE_RESULTADOS!B14</f>
        <v>0</v>
      </c>
      <c r="D18" s="94">
        <f>ESTADO_DE_RESULTADOS!C14</f>
        <v>0</v>
      </c>
      <c r="E18" s="94">
        <f>ESTADO_DE_RESULTADOS!D14</f>
        <v>0</v>
      </c>
      <c r="F18" s="94">
        <f>ESTADO_DE_RESULTADOS!E14</f>
        <v>0</v>
      </c>
      <c r="G18" s="94">
        <f>ESTADO_DE_RESULTADOS!F14</f>
        <v>0</v>
      </c>
    </row>
    <row r="19" spans="2:7" hidden="1" x14ac:dyDescent="0.25">
      <c r="B19" s="469" t="s">
        <v>312</v>
      </c>
      <c r="C19" s="96">
        <f>ESTADO_DE_RESULTADOS!B15</f>
        <v>0</v>
      </c>
      <c r="D19" s="96">
        <f>ESTADO_DE_RESULTADOS!C15</f>
        <v>0</v>
      </c>
      <c r="E19" s="96">
        <f>ESTADO_DE_RESULTADOS!D15</f>
        <v>0</v>
      </c>
      <c r="F19" s="96">
        <f>ESTADO_DE_RESULTADOS!E15</f>
        <v>0</v>
      </c>
      <c r="G19" s="96">
        <f>ESTADO_DE_RESULTADOS!F15</f>
        <v>0</v>
      </c>
    </row>
    <row r="20" spans="2:7" x14ac:dyDescent="0.25">
      <c r="B20" s="467" t="s">
        <v>202</v>
      </c>
      <c r="C20" s="468">
        <f>C13-SUM(C14:C19)</f>
        <v>0</v>
      </c>
      <c r="D20" s="468">
        <f t="shared" ref="D20:G20" si="1">D13-SUM(D14:D19)</f>
        <v>0</v>
      </c>
      <c r="E20" s="468">
        <f t="shared" si="1"/>
        <v>0</v>
      </c>
      <c r="F20" s="468">
        <f t="shared" si="1"/>
        <v>0</v>
      </c>
      <c r="G20" s="468">
        <f t="shared" si="1"/>
        <v>0</v>
      </c>
    </row>
    <row r="21" spans="2:7" x14ac:dyDescent="0.25">
      <c r="B21" s="470" t="s">
        <v>313</v>
      </c>
      <c r="C21" s="94">
        <f>ESTADO_DE_RESULTADOS!B17</f>
        <v>0</v>
      </c>
      <c r="D21" s="94">
        <f>ESTADO_DE_RESULTADOS!C17</f>
        <v>0</v>
      </c>
      <c r="E21" s="94">
        <f>ESTADO_DE_RESULTADOS!D17</f>
        <v>0</v>
      </c>
      <c r="F21" s="94">
        <f>ESTADO_DE_RESULTADOS!E17</f>
        <v>0</v>
      </c>
      <c r="G21" s="94">
        <f>ESTADO_DE_RESULTADOS!F17</f>
        <v>0</v>
      </c>
    </row>
    <row r="22" spans="2:7" x14ac:dyDescent="0.25">
      <c r="B22" s="470" t="s">
        <v>203</v>
      </c>
      <c r="C22" s="94">
        <f>ESTADO_DE_RESULTADOS!B18</f>
        <v>0</v>
      </c>
      <c r="D22" s="94">
        <f>ESTADO_DE_RESULTADOS!C18</f>
        <v>0</v>
      </c>
      <c r="E22" s="94">
        <f>ESTADO_DE_RESULTADOS!D18</f>
        <v>0</v>
      </c>
      <c r="F22" s="94">
        <f>ESTADO_DE_RESULTADOS!E18</f>
        <v>0</v>
      </c>
      <c r="G22" s="94">
        <f>ESTADO_DE_RESULTADOS!F18</f>
        <v>0</v>
      </c>
    </row>
    <row r="23" spans="2:7" x14ac:dyDescent="0.25">
      <c r="B23" s="470" t="s">
        <v>204</v>
      </c>
      <c r="C23" s="94">
        <f>ESTADO_DE_RESULTADOS!B19</f>
        <v>0</v>
      </c>
      <c r="D23" s="94">
        <f>ESTADO_DE_RESULTADOS!C19</f>
        <v>0</v>
      </c>
      <c r="E23" s="94">
        <f>ESTADO_DE_RESULTADOS!D19</f>
        <v>0</v>
      </c>
      <c r="F23" s="94">
        <f>ESTADO_DE_RESULTADOS!E19</f>
        <v>0</v>
      </c>
      <c r="G23" s="94">
        <f>ESTADO_DE_RESULTADOS!F19</f>
        <v>0</v>
      </c>
    </row>
    <row r="24" spans="2:7" x14ac:dyDescent="0.25">
      <c r="B24" s="470" t="s">
        <v>205</v>
      </c>
      <c r="C24" s="94">
        <f>C21+C22+C23</f>
        <v>0</v>
      </c>
      <c r="D24" s="94">
        <f t="shared" ref="D24:G24" si="2">D21+D22+D23</f>
        <v>0</v>
      </c>
      <c r="E24" s="94">
        <f t="shared" si="2"/>
        <v>0</v>
      </c>
      <c r="F24" s="94">
        <f t="shared" si="2"/>
        <v>0</v>
      </c>
      <c r="G24" s="94">
        <f t="shared" si="2"/>
        <v>0</v>
      </c>
    </row>
    <row r="25" spans="2:7" hidden="1" x14ac:dyDescent="0.25">
      <c r="B25" s="471" t="s">
        <v>314</v>
      </c>
      <c r="C25" s="96">
        <f>ESTADO_DE_RESULTADOS!B21</f>
        <v>0</v>
      </c>
      <c r="D25" s="96">
        <f>ESTADO_DE_RESULTADOS!C21</f>
        <v>0</v>
      </c>
      <c r="E25" s="96">
        <f>ESTADO_DE_RESULTADOS!D21</f>
        <v>0</v>
      </c>
      <c r="F25" s="96">
        <f>ESTADO_DE_RESULTADOS!E21</f>
        <v>0</v>
      </c>
      <c r="G25" s="96">
        <f>ESTADO_DE_RESULTADOS!F21</f>
        <v>0</v>
      </c>
    </row>
    <row r="26" spans="2:7" hidden="1" x14ac:dyDescent="0.25">
      <c r="B26" s="471" t="s">
        <v>315</v>
      </c>
      <c r="C26" s="96">
        <f>ESTADO_DE_RESULTADOS!B22</f>
        <v>0</v>
      </c>
      <c r="D26" s="96">
        <f>ESTADO_DE_RESULTADOS!C22</f>
        <v>0</v>
      </c>
      <c r="E26" s="96">
        <f>ESTADO_DE_RESULTADOS!D22</f>
        <v>0</v>
      </c>
      <c r="F26" s="96">
        <f>ESTADO_DE_RESULTADOS!E22</f>
        <v>0</v>
      </c>
      <c r="G26" s="96">
        <f>ESTADO_DE_RESULTADOS!F22</f>
        <v>0</v>
      </c>
    </row>
    <row r="27" spans="2:7" hidden="1" x14ac:dyDescent="0.25">
      <c r="B27" s="471" t="s">
        <v>316</v>
      </c>
      <c r="C27" s="96">
        <f>ESTADO_DE_RESULTADOS!B23</f>
        <v>0</v>
      </c>
      <c r="D27" s="96">
        <f>ESTADO_DE_RESULTADOS!C23</f>
        <v>0</v>
      </c>
      <c r="E27" s="96">
        <f>ESTADO_DE_RESULTADOS!D23</f>
        <v>0</v>
      </c>
      <c r="F27" s="96">
        <f>ESTADO_DE_RESULTADOS!E23</f>
        <v>0</v>
      </c>
      <c r="G27" s="96">
        <f>ESTADO_DE_RESULTADOS!F23</f>
        <v>0</v>
      </c>
    </row>
    <row r="28" spans="2:7" hidden="1" x14ac:dyDescent="0.25">
      <c r="B28" s="471" t="s">
        <v>317</v>
      </c>
      <c r="C28" s="96">
        <f>ESTADO_DE_RESULTADOS!B24</f>
        <v>0</v>
      </c>
      <c r="D28" s="96">
        <f>ESTADO_DE_RESULTADOS!C24</f>
        <v>0</v>
      </c>
      <c r="E28" s="96">
        <f>ESTADO_DE_RESULTADOS!D24</f>
        <v>0</v>
      </c>
      <c r="F28" s="96">
        <f>ESTADO_DE_RESULTADOS!E24</f>
        <v>0</v>
      </c>
      <c r="G28" s="96">
        <f>ESTADO_DE_RESULTADOS!F24</f>
        <v>0</v>
      </c>
    </row>
    <row r="29" spans="2:7" hidden="1" x14ac:dyDescent="0.25">
      <c r="B29" s="471" t="s">
        <v>318</v>
      </c>
      <c r="C29" s="96">
        <f>ESTADO_DE_RESULTADOS!B25</f>
        <v>0</v>
      </c>
      <c r="D29" s="96">
        <f>ESTADO_DE_RESULTADOS!C25</f>
        <v>0</v>
      </c>
      <c r="E29" s="96">
        <f>ESTADO_DE_RESULTADOS!D25</f>
        <v>0</v>
      </c>
      <c r="F29" s="96">
        <f>ESTADO_DE_RESULTADOS!E25</f>
        <v>0</v>
      </c>
      <c r="G29" s="96">
        <f>ESTADO_DE_RESULTADOS!F25</f>
        <v>0</v>
      </c>
    </row>
    <row r="30" spans="2:7" hidden="1" x14ac:dyDescent="0.25">
      <c r="B30" s="472" t="s">
        <v>319</v>
      </c>
      <c r="C30" s="96">
        <f>C25+C26+C27+C28+C29</f>
        <v>0</v>
      </c>
      <c r="D30" s="96">
        <f t="shared" ref="D30:G30" si="3">D25+D26+D27+D28+D29</f>
        <v>0</v>
      </c>
      <c r="E30" s="96">
        <f t="shared" si="3"/>
        <v>0</v>
      </c>
      <c r="F30" s="96">
        <f t="shared" si="3"/>
        <v>0</v>
      </c>
      <c r="G30" s="96">
        <f t="shared" si="3"/>
        <v>0</v>
      </c>
    </row>
    <row r="31" spans="2:7" x14ac:dyDescent="0.25">
      <c r="B31" s="467" t="s">
        <v>1170</v>
      </c>
      <c r="C31" s="468">
        <f>C20+C24+C30</f>
        <v>0</v>
      </c>
      <c r="D31" s="468">
        <f t="shared" ref="D31:G31" si="4">D20+D24+D30</f>
        <v>0</v>
      </c>
      <c r="E31" s="468">
        <f t="shared" si="4"/>
        <v>0</v>
      </c>
      <c r="F31" s="468">
        <f t="shared" si="4"/>
        <v>0</v>
      </c>
      <c r="G31" s="468">
        <f t="shared" si="4"/>
        <v>0</v>
      </c>
    </row>
    <row r="32" spans="2:7" x14ac:dyDescent="0.25">
      <c r="B32" s="466" t="s">
        <v>207</v>
      </c>
      <c r="C32" s="94">
        <f>IF(C31*ESTADO_DE_RESULTADOS!$I$9&lt;0,0,HOJA_DE_APOYO!C31*ESTADO_DE_RESULTADOS!$I$9)</f>
        <v>0</v>
      </c>
      <c r="D32" s="94">
        <f>IF(D31*ESTADO_DE_RESULTADOS!$I$9&lt;0,0,HOJA_DE_APOYO!D31*ESTADO_DE_RESULTADOS!$I$9)</f>
        <v>0</v>
      </c>
      <c r="E32" s="94">
        <f>IF(E31*ESTADO_DE_RESULTADOS!$I$9&lt;0,0,HOJA_DE_APOYO!E31*ESTADO_DE_RESULTADOS!$I$9)</f>
        <v>0</v>
      </c>
      <c r="F32" s="94">
        <f>IF(F31*ESTADO_DE_RESULTADOS!$I$9&lt;0,0,HOJA_DE_APOYO!F31*ESTADO_DE_RESULTADOS!$I$9)</f>
        <v>0</v>
      </c>
      <c r="G32" s="94">
        <f>IF(G31*ESTADO_DE_RESULTADOS!$I$9&lt;0,0,HOJA_DE_APOYO!G31*ESTADO_DE_RESULTADOS!$I$9)</f>
        <v>0</v>
      </c>
    </row>
    <row r="33" spans="2:7" x14ac:dyDescent="0.25">
      <c r="B33" s="466" t="s">
        <v>208</v>
      </c>
      <c r="C33" s="94">
        <f>IF(C31*ESTADO_DE_RESULTADOS!$I$10=0,0,HOJA_DE_APOYO!C31*ESTADO_DE_RESULTADOS!$I$10)</f>
        <v>0</v>
      </c>
      <c r="D33" s="94">
        <f>IF(D31*ESTADO_DE_RESULTADOS!$I$10=0,0,HOJA_DE_APOYO!D31*ESTADO_DE_RESULTADOS!$I$10)</f>
        <v>0</v>
      </c>
      <c r="E33" s="94">
        <f>IF(E31*ESTADO_DE_RESULTADOS!$I$10=0,0,HOJA_DE_APOYO!E31*ESTADO_DE_RESULTADOS!$I$10)</f>
        <v>0</v>
      </c>
      <c r="F33" s="94">
        <f>IF(F31*ESTADO_DE_RESULTADOS!$I$10=0,0,HOJA_DE_APOYO!F31*ESTADO_DE_RESULTADOS!$I$10)</f>
        <v>0</v>
      </c>
      <c r="G33" s="94">
        <f>IF(G31*ESTADO_DE_RESULTADOS!$I$10=0,0,HOJA_DE_APOYO!G31*ESTADO_DE_RESULTADOS!$I$10)</f>
        <v>0</v>
      </c>
    </row>
    <row r="34" spans="2:7" x14ac:dyDescent="0.25">
      <c r="B34" s="466" t="s">
        <v>209</v>
      </c>
      <c r="C34" s="94">
        <f>IF(C31*ESTADO_DE_RESULTADOS!$I$11&lt;0,0,HOJA_DE_APOYO!C31*ESTADO_DE_RESULTADOS!$I$11)</f>
        <v>0</v>
      </c>
      <c r="D34" s="94">
        <f>IF(D31*ESTADO_DE_RESULTADOS!$I$11&lt;0,0,HOJA_DE_APOYO!D31*ESTADO_DE_RESULTADOS!$I$11)</f>
        <v>0</v>
      </c>
      <c r="E34" s="94">
        <f>IF(E31*ESTADO_DE_RESULTADOS!$I$11&lt;0,0,HOJA_DE_APOYO!E31*ESTADO_DE_RESULTADOS!$I$11)</f>
        <v>0</v>
      </c>
      <c r="F34" s="94">
        <f>IF(F31*ESTADO_DE_RESULTADOS!$I$11&lt;0,0,HOJA_DE_APOYO!F31*ESTADO_DE_RESULTADOS!$I$11)</f>
        <v>0</v>
      </c>
      <c r="G34" s="94">
        <f>IF(G31*ESTADO_DE_RESULTADOS!$I$11&lt;0,0,HOJA_DE_APOYO!G31*ESTADO_DE_RESULTADOS!$I$11)</f>
        <v>0</v>
      </c>
    </row>
    <row r="35" spans="2:7" ht="16.5" thickBot="1" x14ac:dyDescent="0.3">
      <c r="B35" s="473" t="s">
        <v>210</v>
      </c>
      <c r="C35" s="468">
        <f>C31-C32-C33-C34</f>
        <v>0</v>
      </c>
      <c r="D35" s="468">
        <f t="shared" ref="D35:G35" si="5">D31-D32-D33-D34</f>
        <v>0</v>
      </c>
      <c r="E35" s="468">
        <f t="shared" si="5"/>
        <v>0</v>
      </c>
      <c r="F35" s="468">
        <f t="shared" si="5"/>
        <v>0</v>
      </c>
      <c r="G35" s="468">
        <f t="shared" si="5"/>
        <v>0</v>
      </c>
    </row>
    <row r="38" spans="2:7" ht="31.5" customHeight="1" x14ac:dyDescent="0.25">
      <c r="B38" s="474" t="s">
        <v>1173</v>
      </c>
      <c r="C38" s="475">
        <f>FLUJO_DE_CAJA!B6</f>
        <v>2021</v>
      </c>
      <c r="D38" s="475">
        <f>FLUJO_DE_CAJA!C6</f>
        <v>2022</v>
      </c>
      <c r="E38" s="475">
        <f>FLUJO_DE_CAJA!D6</f>
        <v>2023</v>
      </c>
      <c r="F38" s="475">
        <f>FLUJO_DE_CAJA!E6</f>
        <v>2024</v>
      </c>
      <c r="G38" s="475">
        <f>FLUJO_DE_CAJA!F6</f>
        <v>2025</v>
      </c>
    </row>
    <row r="39" spans="2:7" x14ac:dyDescent="0.25">
      <c r="B39" s="476" t="s">
        <v>219</v>
      </c>
      <c r="C39" s="94">
        <f>C20</f>
        <v>0</v>
      </c>
      <c r="D39" s="94">
        <f>D20</f>
        <v>0</v>
      </c>
      <c r="E39" s="94">
        <f>E20</f>
        <v>0</v>
      </c>
      <c r="F39" s="94">
        <f>F20</f>
        <v>0</v>
      </c>
      <c r="G39" s="94">
        <f>G20</f>
        <v>0</v>
      </c>
    </row>
    <row r="40" spans="2:7" x14ac:dyDescent="0.25">
      <c r="B40" s="476" t="s">
        <v>220</v>
      </c>
      <c r="C40" s="94">
        <f>FLUJO_DE_CAJA!B9</f>
        <v>0</v>
      </c>
      <c r="D40" s="94">
        <f>FLUJO_DE_CAJA!C9</f>
        <v>0</v>
      </c>
      <c r="E40" s="94">
        <f>FLUJO_DE_CAJA!D9</f>
        <v>0</v>
      </c>
      <c r="F40" s="94">
        <f>FLUJO_DE_CAJA!E9</f>
        <v>0</v>
      </c>
      <c r="G40" s="94">
        <f>FLUJO_DE_CAJA!F9</f>
        <v>0</v>
      </c>
    </row>
    <row r="41" spans="2:7" x14ac:dyDescent="0.25">
      <c r="B41" s="476" t="s">
        <v>221</v>
      </c>
      <c r="C41" s="94">
        <f>FLUJO_DE_CAJA!B10</f>
        <v>0</v>
      </c>
      <c r="D41" s="94">
        <f>FLUJO_DE_CAJA!C10</f>
        <v>0</v>
      </c>
      <c r="E41" s="94">
        <f>FLUJO_DE_CAJA!D10</f>
        <v>0</v>
      </c>
      <c r="F41" s="94">
        <f>FLUJO_DE_CAJA!E10</f>
        <v>0</v>
      </c>
      <c r="G41" s="94">
        <f>FLUJO_DE_CAJA!F10</f>
        <v>0</v>
      </c>
    </row>
    <row r="42" spans="2:7" x14ac:dyDescent="0.25">
      <c r="B42" s="476" t="s">
        <v>201</v>
      </c>
      <c r="C42" s="94">
        <f>C18</f>
        <v>0</v>
      </c>
      <c r="D42" s="94">
        <f>D18</f>
        <v>0</v>
      </c>
      <c r="E42" s="94">
        <f>E18</f>
        <v>0</v>
      </c>
      <c r="F42" s="94">
        <f>F18</f>
        <v>0</v>
      </c>
      <c r="G42" s="94">
        <f>G18</f>
        <v>0</v>
      </c>
    </row>
    <row r="43" spans="2:7" x14ac:dyDescent="0.25">
      <c r="B43" s="476" t="s">
        <v>222</v>
      </c>
      <c r="C43" s="477"/>
      <c r="D43" s="94">
        <f>C32*-1</f>
        <v>0</v>
      </c>
      <c r="E43" s="94">
        <f>D32*-1</f>
        <v>0</v>
      </c>
      <c r="F43" s="94">
        <f>E32*-1</f>
        <v>0</v>
      </c>
      <c r="G43" s="94">
        <f>F32*-1</f>
        <v>0</v>
      </c>
    </row>
    <row r="44" spans="2:7" ht="16.5" thickBot="1" x14ac:dyDescent="0.3">
      <c r="B44" s="478" t="s">
        <v>223</v>
      </c>
      <c r="C44" s="479">
        <f>SUM(C39:C43)</f>
        <v>0</v>
      </c>
      <c r="D44" s="479">
        <f t="shared" ref="D44:G44" si="6">SUM(D39:D43)</f>
        <v>0</v>
      </c>
      <c r="E44" s="479">
        <f t="shared" si="6"/>
        <v>0</v>
      </c>
      <c r="F44" s="479">
        <f t="shared" si="6"/>
        <v>0</v>
      </c>
      <c r="G44" s="479">
        <f t="shared" si="6"/>
        <v>0</v>
      </c>
    </row>
    <row r="46" spans="2:7" x14ac:dyDescent="0.25">
      <c r="B46" s="480" t="s">
        <v>1176</v>
      </c>
      <c r="C46" s="481">
        <f>FLUJO_DE_CAJA!B16</f>
        <v>2021</v>
      </c>
      <c r="D46" s="481">
        <f>FLUJO_DE_CAJA!C16</f>
        <v>2022</v>
      </c>
      <c r="E46" s="481">
        <f>FLUJO_DE_CAJA!D16</f>
        <v>2023</v>
      </c>
      <c r="F46" s="482">
        <f>FLUJO_DE_CAJA!E16</f>
        <v>2024</v>
      </c>
      <c r="G46" s="482">
        <f>FLUJO_DE_CAJA!F16</f>
        <v>2025</v>
      </c>
    </row>
    <row r="47" spans="2:7" x14ac:dyDescent="0.25">
      <c r="B47" s="483" t="s">
        <v>226</v>
      </c>
      <c r="C47" s="94">
        <f>FLUJO_DE_CAJA!B17</f>
        <v>0</v>
      </c>
      <c r="D47" s="94">
        <f>FLUJO_DE_CAJA!C17</f>
        <v>0</v>
      </c>
      <c r="E47" s="94">
        <f>FLUJO_DE_CAJA!D17</f>
        <v>0</v>
      </c>
      <c r="F47" s="94">
        <f>FLUJO_DE_CAJA!E17</f>
        <v>0</v>
      </c>
      <c r="G47" s="94">
        <f>FLUJO_DE_CAJA!F17</f>
        <v>0</v>
      </c>
    </row>
    <row r="48" spans="2:7" x14ac:dyDescent="0.25">
      <c r="B48" s="483" t="s">
        <v>227</v>
      </c>
      <c r="C48" s="94">
        <f>FLUJO_DE_CAJA!B18</f>
        <v>0</v>
      </c>
      <c r="D48" s="94">
        <f>FLUJO_DE_CAJA!C18</f>
        <v>0</v>
      </c>
      <c r="E48" s="94">
        <f>FLUJO_DE_CAJA!D18</f>
        <v>0</v>
      </c>
      <c r="F48" s="94">
        <f>FLUJO_DE_CAJA!E18</f>
        <v>0</v>
      </c>
      <c r="G48" s="94">
        <f>FLUJO_DE_CAJA!F18</f>
        <v>0</v>
      </c>
    </row>
    <row r="49" spans="2:7" x14ac:dyDescent="0.25">
      <c r="B49" s="483" t="s">
        <v>228</v>
      </c>
      <c r="C49" s="94">
        <f>FLUJO_DE_CAJA!B19</f>
        <v>0</v>
      </c>
      <c r="D49" s="94">
        <f>FLUJO_DE_CAJA!C19</f>
        <v>0</v>
      </c>
      <c r="E49" s="94">
        <f>FLUJO_DE_CAJA!D19</f>
        <v>0</v>
      </c>
      <c r="F49" s="94">
        <f>FLUJO_DE_CAJA!E19</f>
        <v>0</v>
      </c>
      <c r="G49" s="94">
        <f>FLUJO_DE_CAJA!F19</f>
        <v>0</v>
      </c>
    </row>
    <row r="50" spans="2:7" x14ac:dyDescent="0.25">
      <c r="B50" s="484" t="s">
        <v>1177</v>
      </c>
      <c r="C50" s="485">
        <f>SUM(C47:C49)</f>
        <v>0</v>
      </c>
      <c r="D50" s="485">
        <f t="shared" ref="D50:G50" si="7">SUM(D47:D49)</f>
        <v>0</v>
      </c>
      <c r="E50" s="485">
        <f t="shared" si="7"/>
        <v>0</v>
      </c>
      <c r="F50" s="485">
        <f t="shared" si="7"/>
        <v>0</v>
      </c>
      <c r="G50" s="485">
        <f t="shared" si="7"/>
        <v>0</v>
      </c>
    </row>
    <row r="51" spans="2:7" ht="15.75" customHeight="1" x14ac:dyDescent="0.25">
      <c r="B51" s="483" t="s">
        <v>230</v>
      </c>
      <c r="C51" s="94">
        <f>FLUJO_DE_CAJA!B21</f>
        <v>0</v>
      </c>
      <c r="D51" s="94">
        <f>FLUJO_DE_CAJA!C21</f>
        <v>0</v>
      </c>
      <c r="E51" s="94">
        <f>FLUJO_DE_CAJA!D21</f>
        <v>0</v>
      </c>
      <c r="F51" s="94">
        <f>FLUJO_DE_CAJA!E21</f>
        <v>0</v>
      </c>
      <c r="G51" s="94">
        <f>FLUJO_DE_CAJA!F21</f>
        <v>0</v>
      </c>
    </row>
    <row r="52" spans="2:7" x14ac:dyDescent="0.25">
      <c r="B52" s="483" t="s">
        <v>231</v>
      </c>
      <c r="C52" s="94">
        <f>FLUJO_DE_CAJA!B22</f>
        <v>0</v>
      </c>
      <c r="D52" s="94">
        <f>FLUJO_DE_CAJA!C22</f>
        <v>0</v>
      </c>
      <c r="E52" s="94">
        <f>FLUJO_DE_CAJA!D22</f>
        <v>0</v>
      </c>
      <c r="F52" s="94">
        <f>FLUJO_DE_CAJA!E22</f>
        <v>0</v>
      </c>
      <c r="G52" s="94">
        <f>FLUJO_DE_CAJA!F22</f>
        <v>0</v>
      </c>
    </row>
    <row r="53" spans="2:7" x14ac:dyDescent="0.25">
      <c r="B53" s="483" t="s">
        <v>232</v>
      </c>
      <c r="C53" s="94">
        <f>FLUJO_DE_CAJA!B23</f>
        <v>0</v>
      </c>
      <c r="D53" s="94">
        <f>FLUJO_DE_CAJA!C23</f>
        <v>0</v>
      </c>
      <c r="E53" s="94">
        <f>FLUJO_DE_CAJA!D23</f>
        <v>0</v>
      </c>
      <c r="F53" s="94">
        <f>FLUJO_DE_CAJA!E23</f>
        <v>0</v>
      </c>
      <c r="G53" s="94">
        <f>FLUJO_DE_CAJA!F23</f>
        <v>0</v>
      </c>
    </row>
    <row r="54" spans="2:7" x14ac:dyDescent="0.25">
      <c r="B54" s="483" t="s">
        <v>233</v>
      </c>
      <c r="C54" s="94">
        <f>FLUJO_DE_CAJA!B24</f>
        <v>0</v>
      </c>
      <c r="D54" s="94">
        <f>FLUJO_DE_CAJA!C24</f>
        <v>0</v>
      </c>
      <c r="E54" s="94">
        <f>FLUJO_DE_CAJA!D24</f>
        <v>0</v>
      </c>
      <c r="F54" s="94">
        <f>FLUJO_DE_CAJA!E24</f>
        <v>0</v>
      </c>
      <c r="G54" s="94">
        <f>FLUJO_DE_CAJA!F24</f>
        <v>0</v>
      </c>
    </row>
    <row r="55" spans="2:7" x14ac:dyDescent="0.25">
      <c r="B55" s="483" t="s">
        <v>234</v>
      </c>
      <c r="C55" s="94">
        <f>FLUJO_DE_CAJA!B25</f>
        <v>0</v>
      </c>
      <c r="D55" s="94">
        <f>FLUJO_DE_CAJA!C25</f>
        <v>0</v>
      </c>
      <c r="E55" s="94">
        <f>FLUJO_DE_CAJA!D25</f>
        <v>0</v>
      </c>
      <c r="F55" s="94">
        <f>FLUJO_DE_CAJA!E25</f>
        <v>0</v>
      </c>
      <c r="G55" s="94">
        <f>FLUJO_DE_CAJA!F25</f>
        <v>0</v>
      </c>
    </row>
    <row r="56" spans="2:7" x14ac:dyDescent="0.25">
      <c r="B56" s="483" t="s">
        <v>235</v>
      </c>
      <c r="C56" s="94">
        <f>FLUJO_DE_CAJA!B26</f>
        <v>0</v>
      </c>
      <c r="D56" s="94">
        <f>FLUJO_DE_CAJA!C26</f>
        <v>0</v>
      </c>
      <c r="E56" s="94">
        <f>FLUJO_DE_CAJA!D26</f>
        <v>0</v>
      </c>
      <c r="F56" s="94">
        <f>FLUJO_DE_CAJA!E26</f>
        <v>0</v>
      </c>
      <c r="G56" s="94">
        <f>FLUJO_DE_CAJA!F26</f>
        <v>0</v>
      </c>
    </row>
    <row r="57" spans="2:7" x14ac:dyDescent="0.25">
      <c r="B57" s="483" t="s">
        <v>236</v>
      </c>
      <c r="C57" s="94">
        <f>FLUJO_DE_CAJA!B27</f>
        <v>0</v>
      </c>
      <c r="D57" s="94">
        <f>FLUJO_DE_CAJA!C27</f>
        <v>0</v>
      </c>
      <c r="E57" s="94">
        <f>FLUJO_DE_CAJA!D27</f>
        <v>0</v>
      </c>
      <c r="F57" s="94">
        <f>FLUJO_DE_CAJA!E27</f>
        <v>0</v>
      </c>
      <c r="G57" s="94">
        <f>FLUJO_DE_CAJA!F27</f>
        <v>0</v>
      </c>
    </row>
    <row r="58" spans="2:7" x14ac:dyDescent="0.25">
      <c r="B58" s="483" t="s">
        <v>237</v>
      </c>
      <c r="C58" s="94">
        <f>FLUJO_DE_CAJA!B28</f>
        <v>0</v>
      </c>
      <c r="D58" s="94">
        <f>FLUJO_DE_CAJA!C28</f>
        <v>0</v>
      </c>
      <c r="E58" s="94">
        <f>FLUJO_DE_CAJA!D28</f>
        <v>0</v>
      </c>
      <c r="F58" s="94">
        <f>FLUJO_DE_CAJA!E28</f>
        <v>0</v>
      </c>
      <c r="G58" s="94">
        <f>FLUJO_DE_CAJA!F28</f>
        <v>0</v>
      </c>
    </row>
    <row r="59" spans="2:7" x14ac:dyDescent="0.25">
      <c r="B59" s="483" t="s">
        <v>238</v>
      </c>
      <c r="C59" s="94">
        <f>FLUJO_DE_CAJA!B29</f>
        <v>0</v>
      </c>
      <c r="D59" s="94">
        <f>FLUJO_DE_CAJA!C29</f>
        <v>0</v>
      </c>
      <c r="E59" s="94">
        <f>FLUJO_DE_CAJA!D29</f>
        <v>0</v>
      </c>
      <c r="F59" s="94">
        <f>FLUJO_DE_CAJA!E29</f>
        <v>0</v>
      </c>
      <c r="G59" s="94">
        <f>FLUJO_DE_CAJA!F29</f>
        <v>0</v>
      </c>
    </row>
    <row r="60" spans="2:7" x14ac:dyDescent="0.25">
      <c r="B60" s="484" t="s">
        <v>239</v>
      </c>
      <c r="C60" s="485">
        <f>SUM(C51:C59)*-1</f>
        <v>0</v>
      </c>
      <c r="D60" s="485">
        <f t="shared" ref="D60:G60" si="8">SUM(D51:D59)*-1</f>
        <v>0</v>
      </c>
      <c r="E60" s="485">
        <f t="shared" si="8"/>
        <v>0</v>
      </c>
      <c r="F60" s="485">
        <f t="shared" si="8"/>
        <v>0</v>
      </c>
      <c r="G60" s="485">
        <f t="shared" si="8"/>
        <v>0</v>
      </c>
    </row>
    <row r="61" spans="2:7" ht="16.5" thickBot="1" x14ac:dyDescent="0.3">
      <c r="B61" s="486" t="s">
        <v>240</v>
      </c>
      <c r="C61" s="487">
        <f>C50+C60</f>
        <v>0</v>
      </c>
      <c r="D61" s="487">
        <f t="shared" ref="D61:G61" si="9">D50+D60</f>
        <v>0</v>
      </c>
      <c r="E61" s="487">
        <f t="shared" si="9"/>
        <v>0</v>
      </c>
      <c r="F61" s="487">
        <f t="shared" si="9"/>
        <v>0</v>
      </c>
      <c r="G61" s="487">
        <f t="shared" si="9"/>
        <v>0</v>
      </c>
    </row>
    <row r="63" spans="2:7" x14ac:dyDescent="0.25">
      <c r="B63" s="480" t="s">
        <v>1178</v>
      </c>
      <c r="C63" s="482">
        <f>FLUJO_DE_CAJA!B34</f>
        <v>2021</v>
      </c>
      <c r="D63" s="482">
        <f>FLUJO_DE_CAJA!C34</f>
        <v>2022</v>
      </c>
      <c r="E63" s="482">
        <f>FLUJO_DE_CAJA!D34</f>
        <v>2023</v>
      </c>
      <c r="F63" s="482">
        <f>FLUJO_DE_CAJA!E34</f>
        <v>2024</v>
      </c>
      <c r="G63" s="482">
        <f>FLUJO_DE_CAJA!F34</f>
        <v>2025</v>
      </c>
    </row>
    <row r="64" spans="2:7" x14ac:dyDescent="0.25">
      <c r="B64" s="488" t="s">
        <v>243</v>
      </c>
      <c r="C64" s="94">
        <f>FLUJO_DE_CAJA!B35</f>
        <v>0</v>
      </c>
      <c r="D64" s="94">
        <f>FLUJO_DE_CAJA!C35</f>
        <v>0</v>
      </c>
      <c r="E64" s="94">
        <f>FLUJO_DE_CAJA!D35</f>
        <v>0</v>
      </c>
      <c r="F64" s="94">
        <f>FLUJO_DE_CAJA!E35</f>
        <v>0</v>
      </c>
      <c r="G64" s="94">
        <f>FLUJO_DE_CAJA!F35</f>
        <v>0</v>
      </c>
    </row>
    <row r="65" spans="2:8" x14ac:dyDescent="0.25">
      <c r="B65" s="488" t="s">
        <v>244</v>
      </c>
      <c r="C65" s="94">
        <f>FLUJO_DE_CAJA!B36</f>
        <v>0</v>
      </c>
      <c r="D65" s="94">
        <f>FLUJO_DE_CAJA!C36</f>
        <v>0</v>
      </c>
      <c r="E65" s="94">
        <f>FLUJO_DE_CAJA!D36</f>
        <v>0</v>
      </c>
      <c r="F65" s="94">
        <f>FLUJO_DE_CAJA!E36</f>
        <v>0</v>
      </c>
      <c r="G65" s="94">
        <f>FLUJO_DE_CAJA!F36</f>
        <v>0</v>
      </c>
    </row>
    <row r="66" spans="2:8" x14ac:dyDescent="0.25">
      <c r="B66" s="488" t="s">
        <v>245</v>
      </c>
      <c r="C66" s="94">
        <f>FLUJO_DE_CAJA!B37</f>
        <v>0</v>
      </c>
      <c r="D66" s="94">
        <f>FLUJO_DE_CAJA!C37</f>
        <v>0</v>
      </c>
      <c r="E66" s="94">
        <f>FLUJO_DE_CAJA!D37</f>
        <v>0</v>
      </c>
      <c r="F66" s="94">
        <f>FLUJO_DE_CAJA!E37</f>
        <v>0</v>
      </c>
      <c r="G66" s="94">
        <f>FLUJO_DE_CAJA!F37</f>
        <v>0</v>
      </c>
    </row>
    <row r="67" spans="2:8" x14ac:dyDescent="0.25">
      <c r="B67" s="488" t="s">
        <v>246</v>
      </c>
      <c r="C67" s="94">
        <f>ESTADO_DE_RESULTADOS!B36*-1</f>
        <v>0</v>
      </c>
      <c r="D67" s="94">
        <f>ESTADO_DE_RESULTADOS!C36*-1</f>
        <v>0</v>
      </c>
      <c r="E67" s="94">
        <f>ESTADO_DE_RESULTADOS!D36*-1</f>
        <v>0</v>
      </c>
      <c r="F67" s="94">
        <f>ESTADO_DE_RESULTADOS!E36*-1</f>
        <v>0</v>
      </c>
      <c r="G67" s="94">
        <f>ESTADO_DE_RESULTADOS!F36*-1</f>
        <v>0</v>
      </c>
    </row>
    <row r="68" spans="2:8" x14ac:dyDescent="0.25">
      <c r="B68" s="489" t="s">
        <v>247</v>
      </c>
      <c r="C68" s="94">
        <f>FLUJO_DE_CAJA!B39</f>
        <v>0</v>
      </c>
      <c r="D68" s="94">
        <f>FLUJO_DE_CAJA!C39</f>
        <v>0</v>
      </c>
      <c r="E68" s="94">
        <f>FLUJO_DE_CAJA!D39</f>
        <v>0</v>
      </c>
      <c r="F68" s="94">
        <f>FLUJO_DE_CAJA!E39</f>
        <v>0</v>
      </c>
      <c r="G68" s="94">
        <f>FLUJO_DE_CAJA!F39</f>
        <v>0</v>
      </c>
    </row>
    <row r="69" spans="2:8" x14ac:dyDescent="0.25">
      <c r="B69" s="490" t="s">
        <v>248</v>
      </c>
      <c r="C69" s="491">
        <f>SUM(C64:C68)</f>
        <v>0</v>
      </c>
      <c r="D69" s="491">
        <f t="shared" ref="D69:G69" si="10">SUM(D64:D68)</f>
        <v>0</v>
      </c>
      <c r="E69" s="491">
        <f t="shared" si="10"/>
        <v>0</v>
      </c>
      <c r="F69" s="491">
        <f t="shared" si="10"/>
        <v>0</v>
      </c>
      <c r="G69" s="491">
        <f t="shared" si="10"/>
        <v>0</v>
      </c>
    </row>
    <row r="72" spans="2:8" x14ac:dyDescent="0.25">
      <c r="B72" s="492" t="s">
        <v>1174</v>
      </c>
      <c r="C72" s="493" t="str">
        <f>ANALISIS_DE_VPN_Y_TIR!C16</f>
        <v>AÑO 0</v>
      </c>
      <c r="D72" s="494">
        <f>ANALISIS_DE_VPN_Y_TIR!D16</f>
        <v>2021</v>
      </c>
      <c r="E72" s="493">
        <f>ANALISIS_DE_VPN_Y_TIR!E16</f>
        <v>2022</v>
      </c>
      <c r="F72" s="493">
        <f>ANALISIS_DE_VPN_Y_TIR!F16</f>
        <v>2023</v>
      </c>
      <c r="G72" s="493">
        <f>ANALISIS_DE_VPN_Y_TIR!G16</f>
        <v>2024</v>
      </c>
      <c r="H72" s="493">
        <f>ANALISIS_DE_VPN_Y_TIR!H16</f>
        <v>2025</v>
      </c>
    </row>
    <row r="73" spans="2:8" x14ac:dyDescent="0.25">
      <c r="B73" s="495" t="s">
        <v>320</v>
      </c>
      <c r="C73" s="496"/>
      <c r="D73" s="94">
        <f>C44+C61+C69</f>
        <v>0</v>
      </c>
      <c r="E73" s="94">
        <f t="shared" ref="E73:H73" si="11">D44+D61+D69</f>
        <v>0</v>
      </c>
      <c r="F73" s="94">
        <f t="shared" si="11"/>
        <v>0</v>
      </c>
      <c r="G73" s="94">
        <f t="shared" si="11"/>
        <v>0</v>
      </c>
      <c r="H73" s="94">
        <f t="shared" si="11"/>
        <v>0</v>
      </c>
    </row>
    <row r="74" spans="2:8" x14ac:dyDescent="0.25">
      <c r="B74" s="495" t="s">
        <v>249</v>
      </c>
      <c r="C74" s="477"/>
      <c r="D74" s="94">
        <f>FLUJO_DE_CAJA!B43</f>
        <v>0</v>
      </c>
      <c r="E74" s="94">
        <f>FLUJO_DE_CAJA!C43</f>
        <v>0</v>
      </c>
      <c r="F74" s="94">
        <f>FLUJO_DE_CAJA!D43</f>
        <v>0</v>
      </c>
      <c r="G74" s="94">
        <f>FLUJO_DE_CAJA!E43</f>
        <v>0</v>
      </c>
      <c r="H74" s="94">
        <f>FLUJO_DE_CAJA!F43</f>
        <v>0</v>
      </c>
    </row>
    <row r="75" spans="2:8" x14ac:dyDescent="0.25">
      <c r="B75" s="497" t="s">
        <v>1175</v>
      </c>
      <c r="C75" s="498">
        <f>ANALISIS_DE_VPN_Y_TIR!H11*-1</f>
        <v>0</v>
      </c>
      <c r="D75" s="498">
        <f>SUM(D73:D74)</f>
        <v>0</v>
      </c>
      <c r="E75" s="498">
        <f t="shared" ref="E75:H75" si="12">SUM(E73:E74)</f>
        <v>0</v>
      </c>
      <c r="F75" s="498">
        <f t="shared" si="12"/>
        <v>0</v>
      </c>
      <c r="G75" s="498">
        <f t="shared" si="12"/>
        <v>0</v>
      </c>
      <c r="H75" s="498">
        <f t="shared" si="12"/>
        <v>0</v>
      </c>
    </row>
    <row r="76" spans="2:8" ht="16.5" thickBot="1" x14ac:dyDescent="0.3"/>
    <row r="77" spans="2:8" ht="16.5" thickBot="1" x14ac:dyDescent="0.3">
      <c r="B77" s="499" t="s">
        <v>1179</v>
      </c>
      <c r="C77" s="500">
        <f>C75+NPV(ANALISIS_DE_VPN_Y_TIR!H9,HOJA_DE_APOYO!D75:H75)</f>
        <v>0</v>
      </c>
    </row>
    <row r="80" spans="2:8" x14ac:dyDescent="0.25">
      <c r="B80" s="462"/>
    </row>
  </sheetData>
  <sheetProtection algorithmName="SHA-512" hashValue="STwolTJjeVNor07NAQN0YkLwqlUU9b2k2af/GaSI6uDPk2nYm+ZEzJCBVd7wxNPaOjVWxDonpHaBMRB0gzOKcw==" saltValue="JmVPljIgE4OFzT6E2AS1xw==" spinCount="100000" sheet="1" objects="1" scenarios="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0</xdr:row>
                    <xdr:rowOff>200025</xdr:rowOff>
                  </from>
                  <to>
                    <xdr:col>1</xdr:col>
                    <xdr:colOff>2638425</xdr:colOff>
                    <xdr:row>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B1D9E-8FA7-4D0E-AFC7-9A0AF59256F1}">
  <sheetPr codeName="Hoja5"/>
  <dimension ref="H1:U69"/>
  <sheetViews>
    <sheetView showGridLines="0" topLeftCell="A4" zoomScaleNormal="100" workbookViewId="0">
      <selection activeCell="U21" sqref="U21"/>
    </sheetView>
  </sheetViews>
  <sheetFormatPr baseColWidth="10" defaultRowHeight="15" x14ac:dyDescent="0.25"/>
  <cols>
    <col min="1" max="7" width="11.42578125" style="306"/>
    <col min="8" max="8" width="26.42578125" style="306" bestFit="1" customWidth="1"/>
    <col min="9" max="14" width="11.42578125" style="306"/>
    <col min="15" max="15" width="23.140625" style="306" bestFit="1" customWidth="1"/>
    <col min="16" max="16384" width="11.42578125" style="306"/>
  </cols>
  <sheetData>
    <row r="1" spans="8:21" ht="15.75" thickBot="1" x14ac:dyDescent="0.3"/>
    <row r="2" spans="8:21" ht="27" thickBot="1" x14ac:dyDescent="0.45">
      <c r="H2" s="767" t="s">
        <v>1185</v>
      </c>
      <c r="I2" s="768"/>
      <c r="J2" s="768"/>
      <c r="K2" s="768"/>
      <c r="L2" s="768"/>
      <c r="M2" s="768"/>
      <c r="N2" s="768"/>
      <c r="O2" s="768"/>
      <c r="P2" s="768"/>
      <c r="Q2" s="768"/>
      <c r="R2" s="768"/>
      <c r="S2" s="768"/>
      <c r="T2" s="768"/>
      <c r="U2" s="769"/>
    </row>
    <row r="3" spans="8:21" ht="15.75" thickBot="1" x14ac:dyDescent="0.3"/>
    <row r="4" spans="8:21" ht="15.75" thickBot="1" x14ac:dyDescent="0.3">
      <c r="J4" s="770" t="s">
        <v>1181</v>
      </c>
      <c r="K4" s="771"/>
      <c r="L4" s="771"/>
      <c r="M4" s="771"/>
      <c r="N4" s="772"/>
      <c r="O4" s="502" t="s">
        <v>1184</v>
      </c>
      <c r="P4" s="771" t="s">
        <v>1182</v>
      </c>
      <c r="Q4" s="771"/>
      <c r="R4" s="771"/>
      <c r="S4" s="771"/>
      <c r="T4" s="772"/>
    </row>
    <row r="7" spans="8:21" ht="30" customHeight="1" x14ac:dyDescent="0.25">
      <c r="J7" s="766" t="s">
        <v>1180</v>
      </c>
      <c r="K7" s="766"/>
      <c r="L7" s="766"/>
      <c r="M7" s="766"/>
      <c r="N7" s="766"/>
      <c r="O7" s="766"/>
      <c r="P7" s="766"/>
      <c r="Q7" s="766"/>
      <c r="R7" s="766"/>
      <c r="S7" s="766"/>
      <c r="T7" s="766"/>
    </row>
    <row r="8" spans="8:21" x14ac:dyDescent="0.25">
      <c r="J8" s="773" t="s">
        <v>1197</v>
      </c>
      <c r="K8" s="773"/>
      <c r="L8" s="773"/>
      <c r="M8" s="773"/>
      <c r="N8" s="773"/>
      <c r="O8" s="773"/>
      <c r="P8" s="773"/>
      <c r="Q8" s="773"/>
      <c r="R8" s="773"/>
      <c r="S8" s="773"/>
      <c r="T8" s="773"/>
    </row>
    <row r="9" spans="8:21" x14ac:dyDescent="0.25">
      <c r="H9" s="504"/>
      <c r="I9" s="504"/>
      <c r="J9" s="505">
        <f>K9-HOJA_DE_APOYO!$C$5</f>
        <v>-0.1</v>
      </c>
      <c r="K9" s="505">
        <f>L9-HOJA_DE_APOYO!$C$5</f>
        <v>-0.08</v>
      </c>
      <c r="L9" s="505">
        <f>M9-HOJA_DE_APOYO!$C$5</f>
        <v>-0.06</v>
      </c>
      <c r="M9" s="505">
        <f>N9-HOJA_DE_APOYO!$C$5</f>
        <v>-0.04</v>
      </c>
      <c r="N9" s="505">
        <f>O9-HOJA_DE_APOYO!$C$5</f>
        <v>-0.02</v>
      </c>
      <c r="O9" s="505">
        <f>HOJA_DE_APOYO!C4</f>
        <v>0</v>
      </c>
      <c r="P9" s="505">
        <f>O9+HOJA_DE_APOYO!$C$5</f>
        <v>0.02</v>
      </c>
      <c r="Q9" s="505">
        <f>P9+HOJA_DE_APOYO!$C$5</f>
        <v>0.04</v>
      </c>
      <c r="R9" s="505">
        <f>Q9+HOJA_DE_APOYO!$C$5</f>
        <v>0.06</v>
      </c>
      <c r="S9" s="505">
        <f>R9+HOJA_DE_APOYO!$C$5</f>
        <v>0.08</v>
      </c>
      <c r="T9" s="505">
        <f>S9+HOJA_DE_APOYO!$C$5</f>
        <v>0.1</v>
      </c>
    </row>
    <row r="10" spans="8:21" x14ac:dyDescent="0.25">
      <c r="H10" s="509" t="s">
        <v>192</v>
      </c>
      <c r="I10" s="507">
        <f>HOJA_DE_APOYO!C8</f>
        <v>0</v>
      </c>
      <c r="J10" s="503"/>
      <c r="K10" s="503"/>
      <c r="L10" s="503"/>
      <c r="M10" s="503"/>
      <c r="N10" s="503"/>
      <c r="O10" s="506"/>
      <c r="P10" s="503"/>
      <c r="Q10" s="503"/>
      <c r="R10" s="503"/>
      <c r="S10" s="503"/>
      <c r="T10" s="503"/>
    </row>
    <row r="11" spans="8:21" x14ac:dyDescent="0.25">
      <c r="H11" s="509" t="s">
        <v>196</v>
      </c>
      <c r="I11" s="507">
        <f>HOJA_DE_APOYO!C13</f>
        <v>0</v>
      </c>
      <c r="J11" s="503"/>
      <c r="K11" s="503"/>
      <c r="L11" s="503"/>
      <c r="M11" s="503"/>
      <c r="N11" s="503"/>
      <c r="O11" s="506"/>
      <c r="P11" s="503"/>
      <c r="Q11" s="503"/>
      <c r="R11" s="503"/>
      <c r="S11" s="503"/>
      <c r="T11" s="503"/>
    </row>
    <row r="12" spans="8:21" x14ac:dyDescent="0.25">
      <c r="H12" s="509" t="s">
        <v>1169</v>
      </c>
      <c r="I12" s="507">
        <f>HOJA_DE_APOYO!C20</f>
        <v>0</v>
      </c>
      <c r="J12" s="503"/>
      <c r="K12" s="503"/>
      <c r="L12" s="503"/>
      <c r="M12" s="503"/>
      <c r="N12" s="503"/>
      <c r="O12" s="506"/>
      <c r="P12" s="503"/>
      <c r="Q12" s="503"/>
      <c r="R12" s="503"/>
      <c r="S12" s="503"/>
      <c r="T12" s="503"/>
    </row>
    <row r="13" spans="8:21" x14ac:dyDescent="0.25">
      <c r="H13" s="509" t="s">
        <v>1170</v>
      </c>
      <c r="I13" s="507">
        <f>HOJA_DE_APOYO!C31</f>
        <v>0</v>
      </c>
      <c r="J13" s="503"/>
      <c r="K13" s="503"/>
      <c r="L13" s="503"/>
      <c r="M13" s="503"/>
      <c r="N13" s="503"/>
      <c r="O13" s="506"/>
      <c r="P13" s="503"/>
      <c r="Q13" s="503"/>
      <c r="R13" s="503"/>
      <c r="S13" s="503"/>
      <c r="T13" s="503"/>
    </row>
    <row r="14" spans="8:21" x14ac:dyDescent="0.25">
      <c r="H14" s="509" t="s">
        <v>1171</v>
      </c>
      <c r="I14" s="507">
        <f>HOJA_DE_APOYO!C35</f>
        <v>0</v>
      </c>
      <c r="J14" s="503"/>
      <c r="K14" s="503"/>
      <c r="L14" s="503"/>
      <c r="M14" s="503"/>
      <c r="N14" s="503"/>
      <c r="O14" s="506"/>
      <c r="P14" s="503"/>
      <c r="Q14" s="503"/>
      <c r="R14" s="503"/>
      <c r="S14" s="503"/>
      <c r="T14" s="503"/>
    </row>
    <row r="15" spans="8:21" x14ac:dyDescent="0.25">
      <c r="H15" s="509" t="s">
        <v>218</v>
      </c>
      <c r="I15" s="507">
        <f>HOJA_DE_APOYO!C44</f>
        <v>0</v>
      </c>
      <c r="J15" s="503"/>
      <c r="K15" s="503"/>
      <c r="L15" s="503"/>
      <c r="M15" s="503"/>
      <c r="N15" s="503"/>
      <c r="O15" s="506"/>
      <c r="P15" s="503"/>
      <c r="Q15" s="503"/>
      <c r="R15" s="503"/>
      <c r="S15" s="503"/>
      <c r="T15" s="503"/>
    </row>
    <row r="16" spans="8:21" x14ac:dyDescent="0.25">
      <c r="H16" s="509" t="s">
        <v>253</v>
      </c>
      <c r="I16" s="507">
        <f>HOJA_DE_APOYO!D75</f>
        <v>0</v>
      </c>
      <c r="J16" s="503"/>
      <c r="K16" s="503"/>
      <c r="L16" s="503"/>
      <c r="M16" s="503"/>
      <c r="N16" s="503"/>
      <c r="O16" s="506"/>
      <c r="P16" s="503"/>
      <c r="Q16" s="503"/>
      <c r="R16" s="503"/>
      <c r="S16" s="503"/>
      <c r="T16" s="503"/>
    </row>
    <row r="17" spans="8:20" x14ac:dyDescent="0.25">
      <c r="H17" s="509" t="s">
        <v>1172</v>
      </c>
      <c r="I17" s="508">
        <f>HOJA_DE_APOYO!C77</f>
        <v>0</v>
      </c>
      <c r="J17" s="503"/>
      <c r="K17" s="503"/>
      <c r="L17" s="503"/>
      <c r="M17" s="503"/>
      <c r="N17" s="503"/>
      <c r="O17" s="506"/>
      <c r="P17" s="503"/>
      <c r="Q17" s="503"/>
      <c r="R17" s="503"/>
      <c r="S17" s="503"/>
      <c r="T17" s="503"/>
    </row>
    <row r="20" spans="8:20" ht="30.75" customHeight="1" x14ac:dyDescent="0.25">
      <c r="J20" s="766" t="s">
        <v>1198</v>
      </c>
      <c r="K20" s="766"/>
      <c r="L20" s="766"/>
      <c r="M20" s="766"/>
      <c r="N20" s="766"/>
      <c r="O20" s="766"/>
      <c r="P20" s="766"/>
      <c r="Q20" s="766"/>
      <c r="R20" s="766"/>
      <c r="S20" s="766"/>
      <c r="T20" s="766"/>
    </row>
    <row r="21" spans="8:20" x14ac:dyDescent="0.25">
      <c r="J21" s="773" t="s">
        <v>1197</v>
      </c>
      <c r="K21" s="773"/>
      <c r="L21" s="773"/>
      <c r="M21" s="773"/>
      <c r="N21" s="773"/>
      <c r="O21" s="773"/>
      <c r="P21" s="773"/>
      <c r="Q21" s="773"/>
      <c r="R21" s="773"/>
      <c r="S21" s="773"/>
      <c r="T21" s="773"/>
    </row>
    <row r="22" spans="8:20" x14ac:dyDescent="0.25">
      <c r="H22" s="504"/>
      <c r="I22" s="504"/>
      <c r="J22" s="505">
        <f>K22-HOJA_DE_APOYO!$C$5</f>
        <v>-0.1</v>
      </c>
      <c r="K22" s="505">
        <f>L22-HOJA_DE_APOYO!$C$5</f>
        <v>-0.08</v>
      </c>
      <c r="L22" s="505">
        <f>M22-HOJA_DE_APOYO!$C$5</f>
        <v>-0.06</v>
      </c>
      <c r="M22" s="505">
        <f>N22-HOJA_DE_APOYO!$C$5</f>
        <v>-0.04</v>
      </c>
      <c r="N22" s="505">
        <f>O22-HOJA_DE_APOYO!$C$5</f>
        <v>-0.02</v>
      </c>
      <c r="O22" s="505">
        <f>HOJA_DE_APOYO!C17</f>
        <v>0</v>
      </c>
      <c r="P22" s="505">
        <f>O22+HOJA_DE_APOYO!$C$5</f>
        <v>0.02</v>
      </c>
      <c r="Q22" s="505">
        <f>P22+HOJA_DE_APOYO!$C$5</f>
        <v>0.04</v>
      </c>
      <c r="R22" s="505">
        <f>Q22+HOJA_DE_APOYO!$C$5</f>
        <v>0.06</v>
      </c>
      <c r="S22" s="505">
        <f>R22+HOJA_DE_APOYO!$C$5</f>
        <v>0.08</v>
      </c>
      <c r="T22" s="505">
        <f>S22+HOJA_DE_APOYO!$C$5</f>
        <v>0.1</v>
      </c>
    </row>
    <row r="23" spans="8:20" x14ac:dyDescent="0.25">
      <c r="H23" s="509" t="s">
        <v>192</v>
      </c>
      <c r="I23" s="507">
        <f>HOJA_DE_APOYO!D8</f>
        <v>0</v>
      </c>
      <c r="J23" s="503"/>
      <c r="K23" s="503"/>
      <c r="L23" s="503"/>
      <c r="M23" s="503"/>
      <c r="N23" s="503"/>
      <c r="O23" s="506"/>
      <c r="P23" s="503"/>
      <c r="Q23" s="503"/>
      <c r="R23" s="503"/>
      <c r="S23" s="503"/>
      <c r="T23" s="503"/>
    </row>
    <row r="24" spans="8:20" x14ac:dyDescent="0.25">
      <c r="H24" s="509" t="s">
        <v>196</v>
      </c>
      <c r="I24" s="507">
        <f>HOJA_DE_APOYO!D13</f>
        <v>0</v>
      </c>
      <c r="J24" s="503"/>
      <c r="K24" s="503"/>
      <c r="L24" s="503"/>
      <c r="M24" s="503"/>
      <c r="N24" s="503"/>
      <c r="O24" s="506"/>
      <c r="P24" s="503"/>
      <c r="Q24" s="503"/>
      <c r="R24" s="503"/>
      <c r="S24" s="503"/>
      <c r="T24" s="503"/>
    </row>
    <row r="25" spans="8:20" x14ac:dyDescent="0.25">
      <c r="H25" s="509" t="s">
        <v>1169</v>
      </c>
      <c r="I25" s="507">
        <f>HOJA_DE_APOYO!D20</f>
        <v>0</v>
      </c>
      <c r="J25" s="503"/>
      <c r="K25" s="503"/>
      <c r="L25" s="503"/>
      <c r="M25" s="503"/>
      <c r="N25" s="503"/>
      <c r="O25" s="506"/>
      <c r="P25" s="503"/>
      <c r="Q25" s="503"/>
      <c r="R25" s="503"/>
      <c r="S25" s="503"/>
      <c r="T25" s="503"/>
    </row>
    <row r="26" spans="8:20" x14ac:dyDescent="0.25">
      <c r="H26" s="509" t="s">
        <v>1170</v>
      </c>
      <c r="I26" s="507">
        <f>HOJA_DE_APOYO!D31</f>
        <v>0</v>
      </c>
      <c r="J26" s="503"/>
      <c r="K26" s="503"/>
      <c r="L26" s="503"/>
      <c r="M26" s="503"/>
      <c r="N26" s="503"/>
      <c r="O26" s="506"/>
      <c r="P26" s="503"/>
      <c r="Q26" s="503"/>
      <c r="R26" s="503"/>
      <c r="S26" s="503"/>
      <c r="T26" s="503"/>
    </row>
    <row r="27" spans="8:20" x14ac:dyDescent="0.25">
      <c r="H27" s="509" t="s">
        <v>1171</v>
      </c>
      <c r="I27" s="507">
        <f>HOJA_DE_APOYO!D35</f>
        <v>0</v>
      </c>
      <c r="J27" s="503"/>
      <c r="K27" s="503"/>
      <c r="L27" s="503"/>
      <c r="M27" s="503"/>
      <c r="N27" s="503"/>
      <c r="O27" s="506"/>
      <c r="P27" s="503"/>
      <c r="Q27" s="503"/>
      <c r="R27" s="503"/>
      <c r="S27" s="503"/>
      <c r="T27" s="503"/>
    </row>
    <row r="28" spans="8:20" x14ac:dyDescent="0.25">
      <c r="H28" s="509" t="s">
        <v>218</v>
      </c>
      <c r="I28" s="507">
        <f>HOJA_DE_APOYO!D44</f>
        <v>0</v>
      </c>
      <c r="J28" s="503"/>
      <c r="K28" s="503"/>
      <c r="L28" s="503"/>
      <c r="M28" s="503"/>
      <c r="N28" s="503"/>
      <c r="O28" s="506"/>
      <c r="P28" s="503"/>
      <c r="Q28" s="503"/>
      <c r="R28" s="503"/>
      <c r="S28" s="503"/>
      <c r="T28" s="503"/>
    </row>
    <row r="29" spans="8:20" x14ac:dyDescent="0.25">
      <c r="H29" s="509" t="s">
        <v>253</v>
      </c>
      <c r="I29" s="507">
        <f>HOJA_DE_APOYO!E75</f>
        <v>0</v>
      </c>
      <c r="J29" s="503"/>
      <c r="K29" s="503"/>
      <c r="L29" s="503"/>
      <c r="M29" s="503"/>
      <c r="N29" s="503"/>
      <c r="O29" s="506"/>
      <c r="P29" s="503"/>
      <c r="Q29" s="503"/>
      <c r="R29" s="503"/>
      <c r="S29" s="503"/>
      <c r="T29" s="503"/>
    </row>
    <row r="30" spans="8:20" x14ac:dyDescent="0.25">
      <c r="H30" s="509" t="s">
        <v>1172</v>
      </c>
      <c r="I30" s="508">
        <f>HOJA_DE_APOYO!C77</f>
        <v>0</v>
      </c>
      <c r="J30" s="503"/>
      <c r="K30" s="503"/>
      <c r="L30" s="503"/>
      <c r="M30" s="503"/>
      <c r="N30" s="503"/>
      <c r="O30" s="506"/>
      <c r="P30" s="503"/>
      <c r="Q30" s="503"/>
      <c r="R30" s="503"/>
      <c r="S30" s="503"/>
      <c r="T30" s="503"/>
    </row>
    <row r="33" spans="8:20" ht="31.5" customHeight="1" x14ac:dyDescent="0.25">
      <c r="J33" s="766" t="s">
        <v>1199</v>
      </c>
      <c r="K33" s="766"/>
      <c r="L33" s="766"/>
      <c r="M33" s="766"/>
      <c r="N33" s="766"/>
      <c r="O33" s="766"/>
      <c r="P33" s="766"/>
      <c r="Q33" s="766"/>
      <c r="R33" s="766"/>
      <c r="S33" s="766"/>
      <c r="T33" s="766"/>
    </row>
    <row r="34" spans="8:20" x14ac:dyDescent="0.25">
      <c r="J34" s="773" t="s">
        <v>1197</v>
      </c>
      <c r="K34" s="773"/>
      <c r="L34" s="773"/>
      <c r="M34" s="773"/>
      <c r="N34" s="773"/>
      <c r="O34" s="773"/>
      <c r="P34" s="773"/>
      <c r="Q34" s="773"/>
      <c r="R34" s="773"/>
      <c r="S34" s="773"/>
      <c r="T34" s="773"/>
    </row>
    <row r="35" spans="8:20" x14ac:dyDescent="0.25">
      <c r="H35" s="504"/>
      <c r="I35" s="504"/>
      <c r="J35" s="505">
        <f>K35-HOJA_DE_APOYO!$C$5</f>
        <v>-0.1</v>
      </c>
      <c r="K35" s="505">
        <f>L35-HOJA_DE_APOYO!$C$5</f>
        <v>-0.08</v>
      </c>
      <c r="L35" s="505">
        <f>M35-HOJA_DE_APOYO!$C$5</f>
        <v>-0.06</v>
      </c>
      <c r="M35" s="505">
        <f>N35-HOJA_DE_APOYO!$C$5</f>
        <v>-0.04</v>
      </c>
      <c r="N35" s="505">
        <f>O35-HOJA_DE_APOYO!$C$5</f>
        <v>-0.02</v>
      </c>
      <c r="O35" s="505">
        <f>HOJA_DE_APOYO!C30</f>
        <v>0</v>
      </c>
      <c r="P35" s="505">
        <f>O35+HOJA_DE_APOYO!$C$5</f>
        <v>0.02</v>
      </c>
      <c r="Q35" s="505">
        <f>P35+HOJA_DE_APOYO!$C$5</f>
        <v>0.04</v>
      </c>
      <c r="R35" s="505">
        <f>Q35+HOJA_DE_APOYO!$C$5</f>
        <v>0.06</v>
      </c>
      <c r="S35" s="505">
        <f>R35+HOJA_DE_APOYO!$C$5</f>
        <v>0.08</v>
      </c>
      <c r="T35" s="505">
        <f>S35+HOJA_DE_APOYO!$C$5</f>
        <v>0.1</v>
      </c>
    </row>
    <row r="36" spans="8:20" x14ac:dyDescent="0.25">
      <c r="H36" s="509" t="s">
        <v>192</v>
      </c>
      <c r="I36" s="507">
        <f>HOJA_DE_APOYO!E8</f>
        <v>0</v>
      </c>
      <c r="J36" s="503"/>
      <c r="K36" s="503"/>
      <c r="L36" s="503"/>
      <c r="M36" s="503"/>
      <c r="N36" s="503"/>
      <c r="O36" s="506"/>
      <c r="P36" s="503"/>
      <c r="Q36" s="503"/>
      <c r="R36" s="503"/>
      <c r="S36" s="503"/>
      <c r="T36" s="503"/>
    </row>
    <row r="37" spans="8:20" x14ac:dyDescent="0.25">
      <c r="H37" s="509" t="s">
        <v>196</v>
      </c>
      <c r="I37" s="507">
        <f>HOJA_DE_APOYO!E13</f>
        <v>0</v>
      </c>
      <c r="J37" s="503"/>
      <c r="K37" s="503"/>
      <c r="L37" s="503"/>
      <c r="M37" s="503"/>
      <c r="N37" s="503"/>
      <c r="O37" s="506"/>
      <c r="P37" s="503"/>
      <c r="Q37" s="503"/>
      <c r="R37" s="503"/>
      <c r="S37" s="503"/>
      <c r="T37" s="503"/>
    </row>
    <row r="38" spans="8:20" x14ac:dyDescent="0.25">
      <c r="H38" s="509" t="s">
        <v>1169</v>
      </c>
      <c r="I38" s="507">
        <f>HOJA_DE_APOYO!E20</f>
        <v>0</v>
      </c>
      <c r="J38" s="503"/>
      <c r="K38" s="503"/>
      <c r="L38" s="503"/>
      <c r="M38" s="503"/>
      <c r="N38" s="503"/>
      <c r="O38" s="506"/>
      <c r="P38" s="503"/>
      <c r="Q38" s="503"/>
      <c r="R38" s="503"/>
      <c r="S38" s="503"/>
      <c r="T38" s="503"/>
    </row>
    <row r="39" spans="8:20" x14ac:dyDescent="0.25">
      <c r="H39" s="509" t="s">
        <v>1170</v>
      </c>
      <c r="I39" s="507">
        <f>HOJA_DE_APOYO!E31</f>
        <v>0</v>
      </c>
      <c r="J39" s="503"/>
      <c r="K39" s="503"/>
      <c r="L39" s="503"/>
      <c r="M39" s="503"/>
      <c r="N39" s="503"/>
      <c r="O39" s="506"/>
      <c r="P39" s="503"/>
      <c r="Q39" s="503"/>
      <c r="R39" s="503"/>
      <c r="S39" s="503"/>
      <c r="T39" s="503"/>
    </row>
    <row r="40" spans="8:20" x14ac:dyDescent="0.25">
      <c r="H40" s="509" t="s">
        <v>1171</v>
      </c>
      <c r="I40" s="507">
        <f>HOJA_DE_APOYO!E35</f>
        <v>0</v>
      </c>
      <c r="J40" s="503"/>
      <c r="K40" s="503"/>
      <c r="L40" s="503"/>
      <c r="M40" s="503"/>
      <c r="N40" s="503"/>
      <c r="O40" s="506"/>
      <c r="P40" s="503"/>
      <c r="Q40" s="503"/>
      <c r="R40" s="503"/>
      <c r="S40" s="503"/>
      <c r="T40" s="503"/>
    </row>
    <row r="41" spans="8:20" x14ac:dyDescent="0.25">
      <c r="H41" s="509" t="s">
        <v>218</v>
      </c>
      <c r="I41" s="507">
        <f>HOJA_DE_APOYO!E44</f>
        <v>0</v>
      </c>
      <c r="J41" s="503"/>
      <c r="K41" s="503"/>
      <c r="L41" s="503"/>
      <c r="M41" s="503"/>
      <c r="N41" s="503"/>
      <c r="O41" s="506"/>
      <c r="P41" s="503"/>
      <c r="Q41" s="503"/>
      <c r="R41" s="503"/>
      <c r="S41" s="503"/>
      <c r="T41" s="503"/>
    </row>
    <row r="42" spans="8:20" x14ac:dyDescent="0.25">
      <c r="H42" s="509" t="s">
        <v>253</v>
      </c>
      <c r="I42" s="507">
        <f>HOJA_DE_APOYO!F75</f>
        <v>0</v>
      </c>
      <c r="J42" s="503"/>
      <c r="K42" s="503"/>
      <c r="L42" s="503"/>
      <c r="M42" s="503"/>
      <c r="N42" s="503"/>
      <c r="O42" s="506"/>
      <c r="P42" s="503"/>
      <c r="Q42" s="503"/>
      <c r="R42" s="503"/>
      <c r="S42" s="503"/>
      <c r="T42" s="503"/>
    </row>
    <row r="43" spans="8:20" x14ac:dyDescent="0.25">
      <c r="H43" s="509" t="s">
        <v>1172</v>
      </c>
      <c r="I43" s="508">
        <f>HOJA_DE_APOYO!C77</f>
        <v>0</v>
      </c>
      <c r="J43" s="503"/>
      <c r="K43" s="503"/>
      <c r="L43" s="503"/>
      <c r="M43" s="503"/>
      <c r="N43" s="503"/>
      <c r="O43" s="506"/>
      <c r="P43" s="503"/>
      <c r="Q43" s="503"/>
      <c r="R43" s="503"/>
      <c r="S43" s="503"/>
      <c r="T43" s="503"/>
    </row>
    <row r="46" spans="8:20" ht="30.75" customHeight="1" x14ac:dyDescent="0.25">
      <c r="J46" s="766" t="s">
        <v>1200</v>
      </c>
      <c r="K46" s="766"/>
      <c r="L46" s="766"/>
      <c r="M46" s="766"/>
      <c r="N46" s="766"/>
      <c r="O46" s="766"/>
      <c r="P46" s="766"/>
      <c r="Q46" s="766"/>
      <c r="R46" s="766"/>
      <c r="S46" s="766"/>
      <c r="T46" s="766"/>
    </row>
    <row r="47" spans="8:20" x14ac:dyDescent="0.25">
      <c r="J47" s="773" t="s">
        <v>1197</v>
      </c>
      <c r="K47" s="773"/>
      <c r="L47" s="773"/>
      <c r="M47" s="773"/>
      <c r="N47" s="773"/>
      <c r="O47" s="773"/>
      <c r="P47" s="773"/>
      <c r="Q47" s="773"/>
      <c r="R47" s="773"/>
      <c r="S47" s="773"/>
      <c r="T47" s="773"/>
    </row>
    <row r="48" spans="8:20" x14ac:dyDescent="0.25">
      <c r="H48" s="504"/>
      <c r="I48" s="504"/>
      <c r="J48" s="505">
        <f>K48-HOJA_DE_APOYO!$C$5</f>
        <v>-0.1</v>
      </c>
      <c r="K48" s="505">
        <f>L48-HOJA_DE_APOYO!$C$5</f>
        <v>-0.08</v>
      </c>
      <c r="L48" s="505">
        <f>M48-HOJA_DE_APOYO!$C$5</f>
        <v>-0.06</v>
      </c>
      <c r="M48" s="505">
        <f>N48-HOJA_DE_APOYO!$C$5</f>
        <v>-0.04</v>
      </c>
      <c r="N48" s="505">
        <f>O48-HOJA_DE_APOYO!$C$5</f>
        <v>-0.02</v>
      </c>
      <c r="O48" s="505">
        <f>HOJA_DE_APOYO!C41</f>
        <v>0</v>
      </c>
      <c r="P48" s="505">
        <f>O48+HOJA_DE_APOYO!$C$5</f>
        <v>0.02</v>
      </c>
      <c r="Q48" s="505">
        <f>P48+HOJA_DE_APOYO!$C$5</f>
        <v>0.04</v>
      </c>
      <c r="R48" s="505">
        <f>Q48+HOJA_DE_APOYO!$C$5</f>
        <v>0.06</v>
      </c>
      <c r="S48" s="505">
        <f>R48+HOJA_DE_APOYO!$C$5</f>
        <v>0.08</v>
      </c>
      <c r="T48" s="505">
        <f>S48+HOJA_DE_APOYO!$C$5</f>
        <v>0.1</v>
      </c>
    </row>
    <row r="49" spans="8:20" x14ac:dyDescent="0.25">
      <c r="H49" s="509" t="s">
        <v>192</v>
      </c>
      <c r="I49" s="507">
        <f>HOJA_DE_APOYO!F8</f>
        <v>0</v>
      </c>
      <c r="J49" s="503"/>
      <c r="K49" s="503"/>
      <c r="L49" s="503"/>
      <c r="M49" s="503"/>
      <c r="N49" s="503"/>
      <c r="O49" s="506"/>
      <c r="P49" s="503"/>
      <c r="Q49" s="503"/>
      <c r="R49" s="503"/>
      <c r="S49" s="503"/>
      <c r="T49" s="503"/>
    </row>
    <row r="50" spans="8:20" x14ac:dyDescent="0.25">
      <c r="H50" s="509" t="s">
        <v>196</v>
      </c>
      <c r="I50" s="507">
        <f>HOJA_DE_APOYO!F13</f>
        <v>0</v>
      </c>
      <c r="J50" s="503"/>
      <c r="K50" s="503"/>
      <c r="L50" s="503"/>
      <c r="M50" s="503"/>
      <c r="N50" s="503"/>
      <c r="O50" s="506"/>
      <c r="P50" s="503"/>
      <c r="Q50" s="503"/>
      <c r="R50" s="503"/>
      <c r="S50" s="503"/>
      <c r="T50" s="503"/>
    </row>
    <row r="51" spans="8:20" x14ac:dyDescent="0.25">
      <c r="H51" s="509" t="s">
        <v>1169</v>
      </c>
      <c r="I51" s="507">
        <f>HOJA_DE_APOYO!F20</f>
        <v>0</v>
      </c>
      <c r="J51" s="503"/>
      <c r="K51" s="503"/>
      <c r="L51" s="503"/>
      <c r="M51" s="503"/>
      <c r="N51" s="503"/>
      <c r="O51" s="506"/>
      <c r="P51" s="503"/>
      <c r="Q51" s="503"/>
      <c r="R51" s="503"/>
      <c r="S51" s="503"/>
      <c r="T51" s="503"/>
    </row>
    <row r="52" spans="8:20" x14ac:dyDescent="0.25">
      <c r="H52" s="509" t="s">
        <v>1170</v>
      </c>
      <c r="I52" s="507">
        <f>HOJA_DE_APOYO!F31</f>
        <v>0</v>
      </c>
      <c r="J52" s="503"/>
      <c r="K52" s="503"/>
      <c r="L52" s="503"/>
      <c r="M52" s="503"/>
      <c r="N52" s="503"/>
      <c r="O52" s="506"/>
      <c r="P52" s="503"/>
      <c r="Q52" s="503"/>
      <c r="R52" s="503"/>
      <c r="S52" s="503"/>
      <c r="T52" s="503"/>
    </row>
    <row r="53" spans="8:20" x14ac:dyDescent="0.25">
      <c r="H53" s="509" t="s">
        <v>1171</v>
      </c>
      <c r="I53" s="507">
        <f>HOJA_DE_APOYO!F35</f>
        <v>0</v>
      </c>
      <c r="J53" s="503"/>
      <c r="K53" s="503"/>
      <c r="L53" s="503"/>
      <c r="M53" s="503"/>
      <c r="N53" s="503"/>
      <c r="O53" s="506"/>
      <c r="P53" s="503"/>
      <c r="Q53" s="503"/>
      <c r="R53" s="503"/>
      <c r="S53" s="503"/>
      <c r="T53" s="503"/>
    </row>
    <row r="54" spans="8:20" x14ac:dyDescent="0.25">
      <c r="H54" s="509" t="s">
        <v>218</v>
      </c>
      <c r="I54" s="507">
        <f>HOJA_DE_APOYO!F44</f>
        <v>0</v>
      </c>
      <c r="J54" s="503"/>
      <c r="K54" s="503"/>
      <c r="L54" s="503"/>
      <c r="M54" s="503"/>
      <c r="N54" s="503"/>
      <c r="O54" s="506"/>
      <c r="P54" s="503"/>
      <c r="Q54" s="503"/>
      <c r="R54" s="503"/>
      <c r="S54" s="503"/>
      <c r="T54" s="503"/>
    </row>
    <row r="55" spans="8:20" x14ac:dyDescent="0.25">
      <c r="H55" s="509" t="s">
        <v>253</v>
      </c>
      <c r="I55" s="507">
        <f>HOJA_DE_APOYO!G75</f>
        <v>0</v>
      </c>
      <c r="J55" s="503"/>
      <c r="K55" s="503"/>
      <c r="L55" s="503"/>
      <c r="M55" s="503"/>
      <c r="N55" s="503"/>
      <c r="O55" s="506"/>
      <c r="P55" s="503"/>
      <c r="Q55" s="503"/>
      <c r="R55" s="503"/>
      <c r="S55" s="503"/>
      <c r="T55" s="503"/>
    </row>
    <row r="56" spans="8:20" x14ac:dyDescent="0.25">
      <c r="H56" s="509" t="s">
        <v>1172</v>
      </c>
      <c r="I56" s="508">
        <f>HOJA_DE_APOYO!C77</f>
        <v>0</v>
      </c>
      <c r="J56" s="503"/>
      <c r="K56" s="503"/>
      <c r="L56" s="503"/>
      <c r="M56" s="503"/>
      <c r="N56" s="503"/>
      <c r="O56" s="506"/>
      <c r="P56" s="503"/>
      <c r="Q56" s="503"/>
      <c r="R56" s="503"/>
      <c r="S56" s="503"/>
      <c r="T56" s="503"/>
    </row>
    <row r="59" spans="8:20" ht="30.75" customHeight="1" x14ac:dyDescent="0.25">
      <c r="J59" s="766" t="s">
        <v>1201</v>
      </c>
      <c r="K59" s="766"/>
      <c r="L59" s="766"/>
      <c r="M59" s="766"/>
      <c r="N59" s="766"/>
      <c r="O59" s="766"/>
      <c r="P59" s="766"/>
      <c r="Q59" s="766"/>
      <c r="R59" s="766"/>
      <c r="S59" s="766"/>
      <c r="T59" s="766"/>
    </row>
    <row r="60" spans="8:20" x14ac:dyDescent="0.25">
      <c r="J60" s="773" t="s">
        <v>1197</v>
      </c>
      <c r="K60" s="773"/>
      <c r="L60" s="773"/>
      <c r="M60" s="773"/>
      <c r="N60" s="773"/>
      <c r="O60" s="773"/>
      <c r="P60" s="773"/>
      <c r="Q60" s="773"/>
      <c r="R60" s="773"/>
      <c r="S60" s="773"/>
      <c r="T60" s="773"/>
    </row>
    <row r="61" spans="8:20" x14ac:dyDescent="0.25">
      <c r="H61" s="504"/>
      <c r="I61" s="504"/>
      <c r="J61" s="505">
        <f>K61-HOJA_DE_APOYO!$C$5</f>
        <v>-0.1</v>
      </c>
      <c r="K61" s="505">
        <f>L61-HOJA_DE_APOYO!$C$5</f>
        <v>-0.08</v>
      </c>
      <c r="L61" s="505">
        <f>M61-HOJA_DE_APOYO!$C$5</f>
        <v>-0.06</v>
      </c>
      <c r="M61" s="505">
        <f>N61-HOJA_DE_APOYO!$C$5</f>
        <v>-0.04</v>
      </c>
      <c r="N61" s="505">
        <f>O61-HOJA_DE_APOYO!$C$5</f>
        <v>-0.02</v>
      </c>
      <c r="O61" s="505">
        <f>HOJA_DE_APOYO!C54</f>
        <v>0</v>
      </c>
      <c r="P61" s="505">
        <f>O61+HOJA_DE_APOYO!$C$5</f>
        <v>0.02</v>
      </c>
      <c r="Q61" s="505">
        <f>P61+HOJA_DE_APOYO!$C$5</f>
        <v>0.04</v>
      </c>
      <c r="R61" s="505">
        <f>Q61+HOJA_DE_APOYO!$C$5</f>
        <v>0.06</v>
      </c>
      <c r="S61" s="505">
        <f>R61+HOJA_DE_APOYO!$C$5</f>
        <v>0.08</v>
      </c>
      <c r="T61" s="505">
        <f>S61+HOJA_DE_APOYO!$C$5</f>
        <v>0.1</v>
      </c>
    </row>
    <row r="62" spans="8:20" x14ac:dyDescent="0.25">
      <c r="H62" s="509" t="s">
        <v>192</v>
      </c>
      <c r="I62" s="507">
        <f>HOJA_DE_APOYO!G8</f>
        <v>0</v>
      </c>
      <c r="J62" s="503"/>
      <c r="K62" s="503"/>
      <c r="L62" s="503"/>
      <c r="M62" s="503"/>
      <c r="N62" s="503"/>
      <c r="O62" s="506"/>
      <c r="P62" s="503"/>
      <c r="Q62" s="503"/>
      <c r="R62" s="503"/>
      <c r="S62" s="503"/>
      <c r="T62" s="503"/>
    </row>
    <row r="63" spans="8:20" x14ac:dyDescent="0.25">
      <c r="H63" s="509" t="s">
        <v>196</v>
      </c>
      <c r="I63" s="507">
        <f>HOJA_DE_APOYO!G13</f>
        <v>0</v>
      </c>
      <c r="J63" s="503"/>
      <c r="K63" s="503"/>
      <c r="L63" s="503"/>
      <c r="M63" s="503"/>
      <c r="N63" s="503"/>
      <c r="O63" s="506"/>
      <c r="P63" s="503"/>
      <c r="Q63" s="503"/>
      <c r="R63" s="503"/>
      <c r="S63" s="503"/>
      <c r="T63" s="503"/>
    </row>
    <row r="64" spans="8:20" x14ac:dyDescent="0.25">
      <c r="H64" s="509" t="s">
        <v>1169</v>
      </c>
      <c r="I64" s="507">
        <f>HOJA_DE_APOYO!G20</f>
        <v>0</v>
      </c>
      <c r="J64" s="503"/>
      <c r="K64" s="503"/>
      <c r="L64" s="503"/>
      <c r="M64" s="503"/>
      <c r="N64" s="503"/>
      <c r="O64" s="506"/>
      <c r="P64" s="503"/>
      <c r="Q64" s="503"/>
      <c r="R64" s="503"/>
      <c r="S64" s="503"/>
      <c r="T64" s="503"/>
    </row>
    <row r="65" spans="8:20" x14ac:dyDescent="0.25">
      <c r="H65" s="509" t="s">
        <v>1170</v>
      </c>
      <c r="I65" s="507">
        <f>HOJA_DE_APOYO!G31</f>
        <v>0</v>
      </c>
      <c r="J65" s="503"/>
      <c r="K65" s="503"/>
      <c r="L65" s="503"/>
      <c r="M65" s="503"/>
      <c r="N65" s="503"/>
      <c r="O65" s="506"/>
      <c r="P65" s="503"/>
      <c r="Q65" s="503"/>
      <c r="R65" s="503"/>
      <c r="S65" s="503"/>
      <c r="T65" s="503"/>
    </row>
    <row r="66" spans="8:20" x14ac:dyDescent="0.25">
      <c r="H66" s="509" t="s">
        <v>1171</v>
      </c>
      <c r="I66" s="507">
        <f>HOJA_DE_APOYO!G35</f>
        <v>0</v>
      </c>
      <c r="J66" s="503"/>
      <c r="K66" s="503"/>
      <c r="L66" s="503"/>
      <c r="M66" s="503"/>
      <c r="N66" s="503"/>
      <c r="O66" s="506"/>
      <c r="P66" s="503"/>
      <c r="Q66" s="503"/>
      <c r="R66" s="503"/>
      <c r="S66" s="503"/>
      <c r="T66" s="503"/>
    </row>
    <row r="67" spans="8:20" x14ac:dyDescent="0.25">
      <c r="H67" s="509" t="s">
        <v>218</v>
      </c>
      <c r="I67" s="507">
        <f>HOJA_DE_APOYO!G44</f>
        <v>0</v>
      </c>
      <c r="J67" s="503"/>
      <c r="K67" s="503"/>
      <c r="L67" s="503"/>
      <c r="M67" s="503"/>
      <c r="N67" s="503"/>
      <c r="O67" s="506"/>
      <c r="P67" s="503"/>
      <c r="Q67" s="503"/>
      <c r="R67" s="503"/>
      <c r="S67" s="503"/>
      <c r="T67" s="503"/>
    </row>
    <row r="68" spans="8:20" x14ac:dyDescent="0.25">
      <c r="H68" s="509" t="s">
        <v>253</v>
      </c>
      <c r="I68" s="507">
        <f>HOJA_DE_APOYO!H75</f>
        <v>0</v>
      </c>
      <c r="J68" s="503"/>
      <c r="K68" s="503"/>
      <c r="L68" s="503"/>
      <c r="M68" s="503"/>
      <c r="N68" s="503"/>
      <c r="O68" s="506"/>
      <c r="P68" s="503"/>
      <c r="Q68" s="503"/>
      <c r="R68" s="503"/>
      <c r="S68" s="503"/>
      <c r="T68" s="503"/>
    </row>
    <row r="69" spans="8:20" x14ac:dyDescent="0.25">
      <c r="H69" s="509" t="s">
        <v>1172</v>
      </c>
      <c r="I69" s="508">
        <f>HOJA_DE_APOYO!C77</f>
        <v>0</v>
      </c>
      <c r="J69" s="503"/>
      <c r="K69" s="503"/>
      <c r="L69" s="503"/>
      <c r="M69" s="503"/>
      <c r="N69" s="503"/>
      <c r="O69" s="506"/>
      <c r="P69" s="503"/>
      <c r="Q69" s="503"/>
      <c r="R69" s="503"/>
      <c r="S69" s="503"/>
      <c r="T69" s="503"/>
    </row>
  </sheetData>
  <mergeCells count="13">
    <mergeCell ref="J60:T60"/>
    <mergeCell ref="J21:T21"/>
    <mergeCell ref="J33:T33"/>
    <mergeCell ref="J34:T34"/>
    <mergeCell ref="J46:T46"/>
    <mergeCell ref="J47:T47"/>
    <mergeCell ref="J59:T59"/>
    <mergeCell ref="J20:T20"/>
    <mergeCell ref="H2:U2"/>
    <mergeCell ref="J4:N4"/>
    <mergeCell ref="P4:T4"/>
    <mergeCell ref="J7:T7"/>
    <mergeCell ref="J8:T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Portada">
                <anchor moveWithCells="1" sizeWithCells="1">
                  <from>
                    <xdr:col>2</xdr:col>
                    <xdr:colOff>333375</xdr:colOff>
                    <xdr:row>2</xdr:row>
                    <xdr:rowOff>114300</xdr:rowOff>
                  </from>
                  <to>
                    <xdr:col>4</xdr:col>
                    <xdr:colOff>247650</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HOJA_DE_APOYO</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2021-08-19T17:46:28Z</dcterms:modified>
</cp:coreProperties>
</file>